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9E0AD56-D038-444F-A625-986C9EBCE50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4" i="1" l="1"/>
  <c r="CL18" i="1"/>
  <c r="CL19" i="1"/>
  <c r="CL254" i="1"/>
  <c r="CK14" i="1"/>
  <c r="Z12" i="1"/>
  <c r="CO13" i="1"/>
  <c r="CS13" i="1" s="1"/>
  <c r="CN13" i="1"/>
  <c r="CR13" i="1" s="1"/>
  <c r="CV13" i="1" s="1"/>
  <c r="CZ13" i="1" s="1"/>
  <c r="CM13" i="1"/>
  <c r="CQ13" i="1" s="1"/>
  <c r="CU13" i="1" s="1"/>
  <c r="CY13" i="1" s="1"/>
  <c r="CP13" i="1"/>
  <c r="CT13" i="1" s="1"/>
  <c r="CX13" i="1" s="1"/>
  <c r="DB13" i="1" s="1"/>
  <c r="CO12" i="1"/>
  <c r="CN12" i="1"/>
  <c r="CR12" i="1" s="1"/>
  <c r="CV12" i="1" s="1"/>
  <c r="CZ12" i="1" s="1"/>
  <c r="CM12" i="1"/>
  <c r="CQ12" i="1" s="1"/>
  <c r="CZ14" i="1" l="1"/>
  <c r="CZ23" i="1" s="1"/>
  <c r="CS12" i="1"/>
  <c r="CW12" i="1" s="1"/>
  <c r="DA12" i="1" s="1"/>
  <c r="CO14" i="1"/>
  <c r="CO23" i="1" s="1"/>
  <c r="CU12" i="1"/>
  <c r="CY12" i="1" s="1"/>
  <c r="CY14" i="1" s="1"/>
  <c r="CY23" i="1" s="1"/>
  <c r="CQ14" i="1"/>
  <c r="CQ23" i="1" s="1"/>
  <c r="CL14" i="1"/>
  <c r="AA12" i="1"/>
  <c r="AA18" i="1" s="1"/>
  <c r="CP12" i="1"/>
  <c r="AB12" i="1" s="1"/>
  <c r="CW13" i="1"/>
  <c r="CW14" i="1" s="1"/>
  <c r="CW23" i="1" s="1"/>
  <c r="AC13" i="1"/>
  <c r="CV14" i="1"/>
  <c r="CV23" i="1" s="1"/>
  <c r="AA13" i="1"/>
  <c r="CR14" i="1"/>
  <c r="CR23" i="1" s="1"/>
  <c r="CM14" i="1"/>
  <c r="CM23" i="1" s="1"/>
  <c r="CS14" i="1"/>
  <c r="CS23" i="1" s="1"/>
  <c r="CN14" i="1"/>
  <c r="CN23" i="1" s="1"/>
  <c r="AB13" i="1"/>
  <c r="CI5" i="1"/>
  <c r="BW5" i="1"/>
  <c r="CA5" i="1"/>
  <c r="Z13" i="1"/>
  <c r="Y13" i="1"/>
  <c r="Y12" i="1"/>
  <c r="Z18" i="1" s="1"/>
  <c r="X13" i="1"/>
  <c r="X12" i="1"/>
  <c r="W12" i="1"/>
  <c r="X18" i="1" s="1"/>
  <c r="W13" i="1"/>
  <c r="CC19" i="1"/>
  <c r="CA19" i="1"/>
  <c r="BW19" i="1"/>
  <c r="CK19" i="1"/>
  <c r="CJ19" i="1"/>
  <c r="CI19" i="1"/>
  <c r="CH19" i="1"/>
  <c r="CG19" i="1"/>
  <c r="CF19" i="1"/>
  <c r="CE19" i="1"/>
  <c r="CD19" i="1"/>
  <c r="CB19" i="1"/>
  <c r="BZ19" i="1"/>
  <c r="BY19" i="1"/>
  <c r="BX19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V14" i="1"/>
  <c r="BU14" i="1"/>
  <c r="BT14" i="1"/>
  <c r="BS14" i="1"/>
  <c r="BW1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1" i="1"/>
  <c r="AB24" i="1"/>
  <c r="AC24" i="1"/>
  <c r="AD24" i="1"/>
  <c r="AE24" i="1"/>
  <c r="AB37" i="1"/>
  <c r="AC37" i="1"/>
  <c r="AD37" i="1"/>
  <c r="AE37" i="1"/>
  <c r="AE36" i="1"/>
  <c r="AD36" i="1"/>
  <c r="AC36" i="1"/>
  <c r="AB36" i="1"/>
  <c r="AJ224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A148" i="1" s="1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C62" i="2"/>
  <c r="AC86" i="2"/>
  <c r="AD74" i="2"/>
  <c r="AD98" i="2"/>
  <c r="AD110" i="2"/>
  <c r="AD7" i="2"/>
  <c r="AE5" i="2"/>
  <c r="AE56" i="2"/>
  <c r="AF22" i="2"/>
  <c r="AE59" i="2"/>
  <c r="AB11" i="2"/>
  <c r="AA28" i="1" s="1"/>
  <c r="AB19" i="2"/>
  <c r="AA37" i="1" s="1"/>
  <c r="AB27" i="2"/>
  <c r="AA47" i="1" s="1"/>
  <c r="AB35" i="2"/>
  <c r="AA66" i="1" s="1"/>
  <c r="AB46" i="2"/>
  <c r="AB54" i="2"/>
  <c r="AA168" i="1" s="1"/>
  <c r="AC9" i="2"/>
  <c r="AC21" i="2"/>
  <c r="AC33" i="2"/>
  <c r="AC48" i="2"/>
  <c r="AB6" i="2"/>
  <c r="AA23" i="1" s="1"/>
  <c r="AB22" i="2"/>
  <c r="AB41" i="2"/>
  <c r="AA132" i="1" s="1"/>
  <c r="AB57" i="2"/>
  <c r="AA170" i="1" s="1"/>
  <c r="AD66" i="2"/>
  <c r="AD82" i="2"/>
  <c r="AD90" i="2"/>
  <c r="AD42" i="2"/>
  <c r="AE29" i="2"/>
  <c r="AC69" i="2"/>
  <c r="AC81" i="2"/>
  <c r="AE94" i="2"/>
  <c r="AF57" i="2"/>
  <c r="AD79" i="2"/>
  <c r="AD95" i="2"/>
  <c r="AC32" i="2"/>
  <c r="AC80" i="2"/>
  <c r="AC108" i="2"/>
  <c r="AD69" i="2"/>
  <c r="AD85" i="2"/>
  <c r="AD105" i="2"/>
  <c r="AE65" i="2"/>
  <c r="AE89" i="2"/>
  <c r="AC95" i="2"/>
  <c r="AB24" i="2"/>
  <c r="AF60" i="2"/>
  <c r="AC64" i="2"/>
  <c r="AB80" i="2"/>
  <c r="AA162" i="1" s="1"/>
  <c r="AB96" i="2"/>
  <c r="AE7" i="2"/>
  <c r="AB70" i="2"/>
  <c r="AB86" i="2"/>
  <c r="AA150" i="1" s="1"/>
  <c r="AC66" i="2"/>
  <c r="AB49" i="2"/>
  <c r="AA178" i="1" s="1"/>
  <c r="AD23" i="2"/>
  <c r="AE44" i="2"/>
  <c r="AC75" i="2"/>
  <c r="AC87" i="2"/>
  <c r="AF41" i="2"/>
  <c r="AC12" i="2"/>
  <c r="AD107" i="2"/>
  <c r="AC55" i="2"/>
  <c r="AE105" i="2"/>
  <c r="AF23" i="2"/>
  <c r="AF50" i="2"/>
  <c r="AE55" i="2"/>
  <c r="AB63" i="2"/>
  <c r="AA147" i="1" s="1"/>
  <c r="AB87" i="2"/>
  <c r="AA141" i="1" s="1"/>
  <c r="AC105" i="2"/>
  <c r="AE88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A152" i="1" s="1"/>
  <c r="AB75" i="2"/>
  <c r="AA174" i="1" s="1"/>
  <c r="AB83" i="2"/>
  <c r="AA179" i="1" s="1"/>
  <c r="AB91" i="2"/>
  <c r="AB99" i="2"/>
  <c r="AF10" i="2"/>
  <c r="AF45" i="2"/>
  <c r="AC6" i="2"/>
  <c r="AC30" i="2"/>
  <c r="AC57" i="2"/>
  <c r="AE70" i="2"/>
  <c r="AE82" i="2"/>
  <c r="AE35" i="2"/>
  <c r="AE83" i="2"/>
  <c r="AB106" i="2"/>
  <c r="AA92" i="1" s="1"/>
  <c r="AC90" i="2"/>
  <c r="AD62" i="2"/>
  <c r="AD86" i="2"/>
  <c r="AD58" i="2"/>
  <c r="AE110" i="2"/>
  <c r="AD71" i="2"/>
  <c r="AD87" i="2"/>
  <c r="AC68" i="2"/>
  <c r="AD77" i="2"/>
  <c r="AE11" i="2"/>
  <c r="AE28" i="2"/>
  <c r="AF32" i="2"/>
  <c r="AF51" i="2"/>
  <c r="AB107" i="2"/>
  <c r="AA93" i="1" s="1"/>
  <c r="AE76" i="2"/>
  <c r="AB43" i="2"/>
  <c r="AA134" i="1" s="1"/>
  <c r="AB78" i="2"/>
  <c r="AA175" i="1" s="1"/>
  <c r="AC106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B12" i="2"/>
  <c r="AA30" i="1" s="1"/>
  <c r="AB47" i="2"/>
  <c r="AA139" i="1" s="1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D67" i="2"/>
  <c r="AD83" i="2"/>
  <c r="AE54" i="2"/>
  <c r="AE23" i="2"/>
  <c r="AD73" i="2"/>
  <c r="AD89" i="2"/>
  <c r="AD109" i="2"/>
  <c r="AC70" i="2"/>
  <c r="AC94" i="2"/>
  <c r="AB90" i="2"/>
  <c r="AB110" i="2"/>
  <c r="AA82" i="1" s="1"/>
  <c r="AB5" i="2"/>
  <c r="AB13" i="2"/>
  <c r="AA39" i="1" s="1"/>
  <c r="AB21" i="2"/>
  <c r="AB29" i="2"/>
  <c r="AA62" i="1" s="1"/>
  <c r="AB40" i="2"/>
  <c r="AB48" i="2"/>
  <c r="AA140" i="1" s="1"/>
  <c r="AB56" i="2"/>
  <c r="AA142" i="1" s="1"/>
  <c r="AE12" i="2"/>
  <c r="AE24" i="2"/>
  <c r="AE36" i="2"/>
  <c r="AE51" i="2"/>
  <c r="AB10" i="2"/>
  <c r="AB26" i="2"/>
  <c r="AB45" i="2"/>
  <c r="AA137" i="1" s="1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A146" i="1" s="1"/>
  <c r="AD99" i="2"/>
  <c r="AE87" i="2"/>
  <c r="AE97" i="2"/>
  <c r="AE74" i="2"/>
  <c r="AC107" i="2"/>
  <c r="AF106" i="2"/>
  <c r="AE91" i="2"/>
  <c r="AF76" i="2"/>
  <c r="AB31" i="2"/>
  <c r="AB50" i="2"/>
  <c r="AA164" i="1" s="1"/>
  <c r="AB58" i="2"/>
  <c r="AC27" i="2"/>
  <c r="AC42" i="2"/>
  <c r="AD106" i="2"/>
  <c r="AE104" i="2"/>
  <c r="AE17" i="2"/>
  <c r="AC63" i="2"/>
  <c r="AC45" i="2"/>
  <c r="AE15" i="2"/>
  <c r="AE95" i="2"/>
  <c r="AB9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A160" i="1" s="1"/>
  <c r="AB85" i="2"/>
  <c r="AA185" i="1" s="1"/>
  <c r="AB93" i="2"/>
  <c r="AA187" i="1" s="1"/>
  <c r="AB105" i="2"/>
  <c r="AE96" i="2"/>
  <c r="AF18" i="2"/>
  <c r="AF53" i="2"/>
  <c r="AE13" i="2"/>
  <c r="AE40" i="2"/>
  <c r="AC61" i="2"/>
  <c r="AC73" i="2"/>
  <c r="AC85" i="2"/>
  <c r="AE106" i="2"/>
  <c r="AB32" i="2"/>
  <c r="AA60" i="1" s="1"/>
  <c r="AF64" i="2"/>
  <c r="AB68" i="2"/>
  <c r="AA151" i="1" s="1"/>
  <c r="AB84" i="2"/>
  <c r="AB104" i="2"/>
  <c r="AE61" i="2"/>
  <c r="AC88" i="2"/>
  <c r="AC36" i="2"/>
  <c r="AB74" i="2"/>
  <c r="AE73" i="2"/>
  <c r="AE62" i="2"/>
  <c r="AC74" i="2"/>
  <c r="AB7" i="2"/>
  <c r="AA24" i="1" s="1"/>
  <c r="AC15" i="2"/>
  <c r="AC54" i="2"/>
  <c r="AB14" i="2"/>
  <c r="AA35" i="1" s="1"/>
  <c r="AB30" i="2"/>
  <c r="AA54" i="1" s="1"/>
  <c r="AD70" i="2"/>
  <c r="AD93" i="2"/>
  <c r="AE77" i="2"/>
  <c r="AF15" i="2"/>
  <c r="AF31" i="2"/>
  <c r="AF58" i="2"/>
  <c r="AE16" i="2"/>
  <c r="AF16" i="2"/>
  <c r="AB95" i="2"/>
  <c r="AA186" i="1" s="1"/>
  <c r="AD59" i="2"/>
  <c r="AE6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86" i="2"/>
  <c r="AD35" i="2"/>
  <c r="AD65" i="2"/>
  <c r="AF70" i="2"/>
  <c r="AF86" i="2"/>
  <c r="AE67" i="2"/>
  <c r="AE42" i="2"/>
  <c r="AF92" i="2"/>
  <c r="AC8" i="2"/>
  <c r="AC98" i="2"/>
  <c r="AB15" i="2"/>
  <c r="AA38" i="1" s="1"/>
  <c r="AB23" i="2"/>
  <c r="AA50" i="1" s="1"/>
  <c r="AB42" i="2"/>
  <c r="AA133" i="1" s="1"/>
  <c r="AD78" i="2"/>
  <c r="AD94" i="2"/>
  <c r="AC92" i="2"/>
  <c r="AF7" i="2"/>
  <c r="AF42" i="2"/>
  <c r="AE43" i="2"/>
  <c r="AF26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E99" i="2"/>
  <c r="AD81" i="2"/>
  <c r="AC82" i="2"/>
  <c r="AD63" i="2"/>
  <c r="AC67" i="2"/>
  <c r="AC79" i="2"/>
  <c r="AB16" i="2"/>
  <c r="AB92" i="2"/>
  <c r="AC16" i="2"/>
  <c r="AC104" i="2"/>
  <c r="AB66" i="2"/>
  <c r="AB98" i="2"/>
  <c r="AE85" i="2"/>
  <c r="AB71" i="2"/>
  <c r="AA155" i="1" s="1"/>
  <c r="AC18" i="2"/>
  <c r="AB8" i="2"/>
  <c r="AB108" i="2"/>
  <c r="AA94" i="1" s="1"/>
  <c r="AC24" i="2"/>
  <c r="AB9" i="2"/>
  <c r="AB17" i="2"/>
  <c r="AA36" i="1" s="1"/>
  <c r="AB25" i="2"/>
  <c r="AA51" i="1" s="1"/>
  <c r="AB33" i="2"/>
  <c r="AA61" i="1" s="1"/>
  <c r="AB44" i="2"/>
  <c r="AB52" i="2"/>
  <c r="AA166" i="1" s="1"/>
  <c r="AE6" i="2"/>
  <c r="AE18" i="2"/>
  <c r="AE30" i="2"/>
  <c r="AE45" i="2"/>
  <c r="AE57" i="2"/>
  <c r="AB18" i="2"/>
  <c r="AA40" i="1" s="1"/>
  <c r="AB34" i="2"/>
  <c r="AB53" i="2"/>
  <c r="AD64" i="2"/>
  <c r="AD72" i="2"/>
  <c r="AD80" i="2"/>
  <c r="AD88" i="2"/>
  <c r="AD96" i="2"/>
  <c r="AD108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63" i="2"/>
  <c r="AD97" i="2"/>
  <c r="AC43" i="2"/>
  <c r="AC110" i="2"/>
  <c r="AF34" i="2"/>
  <c r="AE25" i="2"/>
  <c r="AE52" i="2"/>
  <c r="AC91" i="2"/>
  <c r="AB51" i="2"/>
  <c r="AA165" i="1" s="1"/>
  <c r="AC47" i="2"/>
  <c r="AB76" i="2"/>
  <c r="AA159" i="1" s="1"/>
  <c r="AC76" i="2"/>
  <c r="AB82" i="2"/>
  <c r="AE46" i="2"/>
  <c r="AB79" i="2"/>
  <c r="AA161" i="1" s="1"/>
  <c r="AB72" i="2"/>
  <c r="AA157" i="1" s="1"/>
  <c r="AB88" i="2"/>
  <c r="AE71" i="2"/>
  <c r="AE58" i="2"/>
  <c r="AC78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A158" i="1" s="1"/>
  <c r="AB81" i="2"/>
  <c r="AB89" i="2"/>
  <c r="AB97" i="2"/>
  <c r="AB109" i="2"/>
  <c r="AA198" i="1" l="1"/>
  <c r="AA143" i="1"/>
  <c r="AA149" i="1"/>
  <c r="AA195" i="1"/>
  <c r="AA194" i="1"/>
  <c r="AA267" i="1"/>
  <c r="AA163" i="1"/>
  <c r="AB113" i="2"/>
  <c r="AA89" i="1" s="1"/>
  <c r="AA169" i="1"/>
  <c r="AA48" i="1"/>
  <c r="AA209" i="1"/>
  <c r="AA268" i="1"/>
  <c r="AA25" i="1"/>
  <c r="AA246" i="1"/>
  <c r="AA188" i="1"/>
  <c r="AA135" i="1"/>
  <c r="AA176" i="1"/>
  <c r="AA153" i="1"/>
  <c r="AA41" i="1"/>
  <c r="AA197" i="1"/>
  <c r="AA144" i="1"/>
  <c r="AA183" i="1"/>
  <c r="AA124" i="1" s="1"/>
  <c r="AA31" i="1"/>
  <c r="AA113" i="1"/>
  <c r="AA259" i="1"/>
  <c r="AA261" i="1"/>
  <c r="AA263" i="1"/>
  <c r="AA52" i="1"/>
  <c r="AA42" i="1"/>
  <c r="AA171" i="1"/>
  <c r="W14" i="1"/>
  <c r="CU14" i="1"/>
  <c r="CU23" i="1" s="1"/>
  <c r="AB18" i="1"/>
  <c r="AB14" i="1"/>
  <c r="AB112" i="2"/>
  <c r="AA88" i="1" s="1"/>
  <c r="AB111" i="2"/>
  <c r="CP14" i="1"/>
  <c r="CP23" i="1" s="1"/>
  <c r="CT12" i="1"/>
  <c r="Y19" i="1"/>
  <c r="Y18" i="1"/>
  <c r="X14" i="1"/>
  <c r="Z14" i="1"/>
  <c r="Z19" i="1"/>
  <c r="X19" i="1"/>
  <c r="AA19" i="1"/>
  <c r="AB19" i="1"/>
  <c r="AA14" i="1"/>
  <c r="AC19" i="1"/>
  <c r="Y14" i="1"/>
  <c r="DA13" i="1"/>
  <c r="AD13" i="1"/>
  <c r="B1" i="9"/>
  <c r="AE111" i="2"/>
  <c r="AD113" i="2"/>
  <c r="A1" i="9"/>
  <c r="AD111" i="2"/>
  <c r="AC112" i="2"/>
  <c r="L1" i="9"/>
  <c r="AC111" i="2"/>
  <c r="AF112" i="2"/>
  <c r="AE112" i="2"/>
  <c r="AE113" i="2"/>
  <c r="AF111" i="2"/>
  <c r="AF113" i="2"/>
  <c r="AD112" i="2"/>
  <c r="AA190" i="1" l="1"/>
  <c r="AA196" i="1"/>
  <c r="AA43" i="1"/>
  <c r="AA32" i="1"/>
  <c r="AA200" i="1"/>
  <c r="AA199" i="1" s="1"/>
  <c r="AA172" i="1"/>
  <c r="AA180" i="1" s="1"/>
  <c r="AA181" i="1" s="1"/>
  <c r="AC12" i="1"/>
  <c r="CT14" i="1"/>
  <c r="CT23" i="1" s="1"/>
  <c r="CX12" i="1"/>
  <c r="AD19" i="1"/>
  <c r="DA14" i="1"/>
  <c r="DA23" i="1" s="1"/>
  <c r="AE13" i="1"/>
  <c r="AE19" i="1" s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K254" i="1"/>
  <c r="CK151" i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CH167" i="1"/>
  <c r="CJ254" i="1"/>
  <c r="Z254" i="1"/>
  <c r="AA49" i="1" l="1"/>
  <c r="AA44" i="1"/>
  <c r="AA127" i="1"/>
  <c r="AA247" i="1"/>
  <c r="AA248" i="1" s="1"/>
  <c r="AA201" i="1"/>
  <c r="AC14" i="1"/>
  <c r="AC18" i="1"/>
  <c r="CX14" i="1"/>
  <c r="CX23" i="1" s="1"/>
  <c r="DB12" i="1"/>
  <c r="AD12" i="1"/>
  <c r="CI254" i="1"/>
  <c r="CG151" i="1"/>
  <c r="CG254" i="1"/>
  <c r="CH254" i="1"/>
  <c r="AB28" i="1"/>
  <c r="AC28" i="1"/>
  <c r="AD28" i="1"/>
  <c r="AE28" i="1"/>
  <c r="AB29" i="1"/>
  <c r="AC29" i="1"/>
  <c r="AD29" i="1"/>
  <c r="AE29" i="1"/>
  <c r="AB39" i="1"/>
  <c r="AC39" i="1"/>
  <c r="AD39" i="1"/>
  <c r="AE39" i="1"/>
  <c r="AB40" i="1"/>
  <c r="AC40" i="1"/>
  <c r="AD40" i="1"/>
  <c r="AE40" i="1"/>
  <c r="AB62" i="1"/>
  <c r="AC62" i="1"/>
  <c r="AD62" i="1"/>
  <c r="AE62" i="1"/>
  <c r="AB174" i="1"/>
  <c r="AC174" i="1"/>
  <c r="AD174" i="1"/>
  <c r="AE174" i="1"/>
  <c r="AB188" i="1"/>
  <c r="AC188" i="1"/>
  <c r="AD188" i="1"/>
  <c r="AE188" i="1"/>
  <c r="CE151" i="1"/>
  <c r="CE254" i="1"/>
  <c r="CF254" i="1"/>
  <c r="AI212" i="1"/>
  <c r="AI217" i="1"/>
  <c r="AI221" i="1"/>
  <c r="AI224" i="1"/>
  <c r="AI254" i="1"/>
  <c r="Y254" i="1"/>
  <c r="AM151" i="1"/>
  <c r="AO151" i="1"/>
  <c r="AQ151" i="1"/>
  <c r="AS151" i="1"/>
  <c r="AU151" i="1"/>
  <c r="AW151" i="1"/>
  <c r="AY151" i="1"/>
  <c r="BA151" i="1"/>
  <c r="BC151" i="1"/>
  <c r="BE151" i="1"/>
  <c r="BG151" i="1"/>
  <c r="BI151" i="1"/>
  <c r="BK151" i="1"/>
  <c r="BM151" i="1"/>
  <c r="BO151" i="1"/>
  <c r="BQ151" i="1"/>
  <c r="BS151" i="1"/>
  <c r="BU151" i="1"/>
  <c r="BW151" i="1"/>
  <c r="BY151" i="1"/>
  <c r="CA151" i="1"/>
  <c r="CC151" i="1"/>
  <c r="CD254" i="1"/>
  <c r="CC254" i="1"/>
  <c r="AJ254" i="1"/>
  <c r="AK254" i="1"/>
  <c r="AL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70" i="1" l="1"/>
  <c r="AA53" i="1"/>
  <c r="AE12" i="1"/>
  <c r="DB14" i="1"/>
  <c r="DB23" i="1" s="1"/>
  <c r="AD14" i="1"/>
  <c r="AD18" i="1"/>
  <c r="Y1" i="1"/>
  <c r="Z1" i="1" s="1"/>
  <c r="AA55" i="1" l="1"/>
  <c r="AA56" i="1"/>
  <c r="AE14" i="1"/>
  <c r="AE18" i="1"/>
  <c r="AA1" i="1"/>
  <c r="AB1" i="1" s="1"/>
  <c r="AC1" i="1" s="1"/>
  <c r="AD1" i="1" s="1"/>
  <c r="AE1" i="1" s="1"/>
  <c r="AA57" i="1" l="1"/>
  <c r="AA260" i="1" s="1"/>
  <c r="AA249" i="1"/>
  <c r="AA63" i="1"/>
  <c r="A1" i="3"/>
  <c r="AA67" i="1" l="1"/>
  <c r="AA69" i="1"/>
  <c r="AA208" i="1"/>
  <c r="AA210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0" i="1" s="1"/>
  <c r="BL34" i="3"/>
  <c r="BE14" i="3"/>
  <c r="BM34" i="3"/>
  <c r="BL5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9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F16" i="3"/>
  <c r="CL35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D7" i="4" a="1"/>
  <c r="EX16" i="4" a="1"/>
  <c r="FF9" i="4" a="1"/>
  <c r="FF12" i="4" a="1"/>
  <c r="FD16" i="4" a="1"/>
  <c r="FC6" i="4" a="1"/>
  <c r="FE15" i="4" a="1"/>
  <c r="Y9" i="2"/>
  <c r="BB21" i="3"/>
  <c r="Z31" i="2"/>
  <c r="Y92" i="2"/>
  <c r="BB13" i="3"/>
  <c r="BB27" i="3"/>
  <c r="Y48" i="2"/>
  <c r="Z16" i="2"/>
  <c r="BB31" i="3"/>
  <c r="BD12" i="3"/>
  <c r="BA18" i="3"/>
  <c r="Y95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F14" i="4" a="1"/>
  <c r="AA48" i="2"/>
  <c r="Z11" i="2"/>
  <c r="Y91" i="2"/>
  <c r="Z80" i="2"/>
  <c r="Z86" i="2"/>
  <c r="BD10" i="3"/>
  <c r="BB5" i="3"/>
  <c r="AA56" i="2"/>
  <c r="Y55" i="2"/>
  <c r="Z45" i="2"/>
  <c r="Y30" i="2"/>
  <c r="BC26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G40" i="3"/>
  <c r="BF17" i="3"/>
  <c r="CL36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H35" i="3"/>
  <c r="BT45" i="3"/>
  <c r="BM25" i="3"/>
  <c r="BI41" i="3"/>
  <c r="BL18" i="3"/>
  <c r="BF35" i="3"/>
  <c r="CL61" i="1" s="1"/>
  <c r="BG11" i="3"/>
  <c r="BE28" i="3"/>
  <c r="BJ8" i="3"/>
  <c r="BF28" i="3"/>
  <c r="CL47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L11" i="3"/>
  <c r="BE7" i="3"/>
  <c r="BM11" i="3"/>
  <c r="BK16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7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Q8" i="3"/>
  <c r="BQ14" i="3"/>
  <c r="BQ20" i="3"/>
  <c r="BQ32" i="3"/>
  <c r="BR9" i="3"/>
  <c r="BS37" i="3"/>
  <c r="BT29" i="3"/>
  <c r="BP38" i="3"/>
  <c r="BK42" i="3"/>
  <c r="BQ26" i="3"/>
  <c r="BQ38" i="3"/>
  <c r="BQ46" i="3"/>
  <c r="BL22" i="3"/>
  <c r="BN41" i="3"/>
  <c r="BI24" i="3"/>
  <c r="BF10" i="3"/>
  <c r="CL28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I46" i="3"/>
  <c r="BP9" i="3"/>
  <c r="BP27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50" i="1" s="1"/>
  <c r="BG5" i="3"/>
  <c r="BG66" i="3" s="1"/>
  <c r="BK25" i="3"/>
  <c r="BF18" i="3"/>
  <c r="CL40" i="1" s="1"/>
  <c r="BP17" i="3"/>
  <c r="BP35" i="3"/>
  <c r="BI7" i="3"/>
  <c r="BG12" i="3"/>
  <c r="BE17" i="3"/>
  <c r="BM21" i="3"/>
  <c r="BK30" i="3"/>
  <c r="BN11" i="3"/>
  <c r="BJ31" i="3"/>
  <c r="BK11" i="3"/>
  <c r="BE32" i="3"/>
  <c r="BF42" i="3"/>
  <c r="CL66" i="1" s="1"/>
  <c r="BN10" i="3"/>
  <c r="BF30" i="3"/>
  <c r="BJ6" i="3"/>
  <c r="BF40" i="3"/>
  <c r="BJ30" i="3"/>
  <c r="BT30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54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39" i="1" s="1"/>
  <c r="BH34" i="3"/>
  <c r="BM14" i="3"/>
  <c r="BG35" i="3"/>
  <c r="BH15" i="3"/>
  <c r="BF14" i="3"/>
  <c r="CL38" i="1" s="1"/>
  <c r="BH33" i="3"/>
  <c r="BH19" i="3"/>
  <c r="BL17" i="3"/>
  <c r="BP6" i="3"/>
  <c r="BP8" i="3"/>
  <c r="BG32" i="3"/>
  <c r="BL8" i="3"/>
  <c r="BF25" i="3"/>
  <c r="CL51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F24" i="3"/>
  <c r="BT9" i="3"/>
  <c r="BP14" i="3"/>
  <c r="BI33" i="3"/>
  <c r="BN9" i="3"/>
  <c r="BH26" i="3"/>
  <c r="BF45" i="3"/>
  <c r="CL78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U10" i="3"/>
  <c r="BU16" i="3"/>
  <c r="BE12" i="3"/>
  <c r="BO31" i="3"/>
  <c r="BE9" i="3"/>
  <c r="BI18" i="3"/>
  <c r="BN36" i="3"/>
  <c r="BH22" i="3"/>
  <c r="BN22" i="3"/>
  <c r="Z48" i="2"/>
  <c r="AA47" i="2"/>
  <c r="BB37" i="3"/>
  <c r="AA50" i="2"/>
  <c r="BA36" i="3"/>
  <c r="AA104" i="2"/>
  <c r="Y84" i="2"/>
  <c r="BC9" i="3"/>
  <c r="BA21" i="3"/>
  <c r="Z52" i="2"/>
  <c r="Y40" i="2"/>
  <c r="BD34" i="3"/>
  <c r="FA8" i="4" a="1"/>
  <c r="FC8" i="4" a="1"/>
  <c r="EZ16" i="4" a="1"/>
  <c r="FB11" i="4" a="1"/>
  <c r="FB15" i="4" a="1"/>
  <c r="BC36" i="3"/>
  <c r="BA30" i="3"/>
  <c r="BB29" i="3"/>
  <c r="EX5" i="4" a="1"/>
  <c r="FE6" i="4" a="1"/>
  <c r="EY8" i="4" a="1"/>
  <c r="FF7" i="4" a="1"/>
  <c r="BD32" i="3"/>
  <c r="Y98" i="2"/>
  <c r="C5" i="2"/>
  <c r="AA25" i="2"/>
  <c r="BD40" i="3"/>
  <c r="BB40" i="3"/>
  <c r="EZ12" i="4" a="1"/>
  <c r="FA15" i="4" a="1"/>
  <c r="FE9" i="4" a="1"/>
  <c r="EY9" i="4" a="1"/>
  <c r="FA14" i="4" a="1"/>
  <c r="EZ8" i="4" a="1"/>
  <c r="EZ7" i="4" a="1"/>
  <c r="FC13" i="4" a="1"/>
  <c r="FE16" i="4" a="1"/>
  <c r="BB36" i="3"/>
  <c r="BA14" i="3"/>
  <c r="Y86" i="2"/>
  <c r="BJ11" i="3"/>
  <c r="BC11" i="3"/>
  <c r="AA91" i="2"/>
  <c r="FF8" i="4" a="1"/>
  <c r="BE10" i="3"/>
  <c r="Z96" i="2"/>
  <c r="AA59" i="2"/>
  <c r="FB14" i="4" a="1"/>
  <c r="FB6" i="4" a="1"/>
  <c r="EZ9" i="4" a="1"/>
  <c r="BU22" i="3"/>
  <c r="BM32" i="3"/>
  <c r="BS39" i="3"/>
  <c r="BM13" i="3"/>
  <c r="BE30" i="3"/>
  <c r="BH11" i="3"/>
  <c r="BJ27" i="3"/>
  <c r="BH45" i="3"/>
  <c r="AA53" i="2"/>
  <c r="BD42" i="3"/>
  <c r="AA62" i="2"/>
  <c r="AA11" i="2"/>
  <c r="BB14" i="3"/>
  <c r="Y47" i="2"/>
  <c r="AA32" i="2"/>
  <c r="BA10" i="3"/>
  <c r="Z97" i="2"/>
  <c r="EY14" i="4" a="1"/>
  <c r="Z47" i="2"/>
  <c r="BA40" i="3"/>
  <c r="AA60" i="2"/>
  <c r="Y93" i="2"/>
  <c r="BC6" i="3"/>
  <c r="BC24" i="3"/>
  <c r="FA11" i="4" a="1"/>
  <c r="Z68" i="2"/>
  <c r="Z41" i="2"/>
  <c r="FF13" i="4" a="1"/>
  <c r="EX7" i="4" a="1"/>
  <c r="BF32" i="3"/>
  <c r="Z75" i="2"/>
  <c r="BU28" i="3"/>
  <c r="BF46" i="3"/>
  <c r="CL79" i="1" s="1"/>
  <c r="BT39" i="3"/>
  <c r="BK18" i="3"/>
  <c r="BM38" i="3"/>
  <c r="BT13" i="3"/>
  <c r="BJ37" i="3"/>
  <c r="BN40" i="3"/>
  <c r="AA72" i="2"/>
  <c r="BU34" i="3"/>
  <c r="BR17" i="3"/>
  <c r="BM27" i="3"/>
  <c r="BI21" i="3"/>
  <c r="BF34" i="3"/>
  <c r="CL60" i="1" s="1"/>
  <c r="BT18" i="3"/>
  <c r="BF39" i="3"/>
  <c r="BK45" i="3"/>
  <c r="AA14" i="2"/>
  <c r="BC37" i="3"/>
  <c r="Z20" i="2"/>
  <c r="Z70" i="2"/>
  <c r="BC42" i="3"/>
  <c r="Y11" i="2"/>
  <c r="AA52" i="2"/>
  <c r="AA31" i="2"/>
  <c r="Y70" i="2"/>
  <c r="Y107" i="2"/>
  <c r="Z93" i="2"/>
  <c r="AA57" i="2"/>
  <c r="FF16" i="4" a="1"/>
  <c r="FF11" i="4" a="1"/>
  <c r="FE14" i="4" a="1"/>
  <c r="FE7" i="4" a="1"/>
  <c r="FE13" i="4" a="1"/>
  <c r="Z24" i="2"/>
  <c r="Z8" i="2"/>
  <c r="Z43" i="2"/>
  <c r="EX11" i="4" a="1"/>
  <c r="FB12" i="4" a="1"/>
  <c r="FA13" i="4" a="1"/>
  <c r="FB16" i="4" a="1"/>
  <c r="BH9" i="3"/>
  <c r="Y68" i="2"/>
  <c r="Z94" i="2"/>
  <c r="AA82" i="2"/>
  <c r="Z83" i="2"/>
  <c r="AA43" i="2"/>
  <c r="Z63" i="2"/>
  <c r="Y97" i="2"/>
  <c r="EY7" i="4" a="1"/>
  <c r="FF6" i="4" a="1"/>
  <c r="Z7" i="2"/>
  <c r="AA108" i="2"/>
  <c r="BA38" i="3"/>
  <c r="FC7" i="4" a="1"/>
  <c r="EZ5" i="4" a="1"/>
  <c r="BN37" i="3"/>
  <c r="Y24" i="2"/>
  <c r="FA16" i="4" a="1"/>
  <c r="BO25" i="3"/>
  <c r="AA24" i="2"/>
  <c r="Z18" i="2"/>
  <c r="BB35" i="3"/>
  <c r="FB8" i="4" a="1"/>
  <c r="BU40" i="3"/>
  <c r="BR23" i="3"/>
  <c r="BJ9" i="3"/>
  <c r="BI23" i="3"/>
  <c r="BL29" i="3"/>
  <c r="BP20" i="3"/>
  <c r="BK5" i="3"/>
  <c r="AA68" i="2"/>
  <c r="AY29" i="3"/>
  <c r="Z40" i="2"/>
  <c r="Z91" i="2"/>
  <c r="BA27" i="3"/>
  <c r="Z46" i="2"/>
  <c r="AA34" i="2"/>
  <c r="Y7" i="2"/>
  <c r="AA15" i="2"/>
  <c r="FA12" i="4" a="1"/>
  <c r="BE29" i="3"/>
  <c r="BI14" i="3"/>
  <c r="BA31" i="3"/>
  <c r="Y42" i="2"/>
  <c r="Y15" i="2"/>
  <c r="BD45" i="3"/>
  <c r="BA25" i="3"/>
  <c r="FD8" i="4" a="1"/>
  <c r="EX14" i="4" a="1"/>
  <c r="EY6" i="4" a="1"/>
  <c r="BC5" i="3"/>
  <c r="BD14" i="3"/>
  <c r="AA95" i="2"/>
  <c r="BC46" i="3"/>
  <c r="Z109" i="2"/>
  <c r="AA96" i="2"/>
  <c r="BP21" i="3"/>
  <c r="BC19" i="3"/>
  <c r="BD7" i="3"/>
  <c r="BB6" i="3"/>
  <c r="BB28" i="3"/>
  <c r="FE5" i="4" a="1"/>
  <c r="BP7" i="3"/>
  <c r="BL20" i="3"/>
  <c r="AA93" i="2"/>
  <c r="BC14" i="3"/>
  <c r="Y77" i="2"/>
  <c r="BV5" i="3"/>
  <c r="BR29" i="3"/>
  <c r="BF33" i="3"/>
  <c r="BK28" i="3"/>
  <c r="Z78" i="2"/>
  <c r="BV11" i="3"/>
  <c r="BR35" i="3"/>
  <c r="BI12" i="3"/>
  <c r="BM39" i="3"/>
  <c r="BH17" i="3"/>
  <c r="BG30" i="3"/>
  <c r="BK15" i="3"/>
  <c r="AA40" i="2"/>
  <c r="Z108" i="2"/>
  <c r="BB32" i="3"/>
  <c r="Y19" i="2"/>
  <c r="Y61" i="2"/>
  <c r="AA88" i="2"/>
  <c r="AA64" i="2"/>
  <c r="BD28" i="3"/>
  <c r="Z84" i="2"/>
  <c r="FB7" i="4" a="1"/>
  <c r="EY16" i="4" a="1"/>
  <c r="BA9" i="3"/>
  <c r="BG37" i="3"/>
  <c r="Z55" i="2"/>
  <c r="AA22" i="2"/>
  <c r="Y69" i="2"/>
  <c r="Y29" i="2"/>
  <c r="FD15" i="4" a="1"/>
  <c r="BH30" i="3"/>
  <c r="BB12" i="3"/>
  <c r="Y52" i="2"/>
  <c r="BS42" i="3"/>
  <c r="BR41" i="3"/>
  <c r="BI32" i="3"/>
  <c r="BH10" i="3"/>
  <c r="BJ28" i="3"/>
  <c r="BK34" i="3"/>
  <c r="BG21" i="3"/>
  <c r="Y14" i="2"/>
  <c r="AA44" i="2"/>
  <c r="BC25" i="3"/>
  <c r="Z14" i="2"/>
  <c r="Z15" i="2"/>
  <c r="Y16" i="2"/>
  <c r="AA84" i="2"/>
  <c r="BC31" i="3"/>
  <c r="Z87" i="2"/>
  <c r="BD31" i="3"/>
  <c r="EZ11" i="4" a="1"/>
  <c r="EX15" i="4" a="1"/>
  <c r="AA36" i="2"/>
  <c r="AA69" i="2"/>
  <c r="FD6" i="4" a="1"/>
  <c r="BO19" i="3"/>
  <c r="EX12" i="4" a="1"/>
  <c r="BL33" i="3"/>
  <c r="BJ16" i="3"/>
  <c r="BA22" i="3"/>
  <c r="FC12" i="4" a="1"/>
  <c r="BT14" i="3"/>
  <c r="BO7" i="3"/>
  <c r="BN46" i="3"/>
  <c r="BH18" i="3"/>
  <c r="BJ36" i="3"/>
  <c r="BM45" i="3"/>
  <c r="BI30" i="3"/>
  <c r="AA55" i="2"/>
  <c r="BM31" i="3"/>
  <c r="BO13" i="3"/>
  <c r="BT20" i="3"/>
  <c r="BN29" i="3"/>
  <c r="BH62" i="3"/>
  <c r="BJ5" i="3"/>
  <c r="BK31" i="3"/>
  <c r="Y94" i="2"/>
  <c r="AA78" i="2"/>
  <c r="BD39" i="3"/>
  <c r="Z5" i="2"/>
  <c r="BC13" i="3"/>
  <c r="AA20" i="2"/>
  <c r="AA13" i="2"/>
  <c r="AV10" i="3"/>
  <c r="BC33" i="3"/>
  <c r="Z28" i="2"/>
  <c r="BD5" i="3"/>
  <c r="Z17" i="2"/>
  <c r="FD14" i="4" a="1"/>
  <c r="FA5" i="4" a="1"/>
  <c r="FE8" i="4" a="1"/>
  <c r="FA9" i="4" a="1"/>
  <c r="EZ13" i="4" a="1"/>
  <c r="BL10" i="3"/>
  <c r="BH59" i="3" l="1"/>
  <c r="BP92" i="3"/>
  <c r="BP57" i="3"/>
  <c r="CL24" i="1"/>
  <c r="CL23" i="1"/>
  <c r="CL15" i="1" s="1"/>
  <c r="CL62" i="1"/>
  <c r="CL80" i="1"/>
  <c r="CL246" i="1"/>
  <c r="CL25" i="1"/>
  <c r="CL268" i="1"/>
  <c r="CL209" i="1"/>
  <c r="CL267" i="1"/>
  <c r="CL41" i="1"/>
  <c r="CL42" i="1" s="1"/>
  <c r="CK54" i="1"/>
  <c r="CK28" i="1"/>
  <c r="CK29" i="1"/>
  <c r="CK50" i="1"/>
  <c r="CK40" i="1"/>
  <c r="CJ23" i="1"/>
  <c r="CJ7" i="1" s="1"/>
  <c r="CK61" i="1"/>
  <c r="CK78" i="1"/>
  <c r="CK36" i="1"/>
  <c r="CK62" i="1"/>
  <c r="CK37" i="1"/>
  <c r="CK47" i="1"/>
  <c r="CK23" i="1"/>
  <c r="CK30" i="1"/>
  <c r="CK51" i="1"/>
  <c r="CK39" i="1"/>
  <c r="CK79" i="1"/>
  <c r="CK66" i="1"/>
  <c r="CK35" i="1"/>
  <c r="CK24" i="1"/>
  <c r="CK38" i="1"/>
  <c r="CK60" i="1"/>
  <c r="CK25" i="1"/>
  <c r="CL27" i="1" s="1"/>
  <c r="Z62" i="1"/>
  <c r="CH60" i="1"/>
  <c r="CH30" i="1"/>
  <c r="X141" i="1"/>
  <c r="X169" i="1" s="1"/>
  <c r="Z137" i="1"/>
  <c r="CH137" i="1" s="1"/>
  <c r="CI137" i="1" s="1"/>
  <c r="Z38" i="1"/>
  <c r="Z170" i="1"/>
  <c r="CH170" i="1" s="1"/>
  <c r="CH54" i="1"/>
  <c r="CJ60" i="1"/>
  <c r="CJ24" i="1"/>
  <c r="X82" i="1"/>
  <c r="Y133" i="1"/>
  <c r="X62" i="1"/>
  <c r="Y36" i="1"/>
  <c r="X147" i="1"/>
  <c r="X132" i="1"/>
  <c r="Y132" i="1"/>
  <c r="Y24" i="1"/>
  <c r="Z186" i="1"/>
  <c r="Z93" i="1"/>
  <c r="Y165" i="1"/>
  <c r="Y147" i="1"/>
  <c r="X168" i="1"/>
  <c r="Y134" i="1"/>
  <c r="Y187" i="1"/>
  <c r="CI61" i="1"/>
  <c r="Y175" i="1"/>
  <c r="Z174" i="1"/>
  <c r="CH174" i="1" s="1"/>
  <c r="X40" i="1"/>
  <c r="CH47" i="1"/>
  <c r="CH209" i="1" s="1"/>
  <c r="CJ38" i="1"/>
  <c r="CI62" i="1"/>
  <c r="CJ39" i="1"/>
  <c r="CH50" i="1"/>
  <c r="CG51" i="1"/>
  <c r="X161" i="1"/>
  <c r="Y142" i="1"/>
  <c r="X93" i="1"/>
  <c r="Z51" i="1"/>
  <c r="Z179" i="1"/>
  <c r="CH179" i="1" s="1"/>
  <c r="CI179" i="1" s="1"/>
  <c r="X186" i="1"/>
  <c r="Y61" i="1"/>
  <c r="Z178" i="1"/>
  <c r="CH178" i="1" s="1"/>
  <c r="CI178" i="1" s="1"/>
  <c r="Y166" i="1"/>
  <c r="X166" i="1"/>
  <c r="X47" i="1"/>
  <c r="X209" i="1" s="1"/>
  <c r="Z152" i="1"/>
  <c r="CH152" i="1" s="1"/>
  <c r="CI152" i="1" s="1"/>
  <c r="CH28" i="1"/>
  <c r="CG40" i="1"/>
  <c r="CJ36" i="1"/>
  <c r="Y47" i="1"/>
  <c r="Y209" i="1" s="1"/>
  <c r="Y155" i="1"/>
  <c r="Z134" i="1"/>
  <c r="CH134" i="1" s="1"/>
  <c r="CJ29" i="1"/>
  <c r="CG60" i="1"/>
  <c r="CG50" i="1"/>
  <c r="CI23" i="1"/>
  <c r="CL113" i="1" s="1"/>
  <c r="CL114" i="1" s="1"/>
  <c r="CG28" i="1"/>
  <c r="CG37" i="1"/>
  <c r="CH61" i="1"/>
  <c r="CH23" i="1"/>
  <c r="CH7" i="1" s="1"/>
  <c r="CH66" i="1"/>
  <c r="CG30" i="1"/>
  <c r="CJ51" i="1"/>
  <c r="CI60" i="1"/>
  <c r="CJ35" i="1"/>
  <c r="CN35" i="1" s="1"/>
  <c r="CR35" i="1" s="1"/>
  <c r="CV35" i="1" s="1"/>
  <c r="CZ35" i="1" s="1"/>
  <c r="X150" i="1"/>
  <c r="X146" i="1" s="1"/>
  <c r="Y141" i="1"/>
  <c r="Y169" i="1" s="1"/>
  <c r="Z50" i="1"/>
  <c r="Y60" i="1"/>
  <c r="X152" i="1"/>
  <c r="Y179" i="1"/>
  <c r="X24" i="1"/>
  <c r="X187" i="1"/>
  <c r="Z47" i="1"/>
  <c r="Z209" i="1" s="1"/>
  <c r="X142" i="1"/>
  <c r="X140" i="1"/>
  <c r="CI50" i="1"/>
  <c r="CH29" i="1"/>
  <c r="CI37" i="1"/>
  <c r="CH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G38" i="1"/>
  <c r="CJ47" i="1"/>
  <c r="CG29" i="1"/>
  <c r="Z61" i="1"/>
  <c r="Z166" i="1"/>
  <c r="CH166" i="1" s="1"/>
  <c r="X54" i="1"/>
  <c r="Z60" i="1"/>
  <c r="X160" i="1"/>
  <c r="Y137" i="1"/>
  <c r="X170" i="1"/>
  <c r="Z39" i="1"/>
  <c r="X137" i="1"/>
  <c r="Z148" i="1"/>
  <c r="CH148" i="1" s="1"/>
  <c r="CI148" i="1" s="1"/>
  <c r="Z155" i="1"/>
  <c r="AA217" i="1" s="1"/>
  <c r="Z30" i="1"/>
  <c r="X28" i="1"/>
  <c r="Y92" i="1"/>
  <c r="Y185" i="1"/>
  <c r="Z185" i="1"/>
  <c r="X139" i="1"/>
  <c r="Y66" i="1"/>
  <c r="Y40" i="1"/>
  <c r="Y174" i="1"/>
  <c r="Z133" i="1"/>
  <c r="CH133" i="1" s="1"/>
  <c r="CI133" i="1" s="1"/>
  <c r="Y50" i="1"/>
  <c r="Y170" i="1"/>
  <c r="Z94" i="1"/>
  <c r="Z158" i="1"/>
  <c r="CH158" i="1" s="1"/>
  <c r="Z142" i="1"/>
  <c r="CH142" i="1" s="1"/>
  <c r="CI142" i="1" s="1"/>
  <c r="Y158" i="1"/>
  <c r="Y23" i="1"/>
  <c r="CG61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CH40" i="1"/>
  <c r="CH37" i="1"/>
  <c r="CJ61" i="1"/>
  <c r="CG47" i="1"/>
  <c r="CI66" i="1"/>
  <c r="CI54" i="1"/>
  <c r="CG66" i="1"/>
  <c r="CH38" i="1"/>
  <c r="CI38" i="1"/>
  <c r="CJ30" i="1"/>
  <c r="CJ28" i="1"/>
  <c r="CG23" i="1"/>
  <c r="CI36" i="1"/>
  <c r="CH35" i="1"/>
  <c r="CP35" i="1" s="1"/>
  <c r="CT35" i="1" s="1"/>
  <c r="CX35" i="1" s="1"/>
  <c r="DB35" i="1" s="1"/>
  <c r="CI47" i="1"/>
  <c r="CI209" i="1" s="1"/>
  <c r="CG39" i="1"/>
  <c r="X175" i="1"/>
  <c r="Y151" i="1"/>
  <c r="Y38" i="1"/>
  <c r="Z132" i="1"/>
  <c r="X51" i="1"/>
  <c r="Y150" i="1"/>
  <c r="Y146" i="1" s="1"/>
  <c r="Y62" i="1"/>
  <c r="Y30" i="1"/>
  <c r="X155" i="1"/>
  <c r="Y37" i="1"/>
  <c r="X38" i="1"/>
  <c r="X164" i="1"/>
  <c r="X92" i="1"/>
  <c r="Y162" i="1"/>
  <c r="Y186" i="1"/>
  <c r="Z159" i="1"/>
  <c r="Z147" i="1"/>
  <c r="CH147" i="1" s="1"/>
  <c r="Y161" i="1"/>
  <c r="Z28" i="1"/>
  <c r="Z23" i="1"/>
  <c r="Y160" i="1"/>
  <c r="Z66" i="1"/>
  <c r="Z164" i="1"/>
  <c r="CH164" i="1" s="1"/>
  <c r="Z150" i="1"/>
  <c r="Y28" i="1"/>
  <c r="Y178" i="1"/>
  <c r="X61" i="1"/>
  <c r="X162" i="1"/>
  <c r="Z161" i="1"/>
  <c r="CH161" i="1" s="1"/>
  <c r="Z54" i="1"/>
  <c r="Y35" i="1"/>
  <c r="X178" i="1"/>
  <c r="Z140" i="1"/>
  <c r="CH140" i="1" s="1"/>
  <c r="CI140" i="1" s="1"/>
  <c r="X94" i="1"/>
  <c r="X37" i="1"/>
  <c r="X133" i="1"/>
  <c r="Y82" i="1"/>
  <c r="Z92" i="1"/>
  <c r="X36" i="1"/>
  <c r="X134" i="1"/>
  <c r="Y93" i="1"/>
  <c r="Z141" i="1"/>
  <c r="CH141" i="1" s="1"/>
  <c r="CI141" i="1" s="1"/>
  <c r="Y51" i="1"/>
  <c r="Y139" i="1"/>
  <c r="X23" i="1"/>
  <c r="X246" i="1" s="1"/>
  <c r="CI39" i="1"/>
  <c r="CJ54" i="1"/>
  <c r="CH39" i="1"/>
  <c r="CI29" i="1"/>
  <c r="CJ50" i="1"/>
  <c r="CI30" i="1"/>
  <c r="CI28" i="1"/>
  <c r="CG54" i="1"/>
  <c r="CG35" i="1"/>
  <c r="CH51" i="1"/>
  <c r="CI51" i="1"/>
  <c r="CI35" i="1"/>
  <c r="CM35" i="1" s="1"/>
  <c r="CQ35" i="1" s="1"/>
  <c r="CU35" i="1" s="1"/>
  <c r="CY35" i="1" s="1"/>
  <c r="CJ37" i="1"/>
  <c r="CJ40" i="1"/>
  <c r="CH36" i="1"/>
  <c r="CE54" i="1"/>
  <c r="CG62" i="1"/>
  <c r="CJ62" i="1"/>
  <c r="CG24" i="1"/>
  <c r="CG36" i="1"/>
  <c r="CI40" i="1"/>
  <c r="CJ66" i="1"/>
  <c r="CH24" i="1"/>
  <c r="CI24" i="1"/>
  <c r="Y157" i="1"/>
  <c r="X66" i="1"/>
  <c r="Z139" i="1"/>
  <c r="CH139" i="1" s="1"/>
  <c r="CI139" i="1" s="1"/>
  <c r="Y148" i="1"/>
  <c r="Y39" i="1"/>
  <c r="X60" i="1"/>
  <c r="Z187" i="1"/>
  <c r="X30" i="1"/>
  <c r="Y164" i="1"/>
  <c r="Z175" i="1"/>
  <c r="CH175" i="1" s="1"/>
  <c r="X157" i="1"/>
  <c r="Y168" i="1"/>
  <c r="Y54" i="1"/>
  <c r="Z24" i="1"/>
  <c r="Z165" i="1"/>
  <c r="CH165" i="1" s="1"/>
  <c r="Y94" i="1"/>
  <c r="X50" i="1"/>
  <c r="X151" i="1"/>
  <c r="Z151" i="1"/>
  <c r="CH151" i="1" s="1"/>
  <c r="CI151" i="1" s="1"/>
  <c r="Z162" i="1"/>
  <c r="CH162" i="1" s="1"/>
  <c r="X148" i="1"/>
  <c r="Z35" i="1"/>
  <c r="Z160" i="1"/>
  <c r="CH160" i="1" s="1"/>
  <c r="Z157" i="1"/>
  <c r="CH157" i="1" s="1"/>
  <c r="X174" i="1"/>
  <c r="X165" i="1"/>
  <c r="Y140" i="1"/>
  <c r="Z36" i="1"/>
  <c r="Z37" i="1"/>
  <c r="Z82" i="1"/>
  <c r="Z40" i="1"/>
  <c r="X159" i="1"/>
  <c r="Y152" i="1"/>
  <c r="Y159" i="1"/>
  <c r="X179" i="1"/>
  <c r="X39" i="1"/>
  <c r="X35" i="1"/>
  <c r="Z168" i="1"/>
  <c r="CH168" i="1" s="1"/>
  <c r="X158" i="1"/>
  <c r="X185" i="1"/>
  <c r="JP9" i="4" s="1"/>
  <c r="JP16" i="4" s="1"/>
  <c r="JO16" i="4" s="1"/>
  <c r="JO9" i="4" s="1"/>
  <c r="JN9" i="4" s="1"/>
  <c r="JN16" i="4" s="1"/>
  <c r="BV48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0" i="1" s="1"/>
  <c r="BB92" i="3"/>
  <c r="BB85" i="3"/>
  <c r="BB89" i="3"/>
  <c r="BG93" i="3"/>
  <c r="BH76" i="3"/>
  <c r="BF90" i="3"/>
  <c r="CL141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0" i="1" s="1"/>
  <c r="BF85" i="3"/>
  <c r="CL162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H61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7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4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BK84" i="3"/>
  <c r="BK70" i="3"/>
  <c r="BF87" i="3"/>
  <c r="CL167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P67" i="3"/>
  <c r="BF79" i="3"/>
  <c r="CL158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9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33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7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50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BP87" i="3"/>
  <c r="BT49" i="3"/>
  <c r="BP50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9" i="1" s="1"/>
  <c r="Y111" i="2"/>
  <c r="BO83" i="3"/>
  <c r="BS81" i="3"/>
  <c r="BG48" i="3"/>
  <c r="BL73" i="3"/>
  <c r="BE69" i="3"/>
  <c r="BI87" i="3"/>
  <c r="BM63" i="3"/>
  <c r="BF56" i="3"/>
  <c r="CL132" i="1" s="1"/>
  <c r="BJ72" i="3"/>
  <c r="BP60" i="3"/>
  <c r="BA48" i="3"/>
  <c r="BQ61" i="3"/>
  <c r="BC49" i="3"/>
  <c r="BP78" i="3"/>
  <c r="BE74" i="3"/>
  <c r="BF83" i="3"/>
  <c r="CL175" i="1" s="1"/>
  <c r="BB94" i="3"/>
  <c r="BH64" i="3"/>
  <c r="BD55" i="3"/>
  <c r="BI86" i="3"/>
  <c r="BA74" i="3"/>
  <c r="BH95" i="3"/>
  <c r="BL83" i="3"/>
  <c r="BL48" i="3"/>
  <c r="BE68" i="3"/>
  <c r="BI66" i="3"/>
  <c r="BQ89" i="3"/>
  <c r="BQ75" i="3"/>
  <c r="BR63" i="3"/>
  <c r="BT92" i="3"/>
  <c r="BO75" i="3"/>
  <c r="BO82" i="3"/>
  <c r="BS78" i="3"/>
  <c r="BU56" i="3"/>
  <c r="BU91" i="3"/>
  <c r="BR64" i="3"/>
  <c r="BR90" i="3"/>
  <c r="BV90" i="3"/>
  <c r="BV55" i="3"/>
  <c r="BT57" i="3"/>
  <c r="BT89" i="3"/>
  <c r="BN61" i="3"/>
  <c r="BN72" i="3"/>
  <c r="BF67" i="3"/>
  <c r="BO85" i="3"/>
  <c r="BS87" i="3"/>
  <c r="BH97" i="3"/>
  <c r="BE73" i="3"/>
  <c r="BM75" i="3"/>
  <c r="BF50" i="3"/>
  <c r="CL89" i="1" s="1"/>
  <c r="BJ95" i="3"/>
  <c r="BJ67" i="3"/>
  <c r="BK55" i="3"/>
  <c r="BK86" i="3"/>
  <c r="BK93" i="3"/>
  <c r="FJ7" i="4" a="1"/>
  <c r="FG6" i="4" a="1"/>
  <c r="HE8" i="4" a="1"/>
  <c r="HA9" i="4" a="1"/>
  <c r="GC7" i="4" a="1"/>
  <c r="HB9" i="4" a="1"/>
  <c r="GO7" i="4" a="1"/>
  <c r="GI6" i="4" a="1"/>
  <c r="FJ9" i="4" a="1"/>
  <c r="GS14" i="4" a="1"/>
  <c r="FI8" i="4" a="1"/>
  <c r="GF8" i="4" a="1"/>
  <c r="HB13" i="4" a="1"/>
  <c r="HC7" i="4" a="1"/>
  <c r="GG7" i="4" a="1"/>
  <c r="FV13" i="4" a="1"/>
  <c r="FU6" i="4" a="1"/>
  <c r="GN5" i="4" a="1"/>
  <c r="GO6" i="4" a="1"/>
  <c r="FG11" i="4" a="1"/>
  <c r="FJ12" i="4" a="1"/>
  <c r="FL13" i="4" a="1"/>
  <c r="GT7" i="4" a="1"/>
  <c r="FM12" i="4" a="1"/>
  <c r="FW13" i="4" a="1"/>
  <c r="FY14" i="4" a="1"/>
  <c r="FQ9" i="4" a="1"/>
  <c r="FO14" i="4" a="1"/>
  <c r="GN15" i="4" a="1"/>
  <c r="FR16" i="4" a="1"/>
  <c r="GT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BH78" i="3"/>
  <c r="BB55" i="3"/>
  <c r="BC57" i="3"/>
  <c r="BL64" i="3"/>
  <c r="BO89" i="3"/>
  <c r="BS91" i="3"/>
  <c r="BU81" i="3"/>
  <c r="BR67" i="3"/>
  <c r="BT68" i="3"/>
  <c r="BT78" i="3"/>
  <c r="BN77" i="3"/>
  <c r="BF55" i="3"/>
  <c r="BL50" i="3"/>
  <c r="GJ12" i="4" a="1"/>
  <c r="FY6" i="4" a="1"/>
  <c r="HF9" i="4" a="1"/>
  <c r="GZ15" i="4" a="1"/>
  <c r="FV8" i="4" a="1"/>
  <c r="FY11" i="4" a="1"/>
  <c r="GO15" i="4" a="1"/>
  <c r="BU77" i="3"/>
  <c r="BN56" i="3"/>
  <c r="BP95" i="3"/>
  <c r="BS62" i="3"/>
  <c r="BE54" i="3"/>
  <c r="FW7" i="4" a="1"/>
  <c r="FM6" i="4" a="1"/>
  <c r="GA8" i="4" a="1"/>
  <c r="GN11" i="4" a="1"/>
  <c r="HA12" i="4" a="1"/>
  <c r="FO6" i="4" a="1"/>
  <c r="BG79" i="3"/>
  <c r="BA90" i="3"/>
  <c r="BQ58" i="3"/>
  <c r="BC71" i="3"/>
  <c r="BP89" i="3"/>
  <c r="BE62" i="3"/>
  <c r="BB84" i="3"/>
  <c r="BB90" i="3"/>
  <c r="BH68" i="3"/>
  <c r="BD93" i="3"/>
  <c r="BI74" i="3"/>
  <c r="BA57" i="3"/>
  <c r="BH73" i="3"/>
  <c r="BL55" i="3"/>
  <c r="BL75" i="3"/>
  <c r="BE57" i="3"/>
  <c r="BI76" i="3"/>
  <c r="BQ86" i="3"/>
  <c r="BQ87" i="3"/>
  <c r="BR54" i="3"/>
  <c r="BT75" i="3"/>
  <c r="BO80" i="3"/>
  <c r="BO92" i="3"/>
  <c r="BS47" i="3"/>
  <c r="BU59" i="3"/>
  <c r="BU93" i="3"/>
  <c r="BR74" i="3"/>
  <c r="BR97" i="3"/>
  <c r="BV88" i="3"/>
  <c r="BV69" i="3"/>
  <c r="BT47" i="3"/>
  <c r="BT95" i="3"/>
  <c r="BN55" i="3"/>
  <c r="BN69" i="3"/>
  <c r="BF77" i="3"/>
  <c r="CL155" i="1" s="1"/>
  <c r="BO73" i="3"/>
  <c r="BS89" i="3"/>
  <c r="BH91" i="3"/>
  <c r="BE77" i="3"/>
  <c r="BM54" i="3"/>
  <c r="BJ49" i="3"/>
  <c r="BJ93" i="3"/>
  <c r="BJ69" i="3"/>
  <c r="BK88" i="3"/>
  <c r="BK57" i="3"/>
  <c r="BK61" i="3"/>
  <c r="GH7" i="4" a="1"/>
  <c r="GQ7" i="4" a="1"/>
  <c r="GI9" i="4" a="1"/>
  <c r="FO5" i="4" a="1"/>
  <c r="FS8" i="4" a="1"/>
  <c r="FL11" i="4" a="1"/>
  <c r="GX8" i="4" a="1"/>
  <c r="FX7" i="4" a="1"/>
  <c r="GK9" i="4" a="1"/>
  <c r="FO15" i="4" a="1"/>
  <c r="GD6" i="4" a="1"/>
  <c r="HD8" i="4" a="1"/>
  <c r="FX14" i="4" a="1"/>
  <c r="FV6" i="4" a="1"/>
  <c r="FX8" i="4" a="1"/>
  <c r="GT13" i="4" a="1"/>
  <c r="GS6" i="4" a="1"/>
  <c r="GW6" i="4" a="1"/>
  <c r="FS9" i="4" a="1"/>
  <c r="FK11" i="4" a="1"/>
  <c r="FO12" i="4" a="1"/>
  <c r="FQ13" i="4" a="1"/>
  <c r="FM8" i="4" a="1"/>
  <c r="FU12" i="4" a="1"/>
  <c r="FZ13" i="4" a="1"/>
  <c r="GB14" i="4" a="1"/>
  <c r="GL9" i="4" a="1"/>
  <c r="FZ14" i="4" a="1"/>
  <c r="GR15" i="4" a="1"/>
  <c r="FT16" i="4" a="1"/>
  <c r="GV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BP80" i="3"/>
  <c r="BR71" i="3"/>
  <c r="BG74" i="3"/>
  <c r="BU54" i="3"/>
  <c r="BL87" i="3"/>
  <c r="BQ72" i="3"/>
  <c r="BS83" i="3"/>
  <c r="BN58" i="3"/>
  <c r="BO78" i="3"/>
  <c r="BI65" i="3"/>
  <c r="BJ84" i="3"/>
  <c r="BJ48" i="3"/>
  <c r="GH5" i="4" a="1"/>
  <c r="GD7" i="4" a="1"/>
  <c r="GG5" i="4" a="1"/>
  <c r="GY8" i="4" a="1"/>
  <c r="GG8" i="4" a="1"/>
  <c r="FW11" i="4" a="1"/>
  <c r="GG11" i="4" a="1"/>
  <c r="FL15" i="4" a="1"/>
  <c r="GA15" i="4" a="1"/>
  <c r="BR65" i="3"/>
  <c r="BF58" i="3"/>
  <c r="CL134" i="1" s="1"/>
  <c r="BK60" i="3"/>
  <c r="GK8" i="4" a="1"/>
  <c r="GW5" i="4" a="1"/>
  <c r="FV7" i="4" a="1"/>
  <c r="FJ5" i="4" a="1"/>
  <c r="GZ13" i="4" a="1"/>
  <c r="GH16" i="4" a="1"/>
  <c r="BG59" i="3"/>
  <c r="BA96" i="3"/>
  <c r="BP56" i="3"/>
  <c r="BC65" i="3"/>
  <c r="BG70" i="3"/>
  <c r="BE56" i="3"/>
  <c r="BB50" i="3"/>
  <c r="BB87" i="3"/>
  <c r="BM97" i="3"/>
  <c r="BU47" i="3"/>
  <c r="BI97" i="3"/>
  <c r="BC56" i="3"/>
  <c r="BH60" i="3"/>
  <c r="BL47" i="3"/>
  <c r="BL59" i="3"/>
  <c r="BE61" i="3"/>
  <c r="BF89" i="3"/>
  <c r="CL168" i="1" s="1"/>
  <c r="CL198" i="1" s="1"/>
  <c r="BQ79" i="3"/>
  <c r="BQ95" i="3"/>
  <c r="BV71" i="3"/>
  <c r="BT80" i="3"/>
  <c r="BO84" i="3"/>
  <c r="BS48" i="3"/>
  <c r="BS77" i="3"/>
  <c r="BU60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1" i="3"/>
  <c r="BK83" i="3"/>
  <c r="BK94" i="3"/>
  <c r="GT14" i="4" a="1"/>
  <c r="HF7" i="4" a="1"/>
  <c r="GE9" i="4" a="1"/>
  <c r="GX11" i="4" a="1"/>
  <c r="GA5" i="4" a="1"/>
  <c r="GQ8" i="4" a="1"/>
  <c r="GB11" i="4" a="1"/>
  <c r="GS9" i="4" a="1"/>
  <c r="FQ8" i="4" a="1"/>
  <c r="GZ9" i="4" a="1"/>
  <c r="FI7" i="4" a="1"/>
  <c r="GK7" i="4" a="1"/>
  <c r="FZ9" i="4" a="1"/>
  <c r="GV14" i="4" a="1"/>
  <c r="FM7" i="4" a="1"/>
  <c r="GV8" i="4" a="1"/>
  <c r="FP14" i="4" a="1"/>
  <c r="FR7" i="4" a="1"/>
  <c r="HB7" i="4" a="1"/>
  <c r="FL12" i="4" a="1"/>
  <c r="FO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BA70" i="3"/>
  <c r="BG78" i="3"/>
  <c r="BM92" i="3"/>
  <c r="BB77" i="3"/>
  <c r="BE70" i="3"/>
  <c r="BU74" i="3"/>
  <c r="BT73" i="3"/>
  <c r="BU71" i="3"/>
  <c r="BR60" i="3"/>
  <c r="BV76" i="3"/>
  <c r="BS94" i="3"/>
  <c r="FV11" i="4" a="1"/>
  <c r="FI9" i="4" a="1"/>
  <c r="GR9" i="4" a="1"/>
  <c r="FL8" i="4" a="1"/>
  <c r="FN13" i="4" a="1"/>
  <c r="FZ12" i="4" a="1"/>
  <c r="GI11" i="4" a="1"/>
  <c r="GM13" i="4" a="1"/>
  <c r="FZ16" i="4" a="1"/>
  <c r="BC93" i="3"/>
  <c r="BD96" i="3"/>
  <c r="BA69" i="3"/>
  <c r="BP73" i="3"/>
  <c r="BU63" i="3"/>
  <c r="BG55" i="3"/>
  <c r="BM74" i="3"/>
  <c r="BB79" i="3"/>
  <c r="BB78" i="3"/>
  <c r="BM88" i="3"/>
  <c r="BU48" i="3"/>
  <c r="BB91" i="3"/>
  <c r="BC85" i="3"/>
  <c r="BH79" i="3"/>
  <c r="BL71" i="3"/>
  <c r="BL56" i="3"/>
  <c r="BE48" i="3"/>
  <c r="BF71" i="3"/>
  <c r="BQ76" i="3"/>
  <c r="BU72" i="3"/>
  <c r="BV75" i="3"/>
  <c r="BT84" i="3"/>
  <c r="BO88" i="3"/>
  <c r="BS80" i="3"/>
  <c r="BS93" i="3"/>
  <c r="BU62" i="3"/>
  <c r="BU65" i="3"/>
  <c r="BR59" i="3"/>
  <c r="BR87" i="3"/>
  <c r="BV80" i="3"/>
  <c r="BV66" i="3"/>
  <c r="BT55" i="3"/>
  <c r="BN86" i="3"/>
  <c r="BN48" i="3"/>
  <c r="BN85" i="3"/>
  <c r="BF69" i="3"/>
  <c r="BO64" i="3"/>
  <c r="BS54" i="3"/>
  <c r="BL85" i="3"/>
  <c r="BI63" i="3"/>
  <c r="BM83" i="3"/>
  <c r="BJ82" i="3"/>
  <c r="BJ54" i="3"/>
  <c r="BJ73" i="3"/>
  <c r="BK75" i="3"/>
  <c r="BK95" i="3"/>
  <c r="FK15" i="4" a="1"/>
  <c r="GR5" i="4" a="1"/>
  <c r="FQ7" i="4" a="1"/>
  <c r="FT12" i="4" a="1"/>
  <c r="FH5" i="4" a="1"/>
  <c r="HC5" i="4" a="1"/>
  <c r="GJ6" i="4" a="1"/>
  <c r="FG5" i="4" a="1"/>
  <c r="GM8" i="4" a="1"/>
  <c r="FJ11" i="4" a="1"/>
  <c r="GP8" i="4" a="1"/>
  <c r="FU8" i="4" a="1"/>
  <c r="GT9" i="4" a="1"/>
  <c r="FZ15" i="4" a="1"/>
  <c r="GF7" i="4" a="1"/>
  <c r="FU9" i="4" a="1"/>
  <c r="GN14" i="4" a="1"/>
  <c r="GM7" i="4" a="1"/>
  <c r="GM9" i="4" a="1"/>
  <c r="GR12" i="4" a="1"/>
  <c r="FS11" i="4" a="1"/>
  <c r="FW12" i="4" a="1"/>
  <c r="FY13" i="4" a="1"/>
  <c r="GA9" i="4" a="1"/>
  <c r="GF12" i="4" a="1"/>
  <c r="GH13" i="4" a="1"/>
  <c r="GJ14" i="4" a="1"/>
  <c r="FQ11" i="4" a="1"/>
  <c r="GU14" i="4" a="1"/>
  <c r="GX15" i="4" a="1"/>
  <c r="FX16" i="4" a="1"/>
  <c r="GZ16" i="4" a="1"/>
  <c r="GJ7" i="4" a="1"/>
  <c r="FX13" i="4" a="1"/>
  <c r="FX15" i="4" a="1"/>
  <c r="GU9" i="4" a="1"/>
  <c r="FW14" i="4" a="1"/>
  <c r="GM15" i="4" a="1"/>
  <c r="FI16" i="4" a="1"/>
  <c r="GG16" i="4" a="1"/>
  <c r="HE16" i="4" a="1"/>
  <c r="BC96" i="3"/>
  <c r="BC78" i="3"/>
  <c r="BC87" i="3"/>
  <c r="BD60" i="3"/>
  <c r="BD63" i="3"/>
  <c r="BM84" i="3"/>
  <c r="BF65" i="3"/>
  <c r="CL165" i="1" s="1"/>
  <c r="BV77" i="3"/>
  <c r="BK67" i="3"/>
  <c r="FI5" i="4" a="1"/>
  <c r="FG8" i="4" a="1"/>
  <c r="FK8" i="4" a="1"/>
  <c r="GK12" i="4" a="1"/>
  <c r="GO14" i="4" a="1"/>
  <c r="GS13" i="4" a="1"/>
  <c r="GH14" i="4" a="1"/>
  <c r="FK16" i="4" a="1"/>
  <c r="BC90" i="3"/>
  <c r="BV60" i="3"/>
  <c r="BO47" i="3"/>
  <c r="BG62" i="3"/>
  <c r="BJ92" i="3"/>
  <c r="GB5" i="4" a="1"/>
  <c r="HA14" i="4" a="1"/>
  <c r="FP6" i="4" a="1"/>
  <c r="GM11" i="4" a="1"/>
  <c r="GU5" i="4" a="1"/>
  <c r="FG15" i="4" a="1"/>
  <c r="GY11" i="4" a="1"/>
  <c r="BP83" i="3"/>
  <c r="BA50" i="3"/>
  <c r="BH63" i="3"/>
  <c r="BR56" i="3"/>
  <c r="BG71" i="3"/>
  <c r="BM49" i="3"/>
  <c r="BB65" i="3"/>
  <c r="BG64" i="3"/>
  <c r="BF86" i="3"/>
  <c r="BP49" i="3"/>
  <c r="BB80" i="3"/>
  <c r="BC60" i="3"/>
  <c r="BH58" i="3"/>
  <c r="BL93" i="3"/>
  <c r="BL79" i="3"/>
  <c r="BE88" i="3"/>
  <c r="BF47" i="3"/>
  <c r="BQ63" i="3"/>
  <c r="BU75" i="3"/>
  <c r="BV47" i="3"/>
  <c r="BN78" i="3"/>
  <c r="BO94" i="3"/>
  <c r="BS84" i="3"/>
  <c r="BS82" i="3"/>
  <c r="BU82" i="3"/>
  <c r="BU88" i="3"/>
  <c r="BR47" i="3"/>
  <c r="BV62" i="3"/>
  <c r="BV61" i="3"/>
  <c r="BT63" i="3"/>
  <c r="BT81" i="3"/>
  <c r="BN79" i="3"/>
  <c r="BN62" i="3"/>
  <c r="BN97" i="3"/>
  <c r="BF75" i="3"/>
  <c r="BO91" i="3"/>
  <c r="BP55" i="3"/>
  <c r="BE49" i="3"/>
  <c r="BI56" i="3"/>
  <c r="BM55" i="3"/>
  <c r="BJ58" i="3"/>
  <c r="BJ55" i="3"/>
  <c r="BJ77" i="3"/>
  <c r="BK48" i="3"/>
  <c r="BK54" i="3"/>
  <c r="FM5" i="4" a="1"/>
  <c r="FU7" i="4" a="1"/>
  <c r="GB8" i="4" a="1"/>
  <c r="HE12" i="4" a="1"/>
  <c r="GC6" i="4" a="1"/>
  <c r="GG6" i="4" a="1"/>
  <c r="FX9" i="4" a="1"/>
  <c r="GL5" i="4" a="1"/>
  <c r="GX5" i="4" a="1"/>
  <c r="GS5" i="4" a="1"/>
  <c r="GI5" i="4" a="1"/>
  <c r="GS8" i="4" a="1"/>
  <c r="FP11" i="4" a="1"/>
  <c r="GE5" i="4" a="1"/>
  <c r="FW8" i="4" a="1"/>
  <c r="HD9" i="4" a="1"/>
  <c r="GE6" i="4" a="1"/>
  <c r="GA6" i="4" a="1"/>
  <c r="GJ8" i="4" a="1"/>
  <c r="GL13" i="4" a="1"/>
  <c r="GA11" i="4" a="1"/>
  <c r="GE12" i="4" a="1"/>
  <c r="GJ13" i="4" a="1"/>
  <c r="GL11" i="4" a="1"/>
  <c r="GN12" i="4" a="1"/>
  <c r="GP13" i="4" a="1"/>
  <c r="GR14" i="4" a="1"/>
  <c r="FK12" i="4" a="1"/>
  <c r="FP15" i="4" a="1"/>
  <c r="HB15" i="4" a="1"/>
  <c r="GB16" i="4" a="1"/>
  <c r="HD16" i="4" a="1"/>
  <c r="HB8" i="4" a="1"/>
  <c r="HH13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K80" i="3"/>
  <c r="FO8" i="4" a="1"/>
  <c r="GZ8" i="4" a="1"/>
  <c r="GA7" i="4" a="1"/>
  <c r="FQ6" i="4" a="1"/>
  <c r="FZ5" i="4" a="1"/>
  <c r="FN11" i="4" a="1"/>
  <c r="FZ8" i="4" a="1"/>
  <c r="GN7" i="4" a="1"/>
  <c r="FM14" i="4" a="1"/>
  <c r="GU13" i="4" a="1"/>
  <c r="GW14" i="4" a="1"/>
  <c r="HD15" i="4" a="1"/>
  <c r="GD16" i="4" a="1"/>
  <c r="HF16" i="4" a="1"/>
  <c r="FV14" i="4" a="1"/>
  <c r="GD12" i="4" a="1"/>
  <c r="GX14" i="4" a="1"/>
  <c r="FO16" i="4" a="1"/>
  <c r="GG9" i="4" a="1"/>
  <c r="BC67" i="3"/>
  <c r="BC68" i="3"/>
  <c r="BD79" i="3"/>
  <c r="BO70" i="3"/>
  <c r="FR6" i="4" a="1"/>
  <c r="BE85" i="3"/>
  <c r="BG86" i="3"/>
  <c r="BA89" i="3"/>
  <c r="BH72" i="3"/>
  <c r="BR61" i="3"/>
  <c r="BG96" i="3"/>
  <c r="BM48" i="3"/>
  <c r="BB70" i="3"/>
  <c r="BG72" i="3"/>
  <c r="BF88" i="3"/>
  <c r="CL142" i="1" s="1"/>
  <c r="BP59" i="3"/>
  <c r="BB82" i="3"/>
  <c r="BD85" i="3"/>
  <c r="BH50" i="3"/>
  <c r="BL78" i="3"/>
  <c r="BE63" i="3"/>
  <c r="BI68" i="3"/>
  <c r="BF59" i="3"/>
  <c r="BQ90" i="3"/>
  <c r="BU76" i="3"/>
  <c r="BV65" i="3"/>
  <c r="BN65" i="3"/>
  <c r="BO58" i="3"/>
  <c r="BS85" i="3"/>
  <c r="BS69" i="3"/>
  <c r="BU73" i="3"/>
  <c r="BU64" i="3"/>
  <c r="BR85" i="3"/>
  <c r="BV50" i="3"/>
  <c r="BV78" i="3"/>
  <c r="BT58" i="3"/>
  <c r="BT65" i="3"/>
  <c r="BN89" i="3"/>
  <c r="BN94" i="3"/>
  <c r="BP54" i="3"/>
  <c r="AA111" i="2"/>
  <c r="BO93" i="3"/>
  <c r="BP65" i="3"/>
  <c r="BE47" i="3"/>
  <c r="BI79" i="3"/>
  <c r="BF68" i="3"/>
  <c r="CL149" i="1" s="1"/>
  <c r="BJ66" i="3"/>
  <c r="BJ62" i="3"/>
  <c r="BJ79" i="3"/>
  <c r="BK49" i="3"/>
  <c r="FS5" i="4" a="1"/>
  <c r="GA13" i="4" a="1"/>
  <c r="GE7" i="4" a="1"/>
  <c r="GU11" i="4" a="1"/>
  <c r="GF6" i="4" a="1"/>
  <c r="GK5" i="4" a="1"/>
  <c r="GF5" i="4" a="1"/>
  <c r="GP5" i="4" a="1"/>
  <c r="FX11" i="4" a="1"/>
  <c r="GI8" i="4" a="1"/>
  <c r="HG8" i="4" a="1"/>
  <c r="GE11" i="4" a="1"/>
  <c r="GH12" i="4" a="1"/>
  <c r="GR13" i="4" a="1"/>
  <c r="GQ11" i="4" a="1"/>
  <c r="GS12" i="4" a="1"/>
  <c r="GQ12" i="4" a="1"/>
  <c r="FS15" i="4" a="1"/>
  <c r="FV9" i="4" a="1"/>
  <c r="HH11" i="4" a="1"/>
  <c r="GS15" i="4" a="1"/>
  <c r="GM16" i="4" a="1"/>
  <c r="BC77" i="3"/>
  <c r="BD59" i="3"/>
  <c r="BO49" i="3"/>
  <c r="BJ76" i="3"/>
  <c r="GH9" i="4" a="1"/>
  <c r="GJ9" i="4" a="1"/>
  <c r="GB12" i="4" a="1"/>
  <c r="GZ6" i="4" a="1"/>
  <c r="GV9" i="4" a="1"/>
  <c r="GX12" i="4" a="1"/>
  <c r="BG63" i="3"/>
  <c r="BA71" i="3"/>
  <c r="BH96" i="3"/>
  <c r="BM56" i="3"/>
  <c r="BG89" i="3"/>
  <c r="BM59" i="3"/>
  <c r="BB71" i="3"/>
  <c r="BG94" i="3"/>
  <c r="BP47" i="3"/>
  <c r="BI49" i="3"/>
  <c r="BB57" i="3"/>
  <c r="BQ47" i="3"/>
  <c r="BH88" i="3"/>
  <c r="BL62" i="3"/>
  <c r="BE86" i="3"/>
  <c r="BI70" i="3"/>
  <c r="BF49" i="3"/>
  <c r="CL88" i="1" s="1"/>
  <c r="BQ64" i="3"/>
  <c r="BR70" i="3"/>
  <c r="BV81" i="3"/>
  <c r="BO97" i="3"/>
  <c r="BO65" i="3"/>
  <c r="BS73" i="3"/>
  <c r="BS64" i="3"/>
  <c r="BU83" i="3"/>
  <c r="BU70" i="3"/>
  <c r="BR84" i="3"/>
  <c r="BV79" i="3"/>
  <c r="BV86" i="3"/>
  <c r="BT59" i="3"/>
  <c r="BT85" i="3"/>
  <c r="BN67" i="3"/>
  <c r="BN96" i="3"/>
  <c r="BP69" i="3"/>
  <c r="Y112" i="2"/>
  <c r="BO96" i="3"/>
  <c r="BG68" i="3"/>
  <c r="BE79" i="3"/>
  <c r="BI60" i="3"/>
  <c r="BF74" i="3"/>
  <c r="CL152" i="1" s="1"/>
  <c r="BJ70" i="3"/>
  <c r="BJ64" i="3"/>
  <c r="BJ83" i="3"/>
  <c r="BK66" i="3"/>
  <c r="BK65" i="3"/>
  <c r="FL5" i="4" a="1"/>
  <c r="FY8" i="4" a="1"/>
  <c r="FR9" i="4" a="1"/>
  <c r="FH14" i="4" a="1"/>
  <c r="GX7" i="4" a="1"/>
  <c r="FL9" i="4" a="1"/>
  <c r="GO12" i="4" a="1"/>
  <c r="HA6" i="4" a="1"/>
  <c r="GB6" i="4" a="1"/>
  <c r="GH11" i="4" a="1"/>
  <c r="GT5" i="4" a="1"/>
  <c r="FL6" i="4" a="1"/>
  <c r="GU6" i="4" a="1"/>
  <c r="GJ5" i="4" a="1"/>
  <c r="GW8" i="4" a="1"/>
  <c r="GF11" i="4" a="1"/>
  <c r="FK5" i="4" a="1"/>
  <c r="FJ8" i="4" a="1"/>
  <c r="GC9" i="4" a="1"/>
  <c r="GK14" i="4" a="1"/>
  <c r="GK11" i="4" a="1"/>
  <c r="GP12" i="4" a="1"/>
  <c r="GW13" i="4" a="1"/>
  <c r="GT11" i="4" a="1"/>
  <c r="GV12" i="4" a="1"/>
  <c r="GX13" i="4" a="1"/>
  <c r="HE14" i="4" a="1"/>
  <c r="HB12" i="4" a="1"/>
  <c r="GC15" i="4" a="1"/>
  <c r="HF15" i="4" a="1"/>
  <c r="GF16" i="4" a="1"/>
  <c r="HE7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BC48" i="3"/>
  <c r="BJ59" i="3"/>
  <c r="BA84" i="3"/>
  <c r="BH70" i="3"/>
  <c r="BM73" i="3"/>
  <c r="BG83" i="3"/>
  <c r="BM90" i="3"/>
  <c r="BB56" i="3"/>
  <c r="BG77" i="3"/>
  <c r="BD82" i="3"/>
  <c r="BI69" i="3"/>
  <c r="BA80" i="3"/>
  <c r="BQ50" i="3"/>
  <c r="BH92" i="3"/>
  <c r="BL96" i="3"/>
  <c r="BE84" i="3"/>
  <c r="BI90" i="3"/>
  <c r="BF66" i="3"/>
  <c r="CL166" i="1" s="1"/>
  <c r="BQ71" i="3"/>
  <c r="BS90" i="3"/>
  <c r="BR81" i="3"/>
  <c r="BR80" i="3"/>
  <c r="BV54" i="3"/>
  <c r="BV92" i="3"/>
  <c r="BT67" i="3"/>
  <c r="BT87" i="3"/>
  <c r="BN95" i="3"/>
  <c r="BI91" i="3"/>
  <c r="BK73" i="3"/>
  <c r="BA67" i="3"/>
  <c r="BQ49" i="3"/>
  <c r="BK50" i="3"/>
  <c r="BN84" i="3"/>
  <c r="BE82" i="3"/>
  <c r="BF84" i="3"/>
  <c r="CL161" i="1" s="1"/>
  <c r="BB48" i="3"/>
  <c r="BH54" i="3"/>
  <c r="BD49" i="3"/>
  <c r="BI92" i="3"/>
  <c r="BA78" i="3"/>
  <c r="BQ57" i="3"/>
  <c r="BH82" i="3"/>
  <c r="BL82" i="3"/>
  <c r="BE80" i="3"/>
  <c r="BI57" i="3"/>
  <c r="BF93" i="3"/>
  <c r="BQ82" i="3"/>
  <c r="BR58" i="3"/>
  <c r="BT94" i="3"/>
  <c r="BO68" i="3"/>
  <c r="BO79" i="3"/>
  <c r="BS55" i="3"/>
  <c r="BF97" i="3"/>
  <c r="BU90" i="3"/>
  <c r="BR76" i="3"/>
  <c r="BR96" i="3"/>
  <c r="BV68" i="3"/>
  <c r="BV63" i="3"/>
  <c r="BT64" i="3"/>
  <c r="BT62" i="3"/>
  <c r="BN75" i="3"/>
  <c r="BN70" i="3"/>
  <c r="BP85" i="3"/>
  <c r="BO54" i="3"/>
  <c r="BS79" i="3"/>
  <c r="BG90" i="3"/>
  <c r="BE67" i="3"/>
  <c r="BM69" i="3"/>
  <c r="BF70" i="3"/>
  <c r="CL148" i="1" s="1"/>
  <c r="BJ96" i="3"/>
  <c r="BJ63" i="3"/>
  <c r="BK77" i="3"/>
  <c r="BK76" i="3"/>
  <c r="BK79" i="3"/>
  <c r="GN6" i="4" a="1"/>
  <c r="FI6" i="4" a="1"/>
  <c r="FW6" i="4" a="1"/>
  <c r="FY9" i="4" a="1"/>
  <c r="HG6" i="4" a="1"/>
  <c r="FM9" i="4" a="1"/>
  <c r="FW15" i="4" a="1"/>
  <c r="FK6" i="4" a="1"/>
  <c r="FP8" i="4" a="1"/>
  <c r="FU14" i="4" a="1"/>
  <c r="GP7" i="4" a="1"/>
  <c r="HC6" i="4" a="1"/>
  <c r="GD13" i="4" a="1"/>
  <c r="FZ7" i="4" a="1"/>
  <c r="FO9" i="4" a="1"/>
  <c r="GZ12" i="4" a="1"/>
  <c r="GY5" i="4" a="1"/>
  <c r="HF5" i="4" a="1"/>
  <c r="GD11" i="4" a="1"/>
  <c r="GW9" i="4" a="1"/>
  <c r="FG12" i="4" a="1"/>
  <c r="FI13" i="4" a="1"/>
  <c r="GI7" i="4" a="1"/>
  <c r="FH12" i="4" a="1"/>
  <c r="FO13" i="4" a="1"/>
  <c r="FT14" i="4" a="1"/>
  <c r="GT8" i="4" a="1"/>
  <c r="FJ14" i="4" a="1"/>
  <c r="GL15" i="4" a="1"/>
  <c r="FN16" i="4" a="1"/>
  <c r="GR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Z112" i="2"/>
  <c r="BH71" i="3"/>
  <c r="BN91" i="3"/>
  <c r="BM89" i="3"/>
  <c r="BJ75" i="3"/>
  <c r="BK91" i="3"/>
  <c r="GE15" i="4" a="1"/>
  <c r="GL6" i="4" a="1"/>
  <c r="HH7" i="4" a="1"/>
  <c r="FJ15" i="4" a="1"/>
  <c r="GB13" i="4" a="1"/>
  <c r="HB16" i="4" a="1"/>
  <c r="GI16" i="4" a="1"/>
  <c r="HG16" i="4" a="1"/>
  <c r="BC88" i="3"/>
  <c r="BD74" i="3"/>
  <c r="BS61" i="3"/>
  <c r="BK97" i="3"/>
  <c r="GI13" i="4" a="1"/>
  <c r="BJ88" i="3"/>
  <c r="BB69" i="3"/>
  <c r="BH90" i="3"/>
  <c r="BR93" i="3"/>
  <c r="BU85" i="3"/>
  <c r="BT54" i="3"/>
  <c r="BG47" i="3"/>
  <c r="BK69" i="3"/>
  <c r="FT7" i="4" a="1"/>
  <c r="FS13" i="4" a="1"/>
  <c r="GN9" i="4" a="1"/>
  <c r="HC12" i="4" a="1"/>
  <c r="FN8" i="4" a="1"/>
  <c r="FS12" i="4" a="1"/>
  <c r="GL12" i="4" a="1"/>
  <c r="GQ16" i="4" a="1"/>
  <c r="BC97" i="3"/>
  <c r="BB93" i="3"/>
  <c r="GS16" i="4" a="1"/>
  <c r="BA65" i="3"/>
  <c r="BA63" i="3"/>
  <c r="BL74" i="3"/>
  <c r="BK87" i="3"/>
  <c r="GV6" i="4" a="1"/>
  <c r="GF13" i="4" a="1"/>
  <c r="FP13" i="4" a="1"/>
  <c r="BC80" i="3"/>
  <c r="BA55" i="3"/>
  <c r="BH55" i="3"/>
  <c r="BL80" i="3"/>
  <c r="BT61" i="3"/>
  <c r="BR49" i="3"/>
  <c r="BE65" i="3"/>
  <c r="GQ6" i="4" a="1"/>
  <c r="GD5" i="4" a="1"/>
  <c r="FN7" i="4" a="1"/>
  <c r="FU11" i="4" a="1"/>
  <c r="BD88" i="3"/>
  <c r="BE78" i="3"/>
  <c r="BO55" i="3"/>
  <c r="BN66" i="3"/>
  <c r="GX6" i="4" a="1"/>
  <c r="FK7" i="4" a="1"/>
  <c r="GO8" i="4" a="1"/>
  <c r="HB11" i="4" a="1"/>
  <c r="GF15" i="4" a="1"/>
  <c r="GJ11" i="4" a="1"/>
  <c r="FQ15" i="4" a="1"/>
  <c r="BD65" i="3"/>
  <c r="BJ57" i="3"/>
  <c r="GP16" i="4" a="1"/>
  <c r="BA81" i="3"/>
  <c r="BB74" i="3"/>
  <c r="BH80" i="3"/>
  <c r="BR50" i="3"/>
  <c r="BU89" i="3"/>
  <c r="BT60" i="3"/>
  <c r="BG84" i="3"/>
  <c r="BK82" i="3"/>
  <c r="GH8" i="4" a="1"/>
  <c r="GY13" i="4" a="1"/>
  <c r="FY12" i="4" a="1"/>
  <c r="HF12" i="4" a="1"/>
  <c r="FU13" i="4" a="1"/>
  <c r="FH13" i="4" a="1"/>
  <c r="HG12" i="4" a="1"/>
  <c r="BC62" i="3"/>
  <c r="BG57" i="3"/>
  <c r="BT74" i="3"/>
  <c r="BR86" i="3"/>
  <c r="BN80" i="3"/>
  <c r="BE58" i="3"/>
  <c r="FS6" i="4" a="1"/>
  <c r="FR5" i="4" a="1"/>
  <c r="HE6" i="4" a="1"/>
  <c r="FN14" i="4" a="1"/>
  <c r="GU16" i="4" a="1"/>
  <c r="BN54" i="3"/>
  <c r="BK62" i="3"/>
  <c r="FO7" i="4" a="1"/>
  <c r="HA13" i="4" a="1"/>
  <c r="FN15" i="4" a="1"/>
  <c r="GC11" i="4" a="1"/>
  <c r="BD56" i="3"/>
  <c r="BL90" i="3"/>
  <c r="BR77" i="3"/>
  <c r="BI61" i="3"/>
  <c r="BK47" i="3"/>
  <c r="GZ11" i="4" a="1"/>
  <c r="GM6" i="4" a="1"/>
  <c r="FW16" i="4" a="1"/>
  <c r="Y113" i="2"/>
  <c r="FH15" i="4" a="1"/>
  <c r="BK68" i="3"/>
  <c r="BD70" i="3"/>
  <c r="BE72" i="3"/>
  <c r="BO59" i="3"/>
  <c r="BR69" i="3"/>
  <c r="BN68" i="3"/>
  <c r="BI50" i="3"/>
  <c r="BK63" i="3"/>
  <c r="FT8" i="4" a="1"/>
  <c r="FW9" i="4" a="1"/>
  <c r="HA8" i="4" a="1"/>
  <c r="HG11" i="4" a="1"/>
  <c r="GH15" i="4" a="1"/>
  <c r="HE11" i="4" a="1"/>
  <c r="FU15" i="4" a="1"/>
  <c r="GY12" i="4" a="1"/>
  <c r="BD64" i="3"/>
  <c r="BC92" i="3"/>
  <c r="BN49" i="3"/>
  <c r="BI47" i="3"/>
  <c r="BV67" i="3"/>
  <c r="BF96" i="3"/>
  <c r="CL178" i="1" s="1"/>
  <c r="HD14" i="4" a="1"/>
  <c r="HH12" i="4" a="1"/>
  <c r="FG13" i="4" a="1"/>
  <c r="GQ14" i="4" a="1"/>
  <c r="BD80" i="3"/>
  <c r="BG65" i="3"/>
  <c r="BA66" i="3"/>
  <c r="BF80" i="3"/>
  <c r="CL174" i="1" s="1"/>
  <c r="BS59" i="3"/>
  <c r="BV94" i="3"/>
  <c r="BO48" i="3"/>
  <c r="BJ78" i="3"/>
  <c r="GU8" i="4" a="1"/>
  <c r="GU7" i="4" a="1"/>
  <c r="GK6" i="4" a="1"/>
  <c r="GV5" i="4" a="1"/>
  <c r="HC13" i="4" a="1"/>
  <c r="FH16" i="4" a="1"/>
  <c r="HB14" i="4" a="1"/>
  <c r="HA15" i="4" a="1"/>
  <c r="BC73" i="3"/>
  <c r="BD69" i="3"/>
  <c r="BG92" i="3"/>
  <c r="BA77" i="3"/>
  <c r="BF82" i="3"/>
  <c r="CL160" i="1" s="1"/>
  <c r="BS95" i="3"/>
  <c r="BV96" i="3"/>
  <c r="BO69" i="3"/>
  <c r="BJ80" i="3"/>
  <c r="GM5" i="4" a="1"/>
  <c r="GO5" i="4" a="1"/>
  <c r="FG7" i="4" a="1"/>
  <c r="FR8" i="4" a="1"/>
  <c r="FI14" i="4" a="1"/>
  <c r="FJ16" i="4" a="1"/>
  <c r="HE13" i="4" a="1"/>
  <c r="FS16" i="4" a="1"/>
  <c r="BC59" i="3"/>
  <c r="BM57" i="3"/>
  <c r="BQ54" i="3"/>
  <c r="BQ80" i="3"/>
  <c r="BS57" i="3"/>
  <c r="BT76" i="3"/>
  <c r="BS67" i="3"/>
  <c r="BJ94" i="3"/>
  <c r="GX9" i="4" a="1"/>
  <c r="HF8" i="4" a="1"/>
  <c r="FT6" i="4" a="1"/>
  <c r="GV11" i="4" a="1"/>
  <c r="FQ14" i="4" a="1"/>
  <c r="GL16" i="4" a="1"/>
  <c r="GI14" i="4" a="1"/>
  <c r="FU16" i="4" a="1"/>
  <c r="BC66" i="3"/>
  <c r="BM76" i="3"/>
  <c r="BQ55" i="3"/>
  <c r="BQ81" i="3"/>
  <c r="BF95" i="3"/>
  <c r="CL179" i="1" s="1"/>
  <c r="BT88" i="3"/>
  <c r="BS74" i="3"/>
  <c r="FR11" i="4" a="1"/>
  <c r="GR6" i="4" a="1"/>
  <c r="HD11" i="4" a="1"/>
  <c r="FY7" i="4" a="1"/>
  <c r="BC89" i="3"/>
  <c r="BM77" i="3"/>
  <c r="BI73" i="3"/>
  <c r="BI94" i="3"/>
  <c r="BO74" i="3"/>
  <c r="BV95" i="3"/>
  <c r="BP75" i="3"/>
  <c r="BF62" i="3"/>
  <c r="CL139" i="1" s="1"/>
  <c r="HG5" i="4" a="1"/>
  <c r="GC14" i="4" a="1"/>
  <c r="GG12" i="4" a="1"/>
  <c r="FH11" i="4" a="1"/>
  <c r="HD12" i="4" a="1"/>
  <c r="GJ15" i="4" a="1"/>
  <c r="GL14" i="4" a="1"/>
  <c r="GW15" i="4" a="1"/>
  <c r="BD77" i="3"/>
  <c r="BI80" i="3"/>
  <c r="BO77" i="3"/>
  <c r="BP79" i="3"/>
  <c r="FX6" i="4" a="1"/>
  <c r="FT11" i="4" a="1"/>
  <c r="HH15" i="4" a="1"/>
  <c r="GY15" i="4" a="1"/>
  <c r="BC75" i="3"/>
  <c r="CL194" i="1" l="1"/>
  <c r="CL195" i="1"/>
  <c r="CJ15" i="1"/>
  <c r="CO35" i="1"/>
  <c r="CS35" i="1" s="1"/>
  <c r="CH155" i="1"/>
  <c r="CI155" i="1" s="1"/>
  <c r="CL135" i="1"/>
  <c r="CL107" i="1" s="1"/>
  <c r="CL31" i="1"/>
  <c r="CK15" i="1"/>
  <c r="Z15" i="1"/>
  <c r="CL176" i="1"/>
  <c r="CL153" i="1"/>
  <c r="CL143" i="1"/>
  <c r="CL171" i="1"/>
  <c r="CL200" i="1" s="1"/>
  <c r="CL199" i="1" s="1"/>
  <c r="CL163" i="1"/>
  <c r="CH15" i="1"/>
  <c r="CG15" i="1"/>
  <c r="CJ155" i="1"/>
  <c r="JU16" i="4" s="1"/>
  <c r="CJ174" i="1"/>
  <c r="CJ164" i="1"/>
  <c r="CJ148" i="1"/>
  <c r="CK148" i="1" s="1"/>
  <c r="CM148" i="1" s="1"/>
  <c r="CN148" i="1" s="1"/>
  <c r="CO148" i="1" s="1"/>
  <c r="CP148" i="1" s="1"/>
  <c r="CJ132" i="1"/>
  <c r="KB16" i="4" s="1"/>
  <c r="CJ165" i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KC16" i="4" s="1"/>
  <c r="KF16" i="4" s="1"/>
  <c r="CJ149" i="1"/>
  <c r="CK48" i="1" s="1"/>
  <c r="CJ169" i="1"/>
  <c r="JS9" i="4" s="1"/>
  <c r="CJ88" i="1"/>
  <c r="CJ160" i="1"/>
  <c r="CJ195" i="1" s="1"/>
  <c r="CK195" i="1" s="1"/>
  <c r="CJ166" i="1"/>
  <c r="KE9" i="4" s="1"/>
  <c r="JR9" i="4" s="1"/>
  <c r="JT9" i="4" s="1"/>
  <c r="X88" i="1"/>
  <c r="KD9" i="4" s="1"/>
  <c r="JZ9" i="4" s="1"/>
  <c r="KA16" i="4" s="1"/>
  <c r="CJ162" i="1"/>
  <c r="JY9" i="4" s="1"/>
  <c r="JS16" i="4" s="1"/>
  <c r="JX16" i="4" s="1"/>
  <c r="KE14" i="4" s="1"/>
  <c r="JS14" i="4" s="1"/>
  <c r="CJ167" i="1"/>
  <c r="JZ8" i="4" s="1"/>
  <c r="JV9" i="4" s="1"/>
  <c r="CK88" i="1"/>
  <c r="CG89" i="1"/>
  <c r="CJ140" i="1"/>
  <c r="CK140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G16" i="4" s="1"/>
  <c r="JY16" i="4" s="1"/>
  <c r="JQ16" i="4" s="1"/>
  <c r="JV16" i="4" s="1"/>
  <c r="JV21" i="4" s="1"/>
  <c r="JW9" i="4" s="1"/>
  <c r="KA9" i="4" s="1"/>
  <c r="JU9" i="4" s="1"/>
  <c r="CJ178" i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JQ9" i="4" s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50" i="1"/>
  <c r="CK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KA15" i="4" s="1"/>
  <c r="JQ14" i="4" s="1"/>
  <c r="KC9" i="4" s="1"/>
  <c r="CH89" i="1"/>
  <c r="KA8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J134" i="1"/>
  <c r="CJ161" i="1"/>
  <c r="KD16" i="4" s="1"/>
  <c r="JV8" i="4" s="1"/>
  <c r="KF15" i="4" s="1"/>
  <c r="CJ159" i="1"/>
  <c r="CJ194" i="1" s="1"/>
  <c r="CK194" i="1" s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JU14" i="4" s="1"/>
  <c r="KE16" i="4" s="1"/>
  <c r="CI88" i="1"/>
  <c r="KB9" i="4" s="1"/>
  <c r="Z89" i="1"/>
  <c r="CJ168" i="1"/>
  <c r="CJ198" i="1" s="1"/>
  <c r="CK198" i="1" s="1"/>
  <c r="Y89" i="1"/>
  <c r="CI89" i="1"/>
  <c r="KG9" i="4" s="1"/>
  <c r="Z88" i="1"/>
  <c r="CJ175" i="1"/>
  <c r="CK89" i="1"/>
  <c r="CJ157" i="1"/>
  <c r="CH88" i="1"/>
  <c r="KH16" i="4" s="1"/>
  <c r="CJ89" i="1"/>
  <c r="CJ170" i="1"/>
  <c r="CJ139" i="1"/>
  <c r="CK139" i="1" s="1"/>
  <c r="CG88" i="1"/>
  <c r="CG246" i="1"/>
  <c r="CG7" i="1"/>
  <c r="CI7" i="1"/>
  <c r="CI15" i="1"/>
  <c r="CK41" i="1"/>
  <c r="CK42" i="1" s="1"/>
  <c r="CK80" i="1"/>
  <c r="X194" i="1"/>
  <c r="X15" i="1"/>
  <c r="Y15" i="1"/>
  <c r="CK31" i="1"/>
  <c r="Z169" i="1"/>
  <c r="Y176" i="1"/>
  <c r="Z224" i="1" s="1"/>
  <c r="X268" i="1"/>
  <c r="X163" i="1"/>
  <c r="X197" i="1" s="1"/>
  <c r="Z176" i="1"/>
  <c r="AA224" i="1" s="1"/>
  <c r="X198" i="1"/>
  <c r="Y163" i="1"/>
  <c r="Y197" i="1" s="1"/>
  <c r="CH176" i="1"/>
  <c r="CI224" i="1" s="1"/>
  <c r="Z163" i="1"/>
  <c r="AA211" i="1" s="1"/>
  <c r="CK113" i="1"/>
  <c r="Y41" i="1"/>
  <c r="Y188" i="1"/>
  <c r="X25" i="1"/>
  <c r="X195" i="1"/>
  <c r="X267" i="1"/>
  <c r="Y149" i="1"/>
  <c r="CJ152" i="1"/>
  <c r="CJ158" i="1"/>
  <c r="Y194" i="1"/>
  <c r="X188" i="1"/>
  <c r="Y267" i="1"/>
  <c r="Y25" i="1"/>
  <c r="Y246" i="1"/>
  <c r="Y268" i="1"/>
  <c r="Y198" i="1"/>
  <c r="CH132" i="1"/>
  <c r="Z135" i="1"/>
  <c r="AA222" i="1" s="1"/>
  <c r="CH159" i="1"/>
  <c r="Z194" i="1"/>
  <c r="Z246" i="1"/>
  <c r="Z267" i="1"/>
  <c r="Z195" i="1"/>
  <c r="Z268" i="1"/>
  <c r="Z198" i="1"/>
  <c r="CH150" i="1"/>
  <c r="CI150" i="1" s="1"/>
  <c r="Z146" i="1"/>
  <c r="CH146" i="1" s="1"/>
  <c r="CG209" i="1"/>
  <c r="CG268" i="1"/>
  <c r="Y171" i="1"/>
  <c r="CH268" i="1"/>
  <c r="CG267" i="1"/>
  <c r="X149" i="1"/>
  <c r="CI246" i="1"/>
  <c r="CI25" i="1"/>
  <c r="CJ113" i="1"/>
  <c r="Y217" i="1"/>
  <c r="Y195" i="1"/>
  <c r="CG25" i="1"/>
  <c r="CK26" i="1" s="1"/>
  <c r="Z188" i="1"/>
  <c r="Z25" i="1"/>
  <c r="X171" i="1"/>
  <c r="Y135" i="1"/>
  <c r="X143" i="1"/>
  <c r="X176" i="1"/>
  <c r="X135" i="1"/>
  <c r="X190" i="1" s="1"/>
  <c r="Y143" i="1"/>
  <c r="Z41" i="1"/>
  <c r="X41" i="1"/>
  <c r="CI147" i="1"/>
  <c r="CJ147" i="1" s="1"/>
  <c r="CH267" i="1"/>
  <c r="CJ41" i="1"/>
  <c r="CI143" i="1"/>
  <c r="CG41" i="1"/>
  <c r="CH25" i="1"/>
  <c r="CH41" i="1"/>
  <c r="CI267" i="1"/>
  <c r="CJ268" i="1"/>
  <c r="CH246" i="1"/>
  <c r="CJ246" i="1"/>
  <c r="CI268" i="1"/>
  <c r="CH195" i="1"/>
  <c r="CI195" i="1" s="1"/>
  <c r="CH198" i="1"/>
  <c r="CI198" i="1" s="1"/>
  <c r="CJ267" i="1"/>
  <c r="CJ25" i="1"/>
  <c r="Y88" i="1"/>
  <c r="X89" i="1"/>
  <c r="Z217" i="1"/>
  <c r="CI41" i="1"/>
  <c r="CI80" i="1"/>
  <c r="CJ209" i="1"/>
  <c r="Z143" i="1"/>
  <c r="CH80" i="1"/>
  <c r="CG80" i="1"/>
  <c r="CJ80" i="1"/>
  <c r="CH143" i="1"/>
  <c r="JP15" i="4"/>
  <c r="JP14" i="4"/>
  <c r="JP8" i="4"/>
  <c r="JP7" i="4"/>
  <c r="CM139" i="1"/>
  <c r="JP21" i="4"/>
  <c r="CJ92" i="1" s="1"/>
  <c r="JO21" i="4"/>
  <c r="CI92" i="1" s="1"/>
  <c r="JO7" i="4"/>
  <c r="JO15" i="4"/>
  <c r="JO14" i="4"/>
  <c r="JO8" i="4"/>
  <c r="JN21" i="4"/>
  <c r="CH92" i="1" s="1"/>
  <c r="JN15" i="4"/>
  <c r="JN14" i="4"/>
  <c r="JN7" i="4"/>
  <c r="JN8" i="4"/>
  <c r="CB28" i="1"/>
  <c r="CI217" i="1" l="1"/>
  <c r="CW35" i="1"/>
  <c r="DA35" i="1" s="1"/>
  <c r="KE21" i="4"/>
  <c r="JW16" i="4" s="1"/>
  <c r="JT16" i="4" s="1"/>
  <c r="KF9" i="4" s="1"/>
  <c r="AA203" i="1"/>
  <c r="AA26" i="1"/>
  <c r="AA221" i="1"/>
  <c r="AA220" i="1" s="1"/>
  <c r="AA264" i="1"/>
  <c r="KG21" i="4"/>
  <c r="CL259" i="1"/>
  <c r="KE15" i="4"/>
  <c r="JW7" i="4"/>
  <c r="JU21" i="4"/>
  <c r="JT14" i="4"/>
  <c r="CJ176" i="1"/>
  <c r="CK224" i="1" s="1"/>
  <c r="KC14" i="4"/>
  <c r="JZ15" i="4"/>
  <c r="JQ15" i="4"/>
  <c r="JS15" i="4"/>
  <c r="JR15" i="4"/>
  <c r="JY15" i="4"/>
  <c r="JX15" i="4"/>
  <c r="KA14" i="4"/>
  <c r="JW8" i="4"/>
  <c r="JU15" i="4"/>
  <c r="JY21" i="4"/>
  <c r="JZ14" i="4"/>
  <c r="JY14" i="4"/>
  <c r="JW21" i="4"/>
  <c r="KB15" i="4"/>
  <c r="JW14" i="4"/>
  <c r="KG7" i="4"/>
  <c r="KE7" i="4"/>
  <c r="KE19" i="4" s="1"/>
  <c r="KD15" i="4"/>
  <c r="JX7" i="4"/>
  <c r="KH7" i="4"/>
  <c r="JQ8" i="4"/>
  <c r="CL240" i="1"/>
  <c r="JS7" i="4"/>
  <c r="KC21" i="4"/>
  <c r="JW15" i="4"/>
  <c r="JT8" i="4"/>
  <c r="KH15" i="4"/>
  <c r="JR8" i="4"/>
  <c r="JY7" i="4"/>
  <c r="JV14" i="4"/>
  <c r="JV7" i="4"/>
  <c r="CL26" i="1"/>
  <c r="CL203" i="1"/>
  <c r="CL32" i="1"/>
  <c r="CL43" i="1"/>
  <c r="CL263" i="1"/>
  <c r="CL261" i="1"/>
  <c r="CL183" i="1"/>
  <c r="CL124" i="1" s="1"/>
  <c r="CL144" i="1"/>
  <c r="CL172" i="1"/>
  <c r="CL180" i="1" s="1"/>
  <c r="CL197" i="1"/>
  <c r="KD8" i="4"/>
  <c r="KG14" i="4"/>
  <c r="JQ21" i="4"/>
  <c r="CK92" i="1" s="1"/>
  <c r="KA21" i="4"/>
  <c r="KH8" i="4"/>
  <c r="CK43" i="1"/>
  <c r="KA7" i="4"/>
  <c r="KA19" i="4" s="1"/>
  <c r="KD14" i="4"/>
  <c r="JY8" i="4"/>
  <c r="JY20" i="4" s="1"/>
  <c r="KE8" i="4"/>
  <c r="KE20" i="4" s="1"/>
  <c r="JX8" i="4"/>
  <c r="KD21" i="4"/>
  <c r="KC15" i="4"/>
  <c r="JS8" i="4"/>
  <c r="JS20" i="4" s="1"/>
  <c r="JU8" i="4"/>
  <c r="JU20" i="4" s="1"/>
  <c r="JZ7" i="4"/>
  <c r="KG15" i="4"/>
  <c r="JT21" i="4"/>
  <c r="KB21" i="4"/>
  <c r="JT15" i="4"/>
  <c r="KB7" i="4"/>
  <c r="KC7" i="4"/>
  <c r="JQ7" i="4"/>
  <c r="JU7" i="4"/>
  <c r="JU19" i="4" s="1"/>
  <c r="CJ146" i="1"/>
  <c r="CK146" i="1" s="1"/>
  <c r="CJ171" i="1"/>
  <c r="CJ200" i="1" s="1"/>
  <c r="CJ199" i="1" s="1"/>
  <c r="CK199" i="1" s="1"/>
  <c r="CJ217" i="1"/>
  <c r="CK155" i="1"/>
  <c r="CK132" i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J135" i="1"/>
  <c r="CK32" i="1"/>
  <c r="CL34" i="1"/>
  <c r="CH169" i="1"/>
  <c r="CH171" i="1" s="1"/>
  <c r="CH200" i="1" s="1"/>
  <c r="Z171" i="1"/>
  <c r="AA212" i="1" s="1"/>
  <c r="AA213" i="1" s="1"/>
  <c r="AA214" i="1" s="1"/>
  <c r="CK114" i="1"/>
  <c r="KF8" i="4"/>
  <c r="KF20" i="4" s="1"/>
  <c r="JR14" i="4"/>
  <c r="KD7" i="4"/>
  <c r="KC8" i="4"/>
  <c r="KG8" i="4"/>
  <c r="JS21" i="4"/>
  <c r="KF7" i="4"/>
  <c r="JT7" i="4"/>
  <c r="JT19" i="4" s="1"/>
  <c r="JR7" i="4"/>
  <c r="KH14" i="4"/>
  <c r="JV15" i="4"/>
  <c r="JV20" i="4" s="1"/>
  <c r="KB8" i="4"/>
  <c r="JX14" i="4"/>
  <c r="CJ143" i="1"/>
  <c r="CJ163" i="1"/>
  <c r="CJ197" i="1" s="1"/>
  <c r="CI31" i="1"/>
  <c r="CK27" i="1"/>
  <c r="Y211" i="1"/>
  <c r="X42" i="1"/>
  <c r="X172" i="1"/>
  <c r="Z211" i="1"/>
  <c r="Z149" i="1"/>
  <c r="Z48" i="1" s="1"/>
  <c r="Z197" i="1"/>
  <c r="Z196" i="1" s="1"/>
  <c r="KA20" i="4"/>
  <c r="Z42" i="1"/>
  <c r="CH163" i="1"/>
  <c r="CH194" i="1"/>
  <c r="CI194" i="1" s="1"/>
  <c r="X113" i="1"/>
  <c r="X31" i="1"/>
  <c r="Y153" i="1"/>
  <c r="Y48" i="1"/>
  <c r="Y203" i="1"/>
  <c r="Y42" i="1"/>
  <c r="Y26" i="1"/>
  <c r="Y113" i="1"/>
  <c r="Y31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J153" i="1"/>
  <c r="CI132" i="1"/>
  <c r="CH135" i="1"/>
  <c r="CH107" i="1" s="1"/>
  <c r="CH109" i="1" s="1"/>
  <c r="Z190" i="1"/>
  <c r="Z263" i="1"/>
  <c r="AB148" i="1"/>
  <c r="CQ148" i="1"/>
  <c r="CR148" i="1" s="1"/>
  <c r="CS148" i="1" s="1"/>
  <c r="CT148" i="1" s="1"/>
  <c r="CG42" i="1"/>
  <c r="CG31" i="1"/>
  <c r="CK33" i="1" s="1"/>
  <c r="X144" i="1"/>
  <c r="CI42" i="1"/>
  <c r="Y196" i="1"/>
  <c r="Y200" i="1"/>
  <c r="Y172" i="1"/>
  <c r="X153" i="1"/>
  <c r="X48" i="1"/>
  <c r="X263" i="1"/>
  <c r="Y224" i="1"/>
  <c r="Z203" i="1"/>
  <c r="Z26" i="1"/>
  <c r="Z31" i="1"/>
  <c r="AA33" i="1" s="1"/>
  <c r="Z113" i="1"/>
  <c r="Y190" i="1"/>
  <c r="Y263" i="1"/>
  <c r="X52" i="1"/>
  <c r="X183" i="1"/>
  <c r="X124" i="1" s="1"/>
  <c r="CI221" i="1"/>
  <c r="X200" i="1"/>
  <c r="Y212" i="1"/>
  <c r="JZ20" i="4"/>
  <c r="Y264" i="1"/>
  <c r="Y221" i="1"/>
  <c r="Y183" i="1"/>
  <c r="Y124" i="1" s="1"/>
  <c r="CK143" i="1"/>
  <c r="Y52" i="1"/>
  <c r="Y144" i="1"/>
  <c r="Z183" i="1"/>
  <c r="Z124" i="1" s="1"/>
  <c r="Z221" i="1"/>
  <c r="CI27" i="1"/>
  <c r="CJ31" i="1"/>
  <c r="CK34" i="1" s="1"/>
  <c r="CJ114" i="1"/>
  <c r="CJ117" i="1" s="1"/>
  <c r="CH42" i="1"/>
  <c r="CJ240" i="1"/>
  <c r="CJ27" i="1"/>
  <c r="CJ42" i="1"/>
  <c r="CH31" i="1"/>
  <c r="CL33" i="1" s="1"/>
  <c r="CH27" i="1"/>
  <c r="Z144" i="1"/>
  <c r="Z52" i="1"/>
  <c r="Z264" i="1"/>
  <c r="CH183" i="1"/>
  <c r="CI264" i="1"/>
  <c r="CI146" i="1"/>
  <c r="CI149" i="1" s="1"/>
  <c r="CJ48" i="1" s="1"/>
  <c r="CH149" i="1"/>
  <c r="X196" i="1"/>
  <c r="CM194" i="1"/>
  <c r="CN139" i="1"/>
  <c r="CM195" i="1"/>
  <c r="CM198" i="1"/>
  <c r="CX178" i="1"/>
  <c r="JP20" i="4"/>
  <c r="CJ94" i="1" s="1"/>
  <c r="JP19" i="4"/>
  <c r="CJ93" i="1" s="1"/>
  <c r="JO19" i="4"/>
  <c r="CI93" i="1" s="1"/>
  <c r="JO20" i="4"/>
  <c r="CI94" i="1" s="1"/>
  <c r="JN20" i="4"/>
  <c r="CH94" i="1" s="1"/>
  <c r="JN19" i="4"/>
  <c r="CH93" i="1" s="1"/>
  <c r="KF21" i="4" l="1"/>
  <c r="JT20" i="4"/>
  <c r="JR19" i="4"/>
  <c r="CL93" i="1" s="1"/>
  <c r="JQ19" i="4"/>
  <c r="CK93" i="1" s="1"/>
  <c r="KG19" i="4"/>
  <c r="JR20" i="4"/>
  <c r="CL94" i="1" s="1"/>
  <c r="JS19" i="4"/>
  <c r="KH19" i="4"/>
  <c r="JX19" i="4"/>
  <c r="JV19" i="4"/>
  <c r="KC19" i="4"/>
  <c r="KB20" i="4"/>
  <c r="KH20" i="4"/>
  <c r="JY19" i="4"/>
  <c r="JW19" i="4"/>
  <c r="KD20" i="4"/>
  <c r="JQ20" i="4"/>
  <c r="CK94" i="1" s="1"/>
  <c r="CH199" i="1"/>
  <c r="CI199" i="1" s="1"/>
  <c r="JZ19" i="4"/>
  <c r="JW20" i="4"/>
  <c r="JX20" i="4"/>
  <c r="CL181" i="1"/>
  <c r="CJ144" i="1"/>
  <c r="CK117" i="1"/>
  <c r="KD19" i="4"/>
  <c r="KC20" i="4"/>
  <c r="KG20" i="4"/>
  <c r="CL247" i="1"/>
  <c r="CL248" i="1" s="1"/>
  <c r="CL265" i="1"/>
  <c r="CL49" i="1"/>
  <c r="CL53" i="1" s="1"/>
  <c r="CL44" i="1"/>
  <c r="CL196" i="1"/>
  <c r="CL201" i="1"/>
  <c r="CL46" i="1"/>
  <c r="CK49" i="1"/>
  <c r="CK53" i="1" s="1"/>
  <c r="CK44" i="1"/>
  <c r="CL217" i="1"/>
  <c r="CK217" i="1"/>
  <c r="CJ107" i="1"/>
  <c r="CJ263" i="1"/>
  <c r="Z200" i="1"/>
  <c r="Z172" i="1"/>
  <c r="Z212" i="1"/>
  <c r="Z213" i="1" s="1"/>
  <c r="CI32" i="1"/>
  <c r="CI43" i="1"/>
  <c r="CL264" i="1"/>
  <c r="CL221" i="1"/>
  <c r="CJ221" i="1"/>
  <c r="CJ172" i="1"/>
  <c r="CJ180" i="1" s="1"/>
  <c r="CJ264" i="1"/>
  <c r="Z153" i="1"/>
  <c r="AA218" i="1" s="1"/>
  <c r="AA216" i="1" s="1"/>
  <c r="Y213" i="1"/>
  <c r="X180" i="1"/>
  <c r="X181" i="1" s="1"/>
  <c r="X261" i="1"/>
  <c r="Y180" i="1"/>
  <c r="Y181" i="1" s="1"/>
  <c r="CH197" i="1"/>
  <c r="CH172" i="1"/>
  <c r="CM42" i="1"/>
  <c r="Y33" i="1"/>
  <c r="X43" i="1"/>
  <c r="X32" i="1"/>
  <c r="Y261" i="1"/>
  <c r="Y259" i="1"/>
  <c r="Y43" i="1"/>
  <c r="Y32" i="1"/>
  <c r="CJ259" i="1"/>
  <c r="CJ261" i="1"/>
  <c r="CH263" i="1"/>
  <c r="CH144" i="1"/>
  <c r="CU148" i="1"/>
  <c r="CV148" i="1" s="1"/>
  <c r="CW148" i="1" s="1"/>
  <c r="CX148" i="1" s="1"/>
  <c r="AC148" i="1"/>
  <c r="X259" i="1"/>
  <c r="Y218" i="1"/>
  <c r="Y216" i="1" s="1"/>
  <c r="Z33" i="1"/>
  <c r="Z32" i="1"/>
  <c r="Z43" i="1"/>
  <c r="CH111" i="1"/>
  <c r="CG43" i="1"/>
  <c r="CG32" i="1"/>
  <c r="CK200" i="1"/>
  <c r="Y199" i="1"/>
  <c r="Y201" i="1"/>
  <c r="CM155" i="1"/>
  <c r="CJ196" i="1"/>
  <c r="CK196" i="1" s="1"/>
  <c r="CJ201" i="1"/>
  <c r="CH110" i="1"/>
  <c r="CI34" i="1"/>
  <c r="CH32" i="1"/>
  <c r="X199" i="1"/>
  <c r="X201" i="1"/>
  <c r="CM140" i="1"/>
  <c r="CJ34" i="1"/>
  <c r="CJ43" i="1"/>
  <c r="CK46" i="1" s="1"/>
  <c r="CJ32" i="1"/>
  <c r="CK221" i="1"/>
  <c r="CK264" i="1"/>
  <c r="CH43" i="1"/>
  <c r="CL45" i="1" s="1"/>
  <c r="CH34" i="1"/>
  <c r="CI52" i="1"/>
  <c r="CH124" i="1"/>
  <c r="CI153" i="1"/>
  <c r="CJ218" i="1" s="1"/>
  <c r="CJ216" i="1" s="1"/>
  <c r="CI48" i="1"/>
  <c r="CH153" i="1"/>
  <c r="CJ123" i="1"/>
  <c r="CJ119" i="1"/>
  <c r="CH123" i="1"/>
  <c r="CI122" i="1"/>
  <c r="CH122" i="1"/>
  <c r="CI123" i="1"/>
  <c r="CJ122" i="1"/>
  <c r="CJ118" i="1"/>
  <c r="CN195" i="1"/>
  <c r="CO139" i="1"/>
  <c r="CN198" i="1"/>
  <c r="CN194" i="1"/>
  <c r="CY132" i="1"/>
  <c r="CY178" i="1"/>
  <c r="CK119" i="1" l="1"/>
  <c r="CL123" i="1"/>
  <c r="CL126" i="1" s="1"/>
  <c r="CK118" i="1"/>
  <c r="CK122" i="1"/>
  <c r="AA228" i="1"/>
  <c r="AA225" i="1"/>
  <c r="AA226" i="1" s="1"/>
  <c r="AA45" i="1"/>
  <c r="AA265" i="1"/>
  <c r="AA266" i="1" s="1"/>
  <c r="CL118" i="1"/>
  <c r="CL122" i="1"/>
  <c r="CL125" i="1" s="1"/>
  <c r="CL110" i="1"/>
  <c r="CL111" i="1"/>
  <c r="CI200" i="1"/>
  <c r="CI167" i="1"/>
  <c r="CL119" i="1"/>
  <c r="CJ181" i="1"/>
  <c r="CK123" i="1"/>
  <c r="Z218" i="1"/>
  <c r="Z216" i="1" s="1"/>
  <c r="CK55" i="1"/>
  <c r="CK56" i="1"/>
  <c r="CJ109" i="1"/>
  <c r="CJ111" i="1"/>
  <c r="CJ110" i="1"/>
  <c r="Z201" i="1"/>
  <c r="AA204" i="1" s="1"/>
  <c r="AA205" i="1" s="1"/>
  <c r="Z199" i="1"/>
  <c r="CI49" i="1"/>
  <c r="CI247" i="1"/>
  <c r="CI248" i="1" s="1"/>
  <c r="CI44" i="1"/>
  <c r="CL55" i="1"/>
  <c r="CL56" i="1"/>
  <c r="CL241" i="1"/>
  <c r="CL127" i="1"/>
  <c r="CL266" i="1"/>
  <c r="Z259" i="1"/>
  <c r="Z261" i="1"/>
  <c r="Z180" i="1"/>
  <c r="Z181" i="1" s="1"/>
  <c r="Z44" i="1"/>
  <c r="Z247" i="1"/>
  <c r="Z248" i="1" s="1"/>
  <c r="CH201" i="1"/>
  <c r="CL204" i="1" s="1"/>
  <c r="CH196" i="1"/>
  <c r="CI196" i="1" s="1"/>
  <c r="Y204" i="1"/>
  <c r="Y205" i="1" s="1"/>
  <c r="Z49" i="1"/>
  <c r="Z127" i="1"/>
  <c r="CG44" i="1"/>
  <c r="CG49" i="1"/>
  <c r="CG53" i="1" s="1"/>
  <c r="CG247" i="1"/>
  <c r="CG248" i="1" s="1"/>
  <c r="CK45" i="1"/>
  <c r="CI265" i="1"/>
  <c r="CI266" i="1" s="1"/>
  <c r="CK127" i="1"/>
  <c r="X247" i="1"/>
  <c r="X248" i="1" s="1"/>
  <c r="X49" i="1"/>
  <c r="X127" i="1"/>
  <c r="X44" i="1"/>
  <c r="Y45" i="1"/>
  <c r="Z265" i="1"/>
  <c r="Z266" i="1" s="1"/>
  <c r="Y265" i="1"/>
  <c r="Y266" i="1" s="1"/>
  <c r="Y127" i="1"/>
  <c r="Y44" i="1"/>
  <c r="Y247" i="1"/>
  <c r="Y248" i="1" s="1"/>
  <c r="Z45" i="1"/>
  <c r="Y49" i="1"/>
  <c r="CM32" i="1"/>
  <c r="CY148" i="1"/>
  <c r="CZ148" i="1" s="1"/>
  <c r="DA148" i="1" s="1"/>
  <c r="DB148" i="1" s="1"/>
  <c r="AE148" i="1" s="1"/>
  <c r="AD148" i="1"/>
  <c r="CM217" i="1"/>
  <c r="CN155" i="1"/>
  <c r="CK197" i="1"/>
  <c r="CK201" i="1" s="1"/>
  <c r="CM199" i="1"/>
  <c r="CJ46" i="1"/>
  <c r="CJ265" i="1"/>
  <c r="CJ266" i="1" s="1"/>
  <c r="CJ247" i="1"/>
  <c r="CJ248" i="1" s="1"/>
  <c r="CH44" i="1"/>
  <c r="CH49" i="1"/>
  <c r="CH53" i="1" s="1"/>
  <c r="CH46" i="1"/>
  <c r="CH265" i="1"/>
  <c r="CI46" i="1"/>
  <c r="CH247" i="1"/>
  <c r="CH248" i="1" s="1"/>
  <c r="CJ241" i="1"/>
  <c r="CJ127" i="1"/>
  <c r="CJ44" i="1"/>
  <c r="CJ49" i="1"/>
  <c r="CJ53" i="1" s="1"/>
  <c r="CN140" i="1"/>
  <c r="CM143" i="1"/>
  <c r="CM264" i="1" s="1"/>
  <c r="CI218" i="1"/>
  <c r="CI216" i="1" s="1"/>
  <c r="CH125" i="1"/>
  <c r="CH126" i="1"/>
  <c r="CK209" i="1"/>
  <c r="CK147" i="1"/>
  <c r="CH261" i="1"/>
  <c r="CH180" i="1"/>
  <c r="CH181" i="1" s="1"/>
  <c r="CN42" i="1"/>
  <c r="CO42" i="1" s="1"/>
  <c r="CP139" i="1"/>
  <c r="CO194" i="1"/>
  <c r="CO195" i="1"/>
  <c r="CO198" i="1"/>
  <c r="CZ178" i="1"/>
  <c r="CZ132" i="1"/>
  <c r="CM60" i="1"/>
  <c r="CN60" i="1" s="1"/>
  <c r="CO60" i="1" s="1"/>
  <c r="CP60" i="1" s="1"/>
  <c r="CQ60" i="1" s="1"/>
  <c r="CR60" i="1" s="1"/>
  <c r="CS60" i="1" s="1"/>
  <c r="CT60" i="1" s="1"/>
  <c r="CU60" i="1" s="1"/>
  <c r="CM61" i="1"/>
  <c r="CL70" i="1" l="1"/>
  <c r="Z204" i="1"/>
  <c r="Z205" i="1" s="1"/>
  <c r="CI53" i="1"/>
  <c r="CK57" i="1"/>
  <c r="CK63" i="1"/>
  <c r="CI55" i="1"/>
  <c r="CL59" i="1"/>
  <c r="CL249" i="1"/>
  <c r="CL63" i="1"/>
  <c r="CL57" i="1"/>
  <c r="CL260" i="1" s="1"/>
  <c r="CL129" i="1"/>
  <c r="CL128" i="1"/>
  <c r="CK149" i="1"/>
  <c r="CL147" i="1"/>
  <c r="CL146" i="1" s="1"/>
  <c r="Z53" i="1"/>
  <c r="Z56" i="1" s="1"/>
  <c r="AA58" i="1" s="1"/>
  <c r="Z70" i="1"/>
  <c r="CG56" i="1"/>
  <c r="CK58" i="1" s="1"/>
  <c r="CG55" i="1"/>
  <c r="X53" i="1"/>
  <c r="X55" i="1" s="1"/>
  <c r="X70" i="1"/>
  <c r="Y70" i="1"/>
  <c r="Y53" i="1"/>
  <c r="Y55" i="1" s="1"/>
  <c r="CI161" i="1"/>
  <c r="CI197" i="1"/>
  <c r="CN217" i="1"/>
  <c r="CO155" i="1"/>
  <c r="CH55" i="1"/>
  <c r="CH56" i="1"/>
  <c r="CL58" i="1" s="1"/>
  <c r="CJ56" i="1"/>
  <c r="CJ55" i="1"/>
  <c r="CN199" i="1"/>
  <c r="CM200" i="1"/>
  <c r="CM196" i="1"/>
  <c r="CO140" i="1"/>
  <c r="CN143" i="1"/>
  <c r="CN264" i="1" s="1"/>
  <c r="CM221" i="1"/>
  <c r="CP42" i="1"/>
  <c r="CQ42" i="1" s="1"/>
  <c r="CR42" i="1" s="1"/>
  <c r="CS42" i="1" s="1"/>
  <c r="CN32" i="1"/>
  <c r="CP198" i="1"/>
  <c r="CP195" i="1"/>
  <c r="CP194" i="1"/>
  <c r="CQ139" i="1"/>
  <c r="DA132" i="1"/>
  <c r="DA178" i="1"/>
  <c r="CE80" i="1"/>
  <c r="AB60" i="1"/>
  <c r="AC60" i="1"/>
  <c r="CV60" i="1"/>
  <c r="CW60" i="1" s="1"/>
  <c r="CX60" i="1" s="1"/>
  <c r="CY60" i="1" s="1"/>
  <c r="AB50" i="1"/>
  <c r="CN61" i="1"/>
  <c r="CO61" i="1" s="1"/>
  <c r="CP61" i="1" s="1"/>
  <c r="CQ61" i="1" s="1"/>
  <c r="CI56" i="1" l="1"/>
  <c r="CK67" i="1"/>
  <c r="CK81" i="1"/>
  <c r="CL48" i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CK153" i="1"/>
  <c r="CK218" i="1" s="1"/>
  <c r="CK216" i="1" s="1"/>
  <c r="CL67" i="1"/>
  <c r="CL208" i="1"/>
  <c r="CL210" i="1" s="1"/>
  <c r="CL81" i="1"/>
  <c r="CM146" i="1"/>
  <c r="CN146" i="1" s="1"/>
  <c r="CO146" i="1" s="1"/>
  <c r="CP146" i="1" s="1"/>
  <c r="CL218" i="1"/>
  <c r="CL216" i="1" s="1"/>
  <c r="X56" i="1"/>
  <c r="X249" i="1" s="1"/>
  <c r="Z55" i="1"/>
  <c r="CG57" i="1"/>
  <c r="CG260" i="1" s="1"/>
  <c r="CG63" i="1"/>
  <c r="CG208" i="1" s="1"/>
  <c r="CG210" i="1" s="1"/>
  <c r="CG249" i="1"/>
  <c r="Y56" i="1"/>
  <c r="Y57" i="1" s="1"/>
  <c r="Y260" i="1" s="1"/>
  <c r="CM55" i="1"/>
  <c r="CN55" i="1" s="1"/>
  <c r="CP155" i="1"/>
  <c r="CP217" i="1" s="1"/>
  <c r="CO217" i="1"/>
  <c r="CJ242" i="1"/>
  <c r="CI59" i="1"/>
  <c r="CJ59" i="1"/>
  <c r="CJ57" i="1"/>
  <c r="CJ260" i="1" s="1"/>
  <c r="CJ63" i="1"/>
  <c r="CJ249" i="1"/>
  <c r="CK59" i="1"/>
  <c r="CH59" i="1"/>
  <c r="CH63" i="1"/>
  <c r="CH57" i="1"/>
  <c r="CH260" i="1" s="1"/>
  <c r="CH249" i="1"/>
  <c r="CO199" i="1"/>
  <c r="CN200" i="1"/>
  <c r="CM197" i="1"/>
  <c r="CM201" i="1" s="1"/>
  <c r="CN196" i="1"/>
  <c r="CP140" i="1"/>
  <c r="CO143" i="1"/>
  <c r="CO264" i="1" s="1"/>
  <c r="CN221" i="1"/>
  <c r="Z63" i="1"/>
  <c r="Z57" i="1"/>
  <c r="Z260" i="1" s="1"/>
  <c r="Z249" i="1"/>
  <c r="CO32" i="1"/>
  <c r="CP32" i="1" s="1"/>
  <c r="CT42" i="1"/>
  <c r="CB80" i="1"/>
  <c r="BL80" i="1"/>
  <c r="CR139" i="1"/>
  <c r="CQ194" i="1"/>
  <c r="CQ198" i="1"/>
  <c r="CC80" i="1"/>
  <c r="CQ195" i="1"/>
  <c r="DB132" i="1"/>
  <c r="DB178" i="1"/>
  <c r="AL80" i="1"/>
  <c r="CF80" i="1"/>
  <c r="CD80" i="1"/>
  <c r="BY80" i="1"/>
  <c r="BZ80" i="1"/>
  <c r="CA80" i="1"/>
  <c r="AD60" i="1"/>
  <c r="AB61" i="1"/>
  <c r="CZ60" i="1"/>
  <c r="DA60" i="1" s="1"/>
  <c r="DB60" i="1" s="1"/>
  <c r="AE60" i="1" s="1"/>
  <c r="AC50" i="1"/>
  <c r="CR61" i="1"/>
  <c r="CS61" i="1" s="1"/>
  <c r="CT61" i="1" s="1"/>
  <c r="CU61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P16" i="4" a="1"/>
  <c r="EL5" i="4" a="1"/>
  <c r="AT5" i="3"/>
  <c r="AT15" i="3"/>
  <c r="AS14" i="3"/>
  <c r="AQ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F31" i="3"/>
  <c r="AX27" i="3"/>
  <c r="AF39" i="3"/>
  <c r="AZ19" i="3"/>
  <c r="AU37" i="3"/>
  <c r="EV15" i="4" a="1"/>
  <c r="ER12" i="4" a="1"/>
  <c r="EM7" i="4" a="1"/>
  <c r="ES8" i="4" a="1"/>
  <c r="ET14" i="4" a="1"/>
  <c r="ET9" i="4" a="1"/>
  <c r="EQ9" i="4" a="1"/>
  <c r="EO14" i="4" a="1"/>
  <c r="EW14" i="4" a="1"/>
  <c r="ES15" i="4" a="1"/>
  <c r="ET13" i="4" a="1"/>
  <c r="AB5" i="3"/>
  <c r="AX15" i="3"/>
  <c r="V6" i="6" a="1"/>
  <c r="U5" i="6" a="1"/>
  <c r="AW26" i="3"/>
  <c r="EP8" i="4" a="1"/>
  <c r="EW13" i="4" a="1"/>
  <c r="EL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EO16" i="4" a="1"/>
  <c r="EM9" i="4" a="1"/>
  <c r="ET11" i="4" a="1"/>
  <c r="EW5" i="4" a="1"/>
  <c r="AF22" i="3"/>
  <c r="AT46" i="3"/>
  <c r="AT41" i="3"/>
  <c r="AV37" i="3"/>
  <c r="EQ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X19" i="3"/>
  <c r="AP5" i="3"/>
  <c r="AV28" i="3"/>
  <c r="AW14" i="3"/>
  <c r="AW33" i="3"/>
  <c r="AT9" i="3"/>
  <c r="AU35" i="3"/>
  <c r="AV22" i="3"/>
  <c r="Y6" i="6" a="1"/>
  <c r="AS5" i="3"/>
  <c r="EQ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V6" i="3"/>
  <c r="H6" i="6" a="1"/>
  <c r="AW5" i="3"/>
  <c r="AU38" i="3"/>
  <c r="AY14" i="3"/>
  <c r="H5" i="6" a="1"/>
  <c r="AO5" i="6" a="1"/>
  <c r="S5" i="6" a="1"/>
  <c r="AY22" i="3"/>
  <c r="AF20" i="3"/>
  <c r="AZ30" i="3"/>
  <c r="AY10" i="3"/>
  <c r="AF12" i="3"/>
  <c r="AY34" i="3"/>
  <c r="AP5" i="6" a="1"/>
  <c r="AP6" i="3"/>
  <c r="AT18" i="3"/>
  <c r="AF14" i="3"/>
  <c r="W6" i="6" a="1"/>
  <c r="G6" i="6" a="1"/>
  <c r="AZ38" i="3"/>
  <c r="AV32" i="3"/>
  <c r="AY41" i="3"/>
  <c r="AW11" i="3"/>
  <c r="P5" i="6" a="1"/>
  <c r="AY46" i="3"/>
  <c r="AY45" i="3"/>
  <c r="AT22" i="3"/>
  <c r="ES7" i="4" a="1"/>
  <c r="AX10" i="3"/>
  <c r="AV24" i="3"/>
  <c r="AU24" i="3"/>
  <c r="AW22" i="3"/>
  <c r="AU11" i="3"/>
  <c r="AU33" i="3"/>
  <c r="AU32" i="3"/>
  <c r="AZ40" i="3"/>
  <c r="EU8" i="4" a="1"/>
  <c r="EO5" i="4" a="1"/>
  <c r="ET7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S40" i="3"/>
  <c r="AE5" i="6" a="1"/>
  <c r="AV9" i="3"/>
  <c r="AU14" i="3"/>
  <c r="AD5" i="6" a="1"/>
  <c r="AW18" i="3"/>
  <c r="AT12" i="3"/>
  <c r="T6" i="6" a="1"/>
  <c r="AX14" i="3"/>
  <c r="AW24" i="3"/>
  <c r="M5" i="6" a="1"/>
  <c r="EW16" i="4" a="1"/>
  <c r="EL8" i="4" a="1"/>
  <c r="EU13" i="4" a="1"/>
  <c r="EW7" i="4" a="1"/>
  <c r="EU5" i="4" a="1"/>
  <c r="EN9" i="4" a="1"/>
  <c r="EN12" i="4" a="1"/>
  <c r="ES9" i="4" a="1"/>
  <c r="EU12" i="4" a="1"/>
  <c r="C5" i="4" a="1"/>
  <c r="EO11" i="4" a="1"/>
  <c r="EQ14" i="4" a="1"/>
  <c r="AW41" i="3"/>
  <c r="AF8" i="3"/>
  <c r="AS6" i="6" a="1"/>
  <c r="AU31" i="3"/>
  <c r="EQ11" i="4" a="1"/>
  <c r="EL16" i="4" a="1"/>
  <c r="EN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38" i="3"/>
  <c r="AW42" i="3"/>
  <c r="F6" i="6" a="1"/>
  <c r="AY9" i="3"/>
  <c r="AS33" i="3"/>
  <c r="AV19" i="3"/>
  <c r="AL6" i="6" a="1"/>
  <c r="AX37" i="3"/>
  <c r="AS21" i="3"/>
  <c r="AZ13" i="3"/>
  <c r="AR5" i="6" a="1"/>
  <c r="C6" i="4" a="1"/>
  <c r="EU11" i="4" a="1"/>
  <c r="EN13" i="4" a="1"/>
  <c r="EP6" i="4" a="1"/>
  <c r="ER15" i="4" a="1"/>
  <c r="EV14" i="4" a="1"/>
  <c r="EW11" i="4" a="1"/>
  <c r="AF5" i="6" a="1"/>
  <c r="EP15" i="4" a="1"/>
  <c r="EO7" i="4" a="1"/>
  <c r="EN16" i="4" a="1"/>
  <c r="EU6" i="4" a="1"/>
  <c r="EM8" i="4" a="1"/>
  <c r="AR7" i="3"/>
  <c r="EN8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EU14" i="4" a="1"/>
  <c r="EO9" i="4" a="1"/>
  <c r="EV7" i="4" a="1"/>
  <c r="CI57" i="1" l="1"/>
  <c r="CI260" i="1" s="1"/>
  <c r="CL242" i="1"/>
  <c r="CI63" i="1"/>
  <c r="CI249" i="1"/>
  <c r="AB146" i="1"/>
  <c r="CQ146" i="1"/>
  <c r="CR146" i="1" s="1"/>
  <c r="CS146" i="1" s="1"/>
  <c r="CT146" i="1" s="1"/>
  <c r="CJ208" i="1"/>
  <c r="CJ210" i="1" s="1"/>
  <c r="CL69" i="1"/>
  <c r="X63" i="1"/>
  <c r="X208" i="1" s="1"/>
  <c r="X210" i="1" s="1"/>
  <c r="X57" i="1"/>
  <c r="X260" i="1" s="1"/>
  <c r="Y249" i="1"/>
  <c r="Y58" i="1"/>
  <c r="CJ81" i="1"/>
  <c r="Y63" i="1"/>
  <c r="Y69" i="1" s="1"/>
  <c r="CJ67" i="1"/>
  <c r="Z58" i="1"/>
  <c r="CG81" i="1"/>
  <c r="CG67" i="1"/>
  <c r="CQ155" i="1"/>
  <c r="CQ217" i="1" s="1"/>
  <c r="CJ69" i="1"/>
  <c r="CH208" i="1"/>
  <c r="CH210" i="1" s="1"/>
  <c r="CH81" i="1"/>
  <c r="CH67" i="1"/>
  <c r="CP199" i="1"/>
  <c r="CO200" i="1"/>
  <c r="CN197" i="1"/>
  <c r="CN201" i="1" s="1"/>
  <c r="CO196" i="1"/>
  <c r="CQ140" i="1"/>
  <c r="CP143" i="1"/>
  <c r="CP264" i="1" s="1"/>
  <c r="CO221" i="1"/>
  <c r="BY37" i="1"/>
  <c r="CA24" i="1"/>
  <c r="CE37" i="1"/>
  <c r="CA37" i="1"/>
  <c r="CF37" i="1"/>
  <c r="CD37" i="1"/>
  <c r="BZ37" i="1"/>
  <c r="BL37" i="1"/>
  <c r="CC37" i="1"/>
  <c r="CB37" i="1"/>
  <c r="CF24" i="1"/>
  <c r="CD24" i="1"/>
  <c r="BY24" i="1"/>
  <c r="CE24" i="1"/>
  <c r="BZ24" i="1"/>
  <c r="CC24" i="1"/>
  <c r="CB24" i="1"/>
  <c r="BL24" i="1"/>
  <c r="Z208" i="1"/>
  <c r="Z210" i="1" s="1"/>
  <c r="Z214" i="1" s="1"/>
  <c r="Z228" i="1" s="1"/>
  <c r="Z222" i="1"/>
  <c r="Z220" i="1" s="1"/>
  <c r="Z69" i="1"/>
  <c r="Z67" i="1"/>
  <c r="CD40" i="1"/>
  <c r="CC60" i="1"/>
  <c r="CA23" i="1"/>
  <c r="CD54" i="1"/>
  <c r="AH7" i="6" s="1"/>
  <c r="CD50" i="1"/>
  <c r="CF51" i="1"/>
  <c r="BY60" i="1"/>
  <c r="BL60" i="1"/>
  <c r="CD61" i="1"/>
  <c r="AV7" i="6" s="1"/>
  <c r="CB35" i="1"/>
  <c r="R7" i="6" s="1"/>
  <c r="X7" i="6" s="1"/>
  <c r="CD60" i="1"/>
  <c r="CD30" i="1"/>
  <c r="V7" i="6" s="1"/>
  <c r="BY30" i="1"/>
  <c r="CB23" i="1"/>
  <c r="BY66" i="1"/>
  <c r="BL23" i="1"/>
  <c r="AW7" i="6" s="1"/>
  <c r="BY36" i="1"/>
  <c r="CA28" i="1"/>
  <c r="CB38" i="1"/>
  <c r="BZ51" i="1"/>
  <c r="O7" i="6" s="1"/>
  <c r="BL62" i="1"/>
  <c r="AQ7" i="6" s="1"/>
  <c r="CF23" i="1"/>
  <c r="CF7" i="1" s="1"/>
  <c r="JJ9" i="4" s="1"/>
  <c r="BY61" i="1"/>
  <c r="AM7" i="6" s="1"/>
  <c r="JM16" i="4" s="1"/>
  <c r="CF62" i="1"/>
  <c r="CA39" i="1"/>
  <c r="BL38" i="1"/>
  <c r="BL61" i="1"/>
  <c r="CF50" i="1"/>
  <c r="BL51" i="1"/>
  <c r="BZ60" i="1"/>
  <c r="CC40" i="1"/>
  <c r="CC36" i="1"/>
  <c r="JM9" i="4" s="1"/>
  <c r="CA36" i="1"/>
  <c r="JL16" i="4" s="1"/>
  <c r="BZ39" i="1"/>
  <c r="CB36" i="1"/>
  <c r="CC28" i="1"/>
  <c r="JK16" i="4" s="1"/>
  <c r="CA66" i="1"/>
  <c r="BZ29" i="1"/>
  <c r="CE30" i="1"/>
  <c r="CC29" i="1"/>
  <c r="C7" i="6" s="1"/>
  <c r="T7" i="6" s="1"/>
  <c r="BY39" i="1"/>
  <c r="CC61" i="1"/>
  <c r="CC23" i="1"/>
  <c r="CB50" i="1"/>
  <c r="JL9" i="4" s="1"/>
  <c r="CF54" i="1"/>
  <c r="AL7" i="6" s="1"/>
  <c r="BZ47" i="1"/>
  <c r="BZ209" i="1" s="1"/>
  <c r="BZ50" i="1"/>
  <c r="J7" i="6" s="1"/>
  <c r="BY62" i="1"/>
  <c r="Z7" i="6" s="1"/>
  <c r="BL35" i="1"/>
  <c r="CF28" i="1"/>
  <c r="CF38" i="1"/>
  <c r="BZ28" i="1"/>
  <c r="CA30" i="1"/>
  <c r="CD29" i="1"/>
  <c r="BL36" i="1"/>
  <c r="BY29" i="1"/>
  <c r="CE47" i="1"/>
  <c r="CE209" i="1" s="1"/>
  <c r="AD7" i="6" s="1"/>
  <c r="CF40" i="1"/>
  <c r="CE35" i="1"/>
  <c r="CA62" i="1"/>
  <c r="CD51" i="1"/>
  <c r="CB39" i="1"/>
  <c r="CD62" i="1"/>
  <c r="AP7" i="6" s="1"/>
  <c r="Y7" i="6" s="1"/>
  <c r="CA40" i="1"/>
  <c r="AA7" i="6" s="1"/>
  <c r="AJ7" i="6" s="1"/>
  <c r="BY23" i="1"/>
  <c r="BY7" i="1" s="1"/>
  <c r="BY38" i="1"/>
  <c r="CB54" i="1"/>
  <c r="CE40" i="1"/>
  <c r="I7" i="6" s="1"/>
  <c r="AK7" i="6" s="1"/>
  <c r="CE29" i="1"/>
  <c r="K7" i="6" s="1"/>
  <c r="F7" i="6" s="1"/>
  <c r="CB60" i="1"/>
  <c r="CF39" i="1"/>
  <c r="AC7" i="6" s="1"/>
  <c r="AE7" i="6" s="1"/>
  <c r="M7" i="6" s="1"/>
  <c r="Q7" i="6" s="1"/>
  <c r="CA61" i="1"/>
  <c r="BZ61" i="1"/>
  <c r="CA51" i="1"/>
  <c r="CF61" i="1"/>
  <c r="AU7" i="6" s="1"/>
  <c r="BL30" i="1"/>
  <c r="CE39" i="1"/>
  <c r="CB47" i="1"/>
  <c r="CB209" i="1" s="1"/>
  <c r="CC62" i="1"/>
  <c r="CC66" i="1"/>
  <c r="AX7" i="6" s="1"/>
  <c r="BZ38" i="1"/>
  <c r="AT7" i="6" s="1"/>
  <c r="S7" i="6" s="1"/>
  <c r="BY28" i="1"/>
  <c r="CE50" i="1"/>
  <c r="CA60" i="1"/>
  <c r="CB62" i="1"/>
  <c r="CA50" i="1"/>
  <c r="CF66" i="1"/>
  <c r="CF36" i="1"/>
  <c r="CA35" i="1"/>
  <c r="AN7" i="6" s="1"/>
  <c r="CE61" i="1"/>
  <c r="CC30" i="1"/>
  <c r="CE66" i="1"/>
  <c r="CF30" i="1"/>
  <c r="G7" i="6" s="1"/>
  <c r="BL47" i="1"/>
  <c r="AF7" i="6" s="1"/>
  <c r="CC35" i="1"/>
  <c r="CD35" i="1"/>
  <c r="JJ16" i="4" s="1"/>
  <c r="BY40" i="1"/>
  <c r="CB61" i="1"/>
  <c r="CE23" i="1"/>
  <c r="CE7" i="1" s="1"/>
  <c r="AB7" i="6" s="1"/>
  <c r="BL29" i="1"/>
  <c r="CD66" i="1"/>
  <c r="BY35" i="1"/>
  <c r="BZ30" i="1"/>
  <c r="CD36" i="1"/>
  <c r="L7" i="6" s="1"/>
  <c r="BL54" i="1"/>
  <c r="BZ23" i="1"/>
  <c r="CA47" i="1"/>
  <c r="BZ54" i="1"/>
  <c r="BY47" i="1"/>
  <c r="BY209" i="1" s="1"/>
  <c r="AI7" i="6" s="1"/>
  <c r="CC54" i="1"/>
  <c r="D7" i="6" s="1"/>
  <c r="BZ36" i="1"/>
  <c r="AG7" i="6" s="1"/>
  <c r="BZ35" i="1"/>
  <c r="BL66" i="1"/>
  <c r="W7" i="6" s="1"/>
  <c r="CB66" i="1"/>
  <c r="CE62" i="1"/>
  <c r="CF35" i="1"/>
  <c r="CC38" i="1"/>
  <c r="CD38" i="1"/>
  <c r="CE28" i="1"/>
  <c r="BY50" i="1"/>
  <c r="CC50" i="1"/>
  <c r="BZ66" i="1"/>
  <c r="AS7" i="6" s="1"/>
  <c r="BZ62" i="1"/>
  <c r="CE51" i="1"/>
  <c r="CD28" i="1"/>
  <c r="BL50" i="1"/>
  <c r="CB29" i="1"/>
  <c r="CC47" i="1"/>
  <c r="CC209" i="1" s="1"/>
  <c r="BY54" i="1"/>
  <c r="H7" i="6" s="1"/>
  <c r="CA38" i="1"/>
  <c r="BZ40" i="1"/>
  <c r="CD23" i="1"/>
  <c r="AR7" i="6" s="1"/>
  <c r="CF29" i="1"/>
  <c r="BL28" i="1"/>
  <c r="BL39" i="1"/>
  <c r="JK9" i="4" s="1"/>
  <c r="AO7" i="6" s="1"/>
  <c r="CA54" i="1"/>
  <c r="BL40" i="1"/>
  <c r="CA29" i="1"/>
  <c r="CE60" i="1"/>
  <c r="CD39" i="1"/>
  <c r="P7" i="6" s="1"/>
  <c r="E7" i="6" s="1"/>
  <c r="U7" i="6" s="1"/>
  <c r="CC39" i="1"/>
  <c r="AY7" i="6" s="1"/>
  <c r="CD47" i="1"/>
  <c r="CB30" i="1"/>
  <c r="CC51" i="1"/>
  <c r="CB51" i="1"/>
  <c r="CE38" i="1"/>
  <c r="CE36" i="1"/>
  <c r="CF47" i="1"/>
  <c r="CF209" i="1" s="1"/>
  <c r="CB40" i="1"/>
  <c r="BY51" i="1"/>
  <c r="CF60" i="1"/>
  <c r="N7" i="6" s="1"/>
  <c r="CO55" i="1"/>
  <c r="CP55" i="1" s="1"/>
  <c r="CU42" i="1"/>
  <c r="CQ32" i="1"/>
  <c r="CS139" i="1"/>
  <c r="CR195" i="1"/>
  <c r="CR198" i="1"/>
  <c r="CR194" i="1"/>
  <c r="CJ70" i="1"/>
  <c r="AC61" i="1"/>
  <c r="CV61" i="1"/>
  <c r="CW61" i="1" s="1"/>
  <c r="CX61" i="1" s="1"/>
  <c r="CY61" i="1" s="1"/>
  <c r="AD50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AV82" i="3"/>
  <c r="AY50" i="3"/>
  <c r="AV71" i="3"/>
  <c r="AW62" i="3"/>
  <c r="AY75" i="3"/>
  <c r="AZ60" i="3"/>
  <c r="AT61" i="3"/>
  <c r="AW95" i="3"/>
  <c r="AU86" i="3"/>
  <c r="AZ80" i="3"/>
  <c r="AF87" i="3"/>
  <c r="AX80" i="3"/>
  <c r="AS87" i="3"/>
  <c r="AU92" i="3"/>
  <c r="AZ64" i="3"/>
  <c r="AV74" i="3"/>
  <c r="C85" i="3"/>
  <c r="AV88" i="3"/>
  <c r="AF80" i="3"/>
  <c r="AY68" i="3"/>
  <c r="AY76" i="3"/>
  <c r="AT59" i="3"/>
  <c r="AT96" i="3"/>
  <c r="AW63" i="3"/>
  <c r="AU72" i="3"/>
  <c r="AF49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C50" i="3"/>
  <c r="AZ96" i="3"/>
  <c r="AV48" i="3"/>
  <c r="AW68" i="3"/>
  <c r="C83" i="3"/>
  <c r="AV68" i="3"/>
  <c r="AU55" i="3"/>
  <c r="AF67" i="3"/>
  <c r="AT90" i="3"/>
  <c r="AY95" i="3"/>
  <c r="AU78" i="3"/>
  <c r="AV96" i="3"/>
  <c r="AU75" i="3"/>
  <c r="AY54" i="3"/>
  <c r="AF62" i="3"/>
  <c r="AZ83" i="3"/>
  <c r="AV54" i="3"/>
  <c r="AY97" i="3"/>
  <c r="AT97" i="3"/>
  <c r="AU96" i="3"/>
  <c r="AY47" i="3"/>
  <c r="AU66" i="3"/>
  <c r="AZ54" i="3"/>
  <c r="AX84" i="3"/>
  <c r="AW76" i="3"/>
  <c r="AS83" i="3"/>
  <c r="AS73" i="3"/>
  <c r="AW8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AV49" i="3"/>
  <c r="AV90" i="3"/>
  <c r="C73" i="3"/>
  <c r="AZ77" i="3"/>
  <c r="AF63" i="3"/>
  <c r="C80" i="3"/>
  <c r="AT74" i="3"/>
  <c r="AV73" i="3"/>
  <c r="AT58" i="3"/>
  <c r="AY65" i="3"/>
  <c r="AV65" i="3"/>
  <c r="AZ65" i="3"/>
  <c r="AY93" i="3"/>
  <c r="AX93" i="3"/>
  <c r="C86" i="3"/>
  <c r="AX92" i="3"/>
  <c r="AY88" i="3"/>
  <c r="AW60" i="3"/>
  <c r="AU56" i="3"/>
  <c r="AW70" i="3"/>
  <c r="AT87" i="3"/>
  <c r="AS67" i="3"/>
  <c r="AU95" i="3"/>
  <c r="AX66" i="3"/>
  <c r="AX8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Y92" i="3"/>
  <c r="AF71" i="3"/>
  <c r="AF96" i="3"/>
  <c r="AS62" i="3"/>
  <c r="C59" i="3"/>
  <c r="AT93" i="3"/>
  <c r="AU76" i="3"/>
  <c r="AT95" i="3"/>
  <c r="C58" i="3"/>
  <c r="AU83" i="3"/>
  <c r="AS82" i="3"/>
  <c r="AW56" i="3"/>
  <c r="AV70" i="3"/>
  <c r="AW58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X94" i="3"/>
  <c r="AW83" i="3"/>
  <c r="AV63" i="3"/>
  <c r="AZ81" i="3"/>
  <c r="AU61" i="3"/>
  <c r="AF82" i="3"/>
  <c r="AF79" i="3"/>
  <c r="AV95" i="3"/>
  <c r="C63" i="3"/>
  <c r="AY86" i="3"/>
  <c r="AZ95" i="3"/>
  <c r="AX59" i="3"/>
  <c r="AU49" i="3"/>
  <c r="AY91" i="3"/>
  <c r="AW80" i="3"/>
  <c r="AV60" i="3"/>
  <c r="AW57" i="3"/>
  <c r="C62" i="3"/>
  <c r="AT82" i="3"/>
  <c r="AF94" i="3"/>
  <c r="AS66" i="3"/>
  <c r="AT76" i="3"/>
  <c r="AT67" i="3"/>
  <c r="AF91" i="3"/>
  <c r="AY78" i="3"/>
  <c r="AS58" i="3"/>
  <c r="AX63" i="3"/>
  <c r="AS86" i="3"/>
  <c r="AW75" i="3"/>
  <c r="AY94" i="3"/>
  <c r="AZ8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AX65" i="3"/>
  <c r="AF56" i="3"/>
  <c r="AV47" i="3"/>
  <c r="C66" i="3"/>
  <c r="AZ70" i="3"/>
  <c r="AY62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S57" i="3"/>
  <c r="AX90" i="3"/>
  <c r="AT48" i="3"/>
  <c r="AY70" i="3"/>
  <c r="AX77" i="3"/>
  <c r="AZ86" i="3"/>
  <c r="AY79" i="3"/>
  <c r="AV78" i="3"/>
  <c r="AS79" i="3"/>
  <c r="AU59" i="3"/>
  <c r="AS84" i="3"/>
  <c r="AY89" i="3"/>
  <c r="AX71" i="3"/>
  <c r="AU60" i="3"/>
  <c r="AW78" i="3"/>
  <c r="AX81" i="3"/>
  <c r="AU80" i="3"/>
  <c r="AX49" i="3"/>
  <c r="AV77" i="3"/>
  <c r="AX74" i="3"/>
  <c r="AF86" i="3"/>
  <c r="AY55" i="3"/>
  <c r="AT7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S74" i="3"/>
  <c r="AV59" i="3"/>
  <c r="AT89" i="3"/>
  <c r="C93" i="3"/>
  <c r="AW96" i="3"/>
  <c r="AY7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72" i="3"/>
  <c r="AU85" i="3"/>
  <c r="C55" i="3"/>
  <c r="AZ97" i="3"/>
  <c r="AS93" i="3"/>
  <c r="AW87" i="3"/>
  <c r="AU63" i="3"/>
  <c r="AF60" i="3"/>
  <c r="AT86" i="3"/>
  <c r="AV87" i="3"/>
  <c r="AX62" i="3"/>
  <c r="AT63" i="3"/>
  <c r="AF89" i="3"/>
  <c r="AT54" i="3"/>
  <c r="AY64" i="3"/>
  <c r="AS91" i="3"/>
  <c r="C82" i="3"/>
  <c r="AY83" i="3"/>
  <c r="AX91" i="3"/>
  <c r="AU97" i="3"/>
  <c r="AW91" i="3"/>
  <c r="AS72" i="3"/>
  <c r="AW85" i="3"/>
  <c r="AS68" i="3"/>
  <c r="AX76" i="3"/>
  <c r="AW72" i="3"/>
  <c r="CI208" i="1" l="1"/>
  <c r="CI210" i="1" s="1"/>
  <c r="CI81" i="1"/>
  <c r="CL84" i="1" s="1"/>
  <c r="CI67" i="1"/>
  <c r="CI134" i="1"/>
  <c r="CI135" i="1" s="1"/>
  <c r="CC15" i="1"/>
  <c r="CF15" i="1"/>
  <c r="AC146" i="1"/>
  <c r="CU146" i="1"/>
  <c r="CV146" i="1" s="1"/>
  <c r="CW146" i="1" s="1"/>
  <c r="CX146" i="1" s="1"/>
  <c r="CL101" i="1"/>
  <c r="CL102" i="1"/>
  <c r="CA15" i="1"/>
  <c r="BY15" i="1"/>
  <c r="CB246" i="1"/>
  <c r="CB7" i="1"/>
  <c r="CD15" i="1"/>
  <c r="CC246" i="1"/>
  <c r="CC7" i="1"/>
  <c r="BZ246" i="1"/>
  <c r="BZ7" i="1"/>
  <c r="CA246" i="1"/>
  <c r="CA7" i="1"/>
  <c r="BZ15" i="1"/>
  <c r="CB15" i="1"/>
  <c r="CD246" i="1"/>
  <c r="CD7" i="1"/>
  <c r="CE15" i="1"/>
  <c r="Y208" i="1"/>
  <c r="Y210" i="1" s="1"/>
  <c r="Y214" i="1" s="1"/>
  <c r="Y228" i="1" s="1"/>
  <c r="CR155" i="1"/>
  <c r="X69" i="1"/>
  <c r="X67" i="1"/>
  <c r="Y222" i="1"/>
  <c r="Y220" i="1" s="1"/>
  <c r="CK84" i="1"/>
  <c r="CK102" i="1" s="1"/>
  <c r="Y67" i="1"/>
  <c r="CJ84" i="1"/>
  <c r="CJ101" i="1" s="1"/>
  <c r="CQ199" i="1"/>
  <c r="CP200" i="1"/>
  <c r="CO197" i="1"/>
  <c r="CO201" i="1" s="1"/>
  <c r="CP196" i="1"/>
  <c r="CR140" i="1"/>
  <c r="CQ143" i="1"/>
  <c r="CQ264" i="1" s="1"/>
  <c r="CP221" i="1"/>
  <c r="BZ140" i="1"/>
  <c r="CA140" i="1" s="1"/>
  <c r="BL88" i="1"/>
  <c r="CF89" i="1"/>
  <c r="CB161" i="1"/>
  <c r="CC161" i="1" s="1"/>
  <c r="CD168" i="1"/>
  <c r="CD198" i="1" s="1"/>
  <c r="CE198" i="1" s="1"/>
  <c r="CB179" i="1"/>
  <c r="CC179" i="1" s="1"/>
  <c r="BL139" i="1"/>
  <c r="BM139" i="1" s="1"/>
  <c r="CD148" i="1"/>
  <c r="CD139" i="1"/>
  <c r="CE139" i="1" s="1"/>
  <c r="CF142" i="1"/>
  <c r="CG142" i="1" s="1"/>
  <c r="CB142" i="1"/>
  <c r="CC142" i="1" s="1"/>
  <c r="CB167" i="1"/>
  <c r="CC167" i="1" s="1"/>
  <c r="CB159" i="1"/>
  <c r="CB194" i="1" s="1"/>
  <c r="CC194" i="1" s="1"/>
  <c r="BZ168" i="1"/>
  <c r="BZ198" i="1" s="1"/>
  <c r="CA198" i="1" s="1"/>
  <c r="BZ179" i="1"/>
  <c r="CA179" i="1" s="1"/>
  <c r="BZ169" i="1"/>
  <c r="CA169" i="1" s="1"/>
  <c r="BZ175" i="1"/>
  <c r="BZ165" i="1"/>
  <c r="CA165" i="1" s="1"/>
  <c r="BZ147" i="1"/>
  <c r="BL160" i="1"/>
  <c r="BL195" i="1" s="1"/>
  <c r="BM195" i="1" s="1"/>
  <c r="BL168" i="1"/>
  <c r="BL198" i="1" s="1"/>
  <c r="BM198" i="1" s="1"/>
  <c r="BL137" i="1"/>
  <c r="BM137" i="1" s="1"/>
  <c r="CA88" i="1"/>
  <c r="CF88" i="1"/>
  <c r="CF161" i="1"/>
  <c r="CG161" i="1" s="1"/>
  <c r="CF148" i="1"/>
  <c r="CB89" i="1"/>
  <c r="CF159" i="1"/>
  <c r="CF194" i="1" s="1"/>
  <c r="CG194" i="1" s="1"/>
  <c r="CG159" i="1" s="1"/>
  <c r="CF137" i="1"/>
  <c r="CG137" i="1" s="1"/>
  <c r="CB164" i="1"/>
  <c r="CC164" i="1" s="1"/>
  <c r="CF179" i="1"/>
  <c r="CG179" i="1" s="1"/>
  <c r="CB140" i="1"/>
  <c r="CC140" i="1" s="1"/>
  <c r="CB178" i="1"/>
  <c r="CC178" i="1" s="1"/>
  <c r="CD89" i="1"/>
  <c r="CB174" i="1"/>
  <c r="CD160" i="1"/>
  <c r="CD195" i="1" s="1"/>
  <c r="CE195" i="1" s="1"/>
  <c r="CD137" i="1"/>
  <c r="CE137" i="1" s="1"/>
  <c r="BL140" i="1"/>
  <c r="CD146" i="1"/>
  <c r="CD166" i="1"/>
  <c r="CE166" i="1" s="1"/>
  <c r="CD174" i="1"/>
  <c r="CD157" i="1"/>
  <c r="CE157" i="1" s="1"/>
  <c r="CF155" i="1"/>
  <c r="CF141" i="1"/>
  <c r="CG141" i="1" s="1"/>
  <c r="CB157" i="1"/>
  <c r="CC157" i="1" s="1"/>
  <c r="BL169" i="1"/>
  <c r="BM169" i="1" s="1"/>
  <c r="BL178" i="1"/>
  <c r="BM178" i="1" s="1"/>
  <c r="BL179" i="1"/>
  <c r="CB141" i="1"/>
  <c r="CC141" i="1" s="1"/>
  <c r="CE89" i="1"/>
  <c r="BZ174" i="1"/>
  <c r="BZ178" i="1"/>
  <c r="CA178" i="1" s="1"/>
  <c r="BZ134" i="1"/>
  <c r="BZ142" i="1"/>
  <c r="CA142" i="1" s="1"/>
  <c r="CF160" i="1"/>
  <c r="CF195" i="1" s="1"/>
  <c r="CG195" i="1" s="1"/>
  <c r="CG160" i="1" s="1"/>
  <c r="CF147" i="1"/>
  <c r="CF164" i="1"/>
  <c r="CB134" i="1"/>
  <c r="CB160" i="1"/>
  <c r="CB195" i="1" s="1"/>
  <c r="CC195" i="1" s="1"/>
  <c r="CD175" i="1"/>
  <c r="CD167" i="1"/>
  <c r="CE167" i="1" s="1"/>
  <c r="CB88" i="1"/>
  <c r="BZ170" i="1"/>
  <c r="CA170" i="1" s="1"/>
  <c r="BZ148" i="1"/>
  <c r="BZ132" i="1"/>
  <c r="BZ162" i="1"/>
  <c r="CA162" i="1" s="1"/>
  <c r="BZ89" i="1"/>
  <c r="BZ139" i="1"/>
  <c r="CA139" i="1" s="1"/>
  <c r="BZ141" i="1"/>
  <c r="CA141" i="1" s="1"/>
  <c r="BZ157" i="1"/>
  <c r="CA157" i="1" s="1"/>
  <c r="BZ146" i="1"/>
  <c r="BL148" i="1"/>
  <c r="BL164" i="1"/>
  <c r="BM164" i="1" s="1"/>
  <c r="CF139" i="1"/>
  <c r="CF168" i="1"/>
  <c r="CF198" i="1" s="1"/>
  <c r="CG198" i="1" s="1"/>
  <c r="CG168" i="1" s="1"/>
  <c r="CD169" i="1"/>
  <c r="CE169" i="1" s="1"/>
  <c r="CF169" i="1"/>
  <c r="CG169" i="1" s="1"/>
  <c r="CB146" i="1"/>
  <c r="CB169" i="1"/>
  <c r="CC169" i="1" s="1"/>
  <c r="BY89" i="1"/>
  <c r="CD178" i="1"/>
  <c r="CE178" i="1" s="1"/>
  <c r="CD150" i="1"/>
  <c r="CE150" i="1" s="1"/>
  <c r="BL175" i="1"/>
  <c r="CB168" i="1"/>
  <c r="CB198" i="1" s="1"/>
  <c r="CC198" i="1" s="1"/>
  <c r="CB133" i="1"/>
  <c r="CC133" i="1" s="1"/>
  <c r="BL165" i="1"/>
  <c r="BM165" i="1" s="1"/>
  <c r="CD142" i="1"/>
  <c r="CE142" i="1" s="1"/>
  <c r="CD162" i="1"/>
  <c r="CE162" i="1" s="1"/>
  <c r="CD134" i="1"/>
  <c r="CD161" i="1"/>
  <c r="CE161" i="1" s="1"/>
  <c r="CD170" i="1"/>
  <c r="CE170" i="1" s="1"/>
  <c r="CD155" i="1"/>
  <c r="CE155" i="1" s="1"/>
  <c r="CF132" i="1"/>
  <c r="CF133" i="1"/>
  <c r="CG133" i="1" s="1"/>
  <c r="CF166" i="1"/>
  <c r="CG166" i="1" s="1"/>
  <c r="CF178" i="1"/>
  <c r="CG178" i="1" s="1"/>
  <c r="CB175" i="1"/>
  <c r="CB155" i="1"/>
  <c r="AI89" i="1"/>
  <c r="BL162" i="1"/>
  <c r="BM162" i="1" s="1"/>
  <c r="BL150" i="1"/>
  <c r="BM150" i="1" s="1"/>
  <c r="BL141" i="1"/>
  <c r="BM141" i="1" s="1"/>
  <c r="CB139" i="1"/>
  <c r="CC139" i="1" s="1"/>
  <c r="BL161" i="1"/>
  <c r="BM161" i="1" s="1"/>
  <c r="BZ150" i="1"/>
  <c r="CA150" i="1" s="1"/>
  <c r="BZ88" i="1"/>
  <c r="BL167" i="1"/>
  <c r="BM167" i="1" s="1"/>
  <c r="CB147" i="1"/>
  <c r="CF162" i="1"/>
  <c r="CG162" i="1" s="1"/>
  <c r="CB162" i="1"/>
  <c r="CC162" i="1" s="1"/>
  <c r="CD88" i="1"/>
  <c r="CC89" i="1"/>
  <c r="CD133" i="1"/>
  <c r="CE133" i="1" s="1"/>
  <c r="BL134" i="1"/>
  <c r="CD140" i="1"/>
  <c r="CE140" i="1" s="1"/>
  <c r="CF174" i="1"/>
  <c r="CF167" i="1"/>
  <c r="CG167" i="1" s="1"/>
  <c r="CE88" i="1"/>
  <c r="BZ160" i="1"/>
  <c r="BZ195" i="1" s="1"/>
  <c r="CA195" i="1" s="1"/>
  <c r="BZ137" i="1"/>
  <c r="CA137" i="1" s="1"/>
  <c r="BZ159" i="1"/>
  <c r="BZ194" i="1" s="1"/>
  <c r="CA194" i="1" s="1"/>
  <c r="BZ133" i="1"/>
  <c r="CA133" i="1" s="1"/>
  <c r="BZ164" i="1"/>
  <c r="BZ166" i="1"/>
  <c r="CA166" i="1" s="1"/>
  <c r="BZ161" i="1"/>
  <c r="CA161" i="1" s="1"/>
  <c r="BZ155" i="1"/>
  <c r="CA155" i="1" s="1"/>
  <c r="BZ167" i="1"/>
  <c r="CA167" i="1" s="1"/>
  <c r="BL170" i="1"/>
  <c r="BM170" i="1" s="1"/>
  <c r="BL159" i="1"/>
  <c r="BL194" i="1" s="1"/>
  <c r="BM194" i="1" s="1"/>
  <c r="BL146" i="1"/>
  <c r="BL147" i="1"/>
  <c r="CA89" i="1"/>
  <c r="CF170" i="1"/>
  <c r="CG170" i="1" s="1"/>
  <c r="CF165" i="1"/>
  <c r="CG165" i="1" s="1"/>
  <c r="CF175" i="1"/>
  <c r="CB132" i="1"/>
  <c r="CC132" i="1" s="1"/>
  <c r="CF146" i="1"/>
  <c r="CF134" i="1"/>
  <c r="CG134" i="1" s="1"/>
  <c r="CF140" i="1"/>
  <c r="CG140" i="1" s="1"/>
  <c r="CD141" i="1"/>
  <c r="CE141" i="1" s="1"/>
  <c r="CB170" i="1"/>
  <c r="CC170" i="1" s="1"/>
  <c r="CB150" i="1"/>
  <c r="CC150" i="1" s="1"/>
  <c r="CB166" i="1"/>
  <c r="CC166" i="1" s="1"/>
  <c r="CD132" i="1"/>
  <c r="BL155" i="1"/>
  <c r="CB148" i="1"/>
  <c r="BL142" i="1"/>
  <c r="BM142" i="1" s="1"/>
  <c r="CD147" i="1"/>
  <c r="CD159" i="1"/>
  <c r="CD194" i="1" s="1"/>
  <c r="CE194" i="1" s="1"/>
  <c r="CD165" i="1"/>
  <c r="CE165" i="1" s="1"/>
  <c r="CD164" i="1"/>
  <c r="CE164" i="1" s="1"/>
  <c r="CD179" i="1"/>
  <c r="CE179" i="1" s="1"/>
  <c r="CF150" i="1"/>
  <c r="CG150" i="1" s="1"/>
  <c r="CF157" i="1"/>
  <c r="CG157" i="1" s="1"/>
  <c r="CC88" i="1"/>
  <c r="CB165" i="1"/>
  <c r="CC165" i="1" s="1"/>
  <c r="CB137" i="1"/>
  <c r="CC137" i="1" s="1"/>
  <c r="BL174" i="1"/>
  <c r="BL132" i="1"/>
  <c r="BM132" i="1" s="1"/>
  <c r="BL166" i="1"/>
  <c r="BM166" i="1" s="1"/>
  <c r="BL157" i="1"/>
  <c r="BM157" i="1" s="1"/>
  <c r="BL133" i="1"/>
  <c r="BM133" i="1" s="1"/>
  <c r="BL268" i="1"/>
  <c r="CH113" i="1"/>
  <c r="CH114" i="1" s="1"/>
  <c r="CB152" i="1"/>
  <c r="CC152" i="1" s="1"/>
  <c r="CF152" i="1"/>
  <c r="CG152" i="1" s="1"/>
  <c r="CD152" i="1"/>
  <c r="CE152" i="1" s="1"/>
  <c r="BL152" i="1"/>
  <c r="BM152" i="1" s="1"/>
  <c r="BZ152" i="1"/>
  <c r="CA152" i="1" s="1"/>
  <c r="BL158" i="1"/>
  <c r="CD158" i="1"/>
  <c r="CB158" i="1"/>
  <c r="CF158" i="1"/>
  <c r="BZ158" i="1"/>
  <c r="CA267" i="1"/>
  <c r="JJ21" i="4"/>
  <c r="CD92" i="1" s="1"/>
  <c r="CA25" i="1"/>
  <c r="CA31" i="1" s="1"/>
  <c r="CA32" i="1" s="1"/>
  <c r="JK14" i="4"/>
  <c r="BL25" i="1"/>
  <c r="BL31" i="1" s="1"/>
  <c r="BY25" i="1"/>
  <c r="BY31" i="1" s="1"/>
  <c r="BL209" i="1"/>
  <c r="CF25" i="1"/>
  <c r="AA73" i="1" s="1"/>
  <c r="CF267" i="1"/>
  <c r="JL21" i="4"/>
  <c r="CF92" i="1" s="1"/>
  <c r="CF113" i="1"/>
  <c r="CF114" i="1" s="1"/>
  <c r="CB41" i="1"/>
  <c r="CE246" i="1"/>
  <c r="CC268" i="1"/>
  <c r="CA41" i="1"/>
  <c r="CE267" i="1"/>
  <c r="CC267" i="1"/>
  <c r="JM7" i="4"/>
  <c r="CA268" i="1"/>
  <c r="JJ8" i="4"/>
  <c r="Z225" i="1"/>
  <c r="Z226" i="1" s="1"/>
  <c r="CF41" i="1"/>
  <c r="BZ267" i="1"/>
  <c r="BZ25" i="1"/>
  <c r="CA209" i="1"/>
  <c r="CD268" i="1"/>
  <c r="CB113" i="1"/>
  <c r="CB114" i="1" s="1"/>
  <c r="JK21" i="4"/>
  <c r="CE92" i="1" s="1"/>
  <c r="JK15" i="4"/>
  <c r="CD267" i="1"/>
  <c r="JL14" i="4"/>
  <c r="CC41" i="1"/>
  <c r="BY41" i="1"/>
  <c r="CI113" i="1"/>
  <c r="CI114" i="1" s="1"/>
  <c r="CI117" i="1" s="1"/>
  <c r="CF246" i="1"/>
  <c r="BY268" i="1"/>
  <c r="JL8" i="4"/>
  <c r="CE41" i="1"/>
  <c r="BL267" i="1"/>
  <c r="CE113" i="1"/>
  <c r="CE114" i="1" s="1"/>
  <c r="CD25" i="1"/>
  <c r="CD31" i="1" s="1"/>
  <c r="CH33" i="1" s="1"/>
  <c r="CC25" i="1"/>
  <c r="CD209" i="1"/>
  <c r="CE25" i="1"/>
  <c r="CG113" i="1"/>
  <c r="CG114" i="1" s="1"/>
  <c r="CD113" i="1"/>
  <c r="CD114" i="1" s="1"/>
  <c r="CB25" i="1"/>
  <c r="CB31" i="1" s="1"/>
  <c r="CB267" i="1"/>
  <c r="CC113" i="1"/>
  <c r="CC114" i="1" s="1"/>
  <c r="JJ15" i="4"/>
  <c r="CB268" i="1"/>
  <c r="BY267" i="1"/>
  <c r="CD41" i="1"/>
  <c r="JM8" i="4"/>
  <c r="JL7" i="4"/>
  <c r="CF268" i="1"/>
  <c r="JJ7" i="4"/>
  <c r="JK8" i="4"/>
  <c r="JM21" i="4"/>
  <c r="CG92" i="1" s="1"/>
  <c r="BZ268" i="1"/>
  <c r="CE268" i="1"/>
  <c r="JK7" i="4"/>
  <c r="BL41" i="1"/>
  <c r="JL15" i="4"/>
  <c r="BZ41" i="1"/>
  <c r="JM14" i="4"/>
  <c r="JM15" i="4"/>
  <c r="JJ14" i="4"/>
  <c r="CQ55" i="1"/>
  <c r="CR55" i="1" s="1"/>
  <c r="CR32" i="1"/>
  <c r="CS32" i="1" s="1"/>
  <c r="CV42" i="1"/>
  <c r="CS195" i="1"/>
  <c r="CS198" i="1"/>
  <c r="CS194" i="1"/>
  <c r="CT139" i="1"/>
  <c r="AD61" i="1"/>
  <c r="CZ61" i="1"/>
  <c r="DA61" i="1" s="1"/>
  <c r="DB61" i="1" s="1"/>
  <c r="AE50" i="1"/>
  <c r="U23" i="1"/>
  <c r="V23" i="1"/>
  <c r="W23" i="1"/>
  <c r="CI222" i="1" l="1"/>
  <c r="CI220" i="1" s="1"/>
  <c r="CJ222" i="1"/>
  <c r="CJ220" i="1" s="1"/>
  <c r="CI107" i="1"/>
  <c r="CI144" i="1"/>
  <c r="Y225" i="1"/>
  <c r="Y226" i="1" s="1"/>
  <c r="AD146" i="1"/>
  <c r="CY146" i="1"/>
  <c r="CZ146" i="1" s="1"/>
  <c r="DA146" i="1" s="1"/>
  <c r="DB146" i="1" s="1"/>
  <c r="AE146" i="1" s="1"/>
  <c r="CR217" i="1"/>
  <c r="CS155" i="1"/>
  <c r="CK100" i="1"/>
  <c r="CK101" i="1"/>
  <c r="CJ100" i="1"/>
  <c r="CJ102" i="1"/>
  <c r="CR199" i="1"/>
  <c r="CQ200" i="1"/>
  <c r="CP197" i="1"/>
  <c r="CP201" i="1" s="1"/>
  <c r="CQ196" i="1"/>
  <c r="CS140" i="1"/>
  <c r="CR143" i="1"/>
  <c r="CR264" i="1" s="1"/>
  <c r="CQ221" i="1"/>
  <c r="BZ176" i="1"/>
  <c r="BL176" i="1"/>
  <c r="CB217" i="1"/>
  <c r="CA132" i="1"/>
  <c r="BZ135" i="1"/>
  <c r="BZ107" i="1" s="1"/>
  <c r="BL135" i="1"/>
  <c r="BL107" i="1" s="1"/>
  <c r="CB176" i="1"/>
  <c r="CC224" i="1" s="1"/>
  <c r="CG139" i="1"/>
  <c r="CG143" i="1" s="1"/>
  <c r="CF143" i="1"/>
  <c r="CD149" i="1"/>
  <c r="CE48" i="1" s="1"/>
  <c r="CC155" i="1"/>
  <c r="CE132" i="1"/>
  <c r="CD135" i="1"/>
  <c r="CD107" i="1" s="1"/>
  <c r="CD109" i="1" s="1"/>
  <c r="BM155" i="1"/>
  <c r="BM217" i="1" s="1"/>
  <c r="CD176" i="1"/>
  <c r="CF217" i="1"/>
  <c r="CE143" i="1"/>
  <c r="BM140" i="1"/>
  <c r="BM143" i="1" s="1"/>
  <c r="BL143" i="1"/>
  <c r="CG155" i="1"/>
  <c r="CG164" i="1"/>
  <c r="CG171" i="1" s="1"/>
  <c r="CF171" i="1"/>
  <c r="CF200" i="1" s="1"/>
  <c r="CF199" i="1" s="1"/>
  <c r="CG132" i="1"/>
  <c r="CG135" i="1" s="1"/>
  <c r="CF135" i="1"/>
  <c r="CF107" i="1" s="1"/>
  <c r="CF109" i="1" s="1"/>
  <c r="CA164" i="1"/>
  <c r="BZ171" i="1"/>
  <c r="BZ200" i="1" s="1"/>
  <c r="BZ199" i="1" s="1"/>
  <c r="BZ149" i="1"/>
  <c r="BZ153" i="1" s="1"/>
  <c r="CA143" i="1"/>
  <c r="CB149" i="1"/>
  <c r="CF176" i="1"/>
  <c r="BL149" i="1"/>
  <c r="CF149" i="1"/>
  <c r="CF153" i="1" s="1"/>
  <c r="CC143" i="1"/>
  <c r="CB143" i="1"/>
  <c r="CE217" i="1"/>
  <c r="BZ143" i="1"/>
  <c r="CB171" i="1"/>
  <c r="CB200" i="1" s="1"/>
  <c r="CB199" i="1" s="1"/>
  <c r="BL171" i="1"/>
  <c r="BL200" i="1" s="1"/>
  <c r="BL199" i="1" s="1"/>
  <c r="CD171" i="1"/>
  <c r="CD200" i="1" s="1"/>
  <c r="CD199" i="1" s="1"/>
  <c r="CB135" i="1"/>
  <c r="CD143" i="1"/>
  <c r="CH117" i="1"/>
  <c r="CH118" i="1"/>
  <c r="CH119" i="1"/>
  <c r="BM158" i="1"/>
  <c r="BL163" i="1"/>
  <c r="CE158" i="1"/>
  <c r="CD163" i="1"/>
  <c r="CC158" i="1"/>
  <c r="CB163" i="1"/>
  <c r="CG158" i="1"/>
  <c r="CG163" i="1" s="1"/>
  <c r="CG197" i="1" s="1"/>
  <c r="CG196" i="1" s="1"/>
  <c r="CF163" i="1"/>
  <c r="CA158" i="1"/>
  <c r="BZ163" i="1"/>
  <c r="CD117" i="1"/>
  <c r="CA42" i="1"/>
  <c r="CA27" i="1"/>
  <c r="JK19" i="4"/>
  <c r="CE93" i="1" s="1"/>
  <c r="BL42" i="1"/>
  <c r="CC26" i="1"/>
  <c r="CC42" i="1"/>
  <c r="CI240" i="1"/>
  <c r="CF31" i="1"/>
  <c r="AA74" i="1" s="1"/>
  <c r="CG27" i="1"/>
  <c r="CJ26" i="1"/>
  <c r="BY42" i="1"/>
  <c r="JL20" i="4"/>
  <c r="CF94" i="1" s="1"/>
  <c r="CF119" i="1" s="1"/>
  <c r="BZ31" i="1"/>
  <c r="CD33" i="1" s="1"/>
  <c r="CF42" i="1"/>
  <c r="Y73" i="1"/>
  <c r="JJ19" i="4"/>
  <c r="CD93" i="1" s="1"/>
  <c r="CD122" i="1" s="1"/>
  <c r="JM20" i="4"/>
  <c r="CG94" i="1" s="1"/>
  <c r="CD42" i="1"/>
  <c r="JM19" i="4"/>
  <c r="CG93" i="1" s="1"/>
  <c r="CE168" i="1"/>
  <c r="CE171" i="1" s="1"/>
  <c r="CE200" i="1" s="1"/>
  <c r="CE199" i="1" s="1"/>
  <c r="CF117" i="1"/>
  <c r="JJ20" i="4"/>
  <c r="CD94" i="1" s="1"/>
  <c r="CD123" i="1" s="1"/>
  <c r="JL19" i="4"/>
  <c r="CF93" i="1" s="1"/>
  <c r="JK20" i="4"/>
  <c r="CE94" i="1" s="1"/>
  <c r="CE123" i="1" s="1"/>
  <c r="CA43" i="1"/>
  <c r="CA247" i="1" s="1"/>
  <c r="CA248" i="1" s="1"/>
  <c r="CD203" i="1"/>
  <c r="CD26" i="1"/>
  <c r="BZ27" i="1"/>
  <c r="CD240" i="1"/>
  <c r="BZ42" i="1"/>
  <c r="CE159" i="1"/>
  <c r="CE203" i="1"/>
  <c r="CG203" i="1"/>
  <c r="CF26" i="1"/>
  <c r="CH240" i="1"/>
  <c r="CJ203" i="1"/>
  <c r="CE42" i="1"/>
  <c r="CC31" i="1"/>
  <c r="CC34" i="1" s="1"/>
  <c r="CF240" i="1"/>
  <c r="CB27" i="1"/>
  <c r="CH259" i="1"/>
  <c r="Z73" i="1"/>
  <c r="CE26" i="1"/>
  <c r="CG117" i="1"/>
  <c r="CE117" i="1"/>
  <c r="CG240" i="1"/>
  <c r="CF27" i="1"/>
  <c r="CF203" i="1"/>
  <c r="CE240" i="1"/>
  <c r="CC27" i="1"/>
  <c r="CC240" i="1"/>
  <c r="CE160" i="1"/>
  <c r="CB42" i="1"/>
  <c r="CB32" i="1"/>
  <c r="CB43" i="1"/>
  <c r="CB34" i="1"/>
  <c r="CD43" i="1"/>
  <c r="CH45" i="1" s="1"/>
  <c r="CD27" i="1"/>
  <c r="CH26" i="1"/>
  <c r="CI203" i="1"/>
  <c r="CI118" i="1"/>
  <c r="CE31" i="1"/>
  <c r="CE34" i="1" s="1"/>
  <c r="CI26" i="1"/>
  <c r="CD32" i="1"/>
  <c r="CI119" i="1"/>
  <c r="CG26" i="1"/>
  <c r="CE27" i="1"/>
  <c r="CH203" i="1"/>
  <c r="CA217" i="1"/>
  <c r="BL32" i="1"/>
  <c r="BL43" i="1"/>
  <c r="BY32" i="1"/>
  <c r="BY43" i="1"/>
  <c r="CS55" i="1"/>
  <c r="CT32" i="1"/>
  <c r="CU32" i="1" s="1"/>
  <c r="CW42" i="1"/>
  <c r="CX42" i="1" s="1"/>
  <c r="CT194" i="1"/>
  <c r="CT198" i="1"/>
  <c r="CU139" i="1"/>
  <c r="CT195" i="1"/>
  <c r="AE61" i="1"/>
  <c r="V246" i="1"/>
  <c r="W246" i="1"/>
  <c r="U246" i="1"/>
  <c r="CI109" i="1" l="1"/>
  <c r="CI111" i="1"/>
  <c r="CI110" i="1"/>
  <c r="CF43" i="1"/>
  <c r="AA75" i="1" s="1"/>
  <c r="CS217" i="1"/>
  <c r="CT155" i="1"/>
  <c r="CT217" i="1" s="1"/>
  <c r="CS199" i="1"/>
  <c r="CR200" i="1"/>
  <c r="CD217" i="1"/>
  <c r="CC217" i="1"/>
  <c r="CG264" i="1"/>
  <c r="CQ197" i="1"/>
  <c r="CQ201" i="1" s="1"/>
  <c r="CR196" i="1"/>
  <c r="CH217" i="1"/>
  <c r="CG217" i="1"/>
  <c r="CA224" i="1"/>
  <c r="BZ263" i="1"/>
  <c r="CT140" i="1"/>
  <c r="CS143" i="1"/>
  <c r="CS264" i="1" s="1"/>
  <c r="CD221" i="1"/>
  <c r="CF264" i="1"/>
  <c r="BM224" i="1"/>
  <c r="BL263" i="1"/>
  <c r="CF221" i="1"/>
  <c r="CF144" i="1"/>
  <c r="CR221" i="1"/>
  <c r="BL144" i="1"/>
  <c r="BL183" i="1"/>
  <c r="BL124" i="1" s="1"/>
  <c r="CA48" i="1"/>
  <c r="CA149" i="1"/>
  <c r="CB153" i="1"/>
  <c r="CC48" i="1"/>
  <c r="CC149" i="1"/>
  <c r="BZ183" i="1"/>
  <c r="BZ144" i="1"/>
  <c r="CF110" i="1"/>
  <c r="CD153" i="1"/>
  <c r="CE149" i="1"/>
  <c r="CE224" i="1"/>
  <c r="CD263" i="1"/>
  <c r="CA264" i="1"/>
  <c r="CA221" i="1"/>
  <c r="BM221" i="1"/>
  <c r="BM264" i="1"/>
  <c r="CH222" i="1"/>
  <c r="CG107" i="1"/>
  <c r="CG110" i="1" s="1"/>
  <c r="CG222" i="1"/>
  <c r="CG224" i="1"/>
  <c r="CF183" i="1"/>
  <c r="CF263" i="1"/>
  <c r="BM149" i="1"/>
  <c r="BM153" i="1" s="1"/>
  <c r="BL153" i="1"/>
  <c r="BL261" i="1" s="1"/>
  <c r="CG48" i="1"/>
  <c r="CG149" i="1"/>
  <c r="CH264" i="1"/>
  <c r="CH266" i="1" s="1"/>
  <c r="CH221" i="1"/>
  <c r="CG144" i="1"/>
  <c r="CG221" i="1"/>
  <c r="CB264" i="1"/>
  <c r="CB144" i="1"/>
  <c r="CB183" i="1"/>
  <c r="CB221" i="1"/>
  <c r="CB107" i="1"/>
  <c r="CB263" i="1"/>
  <c r="CC264" i="1"/>
  <c r="CC221" i="1"/>
  <c r="CE221" i="1"/>
  <c r="CD264" i="1"/>
  <c r="CD144" i="1"/>
  <c r="CD183" i="1"/>
  <c r="CE264" i="1"/>
  <c r="BL197" i="1"/>
  <c r="BL172" i="1"/>
  <c r="CD197" i="1"/>
  <c r="CD172" i="1"/>
  <c r="CB197" i="1"/>
  <c r="CB172" i="1"/>
  <c r="CF197" i="1"/>
  <c r="CF172" i="1"/>
  <c r="CF180" i="1" s="1"/>
  <c r="BZ197" i="1"/>
  <c r="BZ172" i="1"/>
  <c r="BZ180" i="1" s="1"/>
  <c r="CE118" i="1"/>
  <c r="CE122" i="1"/>
  <c r="BZ34" i="1"/>
  <c r="BZ43" i="1"/>
  <c r="BZ32" i="1"/>
  <c r="CA34" i="1"/>
  <c r="CG200" i="1"/>
  <c r="CH212" i="1"/>
  <c r="CG212" i="1"/>
  <c r="CJ33" i="1"/>
  <c r="CF32" i="1"/>
  <c r="CG34" i="1"/>
  <c r="CF33" i="1"/>
  <c r="BZ261" i="1"/>
  <c r="CF261" i="1"/>
  <c r="CF259" i="1"/>
  <c r="CF123" i="1"/>
  <c r="CF111" i="1"/>
  <c r="CG123" i="1"/>
  <c r="CG119" i="1"/>
  <c r="CG122" i="1"/>
  <c r="CG118" i="1"/>
  <c r="CF122" i="1"/>
  <c r="CF118" i="1"/>
  <c r="CG33" i="1"/>
  <c r="CC32" i="1"/>
  <c r="Y74" i="1"/>
  <c r="CC43" i="1"/>
  <c r="CC49" i="1" s="1"/>
  <c r="CC53" i="1" s="1"/>
  <c r="CD34" i="1"/>
  <c r="CC33" i="1"/>
  <c r="CD111" i="1"/>
  <c r="CD118" i="1"/>
  <c r="CE163" i="1"/>
  <c r="CD110" i="1"/>
  <c r="CE212" i="1"/>
  <c r="CG211" i="1"/>
  <c r="CD119" i="1"/>
  <c r="CF212" i="1"/>
  <c r="CA49" i="1"/>
  <c r="CA53" i="1" s="1"/>
  <c r="CA56" i="1" s="1"/>
  <c r="CA63" i="1" s="1"/>
  <c r="CA208" i="1" s="1"/>
  <c r="CA210" i="1" s="1"/>
  <c r="CA44" i="1"/>
  <c r="CE119" i="1"/>
  <c r="CG172" i="1"/>
  <c r="CH211" i="1"/>
  <c r="CD44" i="1"/>
  <c r="CB44" i="1"/>
  <c r="CB247" i="1"/>
  <c r="CB248" i="1" s="1"/>
  <c r="CB49" i="1"/>
  <c r="CB53" i="1" s="1"/>
  <c r="CB46" i="1"/>
  <c r="CB265" i="1"/>
  <c r="CD247" i="1"/>
  <c r="CD248" i="1" s="1"/>
  <c r="CD49" i="1"/>
  <c r="CD53" i="1" s="1"/>
  <c r="CD56" i="1" s="1"/>
  <c r="CD249" i="1" s="1"/>
  <c r="CF34" i="1"/>
  <c r="CE33" i="1"/>
  <c r="CI33" i="1"/>
  <c r="Z74" i="1"/>
  <c r="CE43" i="1"/>
  <c r="CE32" i="1"/>
  <c r="BY49" i="1"/>
  <c r="BY53" i="1" s="1"/>
  <c r="BY44" i="1"/>
  <c r="BL49" i="1"/>
  <c r="BL53" i="1" s="1"/>
  <c r="BL44" i="1"/>
  <c r="CT55" i="1"/>
  <c r="CV32" i="1"/>
  <c r="CY42" i="1"/>
  <c r="CZ42" i="1" s="1"/>
  <c r="CU194" i="1"/>
  <c r="CV139" i="1"/>
  <c r="CU195" i="1"/>
  <c r="CU198" i="1"/>
  <c r="AB165" i="1"/>
  <c r="A1" i="1"/>
  <c r="CG46" i="1" l="1"/>
  <c r="CI127" i="1"/>
  <c r="CI241" i="1"/>
  <c r="CG265" i="1"/>
  <c r="CF44" i="1"/>
  <c r="CF247" i="1"/>
  <c r="CF248" i="1" s="1"/>
  <c r="CJ45" i="1"/>
  <c r="CF49" i="1"/>
  <c r="CU155" i="1"/>
  <c r="CF45" i="1"/>
  <c r="CG241" i="1"/>
  <c r="CF181" i="1"/>
  <c r="CT199" i="1"/>
  <c r="CS200" i="1"/>
  <c r="CG266" i="1"/>
  <c r="CR197" i="1"/>
  <c r="CR201" i="1" s="1"/>
  <c r="CS196" i="1"/>
  <c r="CA153" i="1"/>
  <c r="CB48" i="1"/>
  <c r="CB180" i="1"/>
  <c r="CB181" i="1" s="1"/>
  <c r="CD180" i="1"/>
  <c r="CD181" i="1" s="1"/>
  <c r="CU140" i="1"/>
  <c r="CT143" i="1"/>
  <c r="CT264" i="1" s="1"/>
  <c r="CB261" i="1"/>
  <c r="CB259" i="1"/>
  <c r="CE153" i="1"/>
  <c r="CF48" i="1"/>
  <c r="CS221" i="1"/>
  <c r="CB266" i="1"/>
  <c r="CG220" i="1"/>
  <c r="BZ181" i="1"/>
  <c r="CD48" i="1"/>
  <c r="CC153" i="1"/>
  <c r="BZ124" i="1"/>
  <c r="CA52" i="1"/>
  <c r="CD259" i="1"/>
  <c r="CD261" i="1"/>
  <c r="CH220" i="1"/>
  <c r="CG109" i="1"/>
  <c r="CG111" i="1"/>
  <c r="CF124" i="1"/>
  <c r="CG52" i="1"/>
  <c r="CH48" i="1"/>
  <c r="CG153" i="1"/>
  <c r="CB124" i="1"/>
  <c r="CC52" i="1"/>
  <c r="CD124" i="1"/>
  <c r="CE52" i="1"/>
  <c r="CF196" i="1"/>
  <c r="CF201" i="1"/>
  <c r="CJ204" i="1" s="1"/>
  <c r="BL201" i="1"/>
  <c r="BL196" i="1"/>
  <c r="CD201" i="1"/>
  <c r="CD196" i="1"/>
  <c r="CB201" i="1"/>
  <c r="CB196" i="1"/>
  <c r="BZ196" i="1"/>
  <c r="BZ201" i="1"/>
  <c r="CG213" i="1"/>
  <c r="CG214" i="1" s="1"/>
  <c r="BZ44" i="1"/>
  <c r="BZ49" i="1"/>
  <c r="CA265" i="1"/>
  <c r="CA266" i="1" s="1"/>
  <c r="CA46" i="1"/>
  <c r="BZ247" i="1"/>
  <c r="BZ248" i="1" s="1"/>
  <c r="CD45" i="1"/>
  <c r="BZ46" i="1"/>
  <c r="BZ265" i="1"/>
  <c r="CB127" i="1"/>
  <c r="CH213" i="1"/>
  <c r="CH214" i="1" s="1"/>
  <c r="CD127" i="1"/>
  <c r="CC265" i="1"/>
  <c r="CC266" i="1" s="1"/>
  <c r="CE211" i="1"/>
  <c r="CE213" i="1" s="1"/>
  <c r="CE172" i="1"/>
  <c r="CG199" i="1"/>
  <c r="CG201" i="1"/>
  <c r="CC247" i="1"/>
  <c r="CC248" i="1" s="1"/>
  <c r="CG45" i="1"/>
  <c r="Y75" i="1"/>
  <c r="CC44" i="1"/>
  <c r="CC241" i="1"/>
  <c r="CD265" i="1"/>
  <c r="CD266" i="1" s="1"/>
  <c r="CC127" i="1"/>
  <c r="CD241" i="1"/>
  <c r="CC46" i="1"/>
  <c r="CD46" i="1"/>
  <c r="CC45" i="1"/>
  <c r="CC56" i="1"/>
  <c r="CC55" i="1"/>
  <c r="CE197" i="1"/>
  <c r="CF211" i="1"/>
  <c r="CF213" i="1" s="1"/>
  <c r="CA55" i="1"/>
  <c r="CA81" i="1"/>
  <c r="CA134" i="1"/>
  <c r="CA135" i="1" s="1"/>
  <c r="CA107" i="1" s="1"/>
  <c r="CH58" i="1"/>
  <c r="CD55" i="1"/>
  <c r="CA67" i="1"/>
  <c r="CA249" i="1"/>
  <c r="CA57" i="1"/>
  <c r="CA260" i="1" s="1"/>
  <c r="CD57" i="1"/>
  <c r="CD260" i="1" s="1"/>
  <c r="CF127" i="1"/>
  <c r="CD70" i="1"/>
  <c r="CD63" i="1"/>
  <c r="CD67" i="1" s="1"/>
  <c r="CE46" i="1"/>
  <c r="CE127" i="1"/>
  <c r="CE241" i="1"/>
  <c r="CB55" i="1"/>
  <c r="CB56" i="1"/>
  <c r="CE265" i="1"/>
  <c r="CE266" i="1" s="1"/>
  <c r="CF265" i="1"/>
  <c r="CF266" i="1" s="1"/>
  <c r="CE247" i="1"/>
  <c r="CE248" i="1" s="1"/>
  <c r="Z75" i="1"/>
  <c r="CE45" i="1"/>
  <c r="CH127" i="1"/>
  <c r="CE44" i="1"/>
  <c r="CG127" i="1"/>
  <c r="CE49" i="1"/>
  <c r="CH241" i="1"/>
  <c r="CF46" i="1"/>
  <c r="CI45" i="1"/>
  <c r="CF241" i="1"/>
  <c r="BL56" i="1"/>
  <c r="BL55" i="1"/>
  <c r="BY55" i="1"/>
  <c r="BY56" i="1"/>
  <c r="CU55" i="1"/>
  <c r="CV55" i="1" s="1"/>
  <c r="DA42" i="1"/>
  <c r="DB42" i="1" s="1"/>
  <c r="CW32" i="1"/>
  <c r="CX32" i="1" s="1"/>
  <c r="CW139" i="1"/>
  <c r="CV194" i="1"/>
  <c r="CV198" i="1"/>
  <c r="CV195" i="1"/>
  <c r="AC165" i="1"/>
  <c r="CF53" i="1" l="1"/>
  <c r="CI70" i="1"/>
  <c r="CV155" i="1"/>
  <c r="CU217" i="1"/>
  <c r="CT200" i="1"/>
  <c r="CU199" i="1"/>
  <c r="CD126" i="1"/>
  <c r="CD129" i="1" s="1"/>
  <c r="CD125" i="1"/>
  <c r="CD128" i="1" s="1"/>
  <c r="CS197" i="1"/>
  <c r="CS201" i="1" s="1"/>
  <c r="CT196" i="1"/>
  <c r="CA218" i="1"/>
  <c r="CA216" i="1" s="1"/>
  <c r="CB218" i="1"/>
  <c r="CB216" i="1" s="1"/>
  <c r="CE218" i="1"/>
  <c r="CE216" i="1" s="1"/>
  <c r="CF218" i="1"/>
  <c r="CF216" i="1" s="1"/>
  <c r="CH218" i="1"/>
  <c r="CH216" i="1" s="1"/>
  <c r="CH228" i="1" s="1"/>
  <c r="CG218" i="1"/>
  <c r="CG216" i="1" s="1"/>
  <c r="CV140" i="1"/>
  <c r="CU143" i="1"/>
  <c r="CU264" i="1" s="1"/>
  <c r="CT221" i="1"/>
  <c r="CD218" i="1"/>
  <c r="CD216" i="1" s="1"/>
  <c r="CC218" i="1"/>
  <c r="CC216" i="1" s="1"/>
  <c r="CF204" i="1"/>
  <c r="CF125" i="1"/>
  <c r="CF128" i="1" s="1"/>
  <c r="CF126" i="1"/>
  <c r="CF129" i="1" s="1"/>
  <c r="CD204" i="1"/>
  <c r="CH204" i="1"/>
  <c r="BZ53" i="1"/>
  <c r="CB70" i="1"/>
  <c r="CD242" i="1"/>
  <c r="CF56" i="1"/>
  <c r="AA76" i="1" s="1"/>
  <c r="CF55" i="1"/>
  <c r="CC58" i="1"/>
  <c r="CG58" i="1"/>
  <c r="CC249" i="1"/>
  <c r="CC63" i="1"/>
  <c r="CC57" i="1"/>
  <c r="CC260" i="1" s="1"/>
  <c r="CD59" i="1"/>
  <c r="CE196" i="1"/>
  <c r="CE201" i="1"/>
  <c r="CA222" i="1"/>
  <c r="CA220" i="1" s="1"/>
  <c r="CA144" i="1"/>
  <c r="CC59" i="1"/>
  <c r="CD208" i="1"/>
  <c r="CD210" i="1" s="1"/>
  <c r="Y76" i="1"/>
  <c r="CD81" i="1"/>
  <c r="CH128" i="1"/>
  <c r="CH129" i="1"/>
  <c r="CF70" i="1"/>
  <c r="CH70" i="1"/>
  <c r="CG70" i="1"/>
  <c r="CE53" i="1"/>
  <c r="CB63" i="1"/>
  <c r="CB59" i="1"/>
  <c r="CB249" i="1"/>
  <c r="CB57" i="1"/>
  <c r="CB260" i="1" s="1"/>
  <c r="BL63" i="1"/>
  <c r="BL57" i="1"/>
  <c r="BL260" i="1" s="1"/>
  <c r="CM79" i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BY57" i="1"/>
  <c r="BY260" i="1" s="1"/>
  <c r="BY63" i="1"/>
  <c r="CW55" i="1"/>
  <c r="CX55" i="1" s="1"/>
  <c r="CY32" i="1"/>
  <c r="CZ32" i="1" s="1"/>
  <c r="CX139" i="1"/>
  <c r="CW195" i="1"/>
  <c r="CW194" i="1"/>
  <c r="CW198" i="1"/>
  <c r="AE165" i="1"/>
  <c r="AD165" i="1"/>
  <c r="CW155" i="1" l="1"/>
  <c r="CV217" i="1"/>
  <c r="CF249" i="1"/>
  <c r="CV199" i="1"/>
  <c r="CU200" i="1"/>
  <c r="CG228" i="1"/>
  <c r="CG225" i="1"/>
  <c r="CG175" i="1" s="1"/>
  <c r="CG176" i="1" s="1"/>
  <c r="CG226" i="1" s="1"/>
  <c r="CT197" i="1"/>
  <c r="CT201" i="1" s="1"/>
  <c r="CU196" i="1"/>
  <c r="CW140" i="1"/>
  <c r="CV143" i="1"/>
  <c r="CV264" i="1" s="1"/>
  <c r="CU221" i="1"/>
  <c r="CF58" i="1"/>
  <c r="CF57" i="1"/>
  <c r="CF260" i="1" s="1"/>
  <c r="BZ56" i="1"/>
  <c r="BZ55" i="1"/>
  <c r="CJ58" i="1"/>
  <c r="CG59" i="1"/>
  <c r="CI242" i="1"/>
  <c r="CF63" i="1"/>
  <c r="CD69" i="1"/>
  <c r="CC67" i="1"/>
  <c r="CC134" i="1"/>
  <c r="CC135" i="1" s="1"/>
  <c r="CC81" i="1"/>
  <c r="CC208" i="1"/>
  <c r="CC210" i="1" s="1"/>
  <c r="CB81" i="1"/>
  <c r="CB67" i="1"/>
  <c r="CB208" i="1"/>
  <c r="CB210" i="1" s="1"/>
  <c r="CB222" i="1"/>
  <c r="CB220" i="1" s="1"/>
  <c r="CE56" i="1"/>
  <c r="CE55" i="1"/>
  <c r="BY208" i="1"/>
  <c r="BY210" i="1" s="1"/>
  <c r="BY67" i="1"/>
  <c r="BY81" i="1"/>
  <c r="BL208" i="1"/>
  <c r="BL210" i="1" s="1"/>
  <c r="BL81" i="1"/>
  <c r="BL67" i="1"/>
  <c r="CY55" i="1"/>
  <c r="CZ55" i="1" s="1"/>
  <c r="DA32" i="1"/>
  <c r="DB32" i="1" s="1"/>
  <c r="CX198" i="1"/>
  <c r="CX195" i="1"/>
  <c r="CX194" i="1"/>
  <c r="CY139" i="1"/>
  <c r="AB141" i="1"/>
  <c r="AB151" i="1"/>
  <c r="AB150" i="1"/>
  <c r="AB142" i="1"/>
  <c r="AB137" i="1"/>
  <c r="AB166" i="1"/>
  <c r="AB158" i="1"/>
  <c r="AB133" i="1"/>
  <c r="CX155" i="1" l="1"/>
  <c r="CW217" i="1"/>
  <c r="CW199" i="1"/>
  <c r="CV200" i="1"/>
  <c r="CU197" i="1"/>
  <c r="CU201" i="1" s="1"/>
  <c r="CV196" i="1"/>
  <c r="CX140" i="1"/>
  <c r="CW143" i="1"/>
  <c r="CW264" i="1" s="1"/>
  <c r="CV221" i="1"/>
  <c r="CD84" i="1"/>
  <c r="CD101" i="1" s="1"/>
  <c r="BZ57" i="1"/>
  <c r="BZ260" i="1" s="1"/>
  <c r="BZ59" i="1"/>
  <c r="CC242" i="1"/>
  <c r="BZ63" i="1"/>
  <c r="CC69" i="1" s="1"/>
  <c r="BZ249" i="1"/>
  <c r="CD58" i="1"/>
  <c r="CA59" i="1"/>
  <c r="CG263" i="1"/>
  <c r="CH224" i="1"/>
  <c r="CH225" i="1" s="1"/>
  <c r="CH226" i="1" s="1"/>
  <c r="CG259" i="1"/>
  <c r="CG261" i="1"/>
  <c r="CG180" i="1"/>
  <c r="CG181" i="1" s="1"/>
  <c r="CG183" i="1"/>
  <c r="CF208" i="1"/>
  <c r="CF210" i="1" s="1"/>
  <c r="CF214" i="1" s="1"/>
  <c r="CF228" i="1" s="1"/>
  <c r="CF67" i="1"/>
  <c r="CF81" i="1"/>
  <c r="CI84" i="1" s="1"/>
  <c r="CI69" i="1"/>
  <c r="CC107" i="1"/>
  <c r="CC144" i="1"/>
  <c r="CC70" i="1" s="1"/>
  <c r="CC222" i="1"/>
  <c r="CC220" i="1" s="1"/>
  <c r="CD222" i="1"/>
  <c r="CD220" i="1" s="1"/>
  <c r="CG242" i="1"/>
  <c r="CI58" i="1"/>
  <c r="CH242" i="1"/>
  <c r="CE59" i="1"/>
  <c r="CE57" i="1"/>
  <c r="CE260" i="1" s="1"/>
  <c r="CE58" i="1"/>
  <c r="CF59" i="1"/>
  <c r="CE63" i="1"/>
  <c r="CF242" i="1"/>
  <c r="CE242" i="1"/>
  <c r="Z76" i="1"/>
  <c r="CE249" i="1"/>
  <c r="DA55" i="1"/>
  <c r="DB55" i="1" s="1"/>
  <c r="CY195" i="1"/>
  <c r="CZ139" i="1"/>
  <c r="CY194" i="1"/>
  <c r="CY155" i="1"/>
  <c r="CY217" i="1" s="1"/>
  <c r="CY198" i="1"/>
  <c r="AC151" i="1"/>
  <c r="AC141" i="1"/>
  <c r="AB179" i="1"/>
  <c r="AC137" i="1"/>
  <c r="AC166" i="1"/>
  <c r="AB162" i="1"/>
  <c r="AB169" i="1"/>
  <c r="AC158" i="1"/>
  <c r="AC142" i="1"/>
  <c r="AB170" i="1"/>
  <c r="AC133" i="1"/>
  <c r="AC150" i="1"/>
  <c r="CX217" i="1" l="1"/>
  <c r="CX199" i="1"/>
  <c r="CW200" i="1"/>
  <c r="CV197" i="1"/>
  <c r="CV201" i="1" s="1"/>
  <c r="CW196" i="1"/>
  <c r="CY140" i="1"/>
  <c r="CX143" i="1"/>
  <c r="CX264" i="1" s="1"/>
  <c r="CW221" i="1"/>
  <c r="CD100" i="1"/>
  <c r="CD102" i="1"/>
  <c r="CB69" i="1"/>
  <c r="BZ81" i="1"/>
  <c r="BZ67" i="1"/>
  <c r="BZ208" i="1"/>
  <c r="BZ210" i="1" s="1"/>
  <c r="CH52" i="1"/>
  <c r="CG124" i="1"/>
  <c r="CI102" i="1"/>
  <c r="CI100" i="1"/>
  <c r="CI101" i="1"/>
  <c r="CL105" i="1" s="1"/>
  <c r="CE67" i="1"/>
  <c r="CE134" i="1"/>
  <c r="CE135" i="1" s="1"/>
  <c r="CE69" i="1" s="1"/>
  <c r="CE208" i="1"/>
  <c r="CE210" i="1" s="1"/>
  <c r="CE214" i="1" s="1"/>
  <c r="CE228" i="1" s="1"/>
  <c r="CE81" i="1"/>
  <c r="CF69" i="1"/>
  <c r="CG69" i="1"/>
  <c r="CH69" i="1"/>
  <c r="DA139" i="1"/>
  <c r="CZ155" i="1"/>
  <c r="CZ217" i="1" s="1"/>
  <c r="CZ198" i="1"/>
  <c r="CZ195" i="1"/>
  <c r="CZ194" i="1"/>
  <c r="AE151" i="1"/>
  <c r="AD151" i="1"/>
  <c r="AE141" i="1"/>
  <c r="AD141" i="1"/>
  <c r="AC179" i="1"/>
  <c r="AE166" i="1"/>
  <c r="AD166" i="1"/>
  <c r="AE158" i="1"/>
  <c r="AD158" i="1"/>
  <c r="AD133" i="1"/>
  <c r="AE133" i="1"/>
  <c r="AC169" i="1"/>
  <c r="AE142" i="1"/>
  <c r="AD142" i="1"/>
  <c r="AE150" i="1"/>
  <c r="AD150" i="1"/>
  <c r="AC170" i="1"/>
  <c r="AC162" i="1"/>
  <c r="AE137" i="1"/>
  <c r="AD137" i="1"/>
  <c r="CY199" i="1" l="1"/>
  <c r="CX200" i="1"/>
  <c r="CW197" i="1"/>
  <c r="CW201" i="1" s="1"/>
  <c r="CX196" i="1"/>
  <c r="CZ140" i="1"/>
  <c r="CY143" i="1"/>
  <c r="CY264" i="1" s="1"/>
  <c r="CX221" i="1"/>
  <c r="CC84" i="1"/>
  <c r="CB84" i="1"/>
  <c r="CG126" i="1"/>
  <c r="CG129" i="1" s="1"/>
  <c r="CG125" i="1"/>
  <c r="CG128" i="1" s="1"/>
  <c r="CF84" i="1"/>
  <c r="CH84" i="1"/>
  <c r="CL85" i="1" s="1"/>
  <c r="CG84" i="1"/>
  <c r="CK85" i="1" s="1"/>
  <c r="CE84" i="1"/>
  <c r="CE107" i="1"/>
  <c r="CF222" i="1"/>
  <c r="CF220" i="1" s="1"/>
  <c r="CE144" i="1"/>
  <c r="CE70" i="1" s="1"/>
  <c r="CE222" i="1"/>
  <c r="CE220" i="1" s="1"/>
  <c r="CE225" i="1" s="1"/>
  <c r="CE175" i="1" s="1"/>
  <c r="CE176" i="1" s="1"/>
  <c r="CE180" i="1" s="1"/>
  <c r="DA194" i="1"/>
  <c r="DA195" i="1"/>
  <c r="DA155" i="1"/>
  <c r="DB155" i="1" s="1"/>
  <c r="DB217" i="1" s="1"/>
  <c r="DA198" i="1"/>
  <c r="DB139" i="1"/>
  <c r="AE179" i="1"/>
  <c r="AD179" i="1"/>
  <c r="AE169" i="1"/>
  <c r="AD169" i="1"/>
  <c r="AE170" i="1"/>
  <c r="AD170" i="1"/>
  <c r="AE162" i="1"/>
  <c r="AD162" i="1"/>
  <c r="BY246" i="1"/>
  <c r="CZ199" i="1" l="1"/>
  <c r="CY200" i="1"/>
  <c r="DA140" i="1"/>
  <c r="CZ143" i="1"/>
  <c r="CX197" i="1"/>
  <c r="CX201" i="1" s="1"/>
  <c r="CY196" i="1"/>
  <c r="CY221" i="1"/>
  <c r="CE109" i="1"/>
  <c r="CE110" i="1"/>
  <c r="CE111" i="1"/>
  <c r="CE259" i="1"/>
  <c r="CE100" i="1"/>
  <c r="CE101" i="1"/>
  <c r="CI85" i="1"/>
  <c r="CE102" i="1"/>
  <c r="CE263" i="1"/>
  <c r="CG85" i="1"/>
  <c r="CG100" i="1"/>
  <c r="CG102" i="1"/>
  <c r="CG101" i="1"/>
  <c r="CE183" i="1"/>
  <c r="CE124" i="1" s="1"/>
  <c r="CE126" i="1" s="1"/>
  <c r="CE129" i="1" s="1"/>
  <c r="CF224" i="1"/>
  <c r="CF225" i="1" s="1"/>
  <c r="CF226" i="1" s="1"/>
  <c r="CE261" i="1"/>
  <c r="CH85" i="1"/>
  <c r="CH101" i="1"/>
  <c r="CK105" i="1" s="1"/>
  <c r="CH100" i="1"/>
  <c r="CH102" i="1"/>
  <c r="CE226" i="1"/>
  <c r="CF85" i="1"/>
  <c r="CJ85" i="1"/>
  <c r="CF102" i="1"/>
  <c r="CF100" i="1"/>
  <c r="CF101" i="1"/>
  <c r="DA217" i="1"/>
  <c r="DB195" i="1"/>
  <c r="DB194" i="1"/>
  <c r="DB198" i="1"/>
  <c r="CE181" i="1"/>
  <c r="AB35" i="1"/>
  <c r="DA199" i="1" l="1"/>
  <c r="CZ200" i="1"/>
  <c r="CZ221" i="1"/>
  <c r="CZ264" i="1"/>
  <c r="DA143" i="1"/>
  <c r="DB140" i="1"/>
  <c r="DB143" i="1" s="1"/>
  <c r="CY197" i="1"/>
  <c r="CY201" i="1" s="1"/>
  <c r="CZ196" i="1"/>
  <c r="CJ105" i="1"/>
  <c r="CH105" i="1"/>
  <c r="CF52" i="1"/>
  <c r="CI105" i="1"/>
  <c r="CG105" i="1"/>
  <c r="CE125" i="1"/>
  <c r="CE128" i="1" s="1"/>
  <c r="AC35" i="1"/>
  <c r="BY247" i="1"/>
  <c r="BY248" i="1" s="1"/>
  <c r="DB199" i="1" l="1"/>
  <c r="DB200" i="1" s="1"/>
  <c r="DA200" i="1"/>
  <c r="DA221" i="1"/>
  <c r="DA264" i="1"/>
  <c r="DB221" i="1"/>
  <c r="DB264" i="1"/>
  <c r="CZ197" i="1"/>
  <c r="CZ201" i="1" s="1"/>
  <c r="DA196" i="1"/>
  <c r="AD35" i="1"/>
  <c r="BY249" i="1"/>
  <c r="DA197" i="1" l="1"/>
  <c r="DA201" i="1" s="1"/>
  <c r="DB196" i="1"/>
  <c r="DB197" i="1" s="1"/>
  <c r="DB201" i="1" s="1"/>
  <c r="AE35" i="1"/>
  <c r="BI80" i="1" l="1"/>
  <c r="AT80" i="1"/>
  <c r="BT80" i="1"/>
  <c r="AV80" i="1"/>
  <c r="AX80" i="1"/>
  <c r="AR80" i="1"/>
  <c r="AO80" i="1" l="1"/>
  <c r="BK80" i="1"/>
  <c r="AN80" i="1"/>
  <c r="AW80" i="1"/>
  <c r="BB80" i="1"/>
  <c r="BM80" i="1"/>
  <c r="BQ80" i="1"/>
  <c r="AJ80" i="1"/>
  <c r="BS80" i="1"/>
  <c r="BR80" i="1"/>
  <c r="BO80" i="1"/>
  <c r="AM80" i="1"/>
  <c r="AI80" i="1"/>
  <c r="AP80" i="1"/>
  <c r="AZ80" i="1"/>
  <c r="AS80" i="1"/>
  <c r="BN80" i="1"/>
  <c r="BU80" i="1"/>
  <c r="BA80" i="1"/>
  <c r="BC80" i="1"/>
  <c r="AU80" i="1"/>
  <c r="BW80" i="1"/>
  <c r="BP80" i="1"/>
  <c r="BJ80" i="1"/>
  <c r="BH80" i="1"/>
  <c r="BX80" i="1"/>
  <c r="BG80" i="1"/>
  <c r="AQ80" i="1"/>
  <c r="AY80" i="1"/>
  <c r="AK80" i="1"/>
  <c r="BE80" i="1"/>
  <c r="BD80" i="1"/>
  <c r="BV80" i="1"/>
  <c r="BF80" i="1"/>
  <c r="BL246" i="1" l="1"/>
  <c r="AB155" i="1" l="1"/>
  <c r="AB217" i="1" l="1"/>
  <c r="CM78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W9" i="2"/>
  <c r="X41" i="2"/>
  <c r="T36" i="2"/>
  <c r="X23" i="2"/>
  <c r="K29" i="2"/>
  <c r="F34" i="2"/>
  <c r="X10" i="2"/>
  <c r="E29" i="2"/>
  <c r="O36" i="2"/>
  <c r="T9" i="2"/>
  <c r="L21" i="2"/>
  <c r="P35" i="2"/>
  <c r="W15" i="2"/>
  <c r="AR89" i="3"/>
  <c r="M11" i="2"/>
  <c r="T11" i="2"/>
  <c r="F26" i="2"/>
  <c r="J23" i="2"/>
  <c r="AR84" i="3"/>
  <c r="W19" i="2"/>
  <c r="I21" i="2"/>
  <c r="O14" i="2"/>
  <c r="W45" i="3"/>
  <c r="D24" i="3"/>
  <c r="D26" i="3"/>
  <c r="AN45" i="3"/>
  <c r="AH46" i="3"/>
  <c r="F6" i="3"/>
  <c r="F11" i="3"/>
  <c r="N46" i="3"/>
  <c r="E12" i="3"/>
  <c r="G20" i="3"/>
  <c r="G22" i="3"/>
  <c r="DV16" i="4" a="1"/>
  <c r="BF9" i="4" a="1"/>
  <c r="J8" i="4" a="1"/>
  <c r="CF7" i="4" a="1"/>
  <c r="DL15" i="4" a="1"/>
  <c r="CZ12" i="4" a="1"/>
  <c r="L9" i="4" a="1"/>
  <c r="EC7" i="4" a="1"/>
  <c r="BK13" i="4" a="1"/>
  <c r="EK15" i="4" a="1"/>
  <c r="EA5" i="4" a="1"/>
  <c r="CX6" i="4" a="1"/>
  <c r="DY16" i="4" a="1"/>
  <c r="CV6" i="4" a="1"/>
  <c r="AI13" i="4" a="1"/>
  <c r="BI5" i="4" a="1"/>
  <c r="BI16" i="4" a="1"/>
  <c r="CF14" i="4" a="1"/>
  <c r="DB16" i="4" a="1"/>
  <c r="EI6" i="4" a="1"/>
  <c r="Q5" i="4" a="1"/>
  <c r="AR12" i="4" a="1"/>
  <c r="BP8" i="4" a="1"/>
  <c r="BB6" i="4" a="1"/>
  <c r="BG12" i="4" a="1"/>
  <c r="T12" i="4" a="1"/>
  <c r="BA6" i="4" a="1"/>
  <c r="DW15" i="4" a="1"/>
  <c r="DT9" i="4" a="1"/>
  <c r="CL16" i="4" a="1"/>
  <c r="V6" i="4" a="1"/>
  <c r="BG7" i="4" a="1"/>
  <c r="BW16" i="4" a="1"/>
  <c r="AR13" i="4" a="1"/>
  <c r="BQ11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F13" i="2"/>
  <c r="O7" i="2"/>
  <c r="R10" i="2"/>
  <c r="K87" i="2"/>
  <c r="N27" i="2"/>
  <c r="S16" i="2"/>
  <c r="C34" i="2"/>
  <c r="M28" i="2"/>
  <c r="R9" i="2"/>
  <c r="X27" i="2"/>
  <c r="W33" i="2"/>
  <c r="H26" i="2"/>
  <c r="Q20" i="2"/>
  <c r="I25" i="2"/>
  <c r="J17" i="2"/>
  <c r="AR90" i="3"/>
  <c r="K18" i="2"/>
  <c r="C26" i="2"/>
  <c r="AR54" i="3"/>
  <c r="P21" i="2"/>
  <c r="T17" i="2"/>
  <c r="N15" i="2"/>
  <c r="H45" i="3"/>
  <c r="AR36" i="3"/>
  <c r="E20" i="3"/>
  <c r="W46" i="3"/>
  <c r="AR32" i="3"/>
  <c r="AR38" i="3"/>
  <c r="P45" i="3"/>
  <c r="D6" i="3"/>
  <c r="E29" i="3"/>
  <c r="F7" i="3"/>
  <c r="F26" i="3"/>
  <c r="DO5" i="4" a="1"/>
  <c r="CI7" i="4" a="1"/>
  <c r="BL13" i="4" a="1"/>
  <c r="J9" i="4" a="1"/>
  <c r="DE11" i="4" a="1"/>
  <c r="AK8" i="4" a="1"/>
  <c r="I14" i="4" a="1"/>
  <c r="Q12" i="4" a="1"/>
  <c r="AZ7" i="4" a="1"/>
  <c r="DG15" i="4" a="1"/>
  <c r="DM15" i="4" a="1"/>
  <c r="W5" i="4" a="1"/>
  <c r="V12" i="4" a="1"/>
  <c r="CZ15" i="4" a="1"/>
  <c r="CC8" i="4" a="1"/>
  <c r="C8" i="4" a="1"/>
  <c r="F16" i="4" a="1"/>
  <c r="O6" i="4" a="1"/>
  <c r="AU11" i="4" a="1"/>
  <c r="V5" i="4" a="1"/>
  <c r="AI8" i="4" a="1"/>
  <c r="CG8" i="4" a="1"/>
  <c r="DA8" i="4" a="1"/>
  <c r="EG6" i="4" a="1"/>
  <c r="DZ6" i="4" a="1"/>
  <c r="DF16" i="4" a="1"/>
  <c r="AU7" i="4" a="1"/>
  <c r="BV16" i="4" a="1"/>
  <c r="DB8" i="4" a="1"/>
  <c r="DY14" i="4" a="1"/>
  <c r="AA11" i="4" a="1"/>
  <c r="DZ11" i="4" a="1"/>
  <c r="K9" i="4" a="1"/>
  <c r="BJ6" i="4" a="1"/>
  <c r="BS14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BH8" i="4" a="1"/>
  <c r="AG13" i="4" a="1"/>
  <c r="CX8" i="4" a="1"/>
  <c r="CB8" i="4" a="1"/>
  <c r="CE14" i="4" a="1"/>
  <c r="EK9" i="4" a="1"/>
  <c r="EK7" i="4" a="1"/>
  <c r="DQ12" i="4" a="1"/>
  <c r="CT16" i="4" a="1"/>
  <c r="CR15" i="4" a="1"/>
  <c r="DW11" i="4" a="1"/>
  <c r="AU6" i="4" a="1"/>
  <c r="ED13" i="4" a="1"/>
  <c r="BA13" i="4" a="1"/>
  <c r="AN6" i="4" a="1"/>
  <c r="EB13" i="4" a="1"/>
  <c r="BI12" i="4" a="1"/>
  <c r="AQ11" i="4" a="1"/>
  <c r="AE8" i="4" a="1"/>
  <c r="AL16" i="4" a="1"/>
  <c r="AG6" i="4" a="1"/>
  <c r="Q11" i="4" a="1"/>
  <c r="DV13" i="4" a="1"/>
  <c r="E8" i="4" a="1"/>
  <c r="CT9" i="4" a="1"/>
  <c r="CN13" i="4" a="1"/>
  <c r="BB9" i="4" a="1"/>
  <c r="BR15" i="4" a="1"/>
  <c r="CW13" i="4" a="1"/>
  <c r="K8" i="4" a="1"/>
  <c r="EF11" i="4" a="1"/>
  <c r="DD5" i="4" a="1"/>
  <c r="X28" i="2"/>
  <c r="D16" i="2"/>
  <c r="M18" i="2"/>
  <c r="I16" i="2"/>
  <c r="I9" i="2"/>
  <c r="F35" i="2"/>
  <c r="L32" i="2"/>
  <c r="Q8" i="2"/>
  <c r="T24" i="2"/>
  <c r="G25" i="2"/>
  <c r="M32" i="2"/>
  <c r="I22" i="2"/>
  <c r="X92" i="2"/>
  <c r="M7" i="2"/>
  <c r="P25" i="2"/>
  <c r="AR69" i="3"/>
  <c r="U28" i="2"/>
  <c r="X32" i="2"/>
  <c r="AR80" i="3"/>
  <c r="M9" i="2"/>
  <c r="E22" i="2"/>
  <c r="E45" i="2"/>
  <c r="F17" i="3"/>
  <c r="E28" i="3"/>
  <c r="D34" i="3"/>
  <c r="AR42" i="3"/>
  <c r="AR17" i="3"/>
  <c r="AL46" i="3"/>
  <c r="D45" i="3"/>
  <c r="AR39" i="3"/>
  <c r="AR26" i="3"/>
  <c r="D18" i="3"/>
  <c r="AK45" i="3"/>
  <c r="AZ15" i="4" a="1"/>
  <c r="CY6" i="4" a="1"/>
  <c r="AG7" i="4" a="1"/>
  <c r="J16" i="4" a="1"/>
  <c r="EG12" i="4" a="1"/>
  <c r="BH5" i="4" a="1"/>
  <c r="DS12" i="4" a="1"/>
  <c r="DF5" i="4" a="1"/>
  <c r="DH12" i="4" a="1"/>
  <c r="AH8" i="4" a="1"/>
  <c r="BE12" i="4" a="1"/>
  <c r="BK6" i="4" a="1"/>
  <c r="AQ13" i="4" a="1"/>
  <c r="P16" i="4" a="1"/>
  <c r="CA8" i="4" a="1"/>
  <c r="BO12" i="4" a="1"/>
  <c r="AK6" i="4" a="1"/>
  <c r="BE7" i="4" a="1"/>
  <c r="DF13" i="4" a="1"/>
  <c r="DF11" i="4" a="1"/>
  <c r="DP12" i="4" a="1"/>
  <c r="BU13" i="4" a="1"/>
  <c r="CF6" i="4" a="1"/>
  <c r="BK11" i="4" a="1"/>
  <c r="DP15" i="4" a="1"/>
  <c r="BO13" i="4" a="1"/>
  <c r="DU11" i="4" a="1"/>
  <c r="DQ15" i="4" a="1"/>
  <c r="DG14" i="4" a="1"/>
  <c r="BL16" i="4" a="1"/>
  <c r="EF15" i="4" a="1"/>
  <c r="AD16" i="4" a="1"/>
  <c r="CW9" i="4" a="1"/>
  <c r="BH16" i="4" a="1"/>
  <c r="AA6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J13" i="4" a="1"/>
  <c r="CH11" i="4" a="1"/>
  <c r="AU9" i="4" a="1"/>
  <c r="AM13" i="4" a="1"/>
  <c r="CW12" i="4" a="1"/>
  <c r="DU14" i="4" a="1"/>
  <c r="CU15" i="4" a="1"/>
  <c r="DE7" i="4" a="1"/>
  <c r="BW14" i="4" a="1"/>
  <c r="CP11" i="4" a="1"/>
  <c r="BF6" i="4" a="1"/>
  <c r="EJ8" i="4" a="1"/>
  <c r="Q9" i="4" a="1"/>
  <c r="BL6" i="4" a="1"/>
  <c r="DT15" i="4" a="1"/>
  <c r="DV14" i="4" a="1"/>
  <c r="BM6" i="4" a="1"/>
  <c r="DN14" i="4" a="1"/>
  <c r="AS14" i="4" a="1"/>
  <c r="CI5" i="4" a="1"/>
  <c r="C11" i="4" a="1"/>
  <c r="S35" i="2"/>
  <c r="D9" i="2"/>
  <c r="V12" i="2"/>
  <c r="R54" i="2"/>
  <c r="E14" i="2"/>
  <c r="O30" i="2"/>
  <c r="N16" i="2"/>
  <c r="J12" i="2"/>
  <c r="S28" i="2"/>
  <c r="M12" i="2"/>
  <c r="G28" i="2"/>
  <c r="H11" i="2"/>
  <c r="H15" i="2"/>
  <c r="U26" i="2"/>
  <c r="L11" i="2"/>
  <c r="AS49" i="3"/>
  <c r="V20" i="2"/>
  <c r="R11" i="2"/>
  <c r="AR91" i="3"/>
  <c r="C15" i="2"/>
  <c r="D25" i="2"/>
  <c r="I26" i="2"/>
  <c r="F8" i="3"/>
  <c r="AR24" i="3"/>
  <c r="E14" i="3"/>
  <c r="D21" i="3"/>
  <c r="AR25" i="3"/>
  <c r="Q45" i="3"/>
  <c r="AD7" i="3"/>
  <c r="M45" i="3"/>
  <c r="E7" i="3"/>
  <c r="AB46" i="3"/>
  <c r="F41" i="3"/>
  <c r="AZ14" i="4" a="1"/>
  <c r="DM5" i="4" a="1"/>
  <c r="AK9" i="4" a="1"/>
  <c r="DG12" i="4" a="1"/>
  <c r="AS6" i="4" a="1"/>
  <c r="BD15" i="4" a="1"/>
  <c r="AI11" i="4" a="1"/>
  <c r="BC12" i="4" a="1"/>
  <c r="CB13" i="4" a="1"/>
  <c r="BN16" i="4" a="1"/>
  <c r="M7" i="4" a="1"/>
  <c r="CN8" i="4" a="1"/>
  <c r="DC12" i="4" a="1"/>
  <c r="BT9" i="4" a="1"/>
  <c r="CK14" i="4" a="1"/>
  <c r="CW7" i="4" a="1"/>
  <c r="BQ9" i="4" a="1"/>
  <c r="BD5" i="4" a="1"/>
  <c r="CP13" i="4" a="1"/>
  <c r="DK13" i="4" a="1"/>
  <c r="CF12" i="4" a="1"/>
  <c r="AU13" i="4" a="1"/>
  <c r="DR12" i="4" a="1"/>
  <c r="CA12" i="4" a="1"/>
  <c r="L5" i="4" a="1"/>
  <c r="AP11" i="4" a="1"/>
  <c r="BJ5" i="4" a="1"/>
  <c r="BH7" i="4" a="1"/>
  <c r="BM13" i="4" a="1"/>
  <c r="AC6" i="4" a="1"/>
  <c r="DF12" i="4" a="1"/>
  <c r="CL12" i="4" a="1"/>
  <c r="EI12" i="4" a="1"/>
  <c r="DH6" i="4" a="1"/>
  <c r="F15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U19" i="2"/>
  <c r="W46" i="2"/>
  <c r="V35" i="2"/>
  <c r="O19" i="2"/>
  <c r="T15" i="2"/>
  <c r="R13" i="2"/>
  <c r="T29" i="2"/>
  <c r="R20" i="2"/>
  <c r="J31" i="2"/>
  <c r="L18" i="2"/>
  <c r="V22" i="2"/>
  <c r="J28" i="2"/>
  <c r="V9" i="2"/>
  <c r="E23" i="2"/>
  <c r="R17" i="2"/>
  <c r="AR49" i="3"/>
  <c r="U24" i="2"/>
  <c r="R22" i="2"/>
  <c r="AR95" i="3"/>
  <c r="I34" i="2"/>
  <c r="U9" i="2"/>
  <c r="AF48" i="3"/>
  <c r="F22" i="3"/>
  <c r="F19" i="3"/>
  <c r="AR33" i="3"/>
  <c r="V45" i="3"/>
  <c r="K46" i="3"/>
  <c r="AQ45" i="3"/>
  <c r="E13" i="3"/>
  <c r="D38" i="3"/>
  <c r="E34" i="3"/>
  <c r="D31" i="3"/>
  <c r="AD11" i="3"/>
  <c r="X13" i="4" a="1"/>
  <c r="DZ14" i="4" a="1"/>
  <c r="CM12" i="4" a="1"/>
  <c r="CB7" i="4" a="1"/>
  <c r="D8" i="4" a="1"/>
  <c r="AD8" i="4" a="1"/>
  <c r="BL9" i="4" a="1"/>
  <c r="DP9" i="4" a="1"/>
  <c r="T7" i="4" a="1"/>
  <c r="K15" i="4" a="1"/>
  <c r="ED14" i="4" a="1"/>
  <c r="AC14" i="4" a="1"/>
  <c r="AO11" i="4" a="1"/>
  <c r="CJ9" i="4" a="1"/>
  <c r="AG9" i="4" a="1"/>
  <c r="DX6" i="4" a="1"/>
  <c r="BR13" i="4" a="1"/>
  <c r="ED9" i="4" a="1"/>
  <c r="BI7" i="4" a="1"/>
  <c r="DG5" i="4" a="1"/>
  <c r="CR5" i="4" a="1"/>
  <c r="DS6" i="4" a="1"/>
  <c r="DP5" i="4" a="1"/>
  <c r="CS12" i="4" a="1"/>
  <c r="W8" i="4" a="1"/>
  <c r="K16" i="4" a="1"/>
  <c r="DC15" i="4" a="1"/>
  <c r="CK11" i="4" a="1"/>
  <c r="X9" i="4" a="1"/>
  <c r="BI9" i="4" a="1"/>
  <c r="AV8" i="4" a="1"/>
  <c r="DS5" i="4" a="1"/>
  <c r="BY14" i="4" a="1"/>
  <c r="BT16" i="4" a="1"/>
  <c r="DT16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C8" i="2"/>
  <c r="Q58" i="2"/>
  <c r="S25" i="2"/>
  <c r="Q30" i="2"/>
  <c r="G33" i="2"/>
  <c r="J15" i="2"/>
  <c r="S9" i="2"/>
  <c r="P28" i="2"/>
  <c r="X20" i="2"/>
  <c r="F9" i="2"/>
  <c r="D33" i="2"/>
  <c r="X21" i="2"/>
  <c r="C18" i="2"/>
  <c r="T31" i="2"/>
  <c r="T21" i="2"/>
  <c r="AR55" i="3"/>
  <c r="W70" i="2"/>
  <c r="C23" i="2"/>
  <c r="AS47" i="3"/>
  <c r="H33" i="2"/>
  <c r="C30" i="2"/>
  <c r="G7" i="3"/>
  <c r="D13" i="3"/>
  <c r="F25" i="3"/>
  <c r="F33" i="3"/>
  <c r="N45" i="3"/>
  <c r="AR15" i="3"/>
  <c r="G21" i="3"/>
  <c r="AC45" i="3"/>
  <c r="Z46" i="3"/>
  <c r="G30" i="3"/>
  <c r="D7" i="3"/>
  <c r="AR35" i="3"/>
  <c r="AF7" i="4" a="1"/>
  <c r="EC15" i="4" a="1"/>
  <c r="BC9" i="4" a="1"/>
  <c r="AN7" i="4" a="1"/>
  <c r="S11" i="4" a="1"/>
  <c r="BO8" i="4" a="1"/>
  <c r="CN11" i="4" a="1"/>
  <c r="CF9" i="4" a="1"/>
  <c r="S15" i="4" a="1"/>
  <c r="BZ5" i="4" a="1"/>
  <c r="AK13" i="4" a="1"/>
  <c r="DQ13" i="4" a="1"/>
  <c r="CO9" i="4" a="1"/>
  <c r="CD8" i="4" a="1"/>
  <c r="BI6" i="4" a="1"/>
  <c r="CU8" i="4" a="1"/>
  <c r="DD9" i="4" a="1"/>
  <c r="DP11" i="4" a="1"/>
  <c r="BO5" i="4" a="1"/>
  <c r="EE11" i="4" a="1"/>
  <c r="DQ14" i="4" a="1"/>
  <c r="AY6" i="4" a="1"/>
  <c r="BK15" i="4" a="1"/>
  <c r="AM6" i="4" a="1"/>
  <c r="N13" i="4" a="1"/>
  <c r="DQ5" i="4" a="1"/>
  <c r="BC8" i="4" a="1"/>
  <c r="DA14" i="4" a="1"/>
  <c r="H6" i="4" a="1"/>
  <c r="DP7" i="4" a="1"/>
  <c r="D9" i="4" a="1"/>
  <c r="BE5" i="4" a="1"/>
  <c r="DX8" i="4" a="1"/>
  <c r="DI7" i="4" a="1"/>
  <c r="DX7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Q18" i="2"/>
  <c r="O6" i="2"/>
  <c r="N36" i="2"/>
  <c r="W5" i="2"/>
  <c r="O25" i="2"/>
  <c r="N33" i="2"/>
  <c r="H23" i="2"/>
  <c r="V5" i="2"/>
  <c r="K24" i="2"/>
  <c r="H27" i="2"/>
  <c r="K59" i="2"/>
  <c r="N6" i="2"/>
  <c r="O10" i="2"/>
  <c r="T20" i="2"/>
  <c r="R36" i="2"/>
  <c r="T8" i="2"/>
  <c r="D11" i="2"/>
  <c r="Q34" i="2"/>
  <c r="V8" i="2"/>
  <c r="X29" i="2"/>
  <c r="L27" i="2"/>
  <c r="AA46" i="3"/>
  <c r="E25" i="3"/>
  <c r="E26" i="3"/>
  <c r="L46" i="3"/>
  <c r="D15" i="3"/>
  <c r="E42" i="3"/>
  <c r="AD46" i="3"/>
  <c r="D22" i="3"/>
  <c r="AO46" i="3"/>
  <c r="AR28" i="3"/>
  <c r="D35" i="3"/>
  <c r="F35" i="3"/>
  <c r="AB12" i="4" a="1"/>
  <c r="Z8" i="4" a="1"/>
  <c r="DH14" i="4" a="1"/>
  <c r="AI14" i="4" a="1"/>
  <c r="CR8" i="4" a="1"/>
  <c r="DF15" i="4" a="1"/>
  <c r="DV7" i="4" a="1"/>
  <c r="CS14" i="4" a="1"/>
  <c r="BG8" i="4" a="1"/>
  <c r="CA15" i="4" a="1"/>
  <c r="U16" i="4" a="1"/>
  <c r="CV9" i="4" a="1"/>
  <c r="DC7" i="4" a="1"/>
  <c r="AQ15" i="4" a="1"/>
  <c r="Y8" i="4" a="1"/>
  <c r="CI13" i="4" a="1"/>
  <c r="C7" i="4" a="1"/>
  <c r="CM13" i="4" a="1"/>
  <c r="DN12" i="4" a="1"/>
  <c r="G12" i="4" a="1"/>
  <c r="EA8" i="4" a="1"/>
  <c r="CA9" i="4" a="1"/>
  <c r="AY12" i="4" a="1"/>
  <c r="EJ16" i="4" a="1"/>
  <c r="AE12" i="4" a="1"/>
  <c r="BQ8" i="4" a="1"/>
  <c r="AN11" i="4" a="1"/>
  <c r="CS7" i="4" a="1"/>
  <c r="BP5" i="4" a="1"/>
  <c r="L6" i="4" a="1"/>
  <c r="AT8" i="4" a="1"/>
  <c r="CJ8" i="4" a="1"/>
  <c r="Z16" i="4" a="1"/>
  <c r="AA9" i="4" a="1"/>
  <c r="AA16" i="4" a="1"/>
  <c r="AA13" i="4" a="1"/>
  <c r="BX12" i="4" a="1"/>
  <c r="AL13" i="4" a="1"/>
  <c r="CB12" i="4" a="1"/>
  <c r="BU14" i="4" a="1"/>
  <c r="J24" i="2"/>
  <c r="U6" i="2"/>
  <c r="D47" i="2"/>
  <c r="J10" i="2"/>
  <c r="D17" i="2"/>
  <c r="M8" i="2"/>
  <c r="T7" i="2"/>
  <c r="L15" i="2"/>
  <c r="O11" i="2"/>
  <c r="T19" i="2"/>
  <c r="T14" i="2"/>
  <c r="C25" i="2"/>
  <c r="G9" i="2"/>
  <c r="C14" i="2"/>
  <c r="Q59" i="2"/>
  <c r="J5" i="2"/>
  <c r="K22" i="2"/>
  <c r="S24" i="2"/>
  <c r="X26" i="2"/>
  <c r="H35" i="2"/>
  <c r="J34" i="2"/>
  <c r="F32" i="3"/>
  <c r="AE46" i="3"/>
  <c r="F29" i="3"/>
  <c r="AE45" i="3"/>
  <c r="AB45" i="3"/>
  <c r="F31" i="3"/>
  <c r="AL45" i="3"/>
  <c r="E24" i="3"/>
  <c r="AR8" i="3"/>
  <c r="E15" i="3"/>
  <c r="K45" i="3"/>
  <c r="R16" i="4" a="1"/>
  <c r="AL12" i="4" a="1"/>
  <c r="BM8" i="4" a="1"/>
  <c r="AO12" i="4" a="1"/>
  <c r="BE15" i="4" a="1"/>
  <c r="DT12" i="4" a="1"/>
  <c r="BQ7" i="4" a="1"/>
  <c r="C9" i="4" a="1"/>
  <c r="CN16" i="4" a="1"/>
  <c r="DR5" i="4" a="1"/>
  <c r="EG16" i="4" a="1"/>
  <c r="AD11" i="4" a="1"/>
  <c r="BS7" i="4" a="1"/>
  <c r="BP11" i="4" a="1"/>
  <c r="CU6" i="4" a="1"/>
  <c r="AY7" i="4" a="1"/>
  <c r="K11" i="2"/>
  <c r="Q46" i="2"/>
  <c r="W17" i="2"/>
  <c r="J26" i="2"/>
  <c r="J22" i="2"/>
  <c r="W30" i="2"/>
  <c r="G14" i="2"/>
  <c r="R8" i="2"/>
  <c r="G24" i="2"/>
  <c r="E8" i="2"/>
  <c r="F19" i="2"/>
  <c r="S8" i="2"/>
  <c r="H10" i="2"/>
  <c r="H28" i="2"/>
  <c r="E17" i="2"/>
  <c r="M24" i="2"/>
  <c r="E5" i="2"/>
  <c r="R7" i="2"/>
  <c r="AR47" i="3"/>
  <c r="Q54" i="2"/>
  <c r="AR86" i="3"/>
  <c r="J46" i="3"/>
  <c r="AR12" i="3"/>
  <c r="AA45" i="3"/>
  <c r="D29" i="3"/>
  <c r="E23" i="3"/>
  <c r="E35" i="3"/>
  <c r="D8" i="3"/>
  <c r="AD12" i="3"/>
  <c r="AR18" i="3"/>
  <c r="AR29" i="3"/>
  <c r="J45" i="3"/>
  <c r="CI14" i="4" a="1"/>
  <c r="BY7" i="4" a="1"/>
  <c r="AK11" i="4" a="1"/>
  <c r="BX9" i="4" a="1"/>
  <c r="D14" i="4" a="1"/>
  <c r="DK5" i="4" a="1"/>
  <c r="BD6" i="4" a="1"/>
  <c r="CD5" i="4" a="1"/>
  <c r="DQ16" i="4" a="1"/>
  <c r="CG12" i="4" a="1"/>
  <c r="AB11" i="4" a="1"/>
  <c r="AE6" i="4" a="1"/>
  <c r="DO12" i="4" a="1"/>
  <c r="P14" i="4" a="1"/>
  <c r="DE12" i="4" a="1"/>
  <c r="AC12" i="4" a="1"/>
  <c r="AL5" i="4" a="1"/>
  <c r="DL11" i="4" a="1"/>
  <c r="CM6" i="4" a="1"/>
  <c r="BE6" i="4" a="1"/>
  <c r="CS15" i="4" a="1"/>
  <c r="Y6" i="4" a="1"/>
  <c r="F8" i="4" a="1"/>
  <c r="DV15" i="4" a="1"/>
  <c r="AD12" i="4" a="1"/>
  <c r="AI5" i="4" a="1"/>
  <c r="CP8" i="4" a="1"/>
  <c r="AY11" i="4" a="1"/>
  <c r="V16" i="4" a="1"/>
  <c r="CH6" i="4" a="1"/>
  <c r="BB14" i="4" a="1"/>
  <c r="AV15" i="4" a="1"/>
  <c r="AB5" i="4" a="1"/>
  <c r="U14" i="4" a="1"/>
  <c r="BC15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K5" i="2"/>
  <c r="S26" i="2"/>
  <c r="I24" i="2"/>
  <c r="G11" i="2"/>
  <c r="X36" i="2"/>
  <c r="V25" i="2"/>
  <c r="AD18" i="3"/>
  <c r="G10" i="3"/>
  <c r="F28" i="3"/>
  <c r="AI16" i="4" a="1"/>
  <c r="CQ14" i="4" a="1"/>
  <c r="M5" i="4" a="1"/>
  <c r="W13" i="4" a="1"/>
  <c r="DQ11" i="4" a="1"/>
  <c r="DI13" i="4" a="1"/>
  <c r="BX5" i="4" a="1"/>
  <c r="U5" i="4" a="1"/>
  <c r="U12" i="4" a="1"/>
  <c r="AW7" i="4" a="1"/>
  <c r="DT6" i="4" a="1"/>
  <c r="BF14" i="4" a="1"/>
  <c r="BB15" i="4" a="1"/>
  <c r="DC14" i="4" a="1"/>
  <c r="G7" i="4" a="1"/>
  <c r="EI5" i="4" a="1"/>
  <c r="CN12" i="4" a="1"/>
  <c r="DD6" i="4" a="1"/>
  <c r="AP14" i="4" a="1"/>
  <c r="BZ6" i="4" a="1"/>
  <c r="H5" i="4" a="1"/>
  <c r="CJ14" i="4" a="1"/>
  <c r="CG5" i="4" a="1"/>
  <c r="CU14" i="4" a="1"/>
  <c r="W7" i="4" a="1"/>
  <c r="BY9" i="4" a="1"/>
  <c r="U7" i="4" a="1"/>
  <c r="DX16" i="4" a="1"/>
  <c r="CG9" i="4" a="1"/>
  <c r="CC7" i="4" a="1"/>
  <c r="DJ11" i="4" a="1"/>
  <c r="G13" i="4" a="1"/>
  <c r="EI8" i="4" a="1"/>
  <c r="DK15" i="4" a="1"/>
  <c r="AX7" i="4" a="1"/>
  <c r="Q15" i="4" a="1"/>
  <c r="CK7" i="4" a="1"/>
  <c r="BS5" i="4" a="1"/>
  <c r="AF5" i="4" a="1"/>
  <c r="H11" i="4" a="1"/>
  <c r="P15" i="4" a="1"/>
  <c r="DD14" i="4" a="1"/>
  <c r="DB11" i="4" a="1"/>
  <c r="BY6" i="4" a="1"/>
  <c r="CG13" i="4" a="1"/>
  <c r="AN14" i="4" a="1"/>
  <c r="DZ5" i="4" a="1"/>
  <c r="EK13" i="4" a="1"/>
  <c r="EG13" i="4" a="1"/>
  <c r="AJ15" i="4" a="1"/>
  <c r="CK12" i="4" a="1"/>
  <c r="DY15" i="4" a="1"/>
  <c r="CI6" i="4" a="1"/>
  <c r="DM7" i="4" a="1"/>
  <c r="DW16" i="4" a="1"/>
  <c r="BV12" i="4" a="1"/>
  <c r="AZ13" i="4" a="1"/>
  <c r="AE9" i="4" a="1"/>
  <c r="CQ7" i="4" a="1"/>
  <c r="EB15" i="4" a="1"/>
  <c r="DA9" i="4" a="1"/>
  <c r="M9" i="4" a="1"/>
  <c r="EC5" i="4" a="1"/>
  <c r="AW9" i="4" a="1"/>
  <c r="T13" i="4" a="1"/>
  <c r="AX12" i="4" a="1"/>
  <c r="CR7" i="4" a="1"/>
  <c r="AD13" i="4" a="1"/>
  <c r="CW16" i="4" a="1"/>
  <c r="BO7" i="4" a="1"/>
  <c r="EF16" i="4" a="1"/>
  <c r="BN5" i="4" a="1"/>
  <c r="CV16" i="4" a="1"/>
  <c r="AR23" i="3"/>
  <c r="CK5" i="4" a="1"/>
  <c r="N11" i="4" a="1"/>
  <c r="BB12" i="4" a="1"/>
  <c r="AE14" i="4" a="1"/>
  <c r="CQ16" i="4" a="1"/>
  <c r="BC11" i="4" a="1"/>
  <c r="V34" i="2"/>
  <c r="G31" i="2"/>
  <c r="P13" i="2"/>
  <c r="J20" i="2"/>
  <c r="R26" i="2"/>
  <c r="X12" i="2"/>
  <c r="AP45" i="3"/>
  <c r="G13" i="3"/>
  <c r="N9" i="4" a="1"/>
  <c r="CM16" i="4" a="1"/>
  <c r="EI14" i="4" a="1"/>
  <c r="AE16" i="4" a="1"/>
  <c r="AD5" i="4" a="1"/>
  <c r="DR11" i="4" a="1"/>
  <c r="BS16" i="4" a="1"/>
  <c r="DO6" i="4" a="1"/>
  <c r="DL5" i="4" a="1"/>
  <c r="CT15" i="4" a="1"/>
  <c r="DJ16" i="4" a="1"/>
  <c r="BO16" i="4" a="1"/>
  <c r="J14" i="4" a="1"/>
  <c r="CE13" i="4" a="1"/>
  <c r="CV14" i="4" a="1"/>
  <c r="CK13" i="4" a="1"/>
  <c r="AJ7" i="4" a="1"/>
  <c r="CF8" i="4" a="1"/>
  <c r="E12" i="4" a="1"/>
  <c r="BB5" i="4" a="1"/>
  <c r="S12" i="4" a="1"/>
  <c r="CM9" i="4" a="1"/>
  <c r="DI5" i="4" a="1"/>
  <c r="AT13" i="4" a="1"/>
  <c r="BG6" i="4" a="1"/>
  <c r="EB11" i="4" a="1"/>
  <c r="CR12" i="4" a="1"/>
  <c r="AW15" i="4" a="1"/>
  <c r="DH5" i="4" a="1"/>
  <c r="Y14" i="4" a="1"/>
  <c r="DZ8" i="4" a="1"/>
  <c r="BT12" i="4" a="1"/>
  <c r="CK9" i="4" a="1"/>
  <c r="BU9" i="4" a="1"/>
  <c r="AG8" i="4" a="1"/>
  <c r="Z13" i="4" a="1"/>
  <c r="AZ11" i="4" a="1"/>
  <c r="EH15" i="4" a="1"/>
  <c r="DM9" i="4" a="1"/>
  <c r="EG11" i="4" a="1"/>
  <c r="E5" i="4" a="1"/>
  <c r="EH11" i="4" a="1"/>
  <c r="BE16" i="4" a="1"/>
  <c r="CU13" i="4" a="1"/>
  <c r="R15" i="4" a="1"/>
  <c r="T14" i="4" a="1"/>
  <c r="AM9" i="4" a="1"/>
  <c r="CE12" i="4" a="1"/>
  <c r="EE7" i="4" a="1"/>
  <c r="BS9" i="4" a="1"/>
  <c r="BO6" i="4" a="1"/>
  <c r="EH14" i="4" a="1"/>
  <c r="G5" i="4" a="1"/>
  <c r="AT7" i="4" a="1"/>
  <c r="CH9" i="4" a="1"/>
  <c r="AX5" i="4" a="1"/>
  <c r="DK11" i="4" a="1"/>
  <c r="DS11" i="4" a="1"/>
  <c r="O13" i="4" a="1"/>
  <c r="BP16" i="4" a="1"/>
  <c r="AR9" i="4" a="1"/>
  <c r="DV6" i="4" a="1"/>
  <c r="CB15" i="4" a="1"/>
  <c r="EH8" i="4" a="1"/>
  <c r="C13" i="4" a="1"/>
  <c r="AV12" i="4" a="1"/>
  <c r="CO5" i="4" a="1"/>
  <c r="DD11" i="4" a="1"/>
  <c r="DN7" i="4" a="1"/>
  <c r="AT11" i="4" a="1"/>
  <c r="EI7" i="4" a="1"/>
  <c r="DI12" i="4" a="1"/>
  <c r="AN16" i="4" a="1"/>
  <c r="AJ11" i="4" a="1"/>
  <c r="BG9" i="4" a="1"/>
  <c r="AO15" i="4" a="1"/>
  <c r="CJ15" i="4" a="1"/>
  <c r="CM5" i="4" a="1"/>
  <c r="AJ6" i="4" a="1"/>
  <c r="BF8" i="4" a="1"/>
  <c r="DY5" i="4" a="1"/>
  <c r="CY12" i="4" a="1"/>
  <c r="DY7" i="4" a="1"/>
  <c r="DJ13" i="4" a="1"/>
  <c r="AU14" i="4" a="1"/>
  <c r="CA14" i="4" a="1"/>
  <c r="DN16" i="4" a="1"/>
  <c r="BK7" i="4" a="1"/>
  <c r="O28" i="2"/>
  <c r="J5" i="4" a="1"/>
  <c r="Z5" i="4" a="1"/>
  <c r="AG11" i="4" a="1"/>
  <c r="CR16" i="4" a="1"/>
  <c r="AQ16" i="4" a="1"/>
  <c r="G9" i="4" a="1"/>
  <c r="CW6" i="4" a="1"/>
  <c r="DV11" i="4" a="1"/>
  <c r="BD13" i="4" a="1"/>
  <c r="P8" i="2"/>
  <c r="D14" i="3"/>
  <c r="CV5" i="4" a="1"/>
  <c r="I9" i="4" a="1"/>
  <c r="DQ6" i="4" a="1"/>
  <c r="V7" i="4" a="1"/>
  <c r="DV12" i="4" a="1"/>
  <c r="CS11" i="4" a="1"/>
  <c r="AF15" i="4" a="1"/>
  <c r="O8" i="2"/>
  <c r="K23" i="2"/>
  <c r="J36" i="2"/>
  <c r="L6" i="2"/>
  <c r="Q57" i="2"/>
  <c r="AR96" i="3"/>
  <c r="F12" i="3"/>
  <c r="G23" i="3"/>
  <c r="ED16" i="4" a="1"/>
  <c r="BI13" i="4" a="1"/>
  <c r="BB13" i="4" a="1"/>
  <c r="CS8" i="4" a="1"/>
  <c r="DL13" i="4" a="1"/>
  <c r="AP16" i="4" a="1"/>
  <c r="D15" i="4" a="1"/>
  <c r="AX16" i="4" a="1"/>
  <c r="DJ6" i="4" a="1"/>
  <c r="Z7" i="4" a="1"/>
  <c r="CG7" i="4" a="1"/>
  <c r="AW5" i="4" a="1"/>
  <c r="BI15" i="4" a="1"/>
  <c r="CJ12" i="4" a="1"/>
  <c r="AS8" i="4" a="1"/>
  <c r="BP15" i="4" a="1"/>
  <c r="CP15" i="4" a="1"/>
  <c r="AB16" i="4" a="1"/>
  <c r="I12" i="4" a="1"/>
  <c r="AE13" i="4" a="1"/>
  <c r="BX6" i="4" a="1"/>
  <c r="DU16" i="4" a="1"/>
  <c r="H15" i="4" a="1"/>
  <c r="EH9" i="4" a="1"/>
  <c r="CW11" i="4" a="1"/>
  <c r="EJ6" i="4" a="1"/>
  <c r="CC5" i="4" a="1"/>
  <c r="DC5" i="4" a="1"/>
  <c r="AR7" i="4" a="1"/>
  <c r="T5" i="4" a="1"/>
  <c r="EH6" i="4" a="1"/>
  <c r="CJ7" i="4" a="1"/>
  <c r="DI9" i="4" a="1"/>
  <c r="BR8" i="4" a="1"/>
  <c r="ED15" i="4" a="1"/>
  <c r="F5" i="4" a="1"/>
  <c r="CP16" i="4" a="1"/>
  <c r="S8" i="4" a="1"/>
  <c r="BW8" i="4" a="1"/>
  <c r="DH16" i="4" a="1"/>
  <c r="DZ15" i="4" a="1"/>
  <c r="O15" i="4" a="1"/>
  <c r="BQ12" i="4" a="1"/>
  <c r="BD8" i="4" a="1"/>
  <c r="EK6" i="4" a="1"/>
  <c r="Z14" i="4" a="1"/>
  <c r="CY7" i="4" a="1"/>
  <c r="Y13" i="4" a="1"/>
  <c r="AD14" i="4" a="1"/>
  <c r="BD7" i="4" a="1"/>
  <c r="DH11" i="4" a="1"/>
  <c r="AW16" i="4" a="1"/>
  <c r="BK14" i="4" a="1"/>
  <c r="DO7" i="4" a="1"/>
  <c r="N8" i="4" a="1"/>
  <c r="AN15" i="4" a="1"/>
  <c r="R12" i="4" a="1"/>
  <c r="AG5" i="4" a="1"/>
  <c r="BX15" i="4" a="1"/>
  <c r="AP46" i="3"/>
  <c r="BJ16" i="4" a="1"/>
  <c r="EB5" i="4" a="1"/>
  <c r="CV13" i="4" a="1"/>
  <c r="BA12" i="4" a="1"/>
  <c r="N5" i="4" a="1"/>
  <c r="DS14" i="4" a="1"/>
  <c r="O16" i="2"/>
  <c r="K36" i="2"/>
  <c r="K9" i="2"/>
  <c r="U5" i="2"/>
  <c r="C65" i="2"/>
  <c r="AR34" i="3"/>
  <c r="AR40" i="3"/>
  <c r="AR14" i="3"/>
  <c r="CX7" i="4" a="1"/>
  <c r="AC11" i="4" a="1"/>
  <c r="DM12" i="4" a="1"/>
  <c r="DI8" i="4" a="1"/>
  <c r="DP16" i="4" a="1"/>
  <c r="AK5" i="4" a="1"/>
  <c r="CH8" i="4" a="1"/>
  <c r="D7" i="4" a="1"/>
  <c r="I5" i="4" a="1"/>
  <c r="AT6" i="4" a="1"/>
  <c r="CD6" i="4" a="1"/>
  <c r="U12" i="2"/>
  <c r="T30" i="2"/>
  <c r="M20" i="2"/>
  <c r="T6" i="2"/>
  <c r="M30" i="2"/>
  <c r="AJ46" i="3"/>
  <c r="T45" i="3"/>
  <c r="AO45" i="3"/>
  <c r="DO14" i="4" a="1"/>
  <c r="BV5" i="4" a="1"/>
  <c r="DI14" i="4" a="1"/>
  <c r="R11" i="4" a="1"/>
  <c r="CU9" i="4" a="1"/>
  <c r="EJ7" i="4" a="1"/>
  <c r="CN15" i="4" a="1"/>
  <c r="CH14" i="4" a="1"/>
  <c r="EE16" i="4" a="1"/>
  <c r="EH13" i="4" a="1"/>
  <c r="Q13" i="4" a="1"/>
  <c r="EA16" i="4" a="1"/>
  <c r="BQ15" i="4" a="1"/>
  <c r="AP7" i="4" a="1"/>
  <c r="BG15" i="4" a="1"/>
  <c r="CQ15" i="4" a="1"/>
  <c r="G6" i="4" a="1"/>
  <c r="EK12" i="4" a="1"/>
  <c r="AP13" i="4" a="1"/>
  <c r="DC16" i="4" a="1"/>
  <c r="DT13" i="4" a="1"/>
  <c r="J13" i="4" a="1"/>
  <c r="AB14" i="4" a="1"/>
  <c r="CO16" i="4" a="1"/>
  <c r="AD6" i="4" a="1"/>
  <c r="CX16" i="4" a="1"/>
  <c r="S9" i="4" a="1"/>
  <c r="M13" i="4" a="1"/>
  <c r="R7" i="4" a="1"/>
  <c r="BX14" i="4" a="1"/>
  <c r="V13" i="4" a="1"/>
  <c r="BN13" i="4" a="1"/>
  <c r="DR15" i="4" a="1"/>
  <c r="AU8" i="4" a="1"/>
  <c r="CR11" i="4" a="1"/>
  <c r="AL9" i="4" a="1"/>
  <c r="AF14" i="4" a="1"/>
  <c r="BU11" i="4" a="1"/>
  <c r="O5" i="4" a="1"/>
  <c r="Q7" i="4" a="1"/>
  <c r="J11" i="4" a="1"/>
  <c r="DS7" i="4" a="1"/>
  <c r="BQ6" i="4" a="1"/>
  <c r="S16" i="4" a="1"/>
  <c r="E7" i="4" a="1"/>
  <c r="G16" i="4" a="1"/>
  <c r="L12" i="4" a="1"/>
  <c r="CZ6" i="4" a="1"/>
  <c r="H13" i="4" a="1"/>
  <c r="EK11" i="4" a="1"/>
  <c r="BW5" i="4" a="1"/>
  <c r="ED12" i="4" a="1"/>
  <c r="DD16" i="4" a="1"/>
  <c r="U13" i="4" a="1"/>
  <c r="DE9" i="4" a="1"/>
  <c r="BQ5" i="4" a="1"/>
  <c r="CS9" i="4" a="1"/>
  <c r="AL14" i="4" a="1"/>
  <c r="BI8" i="4" a="1"/>
  <c r="N16" i="4" a="1"/>
  <c r="E11" i="4" a="1"/>
  <c r="AV13" i="4" a="1"/>
  <c r="BN14" i="4" a="1"/>
  <c r="BH11" i="4" a="1"/>
  <c r="AQ6" i="4" a="1"/>
  <c r="CQ9" i="4" a="1"/>
  <c r="AI12" i="4" a="1"/>
  <c r="EH12" i="4" a="1"/>
  <c r="EF14" i="4" a="1"/>
  <c r="CA13" i="4" a="1"/>
  <c r="I8" i="2"/>
  <c r="AV9" i="4" a="1"/>
  <c r="AJ9" i="4" a="1"/>
  <c r="G16" i="2"/>
  <c r="J25" i="2"/>
  <c r="N7" i="2"/>
  <c r="J32" i="2"/>
  <c r="E20" i="2"/>
  <c r="X46" i="3"/>
  <c r="G14" i="3"/>
  <c r="E30" i="3"/>
  <c r="DL9" i="4" a="1"/>
  <c r="BF7" i="4" a="1"/>
  <c r="EK5" i="4" a="1"/>
  <c r="AE7" i="4" a="1"/>
  <c r="DW6" i="4" a="1"/>
  <c r="BY15" i="4" a="1"/>
  <c r="BV15" i="4" a="1"/>
  <c r="CP12" i="4" a="1"/>
  <c r="CJ13" i="4" a="1"/>
  <c r="I16" i="4" a="1"/>
  <c r="BV9" i="4" a="1"/>
  <c r="BS13" i="4" a="1"/>
  <c r="CM15" i="4" a="1"/>
  <c r="BZ13" i="4" a="1"/>
  <c r="CE7" i="4" a="1"/>
  <c r="Y11" i="4" a="1"/>
  <c r="DO8" i="4" a="1"/>
  <c r="U8" i="4" a="1"/>
  <c r="CS6" i="4" a="1"/>
  <c r="BY11" i="4" a="1"/>
  <c r="AQ9" i="4" a="1"/>
  <c r="AN12" i="4" a="1"/>
  <c r="F6" i="4" a="1"/>
  <c r="BT8" i="4" a="1"/>
  <c r="CW5" i="4" a="1"/>
  <c r="P11" i="4" a="1"/>
  <c r="CS13" i="4" a="1"/>
  <c r="Y9" i="4" a="1"/>
  <c r="AR15" i="4" a="1"/>
  <c r="AQ8" i="4" a="1"/>
  <c r="AW11" i="4" a="1"/>
  <c r="DY6" i="4" a="1"/>
  <c r="EB12" i="4" a="1"/>
  <c r="BG13" i="4" a="1"/>
  <c r="BX7" i="4" a="1"/>
  <c r="BF16" i="4" a="1"/>
  <c r="BH13" i="4" a="1"/>
  <c r="DE6" i="4" a="1"/>
  <c r="H8" i="4" a="1"/>
  <c r="L8" i="4" a="1"/>
  <c r="EA12" i="4" a="1"/>
  <c r="BL5" i="4" a="1"/>
  <c r="BP6" i="4" a="1"/>
  <c r="EJ15" i="4" a="1"/>
  <c r="DB15" i="4" a="1"/>
  <c r="CI9" i="4" a="1"/>
  <c r="DJ15" i="4" a="1"/>
  <c r="CZ14" i="4" a="1"/>
  <c r="K13" i="4" a="1"/>
  <c r="AM15" i="4" a="1"/>
  <c r="BU5" i="4" a="1"/>
  <c r="DP13" i="4" a="1"/>
  <c r="I13" i="4" a="1"/>
  <c r="DH13" i="4" a="1"/>
  <c r="DM8" i="4" a="1"/>
  <c r="AH6" i="4" a="1"/>
  <c r="AD15" i="4" a="1"/>
  <c r="BR16" i="4" a="1"/>
  <c r="BW9" i="4" a="1"/>
  <c r="DL8" i="4" a="1"/>
  <c r="CO11" i="4" a="1"/>
  <c r="C17" i="2"/>
  <c r="AI9" i="4" a="1"/>
  <c r="BY5" i="4" a="1"/>
  <c r="DE16" i="4" a="1"/>
  <c r="CC13" i="4" a="1"/>
  <c r="AK15" i="4" a="1"/>
  <c r="CV11" i="4" a="1"/>
  <c r="BN12" i="4" a="1"/>
  <c r="AA15" i="4" a="1"/>
  <c r="DI11" i="4" a="1"/>
  <c r="BS8" i="4" a="1"/>
  <c r="DA15" i="4" a="1"/>
  <c r="EC6" i="4" a="1"/>
  <c r="DF8" i="4" a="1"/>
  <c r="E9" i="2"/>
  <c r="EA13" i="4" a="1"/>
  <c r="AH12" i="4" a="1"/>
  <c r="CA11" i="4" a="1"/>
  <c r="CZ11" i="4" a="1"/>
  <c r="CE9" i="4" a="1"/>
  <c r="Q6" i="4" a="1"/>
  <c r="AS12" i="4" a="1"/>
  <c r="V26" i="2"/>
  <c r="L9" i="2"/>
  <c r="L22" i="2"/>
  <c r="N21" i="2"/>
  <c r="V19" i="2"/>
  <c r="G11" i="3"/>
  <c r="C46" i="3"/>
  <c r="F15" i="3"/>
  <c r="BU6" i="4" a="1"/>
  <c r="BZ15" i="4" a="1"/>
  <c r="BA5" i="4" a="1"/>
  <c r="CH7" i="4" a="1"/>
  <c r="X8" i="4" a="1"/>
  <c r="AH15" i="4" a="1"/>
  <c r="CC16" i="4" a="1"/>
  <c r="EJ12" i="4" a="1"/>
  <c r="EI9" i="4" a="1"/>
  <c r="DK16" i="4" a="1"/>
  <c r="CG14" i="4" a="1"/>
  <c r="AG14" i="4" a="1"/>
  <c r="DT11" i="4" a="1"/>
  <c r="CP9" i="4" a="1"/>
  <c r="BW6" i="4" a="1"/>
  <c r="BR11" i="4" a="1"/>
  <c r="AY5" i="4" a="1"/>
  <c r="AW12" i="4" a="1"/>
  <c r="CO15" i="4" a="1"/>
  <c r="BK9" i="4" a="1"/>
  <c r="BZ7" i="4" a="1"/>
  <c r="D16" i="4" a="1"/>
  <c r="H12" i="4" a="1"/>
  <c r="DR8" i="4" a="1"/>
  <c r="AY14" i="4" a="1"/>
  <c r="M11" i="4" a="1"/>
  <c r="CA5" i="4" a="1"/>
  <c r="S5" i="4" a="1"/>
  <c r="BZ16" i="4" a="1"/>
  <c r="F14" i="4" a="1"/>
  <c r="CU16" i="4" a="1"/>
  <c r="M8" i="4" a="1"/>
  <c r="BM12" i="4" a="1"/>
  <c r="P13" i="4" a="1"/>
  <c r="ED8" i="4" a="1"/>
  <c r="CP5" i="4" a="1"/>
  <c r="CC12" i="4" a="1"/>
  <c r="CU12" i="4" a="1"/>
  <c r="BQ13" i="4" a="1"/>
  <c r="CJ16" i="4" a="1"/>
  <c r="H9" i="4" a="1"/>
  <c r="L15" i="4" a="1"/>
  <c r="BQ14" i="4" a="1"/>
  <c r="CL14" i="4" a="1"/>
  <c r="CC9" i="4" a="1"/>
  <c r="CK16" i="4" a="1"/>
  <c r="K5" i="4" a="1"/>
  <c r="EJ9" i="4" a="1"/>
  <c r="W16" i="4" a="1"/>
  <c r="AP8" i="4" a="1"/>
  <c r="DI6" i="4" a="1"/>
  <c r="S6" i="4" a="1"/>
  <c r="CG15" i="4" a="1"/>
  <c r="AW6" i="4" a="1"/>
  <c r="CR14" i="4" a="1"/>
  <c r="BA16" i="4" a="1"/>
  <c r="O16" i="4" a="1"/>
  <c r="BA8" i="4" a="1"/>
  <c r="AM16" i="4" a="1"/>
  <c r="CX13" i="4" a="1"/>
  <c r="DE13" i="4" a="1"/>
  <c r="CW8" i="4" a="1"/>
  <c r="AT12" i="4" a="1"/>
  <c r="CE15" i="4" a="1"/>
  <c r="DW8" i="4" a="1"/>
  <c r="AZ6" i="4" a="1"/>
  <c r="EA9" i="4" a="1"/>
  <c r="BM5" i="4" a="1"/>
  <c r="CU5" i="4" a="1"/>
  <c r="EE13" i="4" a="1"/>
  <c r="CX11" i="4" a="1"/>
  <c r="DD15" i="4" a="1"/>
  <c r="AR50" i="3"/>
  <c r="DP14" i="4" a="1"/>
  <c r="CQ8" i="4" a="1"/>
  <c r="J12" i="4" a="1"/>
  <c r="BR14" i="4" a="1"/>
  <c r="BL7" i="4" a="1"/>
  <c r="O12" i="4" a="1"/>
  <c r="CB6" i="4" a="1"/>
  <c r="DS15" i="4" a="1"/>
  <c r="AO6" i="4" a="1"/>
  <c r="BI11" i="4" a="1"/>
  <c r="CU11" i="4" a="1"/>
  <c r="DN11" i="4" a="1"/>
  <c r="AH14" i="4" a="1"/>
  <c r="AR9" i="3"/>
  <c r="R14" i="4" a="1"/>
  <c r="AM5" i="4" a="1"/>
  <c r="EA15" i="4" a="1"/>
  <c r="AW14" i="4" a="1"/>
  <c r="AJ5" i="4" a="1"/>
  <c r="DQ7" i="4" a="1"/>
  <c r="BE9" i="4" a="1"/>
  <c r="DO11" i="4" a="1"/>
  <c r="DU6" i="4" a="1"/>
  <c r="R9" i="4" a="1"/>
  <c r="CA7" i="4" a="1"/>
  <c r="AR6" i="4" a="1"/>
  <c r="DV9" i="4" a="1"/>
  <c r="EB14" i="4" a="1"/>
  <c r="AL11" i="4" a="1"/>
  <c r="W21" i="2"/>
  <c r="H6" i="2"/>
  <c r="E28" i="2"/>
  <c r="O24" i="2"/>
  <c r="N8" i="2"/>
  <c r="D19" i="3"/>
  <c r="F13" i="3"/>
  <c r="AH45" i="3"/>
  <c r="BK8" i="4" a="1"/>
  <c r="CG16" i="4" a="1"/>
  <c r="CQ13" i="4" a="1"/>
  <c r="CV12" i="4" a="1"/>
  <c r="BH14" i="4" a="1"/>
  <c r="EE12" i="4" a="1"/>
  <c r="BG11" i="4" a="1"/>
  <c r="BA7" i="4" a="1"/>
  <c r="AL15" i="4" a="1"/>
  <c r="M6" i="4" a="1"/>
  <c r="O11" i="4" a="1"/>
  <c r="CI16" i="4" a="1"/>
  <c r="AX13" i="4" a="1"/>
  <c r="EC8" i="4" a="1"/>
  <c r="AR16" i="4" a="1"/>
  <c r="T9" i="4" a="1"/>
  <c r="DG9" i="4" a="1"/>
  <c r="Y7" i="4" a="1"/>
  <c r="BN6" i="4" a="1"/>
  <c r="DS8" i="4" a="1"/>
  <c r="AY16" i="4" a="1"/>
  <c r="DW13" i="4" a="1"/>
  <c r="AA7" i="4" a="1"/>
  <c r="EF6" i="4" a="1"/>
  <c r="P12" i="4" a="1"/>
  <c r="BA14" i="4" a="1"/>
  <c r="DD8" i="4" a="1"/>
  <c r="BF5" i="4" a="1"/>
  <c r="DR9" i="4" a="1"/>
  <c r="AW8" i="4" a="1"/>
  <c r="DM14" i="4" a="1"/>
  <c r="EG8" i="4" a="1"/>
  <c r="AZ16" i="4" a="1"/>
  <c r="CS16" i="4" a="1"/>
  <c r="AC13" i="4" a="1"/>
  <c r="AM12" i="4" a="1"/>
  <c r="AN5" i="4" a="1"/>
  <c r="DN5" i="4" a="1"/>
  <c r="AM14" i="4" a="1"/>
  <c r="AH11" i="4" a="1"/>
  <c r="CO12" i="4" a="1"/>
  <c r="CZ9" i="4" a="1"/>
  <c r="AE5" i="4" a="1"/>
  <c r="DT8" i="4" a="1"/>
  <c r="N20" i="2"/>
  <c r="S14" i="4" a="1"/>
  <c r="DR13" i="4" a="1"/>
  <c r="AO8" i="4" a="1"/>
  <c r="AC7" i="4" a="1"/>
  <c r="L12" i="2"/>
  <c r="S20" i="2"/>
  <c r="C35" i="2"/>
  <c r="Q36" i="2"/>
  <c r="I11" i="2"/>
  <c r="AD10" i="3"/>
  <c r="E37" i="3"/>
  <c r="AR10" i="3"/>
  <c r="BF13" i="4" a="1"/>
  <c r="C15" i="4" a="1"/>
  <c r="AR11" i="4" a="1"/>
  <c r="DG11" i="4" a="1"/>
  <c r="AB9" i="4" a="1"/>
  <c r="AZ8" i="4" a="1"/>
  <c r="P8" i="4" a="1"/>
  <c r="BM16" i="4" a="1"/>
  <c r="F9" i="4" a="1"/>
  <c r="BR6" i="4" a="1"/>
  <c r="DB13" i="4" a="1"/>
  <c r="DN8" i="4" a="1"/>
  <c r="BH9" i="4" a="1"/>
  <c r="EF9" i="4" a="1"/>
  <c r="DH9" i="4" a="1"/>
  <c r="M15" i="4" a="1"/>
  <c r="CO8" i="4" a="1"/>
  <c r="K11" i="4" a="1"/>
  <c r="BK16" i="4" a="1"/>
  <c r="M36" i="2"/>
  <c r="DX5" i="4" a="1"/>
  <c r="BN8" i="4" a="1"/>
  <c r="AT16" i="4" a="1"/>
  <c r="I6" i="4" a="1"/>
  <c r="DY13" i="4" a="1"/>
  <c r="E7" i="2"/>
  <c r="AB13" i="4" a="1"/>
  <c r="CM14" i="4" a="1"/>
  <c r="AA8" i="4" a="1"/>
  <c r="DU9" i="4" a="1"/>
  <c r="CG11" i="4" a="1"/>
  <c r="DD7" i="4" a="1"/>
  <c r="CF5" i="4" a="1"/>
  <c r="AB8" i="4" a="1"/>
  <c r="AF6" i="4" a="1"/>
  <c r="DA6" i="4" a="1"/>
  <c r="X8" i="2"/>
  <c r="P6" i="2"/>
  <c r="D31" i="2"/>
  <c r="AR68" i="3"/>
  <c r="H5" i="2"/>
  <c r="AC46" i="3"/>
  <c r="D27" i="3"/>
  <c r="E8" i="3"/>
  <c r="EI16" i="4" a="1"/>
  <c r="AF16" i="4" a="1"/>
  <c r="DF7" i="4" a="1"/>
  <c r="J7" i="4" a="1"/>
  <c r="BK12" i="4" a="1"/>
  <c r="CM7" i="4" a="1"/>
  <c r="CT12" i="4" a="1"/>
  <c r="BM14" i="4" a="1"/>
  <c r="CB5" i="4" a="1"/>
  <c r="AT15" i="4" a="1"/>
  <c r="I7" i="4" a="1"/>
  <c r="DB7" i="4" a="1"/>
  <c r="AQ5" i="4" a="1"/>
  <c r="DB12" i="4" a="1"/>
  <c r="L11" i="4" a="1"/>
  <c r="I15" i="4" a="1"/>
  <c r="DL16" i="4" a="1"/>
  <c r="BJ14" i="4" a="1"/>
  <c r="V9" i="4" a="1"/>
  <c r="CY14" i="4" a="1"/>
  <c r="AS11" i="4" a="1"/>
  <c r="BK5" i="4" a="1"/>
  <c r="CY13" i="4" a="1"/>
  <c r="CL15" i="4" a="1"/>
  <c r="BD16" i="4" a="1"/>
  <c r="W9" i="4" a="1"/>
  <c r="G8" i="4" a="1"/>
  <c r="CD13" i="4" a="1"/>
  <c r="CH16" i="4" a="1"/>
  <c r="AI6" i="4" a="1"/>
  <c r="Z6" i="4" a="1"/>
  <c r="DO13" i="4" a="1"/>
  <c r="BH15" i="4" a="1"/>
  <c r="DU13" i="4" a="1"/>
  <c r="BB7" i="4" a="1"/>
  <c r="BM11" i="4" a="1"/>
  <c r="AR14" i="4" a="1"/>
  <c r="AY15" i="4" a="1"/>
  <c r="CY5" i="4" a="1"/>
  <c r="DW9" i="4" a="1"/>
  <c r="AH16" i="4" a="1"/>
  <c r="CL8" i="4" a="1"/>
  <c r="Z12" i="4" a="1"/>
  <c r="G15" i="4" a="1"/>
  <c r="CW15" i="4" a="1"/>
  <c r="AC8" i="4" a="1"/>
  <c r="BX11" i="4" a="1"/>
  <c r="EJ11" i="4" a="1"/>
  <c r="BF15" i="4" a="1"/>
  <c r="BO11" i="4" a="1"/>
  <c r="EB9" i="4" a="1"/>
  <c r="BY12" i="4" a="1"/>
  <c r="BM7" i="4" a="1"/>
  <c r="W14" i="4" a="1"/>
  <c r="D5" i="4" a="1"/>
  <c r="DK8" i="4" a="1"/>
  <c r="S13" i="4" a="1"/>
  <c r="Z11" i="4" a="1"/>
  <c r="DW12" i="4" a="1"/>
  <c r="T11" i="4" a="1"/>
  <c r="O8" i="4" a="1"/>
  <c r="X11" i="4" a="1"/>
  <c r="AO13" i="4" a="1"/>
  <c r="DH7" i="4" a="1"/>
  <c r="CX9" i="4" a="1"/>
  <c r="AQ14" i="4" a="1"/>
  <c r="EF12" i="4" a="1"/>
  <c r="J6" i="4" a="1"/>
  <c r="BT11" i="4" a="1"/>
  <c r="G5" i="3"/>
  <c r="G18" i="3"/>
  <c r="EK8" i="4" a="1"/>
  <c r="CT5" i="4" a="1"/>
  <c r="CF11" i="4" a="1"/>
  <c r="AJ8" i="4" a="1"/>
  <c r="DV8" i="4" a="1"/>
  <c r="L14" i="4" a="1"/>
  <c r="BC7" i="4" a="1"/>
  <c r="AM8" i="4" a="1"/>
  <c r="CL7" i="4" a="1"/>
  <c r="DA5" i="4" a="1"/>
  <c r="P32" i="2"/>
  <c r="W12" i="4" a="1"/>
  <c r="AQ7" i="4" a="1"/>
  <c r="U15" i="4" a="1"/>
  <c r="CX12" i="4" a="1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F97" i="3"/>
  <c r="AD58" i="3"/>
  <c r="F76" i="3"/>
  <c r="AD74" i="3"/>
  <c r="D72" i="3"/>
  <c r="F49" i="3"/>
  <c r="G80" i="3"/>
  <c r="E67" i="3"/>
  <c r="F91" i="3"/>
  <c r="AD63" i="3"/>
  <c r="F61" i="3"/>
  <c r="G76" i="3"/>
  <c r="E93" i="3"/>
  <c r="D86" i="3"/>
  <c r="F65" i="3"/>
  <c r="D68" i="3"/>
  <c r="F79" i="3"/>
  <c r="G55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AD80" i="3"/>
  <c r="AD71" i="3"/>
  <c r="F77" i="3"/>
  <c r="F69" i="3"/>
  <c r="G58" i="3"/>
  <c r="AD90" i="3"/>
  <c r="G67" i="3"/>
  <c r="G78" i="3"/>
  <c r="E76" i="3"/>
  <c r="D97" i="3"/>
  <c r="F58" i="3"/>
  <c r="F82" i="3"/>
  <c r="AD76" i="3"/>
  <c r="G83" i="3"/>
  <c r="G89" i="3"/>
  <c r="F95" i="3"/>
  <c r="E64" i="3"/>
  <c r="AD70" i="3"/>
  <c r="F62" i="3"/>
  <c r="G77" i="3"/>
  <c r="E81" i="3"/>
  <c r="F86" i="3"/>
  <c r="G82" i="3"/>
  <c r="D75" i="3"/>
  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G69" i="3"/>
  <c r="G96" i="3"/>
  <c r="G73" i="3"/>
  <c r="G93" i="3"/>
  <c r="G85" i="3"/>
  <c r="F96" i="3"/>
  <c r="F48" i="3"/>
  <c r="E63" i="3"/>
  <c r="F67" i="3"/>
  <c r="G61" i="3"/>
  <c r="AD97" i="3"/>
  <c r="G84" i="3"/>
  <c r="F73" i="3"/>
  <c r="D93" i="3"/>
  <c r="E65" i="3"/>
  <c r="G63" i="3"/>
  <c r="G91" i="3"/>
  <c r="G95" i="3"/>
  <c r="G57" i="3"/>
  <c r="F90" i="3"/>
  <c r="G75" i="3"/>
  <c r="F47" i="3"/>
  <c r="F72" i="3"/>
  <c r="F68" i="3"/>
  <c r="E88" i="3"/>
  <c r="AD56" i="3"/>
  <c r="F87" i="3"/>
  <c r="E71" i="3"/>
  <c r="AD57" i="3"/>
  <c r="AD72" i="3"/>
  <c r="E82" i="3"/>
  <c r="F85" i="3"/>
  <c r="E61" i="3"/>
  <c r="G81" i="3"/>
  <c r="E78" i="3"/>
  <c r="F94" i="3"/>
  <c r="G70" i="3"/>
  <c r="G94" i="3"/>
  <c r="G97" i="3"/>
  <c r="F84" i="3"/>
  <c r="D62" i="3"/>
  <c r="F57" i="3"/>
  <c r="F66" i="3"/>
  <c r="G64" i="3"/>
  <c r="AD68" i="3"/>
  <c r="E95" i="3"/>
  <c r="AD88" i="3"/>
  <c r="AD62" i="3"/>
  <c r="F88" i="3"/>
  <c r="E68" i="3"/>
  <c r="E59" i="3"/>
  <c r="E79" i="3"/>
  <c r="F89" i="3"/>
  <c r="D91" i="3"/>
  <c r="F50" i="3"/>
  <c r="AD84" i="3"/>
  <c r="AD55" i="3"/>
  <c r="E91" i="3" l="1"/>
  <c r="D64" i="3"/>
  <c r="AD65" i="3"/>
  <c r="E97" i="3"/>
  <c r="AD86" i="3"/>
  <c r="D85" i="3"/>
  <c r="E55" i="3"/>
  <c r="E84" i="3"/>
  <c r="D66" i="3"/>
  <c r="D60" i="3"/>
  <c r="AD61" i="3"/>
  <c r="E92" i="3"/>
  <c r="D74" i="3"/>
  <c r="AD82" i="3"/>
  <c r="AD59" i="3"/>
  <c r="AD77" i="3"/>
  <c r="AD81" i="3"/>
  <c r="E66" i="3"/>
  <c r="D83" i="3"/>
  <c r="D77" i="3"/>
  <c r="E56" i="3"/>
  <c r="E62" i="3"/>
  <c r="D96" i="3"/>
  <c r="E75" i="3"/>
  <c r="D79" i="3"/>
  <c r="AD85" i="3"/>
  <c r="D63" i="3"/>
  <c r="D76" i="3"/>
  <c r="E70" i="3"/>
  <c r="E86" i="3"/>
  <c r="E72" i="3"/>
  <c r="E74" i="3"/>
  <c r="E58" i="3"/>
  <c r="AD96" i="3"/>
  <c r="D57" i="3"/>
  <c r="D69" i="3"/>
  <c r="D92" i="3"/>
  <c r="D55" i="3"/>
  <c r="E57" i="3"/>
  <c r="AD66" i="3"/>
  <c r="E69" i="3"/>
  <c r="D87" i="3"/>
  <c r="D73" i="3"/>
  <c r="AD54" i="3"/>
  <c r="AD91" i="3"/>
  <c r="AD92" i="3"/>
  <c r="E94" i="3"/>
  <c r="AD75" i="3"/>
  <c r="AD89" i="3"/>
  <c r="AD69" i="3"/>
  <c r="AD94" i="3"/>
  <c r="AD64" i="3"/>
  <c r="AD79" i="3"/>
  <c r="AD93" i="3"/>
  <c r="D94" i="3"/>
  <c r="E90" i="3"/>
  <c r="AD73" i="3"/>
  <c r="D81" i="3"/>
  <c r="D80" i="3"/>
  <c r="D67" i="3"/>
  <c r="D95" i="3"/>
  <c r="D58" i="3"/>
  <c r="D59" i="3"/>
  <c r="D82" i="3"/>
  <c r="D70" i="3"/>
  <c r="D54" i="3"/>
  <c r="D65" i="3"/>
  <c r="D88" i="3"/>
  <c r="D71" i="3"/>
  <c r="D56" i="3"/>
  <c r="F81" i="3"/>
  <c r="F92" i="3"/>
  <c r="F63" i="3"/>
  <c r="F80" i="3"/>
  <c r="F54" i="3"/>
  <c r="G54" i="3"/>
  <c r="G60" i="3"/>
  <c r="G86" i="3"/>
  <c r="G59" i="3"/>
  <c r="G62" i="3"/>
  <c r="G88" i="3"/>
  <c r="G68" i="3"/>
  <c r="G79" i="3"/>
  <c r="O60" i="1"/>
  <c r="AM40" i="1"/>
  <c r="IV9" i="4" s="1"/>
  <c r="JF9" i="4" s="1"/>
  <c r="IH15" i="4" s="1"/>
  <c r="BX146" i="1"/>
  <c r="O23" i="1"/>
  <c r="D24" i="1"/>
  <c r="BX28" i="1"/>
  <c r="BJ28" i="1"/>
  <c r="H28" i="1"/>
  <c r="B66" i="1"/>
  <c r="K30" i="1"/>
  <c r="IE16" i="4" s="1"/>
  <c r="IY9" i="4" s="1"/>
  <c r="IQ16" i="4" s="1"/>
  <c r="G23" i="1"/>
  <c r="G246" i="1" s="1"/>
  <c r="JD9" i="4" s="1"/>
  <c r="HT9" i="4" s="1"/>
  <c r="IG9" i="4" s="1"/>
  <c r="JC7" i="4" s="1"/>
  <c r="BX89" i="1"/>
  <c r="IA16" i="4" s="1"/>
  <c r="HS16" i="4" s="1"/>
  <c r="IO9" i="4" s="1"/>
  <c r="IU16" i="4" s="1"/>
  <c r="AL39" i="1"/>
  <c r="AM30" i="1"/>
  <c r="U37" i="1"/>
  <c r="IL8" i="4" s="1"/>
  <c r="B36" i="1"/>
  <c r="IM9" i="4" s="1"/>
  <c r="IQ9" i="4" s="1"/>
  <c r="IN7" i="4" s="1"/>
  <c r="IS15" i="4" s="1"/>
  <c r="HQ16" i="4" s="1"/>
  <c r="AM38" i="1"/>
  <c r="I60" i="1"/>
  <c r="M24" i="1"/>
  <c r="I51" i="1"/>
  <c r="HZ9" i="4" s="1"/>
  <c r="ID9" i="4" s="1"/>
  <c r="IA14" i="4" s="1"/>
  <c r="IX16" i="4" s="1"/>
  <c r="HP7" i="4" s="1"/>
  <c r="IV16" i="4" s="1"/>
  <c r="IS16" i="4" s="1"/>
  <c r="JG16" i="4" s="1"/>
  <c r="IU9" i="4" s="1"/>
  <c r="L54" i="1"/>
  <c r="S23" i="1"/>
  <c r="S246" i="1" s="1"/>
  <c r="S54" i="1"/>
  <c r="T30" i="1"/>
  <c r="JB16" i="4" s="1"/>
  <c r="BX38" i="1"/>
  <c r="BX60" i="1"/>
  <c r="JH9" i="4" s="1"/>
  <c r="IB16" i="4" s="1"/>
  <c r="AM50" i="1"/>
  <c r="AL29" i="1"/>
  <c r="BX178" i="1"/>
  <c r="BY178" i="1" s="1"/>
  <c r="P170" i="1"/>
  <c r="K23" i="1"/>
  <c r="K246" i="1" s="1"/>
  <c r="J50" i="1"/>
  <c r="HQ9" i="4" s="1"/>
  <c r="AJ38" i="1"/>
  <c r="IT16" i="4" s="1"/>
  <c r="IH8" i="4" s="1"/>
  <c r="JI7" i="4" s="1"/>
  <c r="IA9" i="4" s="1"/>
  <c r="IG16" i="4" s="1"/>
  <c r="JA9" i="4" s="1"/>
  <c r="IZ16" i="4" s="1"/>
  <c r="W30" i="1"/>
  <c r="O39" i="1"/>
  <c r="BX50" i="1"/>
  <c r="IW9" i="4" s="1"/>
  <c r="HV7" i="4" s="1"/>
  <c r="IR14" i="4" s="1"/>
  <c r="AL47" i="1"/>
  <c r="AL209" i="1" s="1"/>
  <c r="AM28" i="1"/>
  <c r="BJ40" i="1"/>
  <c r="U51" i="1"/>
  <c r="U267" i="1" s="1"/>
  <c r="F28" i="1"/>
  <c r="JA16" i="4" s="1"/>
  <c r="JA21" i="4" s="1"/>
  <c r="BU92" i="1" s="1"/>
  <c r="IW8" i="4" s="1"/>
  <c r="II15" i="4" s="1"/>
  <c r="HP8" i="4" s="1"/>
  <c r="IU15" i="4" s="1"/>
  <c r="BX54" i="1"/>
  <c r="BX40" i="1"/>
  <c r="BJ29" i="1"/>
  <c r="AK61" i="1"/>
  <c r="AK50" i="1"/>
  <c r="AJ54" i="1"/>
  <c r="BX29" i="1"/>
  <c r="P168" i="1"/>
  <c r="Q24" i="1"/>
  <c r="D36" i="1"/>
  <c r="E37" i="1"/>
  <c r="F35" i="1"/>
  <c r="V54" i="1"/>
  <c r="V36" i="1"/>
  <c r="J28" i="1"/>
  <c r="IL7" i="4" s="1"/>
  <c r="HT16" i="4" s="1"/>
  <c r="HT21" i="4" s="1"/>
  <c r="AN92" i="1" s="1"/>
  <c r="AK39" i="1"/>
  <c r="BX23" i="1"/>
  <c r="BX7" i="1" s="1"/>
  <c r="AL54" i="1"/>
  <c r="G66" i="1"/>
  <c r="B35" i="1"/>
  <c r="B51" i="1"/>
  <c r="S35" i="1"/>
  <c r="S37" i="1"/>
  <c r="N28" i="1"/>
  <c r="K38" i="1"/>
  <c r="S24" i="1"/>
  <c r="C36" i="1"/>
  <c r="C139" i="1"/>
  <c r="T23" i="1"/>
  <c r="T246" i="1" s="1"/>
  <c r="HW16" i="4" s="1"/>
  <c r="AL61" i="1"/>
  <c r="AJ61" i="1"/>
  <c r="BX47" i="1"/>
  <c r="BX209" i="1" s="1"/>
  <c r="AK66" i="1"/>
  <c r="AJ39" i="1"/>
  <c r="AK62" i="1"/>
  <c r="AK51" i="1"/>
  <c r="K47" i="1"/>
  <c r="K209" i="1" s="1"/>
  <c r="W62" i="1"/>
  <c r="C28" i="1"/>
  <c r="M23" i="1"/>
  <c r="M246" i="1" s="1"/>
  <c r="G47" i="1"/>
  <c r="G209" i="1" s="1"/>
  <c r="G50" i="1"/>
  <c r="M61" i="1"/>
  <c r="N51" i="1"/>
  <c r="N23" i="1"/>
  <c r="N246" i="1" s="1"/>
  <c r="P40" i="1"/>
  <c r="IK16" i="4" s="1"/>
  <c r="JI16" i="4" s="1"/>
  <c r="BX61" i="1"/>
  <c r="AM37" i="1"/>
  <c r="BX39" i="1"/>
  <c r="AL51" i="1"/>
  <c r="B54" i="1"/>
  <c r="G61" i="1"/>
  <c r="B50" i="1"/>
  <c r="B40" i="1"/>
  <c r="C61" i="1"/>
  <c r="I38" i="1"/>
  <c r="F61" i="1"/>
  <c r="P54" i="1"/>
  <c r="R51" i="1"/>
  <c r="JC16" i="4" s="1"/>
  <c r="JE7" i="4" s="1"/>
  <c r="HZ16" i="4" s="1"/>
  <c r="HZ21" i="4" s="1"/>
  <c r="AT92" i="1" s="1"/>
  <c r="IA8" i="4" s="1"/>
  <c r="HQ14" i="4" s="1"/>
  <c r="IM8" i="4" s="1"/>
  <c r="IL16" i="4" s="1"/>
  <c r="HV9" i="4" s="1"/>
  <c r="II7" i="4" s="1"/>
  <c r="HY9" i="4" s="1"/>
  <c r="JB9" i="4" s="1"/>
  <c r="JF14" i="4" s="1"/>
  <c r="BJ30" i="1"/>
  <c r="AK60" i="1"/>
  <c r="BX179" i="1"/>
  <c r="BY179" i="1" s="1"/>
  <c r="BX88" i="1"/>
  <c r="Q36" i="1"/>
  <c r="D50" i="1"/>
  <c r="K40" i="1"/>
  <c r="S62" i="1"/>
  <c r="Q39" i="1"/>
  <c r="S38" i="1"/>
  <c r="N37" i="1"/>
  <c r="U66" i="1"/>
  <c r="T37" i="1"/>
  <c r="HY16" i="4" s="1"/>
  <c r="HY21" i="4" s="1"/>
  <c r="AS92" i="1" s="1"/>
  <c r="IY8" i="4" s="1"/>
  <c r="HP15" i="4" s="1"/>
  <c r="IK9" i="4" s="1"/>
  <c r="IL9" i="4" s="1"/>
  <c r="IJ16" i="4" s="1"/>
  <c r="BX51" i="1"/>
  <c r="AJ37" i="1"/>
  <c r="AK38" i="1"/>
  <c r="C51" i="1"/>
  <c r="B38" i="1"/>
  <c r="BX169" i="1"/>
  <c r="BY169" i="1" s="1"/>
  <c r="Q28" i="1"/>
  <c r="BY88" i="1"/>
  <c r="K28" i="1"/>
  <c r="G38" i="1"/>
  <c r="G28" i="1"/>
  <c r="L30" i="1"/>
  <c r="I30" i="1"/>
  <c r="N54" i="1"/>
  <c r="D35" i="1"/>
  <c r="Q168" i="1"/>
  <c r="U30" i="1"/>
  <c r="R66" i="1"/>
  <c r="IC14" i="4" s="1"/>
  <c r="JD15" i="4" s="1"/>
  <c r="IY7" i="4" s="1"/>
  <c r="HS9" i="4" s="1"/>
  <c r="IZ7" i="4" s="1"/>
  <c r="JB15" i="4" s="1"/>
  <c r="IZ9" i="4" s="1"/>
  <c r="JG15" i="4" s="1"/>
  <c r="HT8" i="4" s="1"/>
  <c r="HR16" i="4" s="1"/>
  <c r="AJ40" i="1"/>
  <c r="BX62" i="1"/>
  <c r="BX36" i="1"/>
  <c r="BX66" i="1"/>
  <c r="AJ60" i="1"/>
  <c r="AK47" i="1"/>
  <c r="AK209" i="1" s="1"/>
  <c r="AL36" i="1"/>
  <c r="D137" i="1"/>
  <c r="BX174" i="1"/>
  <c r="W60" i="1"/>
  <c r="BX147" i="1"/>
  <c r="O51" i="1"/>
  <c r="L24" i="1"/>
  <c r="L60" i="1"/>
  <c r="F51" i="1"/>
  <c r="K60" i="1"/>
  <c r="E66" i="1"/>
  <c r="L40" i="1"/>
  <c r="IF9" i="4" s="1"/>
  <c r="JI9" i="4" s="1"/>
  <c r="IW16" i="4" s="1"/>
  <c r="JE9" i="4" s="1"/>
  <c r="JG9" i="4" s="1"/>
  <c r="JC9" i="4" s="1"/>
  <c r="IC16" i="4" s="1"/>
  <c r="IJ9" i="4" s="1"/>
  <c r="HP16" i="4" s="1"/>
  <c r="AL62" i="1"/>
  <c r="AK54" i="1"/>
  <c r="AJ23" i="1"/>
  <c r="AJ246" i="1" s="1"/>
  <c r="AK24" i="1"/>
  <c r="M38" i="1"/>
  <c r="S36" i="1"/>
  <c r="J40" i="1"/>
  <c r="BX141" i="1"/>
  <c r="BY141" i="1" s="1"/>
  <c r="I36" i="1"/>
  <c r="H51" i="1"/>
  <c r="V61" i="1"/>
  <c r="W47" i="1"/>
  <c r="M47" i="1"/>
  <c r="M209" i="1" s="1"/>
  <c r="N24" i="1"/>
  <c r="E39" i="1"/>
  <c r="IP8" i="4" s="1"/>
  <c r="HV16" i="4" s="1"/>
  <c r="IX8" i="4" s="1"/>
  <c r="JC14" i="4" s="1"/>
  <c r="JF16" i="4" s="1"/>
  <c r="JF21" i="4" s="1"/>
  <c r="BZ92" i="1" s="1"/>
  <c r="BZ109" i="1" s="1"/>
  <c r="IM16" i="4" s="1"/>
  <c r="IM21" i="4" s="1"/>
  <c r="BG92" i="1" s="1"/>
  <c r="IR16" i="4" s="1"/>
  <c r="IR21" i="4" s="1"/>
  <c r="BL92" i="1" s="1"/>
  <c r="BL109" i="1" s="1"/>
  <c r="JE15" i="4" s="1"/>
  <c r="IK8" i="4" s="1"/>
  <c r="JE16" i="4" s="1"/>
  <c r="JE21" i="4" s="1"/>
  <c r="BY92" i="1" s="1"/>
  <c r="JI15" i="4" s="1"/>
  <c r="HR9" i="4" s="1"/>
  <c r="HR8" i="4" s="1"/>
  <c r="JD16" i="4" s="1"/>
  <c r="JD21" i="4" s="1"/>
  <c r="BX92" i="1" s="1"/>
  <c r="AM24" i="1"/>
  <c r="AK29" i="1"/>
  <c r="AL30" i="1"/>
  <c r="AL23" i="1"/>
  <c r="AJ62" i="1"/>
  <c r="N35" i="1"/>
  <c r="V37" i="1"/>
  <c r="BX161" i="1"/>
  <c r="BY161" i="1" s="1"/>
  <c r="I50" i="1"/>
  <c r="S28" i="1"/>
  <c r="L28" i="1"/>
  <c r="BX168" i="1"/>
  <c r="V38" i="1"/>
  <c r="O66" i="1"/>
  <c r="D62" i="1"/>
  <c r="J62" i="1"/>
  <c r="W50" i="1"/>
  <c r="W15" i="1" s="1"/>
  <c r="W132" i="1"/>
  <c r="T39" i="1"/>
  <c r="W147" i="1"/>
  <c r="R38" i="1"/>
  <c r="I24" i="1"/>
  <c r="M35" i="1"/>
  <c r="M66" i="1"/>
  <c r="V30" i="1"/>
  <c r="H37" i="1"/>
  <c r="J36" i="1"/>
  <c r="O50" i="1"/>
  <c r="T28" i="1"/>
  <c r="T51" i="1"/>
  <c r="S30" i="1"/>
  <c r="E23" i="1"/>
  <c r="Q61" i="1"/>
  <c r="J61" i="1"/>
  <c r="P142" i="1"/>
  <c r="C60" i="1"/>
  <c r="M28" i="1"/>
  <c r="F36" i="1"/>
  <c r="C37" i="1"/>
  <c r="W37" i="1"/>
  <c r="S66" i="1"/>
  <c r="F47" i="1"/>
  <c r="U40" i="1"/>
  <c r="M37" i="1"/>
  <c r="I37" i="1"/>
  <c r="F60" i="1"/>
  <c r="Q50" i="1"/>
  <c r="C24" i="1"/>
  <c r="N30" i="1"/>
  <c r="Q62" i="1"/>
  <c r="N38" i="1"/>
  <c r="J60" i="1"/>
  <c r="N36" i="1"/>
  <c r="O24" i="1"/>
  <c r="K36" i="1"/>
  <c r="E174" i="1"/>
  <c r="H35" i="1"/>
  <c r="P23" i="1"/>
  <c r="F50" i="1"/>
  <c r="L35" i="1"/>
  <c r="BX35" i="1"/>
  <c r="BJ35" i="1"/>
  <c r="AJ24" i="1"/>
  <c r="AM39" i="1"/>
  <c r="BJ39" i="1"/>
  <c r="AL24" i="1"/>
  <c r="U38" i="1"/>
  <c r="J38" i="1"/>
  <c r="C35" i="1"/>
  <c r="J47" i="1"/>
  <c r="J209" i="1" s="1"/>
  <c r="J35" i="1"/>
  <c r="E60" i="1"/>
  <c r="Q37" i="1"/>
  <c r="T61" i="1"/>
  <c r="I28" i="1"/>
  <c r="BX137" i="1"/>
  <c r="BY137" i="1" s="1"/>
  <c r="U28" i="1"/>
  <c r="Q47" i="1"/>
  <c r="N50" i="1"/>
  <c r="D30" i="1"/>
  <c r="W54" i="1"/>
  <c r="E62" i="1"/>
  <c r="L39" i="1"/>
  <c r="Q35" i="1"/>
  <c r="F66" i="1"/>
  <c r="H36" i="1"/>
  <c r="H66" i="1"/>
  <c r="P47" i="1"/>
  <c r="R37" i="1"/>
  <c r="J24" i="1"/>
  <c r="K37" i="1"/>
  <c r="U50" i="1"/>
  <c r="V66" i="1"/>
  <c r="R36" i="1"/>
  <c r="P35" i="1"/>
  <c r="C62" i="1"/>
  <c r="K61" i="1"/>
  <c r="J39" i="1"/>
  <c r="D37" i="1"/>
  <c r="T54" i="1"/>
  <c r="R30" i="1"/>
  <c r="B23" i="1"/>
  <c r="W28" i="1"/>
  <c r="K50" i="1"/>
  <c r="P175" i="1"/>
  <c r="N60" i="1"/>
  <c r="T62" i="1"/>
  <c r="T47" i="1"/>
  <c r="T209" i="1" s="1"/>
  <c r="E50" i="1"/>
  <c r="IU7" i="4" s="1"/>
  <c r="IF16" i="4" s="1"/>
  <c r="AL35" i="1"/>
  <c r="AL60" i="1"/>
  <c r="BX30" i="1"/>
  <c r="AJ29" i="1"/>
  <c r="AJ35" i="1"/>
  <c r="F40" i="1"/>
  <c r="B30" i="1"/>
  <c r="L23" i="1"/>
  <c r="L246" i="1" s="1"/>
  <c r="E35" i="1"/>
  <c r="D47" i="1"/>
  <c r="D209" i="1" s="1"/>
  <c r="BX167" i="1"/>
  <c r="BY167" i="1" s="1"/>
  <c r="D40" i="1"/>
  <c r="P24" i="1"/>
  <c r="L36" i="1"/>
  <c r="H24" i="1"/>
  <c r="V24" i="1"/>
  <c r="V25" i="1" s="1"/>
  <c r="V113" i="1" s="1"/>
  <c r="C40" i="1"/>
  <c r="U39" i="1"/>
  <c r="P62" i="1"/>
  <c r="H54" i="1"/>
  <c r="R23" i="1"/>
  <c r="R246" i="1" s="1"/>
  <c r="S40" i="1"/>
  <c r="F54" i="1"/>
  <c r="C66" i="1"/>
  <c r="M36" i="1"/>
  <c r="C38" i="1"/>
  <c r="V60" i="1"/>
  <c r="O35" i="1"/>
  <c r="G178" i="1"/>
  <c r="T66" i="1"/>
  <c r="O38" i="1"/>
  <c r="V39" i="1"/>
  <c r="N66" i="1"/>
  <c r="F37" i="1"/>
  <c r="T38" i="1"/>
  <c r="F23" i="1"/>
  <c r="F246" i="1" s="1"/>
  <c r="D61" i="1"/>
  <c r="W24" i="1"/>
  <c r="W25" i="1" s="1"/>
  <c r="IR9" i="4" s="1"/>
  <c r="IY16" i="4" s="1"/>
  <c r="AJ51" i="1"/>
  <c r="BJ38" i="1"/>
  <c r="AJ30" i="1"/>
  <c r="AK40" i="1"/>
  <c r="BJ36" i="1"/>
  <c r="BX159" i="1"/>
  <c r="G51" i="1"/>
  <c r="B28" i="1"/>
  <c r="O30" i="1"/>
  <c r="BX175" i="1"/>
  <c r="J37" i="1"/>
  <c r="G35" i="1"/>
  <c r="U36" i="1"/>
  <c r="O40" i="1"/>
  <c r="BX133" i="1"/>
  <c r="BY133" i="1" s="1"/>
  <c r="B24" i="1"/>
  <c r="P60" i="1"/>
  <c r="V35" i="1"/>
  <c r="C39" i="1"/>
  <c r="D38" i="1"/>
  <c r="L38" i="1"/>
  <c r="R24" i="1"/>
  <c r="O54" i="1"/>
  <c r="G40" i="1"/>
  <c r="G24" i="1"/>
  <c r="S39" i="1"/>
  <c r="O61" i="1"/>
  <c r="V62" i="1"/>
  <c r="V28" i="1"/>
  <c r="T24" i="1"/>
  <c r="G168" i="1"/>
  <c r="C30" i="1"/>
  <c r="G39" i="1"/>
  <c r="H38" i="1"/>
  <c r="P30" i="1"/>
  <c r="R39" i="1"/>
  <c r="E36" i="1"/>
  <c r="P61" i="1"/>
  <c r="T40" i="1"/>
  <c r="I61" i="1"/>
  <c r="F62" i="1"/>
  <c r="M40" i="1"/>
  <c r="T50" i="1"/>
  <c r="T35" i="1"/>
  <c r="P37" i="1"/>
  <c r="H50" i="1"/>
  <c r="U62" i="1"/>
  <c r="BX157" i="1"/>
  <c r="BY157" i="1" s="1"/>
  <c r="BX155" i="1"/>
  <c r="BY155" i="1" s="1"/>
  <c r="BZ217" i="1" s="1"/>
  <c r="I54" i="1"/>
  <c r="E38" i="1"/>
  <c r="B39" i="1"/>
  <c r="BX165" i="1"/>
  <c r="BY165" i="1" s="1"/>
  <c r="I35" i="1"/>
  <c r="S60" i="1"/>
  <c r="BX150" i="1"/>
  <c r="BY150" i="1" s="1"/>
  <c r="BX142" i="1"/>
  <c r="BY142" i="1" s="1"/>
  <c r="BX132" i="1"/>
  <c r="BY132" i="1" s="1"/>
  <c r="G60" i="1"/>
  <c r="K54" i="1"/>
  <c r="J23" i="1"/>
  <c r="B60" i="1"/>
  <c r="E61" i="1"/>
  <c r="L62" i="1"/>
  <c r="Q38" i="1"/>
  <c r="S47" i="1"/>
  <c r="E51" i="1"/>
  <c r="W38" i="1"/>
  <c r="I23" i="1"/>
  <c r="I246" i="1" s="1"/>
  <c r="E28" i="1"/>
  <c r="H60" i="1"/>
  <c r="U61" i="1"/>
  <c r="Q23" i="1"/>
  <c r="Q40" i="1"/>
  <c r="J30" i="1"/>
  <c r="E47" i="1"/>
  <c r="E209" i="1" s="1"/>
  <c r="O47" i="1"/>
  <c r="O209" i="1" s="1"/>
  <c r="U24" i="1"/>
  <c r="U25" i="1" s="1"/>
  <c r="G62" i="1"/>
  <c r="W35" i="1"/>
  <c r="R47" i="1"/>
  <c r="I40" i="1"/>
  <c r="H47" i="1"/>
  <c r="H209" i="1" s="1"/>
  <c r="W61" i="1"/>
  <c r="IG8" i="4" s="1"/>
  <c r="HT7" i="4" s="1"/>
  <c r="IV14" i="4" s="1"/>
  <c r="JH16" i="4" s="1"/>
  <c r="HX9" i="4" s="1"/>
  <c r="BJ23" i="1"/>
  <c r="BJ246" i="1" s="1"/>
  <c r="AL50" i="1"/>
  <c r="BX24" i="1"/>
  <c r="AJ50" i="1"/>
  <c r="AK23" i="1"/>
  <c r="AJ36" i="1"/>
  <c r="BX37" i="1"/>
  <c r="AL40" i="1"/>
  <c r="BX166" i="1"/>
  <c r="BY166" i="1" s="1"/>
  <c r="R28" i="1"/>
  <c r="U47" i="1"/>
  <c r="B61" i="1"/>
  <c r="F30" i="1"/>
  <c r="C54" i="1"/>
  <c r="BX162" i="1"/>
  <c r="BY162" i="1" s="1"/>
  <c r="S51" i="1"/>
  <c r="BX170" i="1"/>
  <c r="BY170" i="1" s="1"/>
  <c r="BX164" i="1"/>
  <c r="BY164" i="1" s="1"/>
  <c r="L50" i="1"/>
  <c r="K51" i="1"/>
  <c r="K35" i="1"/>
  <c r="D23" i="1"/>
  <c r="J134" i="1"/>
  <c r="D28" i="1"/>
  <c r="P50" i="1"/>
  <c r="V47" i="1"/>
  <c r="E30" i="1"/>
  <c r="W40" i="1"/>
  <c r="W51" i="1"/>
  <c r="W267" i="1" s="1"/>
  <c r="E24" i="1"/>
  <c r="H62" i="1"/>
  <c r="R54" i="1"/>
  <c r="L47" i="1"/>
  <c r="L209" i="1" s="1"/>
  <c r="V40" i="1"/>
  <c r="L51" i="1"/>
  <c r="D54" i="1"/>
  <c r="Q60" i="1"/>
  <c r="G37" i="1"/>
  <c r="V50" i="1"/>
  <c r="L37" i="1"/>
  <c r="W39" i="1"/>
  <c r="K66" i="1"/>
  <c r="Q30" i="1"/>
  <c r="Q51" i="1"/>
  <c r="R61" i="1"/>
  <c r="Q66" i="1"/>
  <c r="F38" i="1"/>
  <c r="T36" i="1"/>
  <c r="F24" i="1"/>
  <c r="R60" i="1"/>
  <c r="U60" i="1"/>
  <c r="JB8" i="4" s="1"/>
  <c r="IL15" i="4" s="1"/>
  <c r="IT9" i="4" s="1"/>
  <c r="IB15" i="4" s="1"/>
  <c r="HX15" i="4" s="1"/>
  <c r="HT14" i="4" s="1"/>
  <c r="JG14" i="4" s="1"/>
  <c r="IB9" i="4" s="1"/>
  <c r="HV15" i="4" s="1"/>
  <c r="JD7" i="4" s="1"/>
  <c r="AJ47" i="1"/>
  <c r="AJ209" i="1" s="1"/>
  <c r="AL37" i="1"/>
  <c r="AM29" i="1"/>
  <c r="AK35" i="1"/>
  <c r="AM23" i="1"/>
  <c r="AJ28" i="1"/>
  <c r="AK37" i="1"/>
  <c r="AL66" i="1"/>
  <c r="AM36" i="1"/>
  <c r="F39" i="1"/>
  <c r="BX160" i="1"/>
  <c r="T60" i="1"/>
  <c r="H39" i="1"/>
  <c r="M60" i="1"/>
  <c r="W66" i="1"/>
  <c r="BX158" i="1"/>
  <c r="BY158" i="1" s="1"/>
  <c r="BX134" i="1"/>
  <c r="BY134" i="1" s="1"/>
  <c r="BX152" i="1"/>
  <c r="BY152" i="1" s="1"/>
  <c r="H23" i="1"/>
  <c r="H246" i="1" s="1"/>
  <c r="M39" i="1"/>
  <c r="BL89" i="1"/>
  <c r="BX148" i="1"/>
  <c r="R40" i="1"/>
  <c r="P51" i="1"/>
  <c r="I66" i="1"/>
  <c r="C47" i="1"/>
  <c r="P39" i="1"/>
  <c r="M54" i="1"/>
  <c r="D51" i="1"/>
  <c r="O28" i="1"/>
  <c r="L66" i="1"/>
  <c r="O37" i="1"/>
  <c r="C50" i="1"/>
  <c r="J66" i="1"/>
  <c r="N40" i="1"/>
  <c r="B47" i="1"/>
  <c r="B37" i="1"/>
  <c r="L61" i="1"/>
  <c r="P36" i="1"/>
  <c r="N61" i="1"/>
  <c r="H40" i="1"/>
  <c r="G54" i="1"/>
  <c r="K24" i="1"/>
  <c r="P66" i="1"/>
  <c r="I39" i="1"/>
  <c r="D60" i="1"/>
  <c r="K62" i="1"/>
  <c r="N39" i="1"/>
  <c r="G36" i="1"/>
  <c r="JC8" i="4" s="1"/>
  <c r="AM51" i="1"/>
  <c r="AM54" i="1"/>
  <c r="AM35" i="1"/>
  <c r="AM47" i="1"/>
  <c r="AM209" i="1" s="1"/>
  <c r="AJ66" i="1"/>
  <c r="AK36" i="1"/>
  <c r="AL38" i="1"/>
  <c r="AK28" i="1"/>
  <c r="AK30" i="1"/>
  <c r="AL28" i="1"/>
  <c r="E40" i="1"/>
  <c r="E54" i="1"/>
  <c r="Q54" i="1"/>
  <c r="D39" i="1"/>
  <c r="BX140" i="1"/>
  <c r="BY140" i="1" s="1"/>
  <c r="R62" i="1"/>
  <c r="R35" i="1"/>
  <c r="U54" i="1"/>
  <c r="M30" i="1"/>
  <c r="I62" i="1"/>
  <c r="BX139" i="1"/>
  <c r="BY139" i="1" s="1"/>
  <c r="S50" i="1"/>
  <c r="M50" i="1"/>
  <c r="B62" i="1"/>
  <c r="W36" i="1"/>
  <c r="H61" i="1"/>
  <c r="O62" i="1"/>
  <c r="P38" i="1"/>
  <c r="N62" i="1"/>
  <c r="J54" i="1"/>
  <c r="O36" i="1"/>
  <c r="J51" i="1"/>
  <c r="D66" i="1"/>
  <c r="R50" i="1"/>
  <c r="U35" i="1"/>
  <c r="H30" i="1"/>
  <c r="S61" i="1"/>
  <c r="P28" i="1"/>
  <c r="M51" i="1"/>
  <c r="M62" i="1"/>
  <c r="N47" i="1"/>
  <c r="N209" i="1" s="1"/>
  <c r="K39" i="1"/>
  <c r="I47" i="1"/>
  <c r="I209" i="1" s="1"/>
  <c r="G30" i="1"/>
  <c r="C23" i="1"/>
  <c r="V51" i="1"/>
  <c r="V267" i="1" s="1"/>
  <c r="AL89" i="1"/>
  <c r="AJ139" i="1"/>
  <c r="AK139" i="1" s="1"/>
  <c r="BJ142" i="1"/>
  <c r="BK142" i="1" s="1"/>
  <c r="AL160" i="1"/>
  <c r="AL165" i="1"/>
  <c r="AM165" i="1" s="1"/>
  <c r="AL157" i="1"/>
  <c r="AM157" i="1" s="1"/>
  <c r="AL146" i="1"/>
  <c r="AL179" i="1"/>
  <c r="AM179" i="1" s="1"/>
  <c r="AL164" i="1"/>
  <c r="AM164" i="1" s="1"/>
  <c r="AL134" i="1"/>
  <c r="BJ174" i="1"/>
  <c r="BJ175" i="1"/>
  <c r="AJ168" i="1"/>
  <c r="AL150" i="1"/>
  <c r="AM150" i="1" s="1"/>
  <c r="BJ139" i="1"/>
  <c r="BK139" i="1" s="1"/>
  <c r="AL148" i="1"/>
  <c r="AL178" i="1"/>
  <c r="AM178" i="1" s="1"/>
  <c r="BJ146" i="1"/>
  <c r="BJ179" i="1"/>
  <c r="AJ157" i="1"/>
  <c r="AK157" i="1" s="1"/>
  <c r="AJ169" i="1"/>
  <c r="AK169" i="1" s="1"/>
  <c r="AL166" i="1"/>
  <c r="AM166" i="1" s="1"/>
  <c r="BJ134" i="1"/>
  <c r="AL137" i="1"/>
  <c r="AM137" i="1" s="1"/>
  <c r="BJ141" i="1"/>
  <c r="BK141" i="1" s="1"/>
  <c r="AL168" i="1"/>
  <c r="AL161" i="1"/>
  <c r="AM161" i="1" s="1"/>
  <c r="AL167" i="1"/>
  <c r="AM167" i="1" s="1"/>
  <c r="BJ167" i="1"/>
  <c r="BK167" i="1" s="1"/>
  <c r="BJ150" i="1"/>
  <c r="BK150" i="1" s="1"/>
  <c r="BJ140" i="1"/>
  <c r="BK140" i="1" s="1"/>
  <c r="BJ157" i="1"/>
  <c r="BK157" i="1" s="1"/>
  <c r="AJ161" i="1"/>
  <c r="AK161" i="1" s="1"/>
  <c r="AL169" i="1"/>
  <c r="AM169" i="1" s="1"/>
  <c r="AL132" i="1"/>
  <c r="AM132" i="1" s="1"/>
  <c r="BJ161" i="1"/>
  <c r="BK161" i="1" s="1"/>
  <c r="AL141" i="1"/>
  <c r="AM141" i="1" s="1"/>
  <c r="AL133" i="1"/>
  <c r="AM133" i="1" s="1"/>
  <c r="AL139" i="1"/>
  <c r="AM139" i="1" s="1"/>
  <c r="AL147" i="1"/>
  <c r="AL175" i="1"/>
  <c r="AL142" i="1"/>
  <c r="AM142" i="1" s="1"/>
  <c r="AL88" i="1"/>
  <c r="AL162" i="1"/>
  <c r="AM162" i="1" s="1"/>
  <c r="BJ133" i="1"/>
  <c r="BK133" i="1" s="1"/>
  <c r="BJ148" i="1"/>
  <c r="AJ141" i="1"/>
  <c r="AK141" i="1" s="1"/>
  <c r="AL155" i="1"/>
  <c r="AM155" i="1" s="1"/>
  <c r="AM217" i="1" s="1"/>
  <c r="BJ137" i="1"/>
  <c r="BK137" i="1" s="1"/>
  <c r="BJ132" i="1"/>
  <c r="AJ146" i="1"/>
  <c r="AJ150" i="1"/>
  <c r="AK150" i="1" s="1"/>
  <c r="AL152" i="1"/>
  <c r="AM152" i="1" s="1"/>
  <c r="AL158" i="1"/>
  <c r="HZ14" i="4"/>
  <c r="IS7" i="4"/>
  <c r="JA7" i="4"/>
  <c r="IB7" i="4"/>
  <c r="HX14" i="4"/>
  <c r="HX8" i="4"/>
  <c r="HR7" i="4"/>
  <c r="IK15" i="4"/>
  <c r="HY14" i="4"/>
  <c r="IB14" i="4"/>
  <c r="HU14" i="4"/>
  <c r="IN14" i="4"/>
  <c r="IE8" i="4"/>
  <c r="HZ15" i="4"/>
  <c r="IT15" i="4"/>
  <c r="IO14" i="4"/>
  <c r="IY15" i="4"/>
  <c r="IO7" i="4"/>
  <c r="IK7" i="4"/>
  <c r="JG7" i="4"/>
  <c r="IG14" i="4"/>
  <c r="HY15" i="4"/>
  <c r="IS14" i="4"/>
  <c r="HR15" i="4"/>
  <c r="IV7" i="4"/>
  <c r="IO8" i="4"/>
  <c r="HU7" i="4"/>
  <c r="IJ15" i="4"/>
  <c r="IC8" i="4"/>
  <c r="II14" i="4"/>
  <c r="IJ14" i="4"/>
  <c r="IB8" i="4"/>
  <c r="ID14" i="4"/>
  <c r="IE15" i="4"/>
  <c r="ID7" i="4"/>
  <c r="HW7" i="4"/>
  <c r="II8" i="4"/>
  <c r="IC7" i="4"/>
  <c r="IR15" i="4"/>
  <c r="HW14" i="4"/>
  <c r="HQ7" i="4"/>
  <c r="HU15" i="4"/>
  <c r="JF8" i="4"/>
  <c r="JA8" i="4"/>
  <c r="IJ7" i="4"/>
  <c r="JB7" i="4"/>
  <c r="IT8" i="4"/>
  <c r="IM14" i="4"/>
  <c r="IQ7" i="4"/>
  <c r="IH7" i="4"/>
  <c r="IK14" i="4"/>
  <c r="IF8" i="4"/>
  <c r="IP7" i="4"/>
  <c r="HV8" i="4"/>
  <c r="HS8" i="4"/>
  <c r="JB14" i="4"/>
  <c r="CN78" i="1"/>
  <c r="CM80" i="1"/>
  <c r="BJ178" i="1" l="1"/>
  <c r="BK178" i="1" s="1"/>
  <c r="AJ142" i="1"/>
  <c r="AK142" i="1" s="1"/>
  <c r="BJ162" i="1"/>
  <c r="BK162" i="1" s="1"/>
  <c r="BJ169" i="1"/>
  <c r="BK169" i="1" s="1"/>
  <c r="AJ178" i="1"/>
  <c r="AK178" i="1" s="1"/>
  <c r="AJ137" i="1"/>
  <c r="AK137" i="1" s="1"/>
  <c r="BJ164" i="1"/>
  <c r="BJ159" i="1"/>
  <c r="AJ165" i="1"/>
  <c r="AK165" i="1" s="1"/>
  <c r="AJ174" i="1"/>
  <c r="AJ166" i="1"/>
  <c r="AK166" i="1" s="1"/>
  <c r="BJ170" i="1"/>
  <c r="BK170" i="1" s="1"/>
  <c r="AJ164" i="1"/>
  <c r="AK164" i="1" s="1"/>
  <c r="BJ160" i="1"/>
  <c r="AJ167" i="1"/>
  <c r="AK167" i="1" s="1"/>
  <c r="BJ155" i="1"/>
  <c r="BK155" i="1" s="1"/>
  <c r="BL217" i="1" s="1"/>
  <c r="BJ147" i="1"/>
  <c r="AJ148" i="1"/>
  <c r="AJ159" i="1"/>
  <c r="AJ160" i="1"/>
  <c r="AJ175" i="1"/>
  <c r="AJ134" i="1"/>
  <c r="AJ140" i="1"/>
  <c r="AK140" i="1" s="1"/>
  <c r="AJ132" i="1"/>
  <c r="AK132" i="1" s="1"/>
  <c r="BJ168" i="1"/>
  <c r="BJ165" i="1"/>
  <c r="BK165" i="1" s="1"/>
  <c r="BJ166" i="1"/>
  <c r="BK166" i="1" s="1"/>
  <c r="AJ179" i="1"/>
  <c r="AK179" i="1" s="1"/>
  <c r="AJ147" i="1"/>
  <c r="AJ170" i="1"/>
  <c r="AK170" i="1" s="1"/>
  <c r="AJ133" i="1"/>
  <c r="AK133" i="1" s="1"/>
  <c r="AJ155" i="1"/>
  <c r="AK155" i="1" s="1"/>
  <c r="AJ162" i="1"/>
  <c r="AK162" i="1" s="1"/>
  <c r="AJ158" i="1"/>
  <c r="AK158" i="1" s="1"/>
  <c r="AJ152" i="1"/>
  <c r="AK152" i="1" s="1"/>
  <c r="BJ152" i="1"/>
  <c r="BK152" i="1" s="1"/>
  <c r="BJ158" i="1"/>
  <c r="IF21" i="4"/>
  <c r="AZ92" i="1" s="1"/>
  <c r="IZ14" i="4" s="1"/>
  <c r="HU9" i="4" s="1"/>
  <c r="HU8" i="4" s="1"/>
  <c r="IJ8" i="4" s="1"/>
  <c r="IT14" i="4" s="1"/>
  <c r="HS14" i="4" s="1"/>
  <c r="ID16" i="4" s="1"/>
  <c r="ID21" i="4" s="1"/>
  <c r="AX92" i="1" s="1"/>
  <c r="S209" i="1"/>
  <c r="AK246" i="1"/>
  <c r="U113" i="1"/>
  <c r="U268" i="1"/>
  <c r="U209" i="1"/>
  <c r="D246" i="1"/>
  <c r="IU21" i="4"/>
  <c r="BO92" i="1" s="1"/>
  <c r="IN16" i="4" s="1"/>
  <c r="II9" i="4" s="1"/>
  <c r="IO16" i="4" s="1"/>
  <c r="HQ21" i="4"/>
  <c r="AK92" i="1" s="1"/>
  <c r="IN15" i="4" s="1"/>
  <c r="JI21" i="4"/>
  <c r="CC92" i="1" s="1"/>
  <c r="CC100" i="1" s="1"/>
  <c r="IC9" i="4" s="1"/>
  <c r="IX9" i="4" s="1"/>
  <c r="IS9" i="4" s="1"/>
  <c r="IP9" i="4" s="1"/>
  <c r="IJ21" i="4"/>
  <c r="BD92" i="1" s="1"/>
  <c r="IF14" i="4" s="1"/>
  <c r="HR21" i="4"/>
  <c r="AL92" i="1" s="1"/>
  <c r="JH7" i="4" s="1"/>
  <c r="JF7" i="4" s="1"/>
  <c r="IH16" i="4" s="1"/>
  <c r="IY21" i="4"/>
  <c r="BS92" i="1" s="1"/>
  <c r="IE9" i="4" s="1"/>
  <c r="IN9" i="4" s="1"/>
  <c r="IV15" i="4" s="1"/>
  <c r="IU8" i="4" s="1"/>
  <c r="IP16" i="4" s="1"/>
  <c r="IP21" i="4" s="1"/>
  <c r="BJ92" i="1" s="1"/>
  <c r="AL170" i="1"/>
  <c r="AM170" i="1" s="1"/>
  <c r="AL140" i="1"/>
  <c r="AM140" i="1" s="1"/>
  <c r="AL174" i="1"/>
  <c r="AL159" i="1"/>
  <c r="C209" i="1"/>
  <c r="I268" i="1"/>
  <c r="D25" i="1"/>
  <c r="II16" i="4" s="1"/>
  <c r="IH9" i="4" s="1"/>
  <c r="HP9" i="4" s="1"/>
  <c r="E25" i="1"/>
  <c r="L41" i="1"/>
  <c r="F25" i="1"/>
  <c r="U31" i="1"/>
  <c r="IW21" i="4"/>
  <c r="BQ92" i="1" s="1"/>
  <c r="HP21" i="4"/>
  <c r="AJ92" i="1" s="1"/>
  <c r="IC21" i="4"/>
  <c r="AW92" i="1" s="1"/>
  <c r="JH21" i="4"/>
  <c r="CB92" i="1" s="1"/>
  <c r="C267" i="1"/>
  <c r="V31" i="1"/>
  <c r="V32" i="1" s="1"/>
  <c r="IL21" i="4"/>
  <c r="BF92" i="1" s="1"/>
  <c r="W203" i="1"/>
  <c r="X26" i="1"/>
  <c r="W26" i="1"/>
  <c r="C268" i="1"/>
  <c r="W268" i="1"/>
  <c r="W209" i="1"/>
  <c r="X203" i="1"/>
  <c r="P246" i="1"/>
  <c r="P25" i="1"/>
  <c r="C246" i="1"/>
  <c r="JC21" i="4"/>
  <c r="BW92" i="1" s="1"/>
  <c r="V26" i="1"/>
  <c r="L267" i="1"/>
  <c r="W113" i="1"/>
  <c r="Q267" i="1"/>
  <c r="E246" i="1"/>
  <c r="BX267" i="1"/>
  <c r="N25" i="1"/>
  <c r="K268" i="1"/>
  <c r="O246" i="1"/>
  <c r="O268" i="1"/>
  <c r="T267" i="1"/>
  <c r="O25" i="1"/>
  <c r="P198" i="1"/>
  <c r="AJ25" i="1"/>
  <c r="AL25" i="1"/>
  <c r="G267" i="1"/>
  <c r="BX195" i="1"/>
  <c r="BY195" i="1" s="1"/>
  <c r="BX149" i="1"/>
  <c r="BY149" i="1" s="1"/>
  <c r="II21" i="4"/>
  <c r="BC92" i="1" s="1"/>
  <c r="IG21" i="4"/>
  <c r="BA92" i="1" s="1"/>
  <c r="IZ21" i="4"/>
  <c r="BT92" i="1" s="1"/>
  <c r="IA21" i="4"/>
  <c r="AU92" i="1" s="1"/>
  <c r="IV21" i="4"/>
  <c r="BP92" i="1" s="1"/>
  <c r="IT21" i="4"/>
  <c r="BN92" i="1" s="1"/>
  <c r="S267" i="1"/>
  <c r="G198" i="1"/>
  <c r="Q198" i="1"/>
  <c r="V203" i="1"/>
  <c r="R268" i="1"/>
  <c r="BX25" i="1"/>
  <c r="V41" i="1"/>
  <c r="V42" i="1" s="1"/>
  <c r="M268" i="1"/>
  <c r="IS21" i="4"/>
  <c r="BM92" i="1" s="1"/>
  <c r="IX21" i="4"/>
  <c r="BR92" i="1" s="1"/>
  <c r="HS21" i="4"/>
  <c r="AM92" i="1" s="1"/>
  <c r="IK21" i="4"/>
  <c r="BE92" i="1" s="1"/>
  <c r="T268" i="1"/>
  <c r="P267" i="1"/>
  <c r="D267" i="1"/>
  <c r="N267" i="1"/>
  <c r="JG21" i="4"/>
  <c r="CA92" i="1" s="1"/>
  <c r="IQ21" i="4"/>
  <c r="BK92" i="1" s="1"/>
  <c r="G268" i="1"/>
  <c r="O267" i="1"/>
  <c r="K267" i="1"/>
  <c r="J268" i="1"/>
  <c r="B268" i="1"/>
  <c r="Q246" i="1"/>
  <c r="H25" i="1"/>
  <c r="H31" i="1" s="1"/>
  <c r="H32" i="1" s="1"/>
  <c r="G41" i="1"/>
  <c r="D268" i="1"/>
  <c r="AJ41" i="1"/>
  <c r="Q25" i="1"/>
  <c r="S41" i="1"/>
  <c r="AJ52" i="1"/>
  <c r="HS15" i="4"/>
  <c r="JH8" i="4"/>
  <c r="IX15" i="4"/>
  <c r="IZ15" i="4"/>
  <c r="IW7" i="4"/>
  <c r="HV14" i="4"/>
  <c r="IZ8" i="4"/>
  <c r="JA14" i="4"/>
  <c r="AL268" i="1"/>
  <c r="AL246" i="1"/>
  <c r="F268" i="1"/>
  <c r="F209" i="1"/>
  <c r="B246" i="1"/>
  <c r="B25" i="1"/>
  <c r="B31" i="1" s="1"/>
  <c r="B32" i="1" s="1"/>
  <c r="AM246" i="1"/>
  <c r="AM25" i="1"/>
  <c r="AM31" i="1" s="1"/>
  <c r="C25" i="1"/>
  <c r="HR14" i="4"/>
  <c r="HQ8" i="4"/>
  <c r="HQ15" i="4"/>
  <c r="JD8" i="4"/>
  <c r="JD20" i="4" s="1"/>
  <c r="BX94" i="1" s="1"/>
  <c r="BX123" i="1" s="1"/>
  <c r="IE14" i="4"/>
  <c r="IL14" i="4"/>
  <c r="JE8" i="4"/>
  <c r="IP15" i="4"/>
  <c r="IV8" i="4"/>
  <c r="IQ15" i="4"/>
  <c r="IA15" i="4"/>
  <c r="IA20" i="4" s="1"/>
  <c r="AU94" i="1" s="1"/>
  <c r="AU123" i="1" s="1"/>
  <c r="JH14" i="4"/>
  <c r="ID8" i="4"/>
  <c r="JD14" i="4"/>
  <c r="IY14" i="4"/>
  <c r="AL41" i="1"/>
  <c r="H41" i="1"/>
  <c r="IQ14" i="4"/>
  <c r="IQ19" i="4" s="1"/>
  <c r="BK93" i="1" s="1"/>
  <c r="BK122" i="1" s="1"/>
  <c r="JB21" i="4"/>
  <c r="BV92" i="1" s="1"/>
  <c r="JF15" i="4"/>
  <c r="IR7" i="4"/>
  <c r="IB21" i="4"/>
  <c r="AV92" i="1" s="1"/>
  <c r="HT15" i="4"/>
  <c r="HT20" i="4" s="1"/>
  <c r="AN94" i="1" s="1"/>
  <c r="AN123" i="1" s="1"/>
  <c r="W31" i="1"/>
  <c r="O41" i="1"/>
  <c r="IT7" i="4"/>
  <c r="JA15" i="4"/>
  <c r="JA20" i="4" s="1"/>
  <c r="BU94" i="1" s="1"/>
  <c r="BU123" i="1" s="1"/>
  <c r="JI8" i="4"/>
  <c r="IE7" i="4"/>
  <c r="IG15" i="4"/>
  <c r="F41" i="1"/>
  <c r="B267" i="1"/>
  <c r="IC15" i="4"/>
  <c r="IC20" i="4" s="1"/>
  <c r="AW94" i="1" s="1"/>
  <c r="AW123" i="1" s="1"/>
  <c r="IX7" i="4"/>
  <c r="IO15" i="4"/>
  <c r="HW8" i="4"/>
  <c r="JG8" i="4"/>
  <c r="JG20" i="4" s="1"/>
  <c r="CA94" i="1" s="1"/>
  <c r="JE14" i="4"/>
  <c r="JE19" i="4" s="1"/>
  <c r="BY93" i="1" s="1"/>
  <c r="IW14" i="4"/>
  <c r="B41" i="1"/>
  <c r="IR8" i="4"/>
  <c r="IR20" i="4" s="1"/>
  <c r="BL94" i="1" s="1"/>
  <c r="BL111" i="1" s="1"/>
  <c r="IP14" i="4"/>
  <c r="IF15" i="4"/>
  <c r="IF20" i="4" s="1"/>
  <c r="AZ94" i="1" s="1"/>
  <c r="AZ123" i="1" s="1"/>
  <c r="IS8" i="4"/>
  <c r="HS7" i="4"/>
  <c r="D41" i="1"/>
  <c r="HY8" i="4"/>
  <c r="HY20" i="4" s="1"/>
  <c r="AS94" i="1" s="1"/>
  <c r="AS123" i="1" s="1"/>
  <c r="JH15" i="4"/>
  <c r="IH14" i="4"/>
  <c r="IH19" i="4" s="1"/>
  <c r="BB93" i="1" s="1"/>
  <c r="BB122" i="1" s="1"/>
  <c r="HX7" i="4"/>
  <c r="IQ8" i="4"/>
  <c r="HZ8" i="4"/>
  <c r="IF7" i="4"/>
  <c r="AK25" i="1"/>
  <c r="M41" i="1"/>
  <c r="H267" i="1"/>
  <c r="HW15" i="4"/>
  <c r="HV21" i="4"/>
  <c r="AP92" i="1" s="1"/>
  <c r="HZ7" i="4"/>
  <c r="ID15" i="4"/>
  <c r="BX198" i="1"/>
  <c r="BY198" i="1" s="1"/>
  <c r="J41" i="1"/>
  <c r="C41" i="1"/>
  <c r="BX41" i="1"/>
  <c r="IU14" i="4"/>
  <c r="IU19" i="4" s="1"/>
  <c r="BO93" i="1" s="1"/>
  <c r="BO122" i="1" s="1"/>
  <c r="IM15" i="4"/>
  <c r="IM20" i="4" s="1"/>
  <c r="BG94" i="1" s="1"/>
  <c r="BG123" i="1" s="1"/>
  <c r="HP14" i="4"/>
  <c r="HP19" i="4" s="1"/>
  <c r="AJ93" i="1" s="1"/>
  <c r="IW15" i="4"/>
  <c r="IW20" i="4" s="1"/>
  <c r="BQ94" i="1" s="1"/>
  <c r="BQ123" i="1" s="1"/>
  <c r="JI14" i="4"/>
  <c r="JI19" i="4" s="1"/>
  <c r="CC93" i="1" s="1"/>
  <c r="E41" i="1"/>
  <c r="T41" i="1"/>
  <c r="IN8" i="4"/>
  <c r="BX176" i="1"/>
  <c r="P41" i="1"/>
  <c r="BY135" i="1"/>
  <c r="I41" i="1"/>
  <c r="IA7" i="4"/>
  <c r="AM41" i="1"/>
  <c r="AK41" i="1"/>
  <c r="R41" i="1"/>
  <c r="U41" i="1"/>
  <c r="M267" i="1"/>
  <c r="K41" i="1"/>
  <c r="BJ194" i="1"/>
  <c r="BK194" i="1" s="1"/>
  <c r="AL195" i="1"/>
  <c r="AM195" i="1" s="1"/>
  <c r="BJ195" i="1"/>
  <c r="BK195" i="1" s="1"/>
  <c r="AL198" i="1"/>
  <c r="AM198" i="1" s="1"/>
  <c r="BJ198" i="1"/>
  <c r="BK198" i="1" s="1"/>
  <c r="Q209" i="1"/>
  <c r="Q268" i="1"/>
  <c r="P209" i="1"/>
  <c r="P268" i="1"/>
  <c r="J246" i="1"/>
  <c r="J25" i="1"/>
  <c r="J267" i="1"/>
  <c r="V209" i="1"/>
  <c r="V268" i="1"/>
  <c r="BY143" i="1"/>
  <c r="N41" i="1"/>
  <c r="R209" i="1"/>
  <c r="I25" i="1"/>
  <c r="BX163" i="1"/>
  <c r="BX197" i="1" s="1"/>
  <c r="AM267" i="1"/>
  <c r="AL267" i="1"/>
  <c r="S25" i="1"/>
  <c r="IM7" i="4"/>
  <c r="Q41" i="1"/>
  <c r="R267" i="1"/>
  <c r="AM113" i="1"/>
  <c r="AM114" i="1" s="1"/>
  <c r="R25" i="1"/>
  <c r="AJ198" i="1"/>
  <c r="W41" i="1"/>
  <c r="W42" i="1" s="1"/>
  <c r="L25" i="1"/>
  <c r="L113" i="1" s="1"/>
  <c r="BX246" i="1"/>
  <c r="F267" i="1"/>
  <c r="H268" i="1"/>
  <c r="IX14" i="4"/>
  <c r="I267" i="1"/>
  <c r="G25" i="1"/>
  <c r="S268" i="1"/>
  <c r="AL194" i="1"/>
  <c r="AM194" i="1" s="1"/>
  <c r="BX268" i="1"/>
  <c r="CA113" i="1"/>
  <c r="CA114" i="1" s="1"/>
  <c r="T25" i="1"/>
  <c r="M25" i="1"/>
  <c r="K25" i="1"/>
  <c r="BX194" i="1"/>
  <c r="BY194" i="1" s="1"/>
  <c r="AJ48" i="1"/>
  <c r="BX171" i="1"/>
  <c r="BX200" i="1" s="1"/>
  <c r="BX143" i="1"/>
  <c r="N268" i="1"/>
  <c r="AM268" i="1"/>
  <c r="L268" i="1"/>
  <c r="BX15" i="1"/>
  <c r="BX135" i="1"/>
  <c r="BX107" i="1" s="1"/>
  <c r="BX109" i="1" s="1"/>
  <c r="BJ176" i="1"/>
  <c r="BK224" i="1" s="1"/>
  <c r="BJ149" i="1"/>
  <c r="BK143" i="1"/>
  <c r="BK132" i="1"/>
  <c r="BJ135" i="1"/>
  <c r="AJ176" i="1"/>
  <c r="AK224" i="1" s="1"/>
  <c r="AM143" i="1"/>
  <c r="AL176" i="1"/>
  <c r="AM224" i="1" s="1"/>
  <c r="BJ171" i="1"/>
  <c r="BJ200" i="1" s="1"/>
  <c r="AL149" i="1"/>
  <c r="AM149" i="1" s="1"/>
  <c r="AM153" i="1" s="1"/>
  <c r="BK164" i="1"/>
  <c r="BJ143" i="1"/>
  <c r="AJ143" i="1"/>
  <c r="AL171" i="1"/>
  <c r="AL200" i="1" s="1"/>
  <c r="AJ217" i="1"/>
  <c r="AL135" i="1"/>
  <c r="AL143" i="1"/>
  <c r="AI211" i="1"/>
  <c r="AI213" i="1" s="1"/>
  <c r="AJ149" i="1"/>
  <c r="AK48" i="1" s="1"/>
  <c r="AJ163" i="1"/>
  <c r="AJ195" i="1"/>
  <c r="AK195" i="1" s="1"/>
  <c r="AK143" i="1"/>
  <c r="AJ135" i="1"/>
  <c r="AJ171" i="1"/>
  <c r="BK158" i="1"/>
  <c r="BJ163" i="1"/>
  <c r="AM158" i="1"/>
  <c r="AL163" i="1"/>
  <c r="HX20" i="4"/>
  <c r="AR94" i="1" s="1"/>
  <c r="AR123" i="1" s="1"/>
  <c r="CB109" i="1"/>
  <c r="CB117" i="1"/>
  <c r="CB100" i="1"/>
  <c r="HP20" i="4"/>
  <c r="AJ94" i="1" s="1"/>
  <c r="IU20" i="4"/>
  <c r="BO94" i="1" s="1"/>
  <c r="BO123" i="1" s="1"/>
  <c r="JF19" i="4"/>
  <c r="BZ93" i="1" s="1"/>
  <c r="IL20" i="4"/>
  <c r="BF94" i="1" s="1"/>
  <c r="BF123" i="1" s="1"/>
  <c r="HR20" i="4"/>
  <c r="AL94" i="1" s="1"/>
  <c r="IB19" i="4"/>
  <c r="AV93" i="1" s="1"/>
  <c r="AV122" i="1" s="1"/>
  <c r="II19" i="4"/>
  <c r="BC93" i="1" s="1"/>
  <c r="BC122" i="1" s="1"/>
  <c r="JC19" i="4"/>
  <c r="BW93" i="1" s="1"/>
  <c r="BW122" i="1" s="1"/>
  <c r="II20" i="4"/>
  <c r="BC94" i="1" s="1"/>
  <c r="BC123" i="1" s="1"/>
  <c r="IC19" i="4"/>
  <c r="AW93" i="1" s="1"/>
  <c r="AW122" i="1" s="1"/>
  <c r="IH20" i="4"/>
  <c r="BB94" i="1" s="1"/>
  <c r="BB123" i="1" s="1"/>
  <c r="HV20" i="4"/>
  <c r="AP94" i="1" s="1"/>
  <c r="AP123" i="1" s="1"/>
  <c r="IN19" i="4"/>
  <c r="BH93" i="1" s="1"/>
  <c r="BH122" i="1" s="1"/>
  <c r="JB20" i="4"/>
  <c r="BV94" i="1" s="1"/>
  <c r="BV123" i="1" s="1"/>
  <c r="IV19" i="4"/>
  <c r="BP93" i="1" s="1"/>
  <c r="BP122" i="1" s="1"/>
  <c r="IS19" i="4"/>
  <c r="BM93" i="1" s="1"/>
  <c r="BM122" i="1" s="1"/>
  <c r="HT19" i="4"/>
  <c r="AN93" i="1" s="1"/>
  <c r="AN122" i="1" s="1"/>
  <c r="IJ20" i="4"/>
  <c r="BD94" i="1" s="1"/>
  <c r="BD123" i="1" s="1"/>
  <c r="HU20" i="4"/>
  <c r="AO94" i="1" s="1"/>
  <c r="AO123" i="1" s="1"/>
  <c r="ID19" i="4"/>
  <c r="AX93" i="1" s="1"/>
  <c r="AX122" i="1" s="1"/>
  <c r="IK20" i="4"/>
  <c r="BE94" i="1" s="1"/>
  <c r="BE123" i="1" s="1"/>
  <c r="IE20" i="4"/>
  <c r="AY94" i="1" s="1"/>
  <c r="AY123" i="1" s="1"/>
  <c r="JG19" i="4"/>
  <c r="CA93" i="1" s="1"/>
  <c r="IT20" i="4"/>
  <c r="BN94" i="1" s="1"/>
  <c r="BN123" i="1" s="1"/>
  <c r="IY20" i="4"/>
  <c r="BS94" i="1" s="1"/>
  <c r="BS123" i="1" s="1"/>
  <c r="IJ19" i="4"/>
  <c r="BD93" i="1" s="1"/>
  <c r="BD122" i="1" s="1"/>
  <c r="IO19" i="4"/>
  <c r="BI93" i="1" s="1"/>
  <c r="BI122" i="1" s="1"/>
  <c r="IB20" i="4"/>
  <c r="AV94" i="1" s="1"/>
  <c r="AV123" i="1" s="1"/>
  <c r="HW19" i="4"/>
  <c r="AQ93" i="1" s="1"/>
  <c r="AQ122" i="1" s="1"/>
  <c r="JB19" i="4"/>
  <c r="BV93" i="1" s="1"/>
  <c r="BV122" i="1" s="1"/>
  <c r="HU19" i="4"/>
  <c r="AO93" i="1" s="1"/>
  <c r="AO122" i="1" s="1"/>
  <c r="HQ19" i="4"/>
  <c r="AK93" i="1" s="1"/>
  <c r="IK19" i="4"/>
  <c r="BE93" i="1" s="1"/>
  <c r="BE122" i="1" s="1"/>
  <c r="BY217" i="1"/>
  <c r="CM47" i="1"/>
  <c r="AC155" i="1"/>
  <c r="CN80" i="1"/>
  <c r="CO78" i="1"/>
  <c r="IZ19" i="4" l="1"/>
  <c r="BT93" i="1" s="1"/>
  <c r="BT122" i="1" s="1"/>
  <c r="BK217" i="1"/>
  <c r="AJ194" i="1"/>
  <c r="IO21" i="4"/>
  <c r="BI92" i="1" s="1"/>
  <c r="IN21" i="4"/>
  <c r="BH92" i="1" s="1"/>
  <c r="AL42" i="1"/>
  <c r="IT19" i="4"/>
  <c r="BN93" i="1" s="1"/>
  <c r="BN122" i="1" s="1"/>
  <c r="C42" i="1"/>
  <c r="W33" i="1"/>
  <c r="BX42" i="1"/>
  <c r="HS19" i="4"/>
  <c r="AM93" i="1" s="1"/>
  <c r="JE20" i="4"/>
  <c r="BY94" i="1" s="1"/>
  <c r="BY123" i="1" s="1"/>
  <c r="IA19" i="4"/>
  <c r="AU93" i="1" s="1"/>
  <c r="AU122" i="1" s="1"/>
  <c r="AL217" i="1"/>
  <c r="AK217" i="1"/>
  <c r="AM240" i="1"/>
  <c r="HW20" i="4"/>
  <c r="AQ94" i="1" s="1"/>
  <c r="AQ123" i="1" s="1"/>
  <c r="IS20" i="4"/>
  <c r="BM94" i="1" s="1"/>
  <c r="BM123" i="1" s="1"/>
  <c r="IR19" i="4"/>
  <c r="BL93" i="1" s="1"/>
  <c r="IH21" i="4"/>
  <c r="BB92" i="1" s="1"/>
  <c r="HX16" i="4" s="1"/>
  <c r="HX21" i="4" s="1"/>
  <c r="AR92" i="1" s="1"/>
  <c r="JC15" i="4" s="1"/>
  <c r="IZ20" i="4"/>
  <c r="BT94" i="1" s="1"/>
  <c r="BT123" i="1" s="1"/>
  <c r="IN20" i="4"/>
  <c r="BH94" i="1" s="1"/>
  <c r="BH123" i="1" s="1"/>
  <c r="IE21" i="4"/>
  <c r="AY92" i="1" s="1"/>
  <c r="IX19" i="4"/>
  <c r="BR93" i="1" s="1"/>
  <c r="BR122" i="1" s="1"/>
  <c r="CA117" i="1"/>
  <c r="IF19" i="4"/>
  <c r="AZ93" i="1" s="1"/>
  <c r="AZ122" i="1" s="1"/>
  <c r="HX19" i="4"/>
  <c r="AR93" i="1" s="1"/>
  <c r="AR122" i="1" s="1"/>
  <c r="JI20" i="4"/>
  <c r="CC94" i="1" s="1"/>
  <c r="HZ19" i="4"/>
  <c r="AT93" i="1" s="1"/>
  <c r="AT122" i="1" s="1"/>
  <c r="CC117" i="1"/>
  <c r="IV20" i="4"/>
  <c r="BP94" i="1" s="1"/>
  <c r="BP123" i="1" s="1"/>
  <c r="CC109" i="1"/>
  <c r="HZ20" i="4"/>
  <c r="AT94" i="1" s="1"/>
  <c r="AT123" i="1" s="1"/>
  <c r="IM19" i="4"/>
  <c r="BG93" i="1" s="1"/>
  <c r="BG122" i="1" s="1"/>
  <c r="F113" i="1"/>
  <c r="F31" i="1"/>
  <c r="F32" i="1" s="1"/>
  <c r="E203" i="1"/>
  <c r="E113" i="1"/>
  <c r="E26" i="1"/>
  <c r="F203" i="1"/>
  <c r="F26" i="1"/>
  <c r="E31" i="1"/>
  <c r="U32" i="1"/>
  <c r="V33" i="1"/>
  <c r="P113" i="1"/>
  <c r="P31" i="1"/>
  <c r="D31" i="1"/>
  <c r="AJ42" i="1"/>
  <c r="AJ31" i="1"/>
  <c r="AK42" i="1"/>
  <c r="AM117" i="1"/>
  <c r="BX199" i="1"/>
  <c r="AL31" i="1"/>
  <c r="AM34" i="1" s="1"/>
  <c r="BJ199" i="1"/>
  <c r="AL199" i="1"/>
  <c r="IG20" i="4"/>
  <c r="BA94" i="1" s="1"/>
  <c r="BA123" i="1" s="1"/>
  <c r="B42" i="1"/>
  <c r="ID20" i="4"/>
  <c r="AX94" i="1" s="1"/>
  <c r="AX123" i="1" s="1"/>
  <c r="IL19" i="4"/>
  <c r="BF93" i="1" s="1"/>
  <c r="BF122" i="1" s="1"/>
  <c r="JA19" i="4"/>
  <c r="BU93" i="1" s="1"/>
  <c r="BU122" i="1" s="1"/>
  <c r="JD19" i="4"/>
  <c r="BX93" i="1" s="1"/>
  <c r="I113" i="1"/>
  <c r="J203" i="1"/>
  <c r="N31" i="1"/>
  <c r="IO20" i="4"/>
  <c r="BI94" i="1" s="1"/>
  <c r="BI123" i="1" s="1"/>
  <c r="O31" i="1"/>
  <c r="O32" i="1" s="1"/>
  <c r="D42" i="1"/>
  <c r="BY48" i="1"/>
  <c r="V43" i="1"/>
  <c r="HR19" i="4"/>
  <c r="AL93" i="1" s="1"/>
  <c r="JF20" i="4"/>
  <c r="BZ94" i="1" s="1"/>
  <c r="HV19" i="4"/>
  <c r="AP93" i="1" s="1"/>
  <c r="AP122" i="1" s="1"/>
  <c r="IP20" i="4"/>
  <c r="BJ94" i="1" s="1"/>
  <c r="BJ123" i="1" s="1"/>
  <c r="IE19" i="4"/>
  <c r="AY93" i="1" s="1"/>
  <c r="AY122" i="1" s="1"/>
  <c r="IQ20" i="4"/>
  <c r="BK94" i="1" s="1"/>
  <c r="BK123" i="1" s="1"/>
  <c r="BZ48" i="1"/>
  <c r="IY19" i="4"/>
  <c r="BS93" i="1" s="1"/>
  <c r="BS122" i="1" s="1"/>
  <c r="H113" i="1"/>
  <c r="BY27" i="1"/>
  <c r="CB26" i="1"/>
  <c r="BX31" i="1"/>
  <c r="Q203" i="1"/>
  <c r="Q113" i="1"/>
  <c r="AM32" i="1"/>
  <c r="P26" i="1"/>
  <c r="O203" i="1"/>
  <c r="E42" i="1"/>
  <c r="P203" i="1"/>
  <c r="HQ20" i="4"/>
  <c r="AK94" i="1" s="1"/>
  <c r="JH19" i="4"/>
  <c r="CB93" i="1" s="1"/>
  <c r="I31" i="1"/>
  <c r="J26" i="1"/>
  <c r="N113" i="1"/>
  <c r="CA109" i="1"/>
  <c r="O113" i="1"/>
  <c r="O26" i="1"/>
  <c r="IX20" i="4"/>
  <c r="BR94" i="1" s="1"/>
  <c r="BR123" i="1" s="1"/>
  <c r="B43" i="1"/>
  <c r="B44" i="1" s="1"/>
  <c r="JH20" i="4"/>
  <c r="CB94" i="1" s="1"/>
  <c r="BX153" i="1"/>
  <c r="BY153" i="1"/>
  <c r="BZ218" i="1" s="1"/>
  <c r="BZ216" i="1" s="1"/>
  <c r="IP19" i="4"/>
  <c r="BJ93" i="1" s="1"/>
  <c r="BJ122" i="1" s="1"/>
  <c r="IW19" i="4"/>
  <c r="BQ93" i="1" s="1"/>
  <c r="BQ122" i="1" s="1"/>
  <c r="HS20" i="4"/>
  <c r="AM94" i="1" s="1"/>
  <c r="CC203" i="1"/>
  <c r="Q31" i="1"/>
  <c r="Q32" i="1" s="1"/>
  <c r="Q26" i="1"/>
  <c r="AM27" i="1"/>
  <c r="M203" i="1"/>
  <c r="BY221" i="1"/>
  <c r="J31" i="1"/>
  <c r="J113" i="1"/>
  <c r="BY144" i="1"/>
  <c r="BZ264" i="1"/>
  <c r="BZ266" i="1" s="1"/>
  <c r="BZ221" i="1"/>
  <c r="S113" i="1"/>
  <c r="S31" i="1"/>
  <c r="S32" i="1" s="1"/>
  <c r="R113" i="1"/>
  <c r="R26" i="1"/>
  <c r="R203" i="1"/>
  <c r="R31" i="1"/>
  <c r="C31" i="1"/>
  <c r="C203" i="1"/>
  <c r="C26" i="1"/>
  <c r="D203" i="1"/>
  <c r="D26" i="1"/>
  <c r="I26" i="1"/>
  <c r="I203" i="1"/>
  <c r="L26" i="1"/>
  <c r="W32" i="1"/>
  <c r="X33" i="1"/>
  <c r="W43" i="1"/>
  <c r="AK27" i="1"/>
  <c r="AK31" i="1"/>
  <c r="AL27" i="1"/>
  <c r="AJ43" i="1"/>
  <c r="BY224" i="1"/>
  <c r="BX263" i="1"/>
  <c r="BY107" i="1"/>
  <c r="BZ222" i="1"/>
  <c r="AM42" i="1"/>
  <c r="AM43" i="1"/>
  <c r="AM247" i="1" s="1"/>
  <c r="AM248" i="1" s="1"/>
  <c r="S203" i="1"/>
  <c r="S26" i="1"/>
  <c r="H26" i="1"/>
  <c r="H203" i="1"/>
  <c r="T203" i="1"/>
  <c r="U26" i="1"/>
  <c r="T113" i="1"/>
  <c r="T26" i="1"/>
  <c r="U203" i="1"/>
  <c r="T31" i="1"/>
  <c r="M31" i="1"/>
  <c r="M113" i="1"/>
  <c r="N203" i="1"/>
  <c r="K113" i="1"/>
  <c r="K31" i="1"/>
  <c r="L203" i="1"/>
  <c r="BX144" i="1"/>
  <c r="BX196" i="1"/>
  <c r="BY264" i="1"/>
  <c r="BX183" i="1"/>
  <c r="L31" i="1"/>
  <c r="G26" i="1"/>
  <c r="BX201" i="1"/>
  <c r="CB204" i="1" s="1"/>
  <c r="K26" i="1"/>
  <c r="G203" i="1"/>
  <c r="BX172" i="1"/>
  <c r="K203" i="1"/>
  <c r="AJ144" i="1"/>
  <c r="G31" i="1"/>
  <c r="G32" i="1" s="1"/>
  <c r="G113" i="1"/>
  <c r="N26" i="1"/>
  <c r="M26" i="1"/>
  <c r="BY222" i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K264" i="1"/>
  <c r="AK221" i="1"/>
  <c r="AM264" i="1"/>
  <c r="BK149" i="1"/>
  <c r="BJ153" i="1"/>
  <c r="BJ261" i="1" s="1"/>
  <c r="BL221" i="1"/>
  <c r="BL264" i="1"/>
  <c r="BJ107" i="1"/>
  <c r="BJ263" i="1"/>
  <c r="AJ183" i="1"/>
  <c r="AK52" i="1" s="1"/>
  <c r="AJ221" i="1"/>
  <c r="AM48" i="1"/>
  <c r="AL153" i="1"/>
  <c r="AL107" i="1"/>
  <c r="AL111" i="1" s="1"/>
  <c r="AL263" i="1"/>
  <c r="AL221" i="1"/>
  <c r="AM221" i="1"/>
  <c r="AJ212" i="1"/>
  <c r="AJ200" i="1"/>
  <c r="AK149" i="1"/>
  <c r="AL183" i="1"/>
  <c r="AJ172" i="1"/>
  <c r="BJ144" i="1"/>
  <c r="BJ183" i="1"/>
  <c r="BJ124" i="1" s="1"/>
  <c r="AJ153" i="1"/>
  <c r="BK221" i="1"/>
  <c r="AL264" i="1"/>
  <c r="AL144" i="1"/>
  <c r="AJ211" i="1"/>
  <c r="AJ197" i="1"/>
  <c r="BJ197" i="1"/>
  <c r="BJ172" i="1"/>
  <c r="AL197" i="1"/>
  <c r="AL172" i="1"/>
  <c r="AL123" i="1"/>
  <c r="BZ110" i="1"/>
  <c r="BZ104" i="1"/>
  <c r="BZ122" i="1"/>
  <c r="BZ125" i="1" s="1"/>
  <c r="CA111" i="1"/>
  <c r="CA123" i="1"/>
  <c r="CA119" i="1"/>
  <c r="CC110" i="1"/>
  <c r="CC122" i="1"/>
  <c r="CC118" i="1"/>
  <c r="CC101" i="1"/>
  <c r="CF105" i="1" s="1"/>
  <c r="BX111" i="1"/>
  <c r="BL123" i="1"/>
  <c r="BL126" i="1" s="1"/>
  <c r="CA118" i="1"/>
  <c r="CA122" i="1"/>
  <c r="CA110" i="1"/>
  <c r="BY122" i="1"/>
  <c r="BY104" i="1"/>
  <c r="CM209" i="1"/>
  <c r="CM147" i="1"/>
  <c r="CM149" i="1" s="1"/>
  <c r="CM153" i="1" s="1"/>
  <c r="CM218" i="1" s="1"/>
  <c r="CM216" i="1" s="1"/>
  <c r="AC217" i="1"/>
  <c r="AB164" i="1"/>
  <c r="AB132" i="1"/>
  <c r="CO80" i="1"/>
  <c r="CP78" i="1"/>
  <c r="CA240" i="1"/>
  <c r="AM118" i="1" l="1"/>
  <c r="AM122" i="1"/>
  <c r="BL122" i="1"/>
  <c r="BL125" i="1" s="1"/>
  <c r="BL110" i="1"/>
  <c r="JC20" i="4"/>
  <c r="BW94" i="1" s="1"/>
  <c r="BW123" i="1" s="1"/>
  <c r="IG7" i="4"/>
  <c r="CC111" i="1"/>
  <c r="CC119" i="1"/>
  <c r="CC123" i="1"/>
  <c r="CC102" i="1"/>
  <c r="D43" i="1"/>
  <c r="Q33" i="1"/>
  <c r="G33" i="1"/>
  <c r="F33" i="1"/>
  <c r="I33" i="1"/>
  <c r="D32" i="1"/>
  <c r="E33" i="1"/>
  <c r="P32" i="1"/>
  <c r="E43" i="1"/>
  <c r="E44" i="1" s="1"/>
  <c r="E32" i="1"/>
  <c r="AL32" i="1"/>
  <c r="AL43" i="1"/>
  <c r="AJ32" i="1"/>
  <c r="BX180" i="1"/>
  <c r="BX110" i="1"/>
  <c r="AM123" i="1"/>
  <c r="AM119" i="1"/>
  <c r="I32" i="1"/>
  <c r="BX261" i="1"/>
  <c r="BY218" i="1"/>
  <c r="BY216" i="1" s="1"/>
  <c r="BX104" i="1"/>
  <c r="BX122" i="1"/>
  <c r="CB101" i="1"/>
  <c r="CB118" i="1"/>
  <c r="CB110" i="1"/>
  <c r="CB122" i="1"/>
  <c r="CB125" i="1" s="1"/>
  <c r="CB128" i="1" s="1"/>
  <c r="N32" i="1"/>
  <c r="V49" i="1"/>
  <c r="V53" i="1" s="1"/>
  <c r="V127" i="1"/>
  <c r="V247" i="1"/>
  <c r="V248" i="1" s="1"/>
  <c r="AL122" i="1"/>
  <c r="BZ123" i="1"/>
  <c r="BZ126" i="1" s="1"/>
  <c r="BZ111" i="1"/>
  <c r="CB111" i="1"/>
  <c r="CB123" i="1"/>
  <c r="CB126" i="1" s="1"/>
  <c r="CB129" i="1" s="1"/>
  <c r="O33" i="1"/>
  <c r="P33" i="1"/>
  <c r="V44" i="1"/>
  <c r="B127" i="1"/>
  <c r="CB119" i="1"/>
  <c r="CB102" i="1"/>
  <c r="BX32" i="1"/>
  <c r="CB33" i="1"/>
  <c r="BY34" i="1"/>
  <c r="BX43" i="1"/>
  <c r="H33" i="1"/>
  <c r="BZ220" i="1"/>
  <c r="BY220" i="1"/>
  <c r="J32" i="1"/>
  <c r="J33" i="1"/>
  <c r="S33" i="1"/>
  <c r="R32" i="1"/>
  <c r="R33" i="1"/>
  <c r="C33" i="1"/>
  <c r="C43" i="1"/>
  <c r="D33" i="1"/>
  <c r="C32" i="1"/>
  <c r="AK34" i="1"/>
  <c r="AL34" i="1"/>
  <c r="AK43" i="1"/>
  <c r="AK32" i="1"/>
  <c r="M32" i="1"/>
  <c r="N33" i="1"/>
  <c r="W247" i="1"/>
  <c r="W248" i="1" s="1"/>
  <c r="X45" i="1"/>
  <c r="X265" i="1"/>
  <c r="W49" i="1"/>
  <c r="W53" i="1" s="1"/>
  <c r="W45" i="1"/>
  <c r="W44" i="1"/>
  <c r="W127" i="1"/>
  <c r="W265" i="1"/>
  <c r="AJ247" i="1"/>
  <c r="AJ248" i="1" s="1"/>
  <c r="AJ44" i="1"/>
  <c r="AJ49" i="1"/>
  <c r="AJ53" i="1" s="1"/>
  <c r="BY109" i="1"/>
  <c r="BY111" i="1"/>
  <c r="BY110" i="1"/>
  <c r="AM49" i="1"/>
  <c r="AM53" i="1" s="1"/>
  <c r="AM44" i="1"/>
  <c r="T33" i="1"/>
  <c r="U33" i="1"/>
  <c r="T32" i="1"/>
  <c r="L33" i="1"/>
  <c r="K33" i="1"/>
  <c r="K32" i="1"/>
  <c r="BY52" i="1"/>
  <c r="BX124" i="1"/>
  <c r="M33" i="1"/>
  <c r="L32" i="1"/>
  <c r="AJ180" i="1"/>
  <c r="AJ181" i="1" s="1"/>
  <c r="AJ213" i="1"/>
  <c r="AL180" i="1"/>
  <c r="AL181" i="1" s="1"/>
  <c r="BL48" i="1"/>
  <c r="BK153" i="1"/>
  <c r="BL218" i="1" s="1"/>
  <c r="BL216" i="1" s="1"/>
  <c r="BJ109" i="1"/>
  <c r="BJ110" i="1"/>
  <c r="BJ111" i="1"/>
  <c r="AM218" i="1"/>
  <c r="AM216" i="1" s="1"/>
  <c r="AL261" i="1"/>
  <c r="AK153" i="1"/>
  <c r="AL48" i="1"/>
  <c r="BJ125" i="1"/>
  <c r="BJ126" i="1"/>
  <c r="AL109" i="1"/>
  <c r="AL110" i="1"/>
  <c r="AL124" i="1"/>
  <c r="AM52" i="1"/>
  <c r="AJ218" i="1"/>
  <c r="AJ216" i="1" s="1"/>
  <c r="BJ201" i="1"/>
  <c r="BJ196" i="1"/>
  <c r="AL196" i="1"/>
  <c r="AL201" i="1"/>
  <c r="CN47" i="1"/>
  <c r="AB178" i="1"/>
  <c r="CP80" i="1"/>
  <c r="CQ78" i="1"/>
  <c r="AC132" i="1"/>
  <c r="AC164" i="1"/>
  <c r="CB240" i="1"/>
  <c r="BQ1" i="1"/>
  <c r="BR1" i="1" s="1"/>
  <c r="BS1" i="1" s="1"/>
  <c r="BT1" i="1" s="1"/>
  <c r="AL247" i="1" l="1"/>
  <c r="AL248" i="1" s="1"/>
  <c r="AM46" i="1"/>
  <c r="AL49" i="1"/>
  <c r="AL53" i="1" s="1"/>
  <c r="IG19" i="4"/>
  <c r="BA93" i="1" s="1"/>
  <c r="BA122" i="1" s="1"/>
  <c r="HY7" i="4"/>
  <c r="HY19" i="4" s="1"/>
  <c r="AS93" i="1" s="1"/>
  <c r="AS122" i="1" s="1"/>
  <c r="AL44" i="1"/>
  <c r="D127" i="1"/>
  <c r="AM127" i="1"/>
  <c r="AM241" i="1"/>
  <c r="D44" i="1"/>
  <c r="D49" i="1"/>
  <c r="D53" i="1" s="1"/>
  <c r="D247" i="1"/>
  <c r="D248" i="1" s="1"/>
  <c r="E45" i="1"/>
  <c r="C45" i="1"/>
  <c r="AK46" i="1"/>
  <c r="AM265" i="1"/>
  <c r="W56" i="1"/>
  <c r="W55" i="1"/>
  <c r="BX125" i="1"/>
  <c r="BX181" i="1"/>
  <c r="AM266" i="1"/>
  <c r="CE105" i="1"/>
  <c r="AL265" i="1"/>
  <c r="AL266" i="1" s="1"/>
  <c r="V56" i="1"/>
  <c r="V55" i="1"/>
  <c r="AJ56" i="1"/>
  <c r="AJ55" i="1"/>
  <c r="AM56" i="1"/>
  <c r="AM57" i="1" s="1"/>
  <c r="AM260" i="1" s="1"/>
  <c r="AM55" i="1"/>
  <c r="D265" i="1"/>
  <c r="AL55" i="1"/>
  <c r="C265" i="1"/>
  <c r="C44" i="1"/>
  <c r="D45" i="1"/>
  <c r="AK247" i="1"/>
  <c r="AK248" i="1" s="1"/>
  <c r="AL46" i="1"/>
  <c r="AK44" i="1"/>
  <c r="AK49" i="1"/>
  <c r="AK53" i="1" s="1"/>
  <c r="BX44" i="1"/>
  <c r="BX49" i="1"/>
  <c r="CB45" i="1"/>
  <c r="CA127" i="1"/>
  <c r="BX247" i="1"/>
  <c r="BX248" i="1" s="1"/>
  <c r="BY46" i="1"/>
  <c r="BY265" i="1"/>
  <c r="BY266" i="1" s="1"/>
  <c r="BX126" i="1"/>
  <c r="AL126" i="1"/>
  <c r="AL125" i="1"/>
  <c r="AL218" i="1"/>
  <c r="AL216" i="1" s="1"/>
  <c r="AK218" i="1"/>
  <c r="AK216" i="1" s="1"/>
  <c r="CN147" i="1"/>
  <c r="CN149" i="1" s="1"/>
  <c r="CO47" i="1" s="1"/>
  <c r="AB152" i="1"/>
  <c r="AD164" i="1"/>
  <c r="AE164" i="1"/>
  <c r="AD132" i="1"/>
  <c r="AE132" i="1"/>
  <c r="CQ80" i="1"/>
  <c r="CR78" i="1"/>
  <c r="AC178" i="1"/>
  <c r="BU1" i="1"/>
  <c r="Q42" i="1"/>
  <c r="P42" i="1"/>
  <c r="O42" i="1"/>
  <c r="I42" i="1"/>
  <c r="H42" i="1"/>
  <c r="G42" i="1"/>
  <c r="U42" i="1"/>
  <c r="T42" i="1"/>
  <c r="S42" i="1"/>
  <c r="R42" i="1"/>
  <c r="N42" i="1"/>
  <c r="M42" i="1"/>
  <c r="L42" i="1"/>
  <c r="K42" i="1"/>
  <c r="J42" i="1"/>
  <c r="F42" i="1"/>
  <c r="AL56" i="1" l="1"/>
  <c r="D56" i="1"/>
  <c r="D55" i="1"/>
  <c r="W63" i="1"/>
  <c r="W67" i="1" s="1"/>
  <c r="W57" i="1"/>
  <c r="W260" i="1" s="1"/>
  <c r="X58" i="1"/>
  <c r="W249" i="1"/>
  <c r="V57" i="1"/>
  <c r="V260" i="1" s="1"/>
  <c r="V63" i="1"/>
  <c r="AJ57" i="1"/>
  <c r="AJ63" i="1"/>
  <c r="AK56" i="1"/>
  <c r="AK55" i="1"/>
  <c r="AJ249" i="1"/>
  <c r="AL249" i="1"/>
  <c r="AM59" i="1"/>
  <c r="AL63" i="1"/>
  <c r="AL57" i="1"/>
  <c r="AL260" i="1" s="1"/>
  <c r="BX53" i="1"/>
  <c r="CA70" i="1"/>
  <c r="W58" i="1"/>
  <c r="D249" i="1"/>
  <c r="D57" i="1"/>
  <c r="D63" i="1"/>
  <c r="CO209" i="1"/>
  <c r="CO147" i="1"/>
  <c r="CN153" i="1"/>
  <c r="CN209" i="1"/>
  <c r="AD178" i="1"/>
  <c r="AE178" i="1"/>
  <c r="AD155" i="1"/>
  <c r="CR80" i="1"/>
  <c r="CS78" i="1"/>
  <c r="AC152" i="1"/>
  <c r="BV1" i="1"/>
  <c r="BW1" i="1" s="1"/>
  <c r="BX1" i="1" s="1"/>
  <c r="AM249" i="1"/>
  <c r="B247" i="1"/>
  <c r="B248" i="1" s="1"/>
  <c r="BL247" i="1"/>
  <c r="BL248" i="1" s="1"/>
  <c r="G43" i="1"/>
  <c r="O43" i="1"/>
  <c r="H43" i="1"/>
  <c r="P43" i="1"/>
  <c r="I43" i="1"/>
  <c r="Q43" i="1"/>
  <c r="J43" i="1"/>
  <c r="R43" i="1"/>
  <c r="K43" i="1"/>
  <c r="S43" i="1"/>
  <c r="L43" i="1"/>
  <c r="T43" i="1"/>
  <c r="M43" i="1"/>
  <c r="U43" i="1"/>
  <c r="F43" i="1"/>
  <c r="F265" i="1" s="1"/>
  <c r="N43" i="1"/>
  <c r="AJ222" i="1" l="1"/>
  <c r="AJ220" i="1" s="1"/>
  <c r="AJ67" i="1"/>
  <c r="AJ81" i="1"/>
  <c r="AK249" i="1"/>
  <c r="AK63" i="1"/>
  <c r="AK134" i="1" s="1"/>
  <c r="AK135" i="1" s="1"/>
  <c r="AK144" i="1" s="1"/>
  <c r="AK59" i="1"/>
  <c r="AM242" i="1"/>
  <c r="AJ208" i="1"/>
  <c r="AJ210" i="1" s="1"/>
  <c r="AJ214" i="1" s="1"/>
  <c r="AJ228" i="1" s="1"/>
  <c r="AK57" i="1"/>
  <c r="AL59" i="1"/>
  <c r="AL208" i="1"/>
  <c r="AL210" i="1" s="1"/>
  <c r="AL81" i="1"/>
  <c r="AL67" i="1"/>
  <c r="BX55" i="1"/>
  <c r="BX56" i="1"/>
  <c r="AJ225" i="1"/>
  <c r="AJ226" i="1" s="1"/>
  <c r="T265" i="1"/>
  <c r="P265" i="1"/>
  <c r="D208" i="1"/>
  <c r="D210" i="1" s="1"/>
  <c r="D67" i="1"/>
  <c r="M265" i="1"/>
  <c r="R265" i="1"/>
  <c r="I265" i="1"/>
  <c r="K265" i="1"/>
  <c r="G265" i="1"/>
  <c r="H265" i="1"/>
  <c r="L265" i="1"/>
  <c r="S265" i="1"/>
  <c r="O265" i="1"/>
  <c r="J265" i="1"/>
  <c r="N265" i="1"/>
  <c r="U265" i="1"/>
  <c r="V265" i="1"/>
  <c r="Q265" i="1"/>
  <c r="R127" i="1"/>
  <c r="S45" i="1"/>
  <c r="T127" i="1"/>
  <c r="U45" i="1"/>
  <c r="U127" i="1"/>
  <c r="V45" i="1"/>
  <c r="P127" i="1"/>
  <c r="Q45" i="1"/>
  <c r="Q127" i="1"/>
  <c r="R45" i="1"/>
  <c r="I127" i="1"/>
  <c r="J45" i="1"/>
  <c r="S127" i="1"/>
  <c r="T45" i="1"/>
  <c r="H127" i="1"/>
  <c r="I45" i="1"/>
  <c r="E127" i="1"/>
  <c r="F45" i="1"/>
  <c r="L127" i="1"/>
  <c r="M45" i="1"/>
  <c r="O127" i="1"/>
  <c r="P45" i="1"/>
  <c r="N127" i="1"/>
  <c r="O45" i="1"/>
  <c r="K127" i="1"/>
  <c r="L45" i="1"/>
  <c r="F127" i="1"/>
  <c r="G45" i="1"/>
  <c r="G127" i="1"/>
  <c r="H45" i="1"/>
  <c r="M127" i="1"/>
  <c r="N45" i="1"/>
  <c r="J127" i="1"/>
  <c r="K45" i="1"/>
  <c r="CN218" i="1"/>
  <c r="CN216" i="1" s="1"/>
  <c r="CO149" i="1"/>
  <c r="AD217" i="1"/>
  <c r="AB157" i="1"/>
  <c r="AE152" i="1"/>
  <c r="AD152" i="1"/>
  <c r="CT78" i="1"/>
  <c r="CS80" i="1"/>
  <c r="C127" i="1"/>
  <c r="BY1" i="1"/>
  <c r="L44" i="1"/>
  <c r="N44" i="1"/>
  <c r="F44" i="1"/>
  <c r="O44" i="1"/>
  <c r="U49" i="1"/>
  <c r="U53" i="1" s="1"/>
  <c r="U44" i="1"/>
  <c r="G44" i="1"/>
  <c r="S44" i="1"/>
  <c r="M44" i="1"/>
  <c r="R44" i="1"/>
  <c r="J44" i="1"/>
  <c r="I44" i="1"/>
  <c r="P44" i="1"/>
  <c r="H44" i="1"/>
  <c r="K44" i="1"/>
  <c r="T44" i="1"/>
  <c r="Q44" i="1"/>
  <c r="T247" i="1"/>
  <c r="T248" i="1" s="1"/>
  <c r="Q247" i="1"/>
  <c r="Q248" i="1" s="1"/>
  <c r="K247" i="1"/>
  <c r="K248" i="1" s="1"/>
  <c r="O247" i="1"/>
  <c r="O248" i="1" s="1"/>
  <c r="U247" i="1"/>
  <c r="U248" i="1" s="1"/>
  <c r="L247" i="1"/>
  <c r="L248" i="1" s="1"/>
  <c r="C247" i="1"/>
  <c r="C248" i="1" s="1"/>
  <c r="I247" i="1"/>
  <c r="I248" i="1" s="1"/>
  <c r="G247" i="1"/>
  <c r="G248" i="1" s="1"/>
  <c r="R247" i="1"/>
  <c r="R248" i="1" s="1"/>
  <c r="P247" i="1"/>
  <c r="P248" i="1" s="1"/>
  <c r="F247" i="1"/>
  <c r="F248" i="1" s="1"/>
  <c r="M247" i="1"/>
  <c r="M248" i="1" s="1"/>
  <c r="N247" i="1"/>
  <c r="N248" i="1" s="1"/>
  <c r="E247" i="1"/>
  <c r="E248" i="1" s="1"/>
  <c r="S247" i="1"/>
  <c r="S248" i="1" s="1"/>
  <c r="J247" i="1"/>
  <c r="J248" i="1" s="1"/>
  <c r="H247" i="1"/>
  <c r="H248" i="1" s="1"/>
  <c r="B49" i="1"/>
  <c r="L49" i="1"/>
  <c r="Q49" i="1"/>
  <c r="T49" i="1"/>
  <c r="N49" i="1"/>
  <c r="S49" i="1"/>
  <c r="F49" i="1"/>
  <c r="K49" i="1"/>
  <c r="H49" i="1"/>
  <c r="I49" i="1"/>
  <c r="P49" i="1"/>
  <c r="C49" i="1"/>
  <c r="O49" i="1"/>
  <c r="R49" i="1"/>
  <c r="M49" i="1"/>
  <c r="G49" i="1"/>
  <c r="E49" i="1"/>
  <c r="J49" i="1"/>
  <c r="CB58" i="1" l="1"/>
  <c r="BX249" i="1"/>
  <c r="BX57" i="1"/>
  <c r="BX260" i="1" s="1"/>
  <c r="BX63" i="1"/>
  <c r="BY59" i="1"/>
  <c r="AK208" i="1"/>
  <c r="AK210" i="1" s="1"/>
  <c r="AK81" i="1"/>
  <c r="AK67" i="1"/>
  <c r="AK222" i="1"/>
  <c r="AK220" i="1" s="1"/>
  <c r="AL222" i="1"/>
  <c r="AL220" i="1" s="1"/>
  <c r="BK179" i="1"/>
  <c r="BM179" i="1"/>
  <c r="CO153" i="1"/>
  <c r="CP47" i="1"/>
  <c r="AE155" i="1"/>
  <c r="AE217" i="1" s="1"/>
  <c r="CT80" i="1"/>
  <c r="CU78" i="1"/>
  <c r="BZ1" i="1"/>
  <c r="U56" i="1"/>
  <c r="V58" i="1" s="1"/>
  <c r="U55" i="1"/>
  <c r="P53" i="1"/>
  <c r="P56" i="1" s="1"/>
  <c r="R53" i="1"/>
  <c r="R56" i="1" s="1"/>
  <c r="E53" i="1"/>
  <c r="S53" i="1"/>
  <c r="S55" i="1" s="1"/>
  <c r="G53" i="1"/>
  <c r="G56" i="1" s="1"/>
  <c r="K53" i="1"/>
  <c r="K56" i="1" s="1"/>
  <c r="B53" i="1"/>
  <c r="O53" i="1"/>
  <c r="O56" i="1" s="1"/>
  <c r="H53" i="1"/>
  <c r="H56" i="1" s="1"/>
  <c r="N53" i="1"/>
  <c r="N56" i="1" s="1"/>
  <c r="L53" i="1"/>
  <c r="L55" i="1" s="1"/>
  <c r="C53" i="1"/>
  <c r="M53" i="1"/>
  <c r="M55" i="1" s="1"/>
  <c r="T53" i="1"/>
  <c r="T56" i="1" s="1"/>
  <c r="F53" i="1"/>
  <c r="F55" i="1" s="1"/>
  <c r="J53" i="1"/>
  <c r="J55" i="1" s="1"/>
  <c r="I53" i="1"/>
  <c r="I55" i="1" s="1"/>
  <c r="Q53" i="1"/>
  <c r="Q56" i="1" s="1"/>
  <c r="V249" i="1"/>
  <c r="BX67" i="1" l="1"/>
  <c r="CA69" i="1"/>
  <c r="BX208" i="1"/>
  <c r="BX210" i="1" s="1"/>
  <c r="BX81" i="1"/>
  <c r="CA84" i="1" s="1"/>
  <c r="R58" i="1"/>
  <c r="U58" i="1"/>
  <c r="O58" i="1"/>
  <c r="AB47" i="1"/>
  <c r="B56" i="1"/>
  <c r="B55" i="1"/>
  <c r="C56" i="1"/>
  <c r="C55" i="1"/>
  <c r="E56" i="1"/>
  <c r="E63" i="1" s="1"/>
  <c r="E55" i="1"/>
  <c r="P58" i="1"/>
  <c r="H58" i="1"/>
  <c r="Q58" i="1"/>
  <c r="BJ180" i="1"/>
  <c r="BJ181" i="1" s="1"/>
  <c r="BL180" i="1"/>
  <c r="BL181" i="1" s="1"/>
  <c r="CP209" i="1"/>
  <c r="CP147" i="1"/>
  <c r="CO218" i="1"/>
  <c r="CO216" i="1" s="1"/>
  <c r="CV78" i="1"/>
  <c r="CU80" i="1"/>
  <c r="CA1" i="1"/>
  <c r="CB1" i="1" s="1"/>
  <c r="O55" i="1"/>
  <c r="BL249" i="1"/>
  <c r="S56" i="1"/>
  <c r="U57" i="1"/>
  <c r="U260" i="1" s="1"/>
  <c r="P57" i="1"/>
  <c r="P260" i="1" s="1"/>
  <c r="Q63" i="1"/>
  <c r="Q57" i="1"/>
  <c r="Q260" i="1" s="1"/>
  <c r="L56" i="1"/>
  <c r="P55" i="1"/>
  <c r="H57" i="1"/>
  <c r="H260" i="1" s="1"/>
  <c r="G57" i="1"/>
  <c r="G260" i="1" s="1"/>
  <c r="U63" i="1"/>
  <c r="N57" i="1"/>
  <c r="N260" i="1" s="1"/>
  <c r="R57" i="1"/>
  <c r="R260" i="1" s="1"/>
  <c r="K57" i="1"/>
  <c r="K260" i="1" s="1"/>
  <c r="O63" i="1"/>
  <c r="O57" i="1"/>
  <c r="O260" i="1" s="1"/>
  <c r="T63" i="1"/>
  <c r="T57" i="1"/>
  <c r="T260" i="1" s="1"/>
  <c r="R55" i="1"/>
  <c r="K55" i="1"/>
  <c r="N55" i="1"/>
  <c r="G55" i="1"/>
  <c r="H55" i="1"/>
  <c r="J56" i="1"/>
  <c r="K58" i="1" s="1"/>
  <c r="M56" i="1"/>
  <c r="N58" i="1" s="1"/>
  <c r="T55" i="1"/>
  <c r="F56" i="1"/>
  <c r="G58" i="1" s="1"/>
  <c r="I56" i="1"/>
  <c r="I58" i="1" s="1"/>
  <c r="O249" i="1"/>
  <c r="Q55" i="1"/>
  <c r="P249" i="1"/>
  <c r="P63" i="1"/>
  <c r="K249" i="1"/>
  <c r="K63" i="1"/>
  <c r="H249" i="1"/>
  <c r="H63" i="1"/>
  <c r="R63" i="1"/>
  <c r="N63" i="1"/>
  <c r="G63" i="1"/>
  <c r="G249" i="1"/>
  <c r="R249" i="1"/>
  <c r="N249" i="1"/>
  <c r="Q249" i="1"/>
  <c r="U249" i="1"/>
  <c r="T249" i="1"/>
  <c r="V67" i="1"/>
  <c r="V208" i="1"/>
  <c r="V210" i="1" s="1"/>
  <c r="CA102" i="1" l="1"/>
  <c r="CA101" i="1"/>
  <c r="CD105" i="1" s="1"/>
  <c r="CE85" i="1"/>
  <c r="CA100" i="1"/>
  <c r="BW104" i="1"/>
  <c r="E249" i="1"/>
  <c r="AB209" i="1"/>
  <c r="E57" i="1"/>
  <c r="E260" i="1" s="1"/>
  <c r="E58" i="1"/>
  <c r="D58" i="1"/>
  <c r="C57" i="1"/>
  <c r="B57" i="1"/>
  <c r="C58" i="1"/>
  <c r="F58" i="1"/>
  <c r="M58" i="1"/>
  <c r="S57" i="1"/>
  <c r="S260" i="1" s="1"/>
  <c r="T58" i="1"/>
  <c r="L58" i="1"/>
  <c r="J58" i="1"/>
  <c r="S58" i="1"/>
  <c r="AB147" i="1"/>
  <c r="AB149" i="1" s="1"/>
  <c r="AB48" i="1" s="1"/>
  <c r="CP149" i="1"/>
  <c r="CV80" i="1"/>
  <c r="CW78" i="1"/>
  <c r="CC1" i="1"/>
  <c r="K67" i="1"/>
  <c r="G67" i="1"/>
  <c r="E67" i="1"/>
  <c r="S63" i="1"/>
  <c r="S249" i="1"/>
  <c r="L249" i="1"/>
  <c r="L63" i="1"/>
  <c r="O208" i="1"/>
  <c r="O210" i="1" s="1"/>
  <c r="O67" i="1"/>
  <c r="B249" i="1"/>
  <c r="B63" i="1"/>
  <c r="M63" i="1"/>
  <c r="M57" i="1"/>
  <c r="M260" i="1" s="1"/>
  <c r="C249" i="1"/>
  <c r="I63" i="1"/>
  <c r="I57" i="1"/>
  <c r="I260" i="1" s="1"/>
  <c r="J63" i="1"/>
  <c r="J57" i="1"/>
  <c r="J260" i="1" s="1"/>
  <c r="F63" i="1"/>
  <c r="F57" i="1"/>
  <c r="F260" i="1" s="1"/>
  <c r="L57" i="1"/>
  <c r="L260" i="1" s="1"/>
  <c r="J249" i="1"/>
  <c r="E208" i="1"/>
  <c r="E210" i="1" s="1"/>
  <c r="R208" i="1"/>
  <c r="R210" i="1" s="1"/>
  <c r="M249" i="1"/>
  <c r="R67" i="1"/>
  <c r="I249" i="1"/>
  <c r="H67" i="1"/>
  <c r="H208" i="1"/>
  <c r="H210" i="1" s="1"/>
  <c r="F249" i="1"/>
  <c r="C63" i="1"/>
  <c r="N208" i="1"/>
  <c r="N210" i="1" s="1"/>
  <c r="N67" i="1"/>
  <c r="G208" i="1"/>
  <c r="G210" i="1" s="1"/>
  <c r="P67" i="1"/>
  <c r="K208" i="1"/>
  <c r="K210" i="1" s="1"/>
  <c r="P208" i="1"/>
  <c r="P210" i="1" s="1"/>
  <c r="U67" i="1"/>
  <c r="U208" i="1"/>
  <c r="U210" i="1" s="1"/>
  <c r="Q67" i="1"/>
  <c r="Q208" i="1"/>
  <c r="Q210" i="1" s="1"/>
  <c r="T67" i="1"/>
  <c r="T208" i="1"/>
  <c r="T210" i="1" s="1"/>
  <c r="CP153" i="1" l="1"/>
  <c r="CP218" i="1" s="1"/>
  <c r="CP216" i="1" s="1"/>
  <c r="CQ47" i="1"/>
  <c r="AC157" i="1"/>
  <c r="CX78" i="1"/>
  <c r="CW80" i="1"/>
  <c r="CD1" i="1"/>
  <c r="CE1" i="1" s="1"/>
  <c r="CF1" i="1" s="1"/>
  <c r="CG1" i="1" s="1"/>
  <c r="CH1" i="1" s="1"/>
  <c r="CI1" i="1" s="1"/>
  <c r="CJ1" i="1" s="1"/>
  <c r="CK1" i="1" s="1"/>
  <c r="CL1" i="1" s="1"/>
  <c r="L208" i="1"/>
  <c r="L210" i="1" s="1"/>
  <c r="J208" i="1"/>
  <c r="J210" i="1" s="1"/>
  <c r="M208" i="1"/>
  <c r="M210" i="1" s="1"/>
  <c r="B67" i="1"/>
  <c r="F67" i="1"/>
  <c r="I67" i="1"/>
  <c r="C67" i="1"/>
  <c r="L67" i="1"/>
  <c r="S67" i="1"/>
  <c r="J67" i="1"/>
  <c r="S208" i="1"/>
  <c r="S210" i="1" s="1"/>
  <c r="M67" i="1"/>
  <c r="I208" i="1"/>
  <c r="I210" i="1" s="1"/>
  <c r="F208" i="1"/>
  <c r="F210" i="1" s="1"/>
  <c r="C208" i="1"/>
  <c r="C210" i="1" s="1"/>
  <c r="CQ209" i="1" l="1"/>
  <c r="CQ147" i="1"/>
  <c r="CX80" i="1"/>
  <c r="CY78" i="1"/>
  <c r="AB139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M85" i="2"/>
  <c r="O68" i="2"/>
  <c r="K52" i="2"/>
  <c r="M82" i="2"/>
  <c r="X108" i="2"/>
  <c r="R81" i="2"/>
  <c r="M86" i="2"/>
  <c r="S92" i="2"/>
  <c r="P99" i="2"/>
  <c r="M89" i="2"/>
  <c r="G110" i="2"/>
  <c r="J76" i="2"/>
  <c r="U109" i="2"/>
  <c r="J74" i="2"/>
  <c r="P43" i="2"/>
  <c r="Q75" i="2"/>
  <c r="E50" i="2"/>
  <c r="J44" i="2"/>
  <c r="N106" i="2"/>
  <c r="M79" i="2"/>
  <c r="I45" i="2"/>
  <c r="D59" i="2"/>
  <c r="H42" i="2"/>
  <c r="C104" i="2"/>
  <c r="V53" i="2"/>
  <c r="T61" i="2"/>
  <c r="D40" i="2"/>
  <c r="J51" i="2"/>
  <c r="P52" i="2"/>
  <c r="H90" i="2"/>
  <c r="X78" i="2"/>
  <c r="G78" i="2"/>
  <c r="L46" i="2"/>
  <c r="G62" i="2"/>
  <c r="X54" i="2"/>
  <c r="U65" i="2"/>
  <c r="X68" i="2"/>
  <c r="L40" i="2"/>
  <c r="E42" i="2"/>
  <c r="AP56" i="3"/>
  <c r="AB77" i="3"/>
  <c r="AP78" i="3"/>
  <c r="AB63" i="3"/>
  <c r="AP85" i="3"/>
  <c r="AB69" i="3"/>
  <c r="AB74" i="3"/>
  <c r="AI6" i="3"/>
  <c r="Z19" i="3"/>
  <c r="AJ17" i="3"/>
  <c r="AL20" i="3"/>
  <c r="J41" i="3"/>
  <c r="R24" i="3"/>
  <c r="V8" i="3"/>
  <c r="I28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63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N33" i="3"/>
  <c r="S25" i="3"/>
  <c r="U42" i="3"/>
  <c r="AB17" i="3"/>
  <c r="H29" i="3"/>
  <c r="AN41" i="3"/>
  <c r="X18" i="3"/>
  <c r="AB31" i="3"/>
  <c r="X20" i="3"/>
  <c r="AD49" i="3"/>
  <c r="L41" i="3"/>
  <c r="AC24" i="3"/>
  <c r="AO13" i="3"/>
  <c r="V23" i="3"/>
  <c r="AC35" i="3"/>
  <c r="M19" i="3"/>
  <c r="AD22" i="3"/>
  <c r="AQ16" i="3"/>
  <c r="U8" i="3"/>
  <c r="AE12" i="3"/>
  <c r="AI14" i="3"/>
  <c r="C26" i="3"/>
  <c r="AA27" i="3"/>
  <c r="AA35" i="3"/>
  <c r="AG11" i="3"/>
  <c r="Z33" i="3"/>
  <c r="Z9" i="3"/>
  <c r="W16" i="3"/>
  <c r="C9" i="3"/>
  <c r="H37" i="3"/>
  <c r="Z26" i="3"/>
  <c r="O84" i="2"/>
  <c r="J56" i="2"/>
  <c r="J78" i="2"/>
  <c r="V40" i="2"/>
  <c r="T99" i="2"/>
  <c r="J75" i="2"/>
  <c r="P111" i="2"/>
  <c r="W95" i="2"/>
  <c r="E92" i="2"/>
  <c r="U67" i="2"/>
  <c r="U94" i="2"/>
  <c r="K51" i="2"/>
  <c r="N62" i="2"/>
  <c r="V99" i="2"/>
  <c r="N43" i="2"/>
  <c r="N95" i="2"/>
  <c r="O53" i="2"/>
  <c r="H62" i="2"/>
  <c r="N99" i="2"/>
  <c r="Q107" i="2"/>
  <c r="L64" i="2"/>
  <c r="K69" i="2"/>
  <c r="M74" i="2"/>
  <c r="R43" i="2"/>
  <c r="M51" i="2"/>
  <c r="M63" i="2"/>
  <c r="I51" i="2"/>
  <c r="U43" i="2"/>
  <c r="X86" i="2"/>
  <c r="X80" i="2"/>
  <c r="K83" i="2"/>
  <c r="M67" i="2"/>
  <c r="D113" i="2"/>
  <c r="H97" i="2"/>
  <c r="I79" i="2"/>
  <c r="E77" i="2"/>
  <c r="V83" i="2"/>
  <c r="G83" i="2"/>
  <c r="V95" i="2"/>
  <c r="AB58" i="3"/>
  <c r="AP97" i="3"/>
  <c r="C47" i="3"/>
  <c r="AP47" i="3"/>
  <c r="AP80" i="3"/>
  <c r="AB64" i="3"/>
  <c r="H20" i="3"/>
  <c r="AG39" i="3"/>
  <c r="V16" i="3"/>
  <c r="R18" i="3"/>
  <c r="AM32" i="3"/>
  <c r="T25" i="3"/>
  <c r="Z10" i="3"/>
  <c r="R36" i="3"/>
  <c r="P5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S28" i="3"/>
  <c r="AO8" i="3"/>
  <c r="AL11" i="3"/>
  <c r="AK15" i="3"/>
  <c r="AO26" i="3"/>
  <c r="K16" i="3"/>
  <c r="N12" i="3"/>
  <c r="AH30" i="3"/>
  <c r="AE13" i="3"/>
  <c r="K33" i="3"/>
  <c r="T36" i="3"/>
  <c r="AN13" i="3"/>
  <c r="M21" i="3"/>
  <c r="AA38" i="3"/>
  <c r="I5" i="3"/>
  <c r="K26" i="3"/>
  <c r="AJ7" i="3"/>
  <c r="AP21" i="3"/>
  <c r="AQ20" i="3"/>
  <c r="S13" i="3"/>
  <c r="C11" i="3"/>
  <c r="J17" i="3"/>
  <c r="AG38" i="3"/>
  <c r="AE33" i="3"/>
  <c r="AJ34" i="3"/>
  <c r="AQ14" i="3"/>
  <c r="I42" i="3"/>
  <c r="AB33" i="3"/>
  <c r="AE6" i="3"/>
  <c r="X21" i="3"/>
  <c r="AA13" i="3"/>
  <c r="Q62" i="2"/>
  <c r="M62" i="2"/>
  <c r="F113" i="2"/>
  <c r="F99" i="2"/>
  <c r="T42" i="2"/>
  <c r="H84" i="2"/>
  <c r="Q74" i="2"/>
  <c r="W83" i="2"/>
  <c r="L44" i="2"/>
  <c r="I56" i="2"/>
  <c r="Q93" i="2"/>
  <c r="D54" i="2"/>
  <c r="N52" i="2"/>
  <c r="E108" i="2"/>
  <c r="C62" i="2"/>
  <c r="E68" i="2"/>
  <c r="J105" i="2"/>
  <c r="M81" i="2"/>
  <c r="J97" i="2"/>
  <c r="L80" i="2"/>
  <c r="W53" i="2"/>
  <c r="K71" i="2"/>
  <c r="R71" i="2"/>
  <c r="N49" i="2"/>
  <c r="R73" i="2"/>
  <c r="I81" i="2"/>
  <c r="T93" i="2"/>
  <c r="C80" i="2"/>
  <c r="T52" i="2"/>
  <c r="S90" i="2"/>
  <c r="F66" i="2"/>
  <c r="T62" i="2"/>
  <c r="N67" i="2"/>
  <c r="J98" i="2"/>
  <c r="V45" i="2"/>
  <c r="K64" i="2"/>
  <c r="C56" i="2"/>
  <c r="L105" i="2"/>
  <c r="F69" i="2"/>
  <c r="F88" i="2"/>
  <c r="AB73" i="3"/>
  <c r="AB72" i="3"/>
  <c r="AP61" i="3"/>
  <c r="AP81" i="3"/>
  <c r="AB56" i="3"/>
  <c r="AP67" i="3"/>
  <c r="T23" i="3"/>
  <c r="H17" i="3"/>
  <c r="L32" i="3"/>
  <c r="AK5" i="3"/>
  <c r="AK71" i="3" s="1"/>
  <c r="J16" i="3"/>
  <c r="AO39" i="3"/>
  <c r="E49" i="3"/>
  <c r="AJ22" i="3"/>
  <c r="AD37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AN65" i="3" s="1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P26" i="3"/>
  <c r="AQ10" i="3"/>
  <c r="Y27" i="3"/>
  <c r="U16" i="3"/>
  <c r="AQ17" i="3"/>
  <c r="C30" i="3"/>
  <c r="Q5" i="3"/>
  <c r="K19" i="3"/>
  <c r="AI32" i="3"/>
  <c r="AO41" i="3"/>
  <c r="AH32" i="3"/>
  <c r="E95" i="2"/>
  <c r="F70" i="2"/>
  <c r="W63" i="2"/>
  <c r="U82" i="2"/>
  <c r="M76" i="2"/>
  <c r="G81" i="2"/>
  <c r="F87" i="2"/>
  <c r="G82" i="2"/>
  <c r="P98" i="2"/>
  <c r="K42" i="2"/>
  <c r="N66" i="2"/>
  <c r="R89" i="2"/>
  <c r="M41" i="2"/>
  <c r="D87" i="2"/>
  <c r="L56" i="2"/>
  <c r="T87" i="2"/>
  <c r="O44" i="2"/>
  <c r="J64" i="2"/>
  <c r="M107" i="2"/>
  <c r="D77" i="2"/>
  <c r="T60" i="2"/>
  <c r="V81" i="2"/>
  <c r="Q42" i="2"/>
  <c r="H61" i="2"/>
  <c r="O97" i="2"/>
  <c r="T96" i="2"/>
  <c r="Q98" i="2"/>
  <c r="J96" i="2"/>
  <c r="O91" i="2"/>
  <c r="G67" i="2"/>
  <c r="R68" i="2"/>
  <c r="X74" i="2"/>
  <c r="C51" i="2"/>
  <c r="I58" i="2"/>
  <c r="W52" i="2"/>
  <c r="G51" i="2"/>
  <c r="O61" i="2"/>
  <c r="X85" i="2"/>
  <c r="M47" i="2"/>
  <c r="C63" i="2"/>
  <c r="AP96" i="3"/>
  <c r="AB47" i="3"/>
  <c r="AB94" i="3"/>
  <c r="AP62" i="3"/>
  <c r="AP76" i="3"/>
  <c r="AB91" i="3"/>
  <c r="C28" i="3"/>
  <c r="AP12" i="3"/>
  <c r="AC18" i="3"/>
  <c r="N26" i="3"/>
  <c r="AQ39" i="3"/>
  <c r="AL41" i="3"/>
  <c r="Z6" i="3"/>
  <c r="P34" i="3"/>
  <c r="AD24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73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C6" i="3"/>
  <c r="L22" i="3"/>
  <c r="N8" i="3"/>
  <c r="S21" i="3"/>
  <c r="AM29" i="3"/>
  <c r="E90" i="2"/>
  <c r="X65" i="2"/>
  <c r="L93" i="2"/>
  <c r="G47" i="2"/>
  <c r="D45" i="2"/>
  <c r="W60" i="2"/>
  <c r="W75" i="2"/>
  <c r="W40" i="2"/>
  <c r="O87" i="2"/>
  <c r="T48" i="2"/>
  <c r="C55" i="2"/>
  <c r="O96" i="2"/>
  <c r="L57" i="2"/>
  <c r="W106" i="2"/>
  <c r="C82" i="2"/>
  <c r="T82" i="2"/>
  <c r="F61" i="2"/>
  <c r="F107" i="2"/>
  <c r="M58" i="2"/>
  <c r="K92" i="2"/>
  <c r="U69" i="2"/>
  <c r="J86" i="2"/>
  <c r="I55" i="2"/>
  <c r="H67" i="2"/>
  <c r="X91" i="2"/>
  <c r="J49" i="2"/>
  <c r="D67" i="2"/>
  <c r="R94" i="2"/>
  <c r="E73" i="2"/>
  <c r="V97" i="2"/>
  <c r="R104" i="2"/>
  <c r="U70" i="2"/>
  <c r="K77" i="2"/>
  <c r="O66" i="2"/>
  <c r="K106" i="2"/>
  <c r="J67" i="2"/>
  <c r="C108" i="2"/>
  <c r="T63" i="2"/>
  <c r="C91" i="2"/>
  <c r="AB65" i="3"/>
  <c r="AP75" i="3"/>
  <c r="AP88" i="3"/>
  <c r="AP65" i="3"/>
  <c r="AB62" i="3"/>
  <c r="AB49" i="3"/>
  <c r="AB66" i="3"/>
  <c r="AM33" i="3"/>
  <c r="O22" i="3"/>
  <c r="O39" i="3"/>
  <c r="AM16" i="3"/>
  <c r="AP10" i="3"/>
  <c r="R25" i="3"/>
  <c r="N15" i="3"/>
  <c r="W22" i="3"/>
  <c r="AE31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E106" i="2"/>
  <c r="F40" i="2"/>
  <c r="D70" i="2"/>
  <c r="W57" i="2"/>
  <c r="R106" i="2"/>
  <c r="R110" i="2"/>
  <c r="G48" i="2"/>
  <c r="X79" i="2"/>
  <c r="H46" i="2"/>
  <c r="V105" i="2"/>
  <c r="V62" i="2"/>
  <c r="E51" i="2"/>
  <c r="W69" i="2"/>
  <c r="O63" i="2"/>
  <c r="O59" i="2"/>
  <c r="U61" i="2"/>
  <c r="O99" i="2"/>
  <c r="L104" i="2"/>
  <c r="U112" i="2"/>
  <c r="T89" i="2"/>
  <c r="D82" i="2"/>
  <c r="M75" i="2"/>
  <c r="G56" i="2"/>
  <c r="P93" i="2"/>
  <c r="S110" i="2"/>
  <c r="W76" i="2"/>
  <c r="Q60" i="2"/>
  <c r="T109" i="2"/>
  <c r="U110" i="2"/>
  <c r="D75" i="2"/>
  <c r="T74" i="2"/>
  <c r="D99" i="2"/>
  <c r="L81" i="2"/>
  <c r="K49" i="2"/>
  <c r="D108" i="2"/>
  <c r="F41" i="2"/>
  <c r="T90" i="2"/>
  <c r="E104" i="2"/>
  <c r="W59" i="2"/>
  <c r="L69" i="2"/>
  <c r="T68" i="2"/>
  <c r="X69" i="2"/>
  <c r="S93" i="2"/>
  <c r="G52" i="2"/>
  <c r="D46" i="2"/>
  <c r="C106" i="2"/>
  <c r="D71" i="2"/>
  <c r="F54" i="2"/>
  <c r="R76" i="2"/>
  <c r="E91" i="2"/>
  <c r="N69" i="2"/>
  <c r="N113" i="2"/>
  <c r="X61" i="2"/>
  <c r="Q80" i="2"/>
  <c r="S47" i="2"/>
  <c r="H68" i="2"/>
  <c r="G80" i="2"/>
  <c r="T86" i="2"/>
  <c r="H63" i="2"/>
  <c r="O88" i="2"/>
  <c r="J88" i="2"/>
  <c r="S111" i="2"/>
  <c r="T105" i="2"/>
  <c r="T70" i="2"/>
  <c r="H77" i="2"/>
  <c r="H93" i="2"/>
  <c r="G60" i="2"/>
  <c r="D107" i="2"/>
  <c r="O108" i="2"/>
  <c r="R60" i="2"/>
  <c r="AP68" i="3"/>
  <c r="C48" i="3"/>
  <c r="AB93" i="3"/>
  <c r="AP79" i="3"/>
  <c r="AP87" i="3"/>
  <c r="C49" i="3"/>
  <c r="AB76" i="3"/>
  <c r="S7" i="3"/>
  <c r="J36" i="3"/>
  <c r="AH23" i="3"/>
  <c r="AJ31" i="3"/>
  <c r="AH31" i="3"/>
  <c r="AD50" i="3"/>
  <c r="AH21" i="3"/>
  <c r="P10" i="3"/>
  <c r="H5" i="3"/>
  <c r="AJ25" i="3"/>
  <c r="D109" i="2"/>
  <c r="U84" i="2"/>
  <c r="R78" i="2"/>
  <c r="S104" i="2"/>
  <c r="O81" i="2"/>
  <c r="K45" i="2"/>
  <c r="O83" i="2"/>
  <c r="E58" i="2"/>
  <c r="E81" i="2"/>
  <c r="X110" i="2"/>
  <c r="S49" i="2"/>
  <c r="D74" i="2"/>
  <c r="R84" i="2"/>
  <c r="S45" i="2"/>
  <c r="E54" i="2"/>
  <c r="V63" i="2"/>
  <c r="T83" i="2"/>
  <c r="J58" i="2"/>
  <c r="K40" i="2"/>
  <c r="V93" i="2"/>
  <c r="K89" i="2"/>
  <c r="X48" i="2"/>
  <c r="P86" i="2"/>
  <c r="O79" i="2"/>
  <c r="K112" i="2"/>
  <c r="H80" i="2"/>
  <c r="K85" i="2"/>
  <c r="R45" i="2"/>
  <c r="S65" i="2"/>
  <c r="N54" i="2"/>
  <c r="I88" i="2"/>
  <c r="D41" i="2"/>
  <c r="W79" i="2"/>
  <c r="R40" i="2"/>
  <c r="N98" i="2"/>
  <c r="Q47" i="2"/>
  <c r="M108" i="2"/>
  <c r="F97" i="2"/>
  <c r="L78" i="2"/>
  <c r="AB61" i="3"/>
  <c r="AP66" i="3"/>
  <c r="AB90" i="3"/>
  <c r="AP63" i="3"/>
  <c r="AP94" i="3"/>
  <c r="AB86" i="3"/>
  <c r="AP60" i="3"/>
  <c r="Z30" i="3"/>
  <c r="C37" i="3"/>
  <c r="H41" i="3"/>
  <c r="AK31" i="3"/>
  <c r="X30" i="3"/>
  <c r="AN22" i="3"/>
  <c r="AG42" i="3"/>
  <c r="AN31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Z34" i="3"/>
  <c r="O17" i="3"/>
  <c r="W21" i="3"/>
  <c r="AO20" i="3"/>
  <c r="Q35" i="3"/>
  <c r="AI30" i="3"/>
  <c r="AQ8" i="3"/>
  <c r="I95" i="2"/>
  <c r="P64" i="2"/>
  <c r="D85" i="2"/>
  <c r="U75" i="2"/>
  <c r="O98" i="2"/>
  <c r="R62" i="2"/>
  <c r="D72" i="2"/>
  <c r="C89" i="2"/>
  <c r="T75" i="2"/>
  <c r="V71" i="2"/>
  <c r="U87" i="2"/>
  <c r="S107" i="2"/>
  <c r="G68" i="2"/>
  <c r="S71" i="2"/>
  <c r="L60" i="2"/>
  <c r="U60" i="2"/>
  <c r="E107" i="2"/>
  <c r="V47" i="2"/>
  <c r="I42" i="2"/>
  <c r="E88" i="2"/>
  <c r="C93" i="2"/>
  <c r="U106" i="2"/>
  <c r="H47" i="2"/>
  <c r="O111" i="2"/>
  <c r="S59" i="2"/>
  <c r="K78" i="2"/>
  <c r="T112" i="2"/>
  <c r="V68" i="2"/>
  <c r="F77" i="2"/>
  <c r="K41" i="2"/>
  <c r="S42" i="2"/>
  <c r="C66" i="2"/>
  <c r="G76" i="2"/>
  <c r="C79" i="2"/>
  <c r="O50" i="2"/>
  <c r="C95" i="2"/>
  <c r="I73" i="2"/>
  <c r="D42" i="2"/>
  <c r="X45" i="2"/>
  <c r="AB81" i="3"/>
  <c r="AB80" i="3"/>
  <c r="AB92" i="3"/>
  <c r="AB96" i="3"/>
  <c r="AB87" i="3"/>
  <c r="AB67" i="3"/>
  <c r="AP73" i="3"/>
  <c r="W5" i="3"/>
  <c r="L19" i="3"/>
  <c r="Y22" i="3"/>
  <c r="M17" i="3"/>
  <c r="M10" i="3"/>
  <c r="S16" i="3"/>
  <c r="U30" i="3"/>
  <c r="AH33" i="3"/>
  <c r="M34" i="3"/>
  <c r="C7" i="3"/>
  <c r="AH13" i="3"/>
  <c r="C38" i="3"/>
  <c r="AO7" i="3"/>
  <c r="G66" i="2"/>
  <c r="U105" i="2"/>
  <c r="S77" i="2"/>
  <c r="T67" i="2"/>
  <c r="Q87" i="2"/>
  <c r="J55" i="2"/>
  <c r="G84" i="2"/>
  <c r="R91" i="2"/>
  <c r="X72" i="2"/>
  <c r="G53" i="2"/>
  <c r="K72" i="2"/>
  <c r="L108" i="2"/>
  <c r="V50" i="2"/>
  <c r="P82" i="2"/>
  <c r="N53" i="2"/>
  <c r="D112" i="2"/>
  <c r="J87" i="2"/>
  <c r="H52" i="2"/>
  <c r="P89" i="2"/>
  <c r="E44" i="2"/>
  <c r="S75" i="2"/>
  <c r="N91" i="2"/>
  <c r="F56" i="2"/>
  <c r="C83" i="2"/>
  <c r="G49" i="2"/>
  <c r="W45" i="2"/>
  <c r="V108" i="2"/>
  <c r="G85" i="2"/>
  <c r="N110" i="2"/>
  <c r="D68" i="2"/>
  <c r="P74" i="2"/>
  <c r="T57" i="2"/>
  <c r="G55" i="2"/>
  <c r="K58" i="2"/>
  <c r="S66" i="2"/>
  <c r="S95" i="2"/>
  <c r="O109" i="2"/>
  <c r="L109" i="2"/>
  <c r="V79" i="2"/>
  <c r="AB89" i="3"/>
  <c r="AP86" i="3"/>
  <c r="AP55" i="3"/>
  <c r="AB71" i="3"/>
  <c r="AB54" i="3"/>
  <c r="AP72" i="3"/>
  <c r="O95" i="2"/>
  <c r="E52" i="2"/>
  <c r="M53" i="2"/>
  <c r="V65" i="2"/>
  <c r="F95" i="2"/>
  <c r="C49" i="2"/>
  <c r="T40" i="2"/>
  <c r="K95" i="2"/>
  <c r="D79" i="2"/>
  <c r="V89" i="2"/>
  <c r="H111" i="2"/>
  <c r="W89" i="2"/>
  <c r="P108" i="2"/>
  <c r="R80" i="2"/>
  <c r="T106" i="2"/>
  <c r="G50" i="2"/>
  <c r="K81" i="2"/>
  <c r="M83" i="2"/>
  <c r="G63" i="2"/>
  <c r="X52" i="2"/>
  <c r="C77" i="2"/>
  <c r="M109" i="2"/>
  <c r="J48" i="2"/>
  <c r="K57" i="2"/>
  <c r="Q111" i="2"/>
  <c r="H106" i="2"/>
  <c r="V77" i="2"/>
  <c r="I105" i="2"/>
  <c r="M56" i="2"/>
  <c r="H88" i="2"/>
  <c r="T49" i="2"/>
  <c r="L61" i="2"/>
  <c r="J95" i="2"/>
  <c r="F62" i="2"/>
  <c r="S54" i="2"/>
  <c r="H59" i="2"/>
  <c r="N92" i="2"/>
  <c r="E96" i="2"/>
  <c r="N77" i="2"/>
  <c r="AP84" i="3"/>
  <c r="AB55" i="3"/>
  <c r="AP59" i="3"/>
  <c r="AP91" i="3"/>
  <c r="AP95" i="3"/>
  <c r="AP77" i="3"/>
  <c r="AB84" i="3"/>
  <c r="I22" i="3"/>
  <c r="M35" i="3"/>
  <c r="AQ13" i="3"/>
  <c r="AO33" i="3"/>
  <c r="W26" i="3"/>
  <c r="AE10" i="3"/>
  <c r="AC20" i="3"/>
  <c r="AO1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I49" i="2"/>
  <c r="G107" i="2"/>
  <c r="G73" i="2"/>
  <c r="M105" i="2"/>
  <c r="R79" i="2"/>
  <c r="X90" i="2"/>
  <c r="W62" i="2"/>
  <c r="E41" i="2"/>
  <c r="U47" i="2"/>
  <c r="R64" i="2"/>
  <c r="D91" i="2"/>
  <c r="I99" i="2"/>
  <c r="H89" i="2"/>
  <c r="M112" i="2"/>
  <c r="E98" i="2"/>
  <c r="F112" i="2"/>
  <c r="E105" i="2"/>
  <c r="K96" i="2"/>
  <c r="S41" i="2"/>
  <c r="W78" i="2"/>
  <c r="O64" i="2"/>
  <c r="C75" i="2"/>
  <c r="S113" i="2"/>
  <c r="F58" i="2"/>
  <c r="P58" i="2"/>
  <c r="Q72" i="2"/>
  <c r="C78" i="2"/>
  <c r="G74" i="2"/>
  <c r="D106" i="2"/>
  <c r="J90" i="2"/>
  <c r="E112" i="2"/>
  <c r="Q44" i="2"/>
  <c r="U85" i="2"/>
  <c r="U108" i="2"/>
  <c r="X109" i="2"/>
  <c r="N61" i="2"/>
  <c r="T110" i="2"/>
  <c r="X84" i="2"/>
  <c r="U113" i="2"/>
  <c r="AB88" i="3"/>
  <c r="AB48" i="3"/>
  <c r="AP71" i="3"/>
  <c r="AP58" i="3"/>
  <c r="AP74" i="3"/>
  <c r="AP89" i="3"/>
  <c r="AB95" i="3"/>
  <c r="K13" i="3"/>
  <c r="AJ38" i="3"/>
  <c r="P39" i="3"/>
  <c r="AP25" i="3"/>
  <c r="T24" i="3"/>
  <c r="Y40" i="3"/>
  <c r="O21" i="3"/>
  <c r="L25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D94" i="2"/>
  <c r="AP82" i="3"/>
  <c r="Q34" i="3"/>
  <c r="K38" i="3"/>
  <c r="AA12" i="3"/>
  <c r="X28" i="3"/>
  <c r="X36" i="3"/>
  <c r="AI9" i="3"/>
  <c r="AK27" i="3"/>
  <c r="AA40" i="3"/>
  <c r="AH7" i="3"/>
  <c r="T28" i="3"/>
  <c r="O9" i="3"/>
  <c r="N36" i="3"/>
  <c r="T26" i="3"/>
  <c r="AL42" i="3"/>
  <c r="AP33" i="3"/>
  <c r="W10" i="3"/>
  <c r="AK13" i="3"/>
  <c r="P29" i="3"/>
  <c r="Y23" i="3"/>
  <c r="AB25" i="3"/>
  <c r="L9" i="3"/>
  <c r="AL40" i="3"/>
  <c r="J5" i="3"/>
  <c r="AH19" i="3"/>
  <c r="AJ39" i="3"/>
  <c r="R34" i="3"/>
  <c r="Q21" i="3"/>
  <c r="Q42" i="3"/>
  <c r="Y9" i="3"/>
  <c r="X39" i="3"/>
  <c r="R8" i="3"/>
  <c r="V42" i="3"/>
  <c r="C36" i="3"/>
  <c r="R19" i="3"/>
  <c r="S10" i="3"/>
  <c r="K37" i="3"/>
  <c r="AL19" i="3"/>
  <c r="AD29" i="3"/>
  <c r="AH12" i="3"/>
  <c r="Y21" i="3"/>
  <c r="M18" i="3"/>
  <c r="AA19" i="3"/>
  <c r="AO27" i="3"/>
  <c r="AE23" i="3"/>
  <c r="P42" i="3"/>
  <c r="AM7" i="3"/>
  <c r="AE37" i="3"/>
  <c r="AN21" i="3"/>
  <c r="AG5" i="3"/>
  <c r="AG33" i="3"/>
  <c r="Z39" i="3"/>
  <c r="N11" i="3"/>
  <c r="AM18" i="3"/>
  <c r="S20" i="3"/>
  <c r="H12" i="3"/>
  <c r="Q10" i="3"/>
  <c r="AH39" i="3"/>
  <c r="R7" i="3"/>
  <c r="AA26" i="3"/>
  <c r="AD31" i="3"/>
  <c r="P9" i="3"/>
  <c r="N18" i="3"/>
  <c r="U17" i="3"/>
  <c r="AG35" i="3"/>
  <c r="AK19" i="3"/>
  <c r="H22" i="3"/>
  <c r="H25" i="3"/>
  <c r="P24" i="3"/>
  <c r="T20" i="3"/>
  <c r="AO42" i="3"/>
  <c r="AN26" i="3"/>
  <c r="AB15" i="3"/>
  <c r="AM15" i="3"/>
  <c r="P33" i="3"/>
  <c r="J11" i="3"/>
  <c r="AD39" i="3"/>
  <c r="R99" i="2"/>
  <c r="AB97" i="3"/>
  <c r="I38" i="3"/>
  <c r="AP41" i="3"/>
  <c r="AM25" i="3"/>
  <c r="AM11" i="3"/>
  <c r="AE39" i="3"/>
  <c r="K35" i="3"/>
  <c r="Z28" i="3"/>
  <c r="AB18" i="3"/>
  <c r="N20" i="3"/>
  <c r="AN34" i="3"/>
  <c r="I25" i="3"/>
  <c r="Y31" i="3"/>
  <c r="V38" i="3"/>
  <c r="O19" i="3"/>
  <c r="Q22" i="3"/>
  <c r="I34" i="3"/>
  <c r="O27" i="3"/>
  <c r="AE29" i="3"/>
  <c r="AO30" i="3"/>
  <c r="AD30" i="3"/>
  <c r="J39" i="3"/>
  <c r="I11" i="3"/>
  <c r="AB40" i="3"/>
  <c r="K28" i="3"/>
  <c r="K41" i="3"/>
  <c r="Q18" i="3"/>
  <c r="Q25" i="3"/>
  <c r="V19" i="3"/>
  <c r="X42" i="3"/>
  <c r="M42" i="3"/>
  <c r="W25" i="3"/>
  <c r="D48" i="3"/>
  <c r="U32" i="3"/>
  <c r="T40" i="3"/>
  <c r="AE40" i="3"/>
  <c r="H39" i="3"/>
  <c r="V39" i="3"/>
  <c r="J26" i="3"/>
  <c r="AJ29" i="3"/>
  <c r="AN30" i="3"/>
  <c r="T27" i="3"/>
  <c r="AG25" i="3"/>
  <c r="AB29" i="3"/>
  <c r="Y36" i="3"/>
  <c r="H16" i="3"/>
  <c r="K39" i="3"/>
  <c r="AG24" i="3"/>
  <c r="AJ37" i="3"/>
  <c r="AA28" i="3"/>
  <c r="AC34" i="3"/>
  <c r="AC41" i="3"/>
  <c r="K25" i="3"/>
  <c r="AA37" i="3"/>
  <c r="AA24" i="3"/>
  <c r="AN18" i="3"/>
  <c r="AQ28" i="3"/>
  <c r="I40" i="2"/>
  <c r="AP49" i="3"/>
  <c r="S31" i="3"/>
  <c r="AI41" i="3"/>
  <c r="S32" i="3"/>
  <c r="I8" i="3"/>
  <c r="Y39" i="3"/>
  <c r="AA36" i="3"/>
  <c r="C32" i="3"/>
  <c r="AI10" i="3"/>
  <c r="AO24" i="3"/>
  <c r="AN6" i="3"/>
  <c r="AO34" i="3"/>
  <c r="AQ19" i="3"/>
  <c r="AB24" i="3"/>
  <c r="K15" i="3"/>
  <c r="AB13" i="3"/>
  <c r="M30" i="3"/>
  <c r="AJ32" i="3"/>
  <c r="L27" i="3"/>
  <c r="U26" i="3"/>
  <c r="G49" i="3"/>
  <c r="S26" i="3"/>
  <c r="L42" i="3"/>
  <c r="AK14" i="3"/>
  <c r="AB28" i="3"/>
  <c r="N7" i="3"/>
  <c r="AM35" i="3"/>
  <c r="N31" i="3"/>
  <c r="H26" i="3"/>
  <c r="AI17" i="3"/>
  <c r="U20" i="3"/>
  <c r="Q11" i="3"/>
  <c r="AK28" i="3"/>
  <c r="P14" i="3"/>
  <c r="W32" i="3"/>
  <c r="N41" i="3"/>
  <c r="G50" i="3"/>
  <c r="AD48" i="3"/>
  <c r="J20" i="3"/>
  <c r="AC28" i="3"/>
  <c r="AO36" i="3"/>
  <c r="AE15" i="3"/>
  <c r="T6" i="3"/>
  <c r="X6" i="3"/>
  <c r="G69" i="2"/>
  <c r="AB85" i="3"/>
  <c r="AQ29" i="3"/>
  <c r="AB41" i="3"/>
  <c r="N39" i="3"/>
  <c r="W19" i="3"/>
  <c r="AK17" i="3"/>
  <c r="L5" i="3"/>
  <c r="AL9" i="3"/>
  <c r="P20" i="3"/>
  <c r="N21" i="3"/>
  <c r="AL10" i="3"/>
  <c r="L16" i="3"/>
  <c r="AP15" i="3"/>
  <c r="K21" i="3"/>
  <c r="Z31" i="3"/>
  <c r="O30" i="3"/>
  <c r="W27" i="3"/>
  <c r="W41" i="3"/>
  <c r="C39" i="3"/>
  <c r="AB27" i="3"/>
  <c r="AM37" i="3"/>
  <c r="AD47" i="3"/>
  <c r="AK35" i="3"/>
  <c r="AI35" i="3"/>
  <c r="O32" i="3"/>
  <c r="U10" i="3"/>
  <c r="S5" i="3"/>
  <c r="K11" i="3"/>
  <c r="L7" i="3"/>
  <c r="AG12" i="3"/>
  <c r="D49" i="3"/>
  <c r="AH5" i="3"/>
  <c r="D47" i="3"/>
  <c r="AB32" i="3"/>
  <c r="I32" i="3"/>
  <c r="V36" i="3"/>
  <c r="Z27" i="3"/>
  <c r="W8" i="3"/>
  <c r="Q39" i="3"/>
  <c r="M7" i="3"/>
  <c r="V22" i="3"/>
  <c r="N22" i="3"/>
  <c r="N17" i="3"/>
  <c r="P12" i="3"/>
  <c r="AJ6" i="3"/>
  <c r="AJ21" i="3"/>
  <c r="L10" i="3"/>
  <c r="K63" i="2"/>
  <c r="C21" i="3"/>
  <c r="X31" i="3"/>
  <c r="Q27" i="3"/>
  <c r="I16" i="3"/>
  <c r="AH15" i="3"/>
  <c r="X10" i="3"/>
  <c r="X15" i="3"/>
  <c r="O35" i="3"/>
  <c r="C19" i="3"/>
  <c r="Y38" i="3"/>
  <c r="P6" i="3"/>
  <c r="AO11" i="3"/>
  <c r="P35" i="3"/>
  <c r="AK41" i="3"/>
  <c r="AJ11" i="3"/>
  <c r="W9" i="3"/>
  <c r="AH41" i="3"/>
  <c r="AD19" i="3"/>
  <c r="U36" i="3"/>
  <c r="C6" i="3"/>
  <c r="Z40" i="3"/>
  <c r="AN38" i="3"/>
  <c r="AD26" i="3"/>
  <c r="AI25" i="3"/>
  <c r="R27" i="3"/>
  <c r="AC21" i="3"/>
  <c r="Y35" i="3"/>
  <c r="AQ5" i="3"/>
  <c r="AA18" i="3"/>
  <c r="N16" i="3"/>
  <c r="AJ19" i="3"/>
  <c r="U38" i="3"/>
  <c r="R5" i="3"/>
  <c r="AG9" i="3"/>
  <c r="Z17" i="3"/>
  <c r="AG22" i="3"/>
  <c r="T13" i="3"/>
  <c r="AD41" i="3"/>
  <c r="J31" i="3"/>
  <c r="J14" i="3"/>
  <c r="AC16" i="3"/>
  <c r="K30" i="3"/>
  <c r="R22" i="3"/>
  <c r="N25" i="3"/>
  <c r="S18" i="3"/>
  <c r="AA15" i="3"/>
  <c r="G34" i="3"/>
  <c r="AG13" i="3"/>
  <c r="AM42" i="3"/>
  <c r="AL24" i="3"/>
  <c r="AK16" i="3"/>
  <c r="Q7" i="3"/>
  <c r="S14" i="3"/>
  <c r="N57" i="2"/>
  <c r="P32" i="3"/>
  <c r="Y17" i="3"/>
  <c r="O37" i="3"/>
  <c r="W18" i="3"/>
  <c r="AL37" i="3"/>
  <c r="R32" i="3"/>
  <c r="AC42" i="3"/>
  <c r="N10" i="3"/>
  <c r="AC13" i="3"/>
  <c r="AI38" i="3"/>
  <c r="T22" i="3"/>
  <c r="M31" i="3"/>
  <c r="AN17" i="3"/>
  <c r="I29" i="3"/>
  <c r="AO10" i="3"/>
  <c r="AG18" i="3"/>
  <c r="G39" i="3"/>
  <c r="AE38" i="3"/>
  <c r="V13" i="3"/>
  <c r="I30" i="3"/>
  <c r="AI18" i="3"/>
  <c r="AO28" i="3"/>
  <c r="AN28" i="3"/>
  <c r="AL26" i="3"/>
  <c r="W38" i="3"/>
  <c r="AI39" i="3"/>
  <c r="Q24" i="3"/>
  <c r="AA29" i="3"/>
  <c r="X8" i="3"/>
  <c r="V5" i="3"/>
  <c r="AG16" i="3"/>
  <c r="T38" i="3"/>
  <c r="Z16" i="3"/>
  <c r="AQ34" i="3"/>
  <c r="AL35" i="3"/>
  <c r="AB16" i="3"/>
  <c r="Q32" i="3"/>
  <c r="O26" i="3"/>
  <c r="AH26" i="3"/>
  <c r="K14" i="3"/>
  <c r="AK8" i="3"/>
  <c r="AN36" i="3"/>
  <c r="AI26" i="3"/>
  <c r="U40" i="3"/>
  <c r="AC15" i="3"/>
  <c r="L34" i="3"/>
  <c r="O47" i="2"/>
  <c r="AL33" i="3"/>
  <c r="Q36" i="3"/>
  <c r="H14" i="3"/>
  <c r="S35" i="3"/>
  <c r="N5" i="3"/>
  <c r="N57" i="3" s="1"/>
  <c r="AB22" i="3"/>
  <c r="V9" i="3"/>
  <c r="M22" i="3"/>
  <c r="Q29" i="3"/>
  <c r="AP26" i="3"/>
  <c r="O20" i="3"/>
  <c r="J10" i="3"/>
  <c r="S8" i="3"/>
  <c r="AL23" i="3"/>
  <c r="AK25" i="3"/>
  <c r="M41" i="3"/>
  <c r="P38" i="3"/>
  <c r="U51" i="2"/>
  <c r="N24" i="3"/>
  <c r="AK37" i="3"/>
  <c r="E47" i="3"/>
  <c r="AE25" i="3"/>
  <c r="T34" i="3"/>
  <c r="M36" i="3"/>
  <c r="J25" i="3"/>
  <c r="AE11" i="3"/>
  <c r="V29" i="3"/>
  <c r="AQ32" i="3"/>
  <c r="AC19" i="3"/>
  <c r="AJ20" i="3"/>
  <c r="AH35" i="3"/>
  <c r="AO31" i="3"/>
  <c r="U33" i="3"/>
  <c r="D50" i="3"/>
  <c r="N29" i="3"/>
  <c r="AO38" i="3"/>
  <c r="AE28" i="3"/>
  <c r="AJ28" i="3"/>
  <c r="AM23" i="3"/>
  <c r="V30" i="3"/>
  <c r="AD36" i="3"/>
  <c r="AK33" i="3"/>
  <c r="AG19" i="3"/>
  <c r="AC12" i="3"/>
  <c r="AH27" i="3"/>
  <c r="P7" i="3"/>
  <c r="H30" i="3"/>
  <c r="J24" i="3"/>
  <c r="T42" i="3"/>
  <c r="AC10" i="3"/>
  <c r="AP35" i="3"/>
  <c r="AK23" i="3"/>
  <c r="AM27" i="3"/>
  <c r="O13" i="3"/>
  <c r="K9" i="3"/>
  <c r="AP38" i="3"/>
  <c r="AB83" i="3"/>
  <c r="AN33" i="3"/>
  <c r="I23" i="3"/>
  <c r="P41" i="3"/>
  <c r="AP13" i="3"/>
  <c r="H11" i="3"/>
  <c r="P13" i="3"/>
  <c r="AP40" i="3"/>
  <c r="L6" i="3"/>
  <c r="O18" i="3"/>
  <c r="AJ15" i="3"/>
  <c r="L14" i="3"/>
  <c r="L23" i="3"/>
  <c r="AQ12" i="3"/>
  <c r="P16" i="3"/>
  <c r="L18" i="3"/>
  <c r="AA41" i="3"/>
  <c r="AL8" i="3"/>
  <c r="AA10" i="3"/>
  <c r="R9" i="3"/>
  <c r="Y33" i="3"/>
  <c r="J13" i="3"/>
  <c r="O25" i="3"/>
  <c r="W42" i="3"/>
  <c r="AA16" i="3"/>
  <c r="T37" i="3"/>
  <c r="G33" i="3"/>
  <c r="AK40" i="3"/>
  <c r="X37" i="3"/>
  <c r="AL32" i="3"/>
  <c r="Y42" i="3"/>
  <c r="AJ42" i="3"/>
  <c r="P36" i="3"/>
  <c r="K5" i="3"/>
  <c r="U13" i="3"/>
  <c r="K7" i="3"/>
  <c r="V14" i="3"/>
  <c r="K22" i="3"/>
  <c r="AH6" i="3"/>
  <c r="O34" i="3"/>
  <c r="AO40" i="3"/>
  <c r="H33" i="3"/>
  <c r="AB57" i="3"/>
  <c r="C23" i="3"/>
  <c r="Z8" i="3"/>
  <c r="AI11" i="3"/>
  <c r="K36" i="3"/>
  <c r="AM8" i="3"/>
  <c r="AM14" i="3"/>
  <c r="AM39" i="3"/>
  <c r="AA42" i="3"/>
  <c r="G32" i="3"/>
  <c r="AJ14" i="3"/>
  <c r="U12" i="3"/>
  <c r="C42" i="3"/>
  <c r="P21" i="3"/>
  <c r="AH10" i="3"/>
  <c r="E48" i="3"/>
  <c r="Q9" i="3"/>
  <c r="K18" i="3"/>
  <c r="AK10" i="3"/>
  <c r="Q41" i="3"/>
  <c r="H15" i="3"/>
  <c r="AL13" i="3"/>
  <c r="AL29" i="3"/>
  <c r="AL6" i="3"/>
  <c r="U34" i="3"/>
  <c r="W23" i="3"/>
  <c r="AN16" i="3"/>
  <c r="AI8" i="3"/>
  <c r="AP90" i="3"/>
  <c r="G36" i="3"/>
  <c r="AE24" i="3"/>
  <c r="N40" i="3"/>
  <c r="Q33" i="3"/>
  <c r="U41" i="3"/>
  <c r="Z12" i="3"/>
  <c r="C22" i="3"/>
  <c r="AN27" i="3"/>
  <c r="V33" i="3"/>
  <c r="AK11" i="3"/>
  <c r="AO32" i="3"/>
  <c r="R26" i="3"/>
  <c r="AG23" i="3"/>
  <c r="T10" i="3"/>
  <c r="AN24" i="3"/>
  <c r="AP22" i="3"/>
  <c r="Z36" i="3"/>
  <c r="R37" i="3"/>
  <c r="Z23" i="3"/>
  <c r="AO17" i="3"/>
  <c r="I24" i="3"/>
  <c r="AJ18" i="3"/>
  <c r="AO18" i="3"/>
  <c r="C20" i="3"/>
  <c r="S6" i="3"/>
  <c r="I27" i="3"/>
  <c r="AE35" i="3"/>
  <c r="L40" i="3"/>
  <c r="J28" i="3"/>
  <c r="AM19" i="3"/>
  <c r="AK26" i="3"/>
  <c r="AI13" i="3"/>
  <c r="Z14" i="3"/>
  <c r="AP57" i="3"/>
  <c r="T17" i="3"/>
  <c r="O28" i="3"/>
  <c r="L11" i="3"/>
  <c r="AE14" i="3"/>
  <c r="Y34" i="3"/>
  <c r="AA17" i="3"/>
  <c r="AC37" i="3"/>
  <c r="O8" i="3"/>
  <c r="N35" i="3"/>
  <c r="J8" i="3"/>
  <c r="Z24" i="3"/>
  <c r="AC33" i="3"/>
  <c r="AI23" i="3"/>
  <c r="R42" i="3"/>
  <c r="AA5" i="3"/>
  <c r="U6" i="3"/>
  <c r="Y7" i="3"/>
  <c r="N28" i="3"/>
  <c r="AJ12" i="3"/>
  <c r="AL12" i="3"/>
  <c r="H23" i="3"/>
  <c r="AL17" i="3"/>
  <c r="Z22" i="3"/>
  <c r="J6" i="3"/>
  <c r="N13" i="3"/>
  <c r="T9" i="3"/>
  <c r="V26" i="3"/>
  <c r="J30" i="3"/>
  <c r="AC30" i="3"/>
  <c r="Y15" i="3"/>
  <c r="AC38" i="3"/>
  <c r="N37" i="3"/>
  <c r="I31" i="3"/>
  <c r="AM38" i="3"/>
  <c r="M16" i="3"/>
  <c r="R12" i="3"/>
  <c r="AK18" i="3"/>
  <c r="V40" i="3"/>
  <c r="X23" i="3"/>
  <c r="AQ11" i="3"/>
  <c r="AI76" i="3"/>
  <c r="M97" i="3"/>
  <c r="O60" i="3"/>
  <c r="P60" i="3"/>
  <c r="J72" i="3"/>
  <c r="M87" i="3"/>
  <c r="P86" i="3"/>
  <c r="S72" i="3"/>
  <c r="W87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U55" i="3"/>
  <c r="AH47" i="3"/>
  <c r="AJ68" i="3"/>
  <c r="R85" i="3"/>
  <c r="AJ62" i="3"/>
  <c r="K76" i="3"/>
  <c r="X64" i="3"/>
  <c r="AN56" i="3"/>
  <c r="AJ90" i="3"/>
  <c r="K95" i="3"/>
  <c r="Z71" i="3"/>
  <c r="AA67" i="3"/>
  <c r="AC62" i="3"/>
  <c r="AQ68" i="3"/>
  <c r="AC49" i="3"/>
  <c r="AE57" i="3"/>
  <c r="AI60" i="3"/>
  <c r="H68" i="3"/>
  <c r="O96" i="3"/>
  <c r="AE75" i="3"/>
  <c r="H82" i="3"/>
  <c r="Q82" i="3"/>
  <c r="AE55" i="3"/>
  <c r="U68" i="3"/>
  <c r="T63" i="3"/>
  <c r="W55" i="3"/>
  <c r="AO86" i="3"/>
  <c r="AC77" i="3"/>
  <c r="X67" i="3"/>
  <c r="AL60" i="3"/>
  <c r="S66" i="3"/>
  <c r="AQ56" i="3"/>
  <c r="I97" i="3"/>
  <c r="AL87" i="3"/>
  <c r="T50" i="3"/>
  <c r="R61" i="3"/>
  <c r="O75" i="3"/>
  <c r="T62" i="3"/>
  <c r="U54" i="3"/>
  <c r="K97" i="3"/>
  <c r="I76" i="3"/>
  <c r="AL91" i="3"/>
  <c r="AA60" i="3"/>
  <c r="J49" i="3"/>
  <c r="L75" i="3"/>
  <c r="J89" i="3"/>
  <c r="J88" i="3"/>
  <c r="AO64" i="3"/>
  <c r="M62" i="3"/>
  <c r="AA47" i="3"/>
  <c r="AC72" i="3"/>
  <c r="X77" i="3"/>
  <c r="AG65" i="3"/>
  <c r="W71" i="3"/>
  <c r="AM90" i="3"/>
  <c r="J64" i="3"/>
  <c r="K84" i="3"/>
  <c r="U81" i="3"/>
  <c r="Q79" i="3"/>
  <c r="AC54" i="3"/>
  <c r="K68" i="3"/>
  <c r="Y81" i="3"/>
  <c r="AL76" i="3"/>
  <c r="J55" i="3"/>
  <c r="T61" i="3"/>
  <c r="U71" i="3"/>
  <c r="I67" i="3"/>
  <c r="V91" i="3"/>
  <c r="Z94" i="3"/>
  <c r="AM49" i="3"/>
  <c r="R68" i="3"/>
  <c r="W83" i="3"/>
  <c r="AL72" i="3"/>
  <c r="L55" i="3"/>
  <c r="AJ73" i="3"/>
  <c r="AI48" i="3"/>
  <c r="AK92" i="3"/>
  <c r="V68" i="3"/>
  <c r="P74" i="3"/>
  <c r="P63" i="3"/>
  <c r="T77" i="3"/>
  <c r="X66" i="3"/>
  <c r="R65" i="3"/>
  <c r="V58" i="3"/>
  <c r="P65" i="3"/>
  <c r="P77" i="3"/>
  <c r="AE60" i="3"/>
  <c r="AN97" i="3"/>
  <c r="AK73" i="3"/>
  <c r="AC89" i="3"/>
  <c r="X75" i="3"/>
  <c r="K57" i="3"/>
  <c r="AA84" i="3"/>
  <c r="W95" i="3"/>
  <c r="Q49" i="3"/>
  <c r="AK88" i="3"/>
  <c r="Z91" i="3"/>
  <c r="AC64" i="3"/>
  <c r="I83" i="3"/>
  <c r="I95" i="3"/>
  <c r="AK77" i="3"/>
  <c r="J91" i="3"/>
  <c r="AN64" i="3"/>
  <c r="P59" i="3"/>
  <c r="M96" i="3"/>
  <c r="AE72" i="3"/>
  <c r="J95" i="3"/>
  <c r="AJ94" i="3"/>
  <c r="Z80" i="3"/>
  <c r="AO97" i="3"/>
  <c r="W86" i="3"/>
  <c r="U48" i="3"/>
  <c r="U86" i="3"/>
  <c r="W78" i="3"/>
  <c r="R93" i="3"/>
  <c r="Z75" i="3"/>
  <c r="K90" i="3"/>
  <c r="R80" i="3"/>
  <c r="AN49" i="3"/>
  <c r="AG74" i="3"/>
  <c r="T74" i="3"/>
  <c r="L54" i="3"/>
  <c r="AC74" i="3"/>
  <c r="AE89" i="3"/>
  <c r="Q67" i="3"/>
  <c r="AH89" i="3"/>
  <c r="X58" i="3"/>
  <c r="W92" i="3"/>
  <c r="AM72" i="3"/>
  <c r="AE91" i="3"/>
  <c r="K83" i="3"/>
  <c r="Y76" i="3"/>
  <c r="R59" i="3"/>
  <c r="AL95" i="3"/>
  <c r="S67" i="3"/>
  <c r="AM80" i="3"/>
  <c r="AK69" i="3"/>
  <c r="AI84" i="3"/>
  <c r="O66" i="3"/>
  <c r="J85" i="3"/>
  <c r="AE84" i="3"/>
  <c r="AN71" i="3"/>
  <c r="AE79" i="3"/>
  <c r="M95" i="3"/>
  <c r="AN60" i="3"/>
  <c r="M59" i="3"/>
  <c r="AO50" i="3"/>
  <c r="W59" i="3"/>
  <c r="M48" i="3"/>
  <c r="S87" i="3"/>
  <c r="AG73" i="3"/>
  <c r="Z70" i="3"/>
  <c r="AL93" i="3"/>
  <c r="Y96" i="3"/>
  <c r="AQ72" i="3"/>
  <c r="W75" i="3"/>
  <c r="I80" i="3"/>
  <c r="Z64" i="3"/>
  <c r="AO71" i="3"/>
  <c r="Q86" i="3"/>
  <c r="AA88" i="3"/>
  <c r="S47" i="3"/>
  <c r="M92" i="3"/>
  <c r="AK93" i="3"/>
  <c r="H69" i="3"/>
  <c r="AM81" i="3"/>
  <c r="H85" i="3"/>
  <c r="AE68" i="3"/>
  <c r="L63" i="3"/>
  <c r="X89" i="3"/>
  <c r="H84" i="3"/>
  <c r="Y47" i="3"/>
  <c r="Q68" i="3"/>
  <c r="AQ94" i="3"/>
  <c r="AM88" i="3"/>
  <c r="AJ47" i="3"/>
  <c r="AJ59" i="3"/>
  <c r="AO62" i="3"/>
  <c r="AH96" i="3"/>
  <c r="K64" i="3"/>
  <c r="AJ75" i="3"/>
  <c r="AO84" i="3"/>
  <c r="AQ78" i="3"/>
  <c r="AC57" i="3"/>
  <c r="S76" i="3"/>
  <c r="S48" i="3"/>
  <c r="AH55" i="3"/>
  <c r="AI71" i="3"/>
  <c r="AH49" i="3"/>
  <c r="AK97" i="3"/>
  <c r="AK54" i="3"/>
  <c r="AI94" i="3"/>
  <c r="Q88" i="3"/>
  <c r="AJ69" i="3"/>
  <c r="M57" i="3"/>
  <c r="AO78" i="3"/>
  <c r="M72" i="3"/>
  <c r="I58" i="3"/>
  <c r="S70" i="3"/>
  <c r="O58" i="3"/>
  <c r="O76" i="3"/>
  <c r="H60" i="3"/>
  <c r="AO88" i="3"/>
  <c r="AJ58" i="3"/>
  <c r="AQ91" i="3"/>
  <c r="AN59" i="3"/>
  <c r="AK65" i="3"/>
  <c r="S63" i="3"/>
  <c r="X83" i="3"/>
  <c r="O64" i="3"/>
  <c r="Y67" i="3"/>
  <c r="I55" i="3"/>
  <c r="V72" i="3"/>
  <c r="K92" i="3"/>
  <c r="K93" i="3"/>
  <c r="K58" i="3"/>
  <c r="AM67" i="3"/>
  <c r="AK96" i="3"/>
  <c r="H92" i="3"/>
  <c r="H76" i="3"/>
  <c r="L82" i="3"/>
  <c r="O47" i="3"/>
  <c r="AE85" i="3"/>
  <c r="P61" i="3"/>
  <c r="AJ67" i="3"/>
  <c r="Q75" i="3"/>
  <c r="X54" i="3"/>
  <c r="V87" i="3"/>
  <c r="W56" i="3"/>
  <c r="AK89" i="3"/>
  <c r="AA87" i="3"/>
  <c r="AL89" i="3"/>
  <c r="AG49" i="3"/>
  <c r="Y84" i="3"/>
  <c r="H47" i="3"/>
  <c r="AC86" i="3"/>
  <c r="AO49" i="3"/>
  <c r="I77" i="3"/>
  <c r="H70" i="3"/>
  <c r="AQ58" i="3"/>
  <c r="S71" i="3"/>
  <c r="AI87" i="3"/>
  <c r="O63" i="3"/>
  <c r="S58" i="3"/>
  <c r="M60" i="3"/>
  <c r="P88" i="3"/>
  <c r="O83" i="3"/>
  <c r="X49" i="3"/>
  <c r="P84" i="3"/>
  <c r="J90" i="3"/>
  <c r="O86" i="3"/>
  <c r="AI88" i="3"/>
  <c r="AO58" i="3"/>
  <c r="W89" i="3"/>
  <c r="AM91" i="3"/>
  <c r="AN94" i="3"/>
  <c r="AJ66" i="3"/>
  <c r="AO68" i="3"/>
  <c r="AH70" i="3"/>
  <c r="I54" i="3"/>
  <c r="AJ50" i="3"/>
  <c r="V61" i="3"/>
  <c r="X65" i="3"/>
  <c r="AE90" i="3"/>
  <c r="Q97" i="3"/>
  <c r="AE56" i="3"/>
  <c r="AI75" i="3"/>
  <c r="AK68" i="3"/>
  <c r="AJ61" i="3"/>
  <c r="M94" i="3"/>
  <c r="P58" i="3"/>
  <c r="L69" i="3"/>
  <c r="AE67" i="3"/>
  <c r="AJ95" i="3"/>
  <c r="AJ72" i="3"/>
  <c r="AN78" i="3"/>
  <c r="X63" i="3"/>
  <c r="W96" i="3"/>
  <c r="AK85" i="3"/>
  <c r="AH66" i="3"/>
  <c r="S79" i="3"/>
  <c r="AC65" i="3"/>
  <c r="Y94" i="3"/>
  <c r="R47" i="3"/>
  <c r="M69" i="3"/>
  <c r="O71" i="3"/>
  <c r="T58" i="3"/>
  <c r="I57" i="3"/>
  <c r="AJ65" i="3"/>
  <c r="W65" i="3"/>
  <c r="AN62" i="3"/>
  <c r="AJ74" i="3"/>
  <c r="Y63" i="3"/>
  <c r="AC69" i="3"/>
  <c r="L64" i="3"/>
  <c r="AI57" i="3"/>
  <c r="H91" i="3"/>
  <c r="P62" i="3"/>
  <c r="O48" i="3"/>
  <c r="T75" i="3"/>
  <c r="M76" i="3"/>
  <c r="AE69" i="3"/>
  <c r="AC71" i="3"/>
  <c r="W81" i="3"/>
  <c r="U84" i="3"/>
  <c r="Y61" i="3"/>
  <c r="I93" i="3"/>
  <c r="AH50" i="3"/>
  <c r="AL94" i="3"/>
  <c r="Z72" i="3"/>
  <c r="Z68" i="3"/>
  <c r="J73" i="3"/>
  <c r="W76" i="3"/>
  <c r="I87" i="3"/>
  <c r="T47" i="3"/>
  <c r="P66" i="3"/>
  <c r="AI96" i="3"/>
  <c r="L84" i="3"/>
  <c r="P47" i="3"/>
  <c r="AN67" i="3"/>
  <c r="P56" i="3"/>
  <c r="Y74" i="3"/>
  <c r="AJ82" i="3"/>
  <c r="AN89" i="3"/>
  <c r="AL66" i="3"/>
  <c r="Z54" i="3"/>
  <c r="AA81" i="3"/>
  <c r="H55" i="3"/>
  <c r="X97" i="3"/>
  <c r="Q93" i="3"/>
  <c r="AC79" i="3"/>
  <c r="R79" i="3"/>
  <c r="Z57" i="3"/>
  <c r="AJ81" i="3"/>
  <c r="U95" i="3"/>
  <c r="Z96" i="3"/>
  <c r="AK56" i="3"/>
  <c r="AI58" i="3"/>
  <c r="Q58" i="3"/>
  <c r="H81" i="3"/>
  <c r="AN75" i="3"/>
  <c r="M91" i="3"/>
  <c r="T49" i="3"/>
  <c r="W48" i="3"/>
  <c r="AK48" i="3"/>
  <c r="J66" i="3"/>
  <c r="AL68" i="3"/>
  <c r="AC76" i="3"/>
  <c r="AH76" i="3"/>
  <c r="R84" i="3"/>
  <c r="J69" i="3"/>
  <c r="T54" i="3"/>
  <c r="W50" i="3"/>
  <c r="AO81" i="3"/>
  <c r="AN76" i="3"/>
  <c r="AH48" i="3"/>
  <c r="AQ97" i="3"/>
  <c r="AK80" i="3"/>
  <c r="H79" i="3"/>
  <c r="AJ70" i="3"/>
  <c r="Q55" i="3"/>
  <c r="P79" i="3"/>
  <c r="H80" i="3"/>
  <c r="O84" i="3"/>
  <c r="AE49" i="3"/>
  <c r="U85" i="3"/>
  <c r="T65" i="3"/>
  <c r="W74" i="3"/>
  <c r="AM75" i="3"/>
  <c r="AC58" i="3"/>
  <c r="AG47" i="3"/>
  <c r="U67" i="3"/>
  <c r="Y89" i="3"/>
  <c r="AL50" i="3"/>
  <c r="Z89" i="3"/>
  <c r="AJ79" i="3"/>
  <c r="AN58" i="3"/>
  <c r="W80" i="3"/>
  <c r="AK60" i="3"/>
  <c r="AK95" i="3"/>
  <c r="AC83" i="3"/>
  <c r="Z93" i="3"/>
  <c r="H49" i="3"/>
  <c r="J86" i="3"/>
  <c r="Q85" i="3"/>
  <c r="Q57" i="3"/>
  <c r="AC97" i="3"/>
  <c r="AC78" i="3"/>
  <c r="AC56" i="3"/>
  <c r="X47" i="3"/>
  <c r="AH72" i="3"/>
  <c r="W57" i="3"/>
  <c r="AM76" i="3"/>
  <c r="AJ97" i="3"/>
  <c r="U65" i="3"/>
  <c r="AO83" i="3"/>
  <c r="K77" i="3"/>
  <c r="AE92" i="3"/>
  <c r="AO79" i="3"/>
  <c r="AQ80" i="3"/>
  <c r="X88" i="3"/>
  <c r="H86" i="3"/>
  <c r="AM59" i="3"/>
  <c r="AE80" i="3"/>
  <c r="J68" i="3"/>
  <c r="L70" i="3"/>
  <c r="AO66" i="3"/>
  <c r="M67" i="3"/>
  <c r="V56" i="3"/>
  <c r="AG62" i="3"/>
  <c r="AA93" i="3"/>
  <c r="T55" i="3"/>
  <c r="Z92" i="3"/>
  <c r="Y54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AA80" i="3"/>
  <c r="Q48" i="3"/>
  <c r="U61" i="3"/>
  <c r="AC94" i="3"/>
  <c r="AN69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R81" i="3"/>
  <c r="AJ92" i="3"/>
  <c r="AH93" i="3"/>
  <c r="AE76" i="3"/>
  <c r="Y77" i="3"/>
  <c r="AO60" i="3"/>
  <c r="AA69" i="3"/>
  <c r="AO73" i="3"/>
  <c r="U74" i="3"/>
  <c r="R86" i="3"/>
  <c r="P76" i="3"/>
  <c r="AG92" i="3"/>
  <c r="R89" i="3"/>
  <c r="AK57" i="3"/>
  <c r="P57" i="3"/>
  <c r="M71" i="3"/>
  <c r="AA50" i="3"/>
  <c r="AA54" i="3"/>
  <c r="Z78" i="3"/>
  <c r="AQ76" i="3"/>
  <c r="K50" i="3"/>
  <c r="AA71" i="3"/>
  <c r="AH80" i="3"/>
  <c r="K96" i="3"/>
  <c r="H54" i="3"/>
  <c r="AK78" i="3"/>
  <c r="AI59" i="3"/>
  <c r="M77" i="3"/>
  <c r="AI81" i="3"/>
  <c r="P64" i="3"/>
  <c r="AM79" i="3"/>
  <c r="S92" i="3"/>
  <c r="AL55" i="3"/>
  <c r="AI67" i="3"/>
  <c r="V90" i="3"/>
  <c r="AM55" i="3"/>
  <c r="Y68" i="3"/>
  <c r="AC80" i="3"/>
  <c r="Y72" i="3"/>
  <c r="Z62" i="3"/>
  <c r="AQ60" i="3"/>
  <c r="H94" i="3"/>
  <c r="Y60" i="3"/>
  <c r="V93" i="3"/>
  <c r="AG82" i="3"/>
  <c r="W47" i="3"/>
  <c r="I73" i="3"/>
  <c r="AC85" i="3"/>
  <c r="Q89" i="3"/>
  <c r="AH94" i="3"/>
  <c r="O70" i="3"/>
  <c r="AQ66" i="3"/>
  <c r="K70" i="3"/>
  <c r="R50" i="3"/>
  <c r="W94" i="3"/>
  <c r="Q77" i="3"/>
  <c r="AH58" i="3"/>
  <c r="Z50" i="3"/>
  <c r="AM63" i="3"/>
  <c r="AL90" i="3"/>
  <c r="U83" i="3"/>
  <c r="P67" i="3"/>
  <c r="X50" i="3"/>
  <c r="I84" i="3"/>
  <c r="L76" i="3"/>
  <c r="W91" i="3"/>
  <c r="Q92" i="3"/>
  <c r="W61" i="3"/>
  <c r="AJ71" i="3"/>
  <c r="Q64" i="3"/>
  <c r="AM77" i="3"/>
  <c r="AJ64" i="3"/>
  <c r="M78" i="3"/>
  <c r="V88" i="3"/>
  <c r="T93" i="3"/>
  <c r="P85" i="3"/>
  <c r="I74" i="3"/>
  <c r="AE87" i="3"/>
  <c r="AL48" i="3"/>
  <c r="M79" i="3"/>
  <c r="R77" i="3"/>
  <c r="AL77" i="3"/>
  <c r="P89" i="3"/>
  <c r="V62" i="3"/>
  <c r="AQ47" i="3"/>
  <c r="AQ84" i="3"/>
  <c r="P93" i="3"/>
  <c r="U77" i="3"/>
  <c r="AQ61" i="3"/>
  <c r="K67" i="3"/>
  <c r="O65" i="3"/>
  <c r="U63" i="3"/>
  <c r="I47" i="3"/>
  <c r="P68" i="3"/>
  <c r="AN63" i="3"/>
  <c r="H72" i="3"/>
  <c r="J79" i="3"/>
  <c r="J94" i="3"/>
  <c r="T96" i="3"/>
  <c r="T69" i="3"/>
  <c r="V86" i="3"/>
  <c r="I62" i="3"/>
  <c r="AC63" i="3"/>
  <c r="W97" i="3"/>
  <c r="U94" i="3"/>
  <c r="X56" i="3"/>
  <c r="AN88" i="3"/>
  <c r="AM56" i="3"/>
  <c r="AE83" i="3"/>
  <c r="L58" i="3"/>
  <c r="AA63" i="3"/>
  <c r="R83" i="3"/>
  <c r="H93" i="3"/>
  <c r="AA86" i="3"/>
  <c r="R49" i="3"/>
  <c r="U93" i="3"/>
  <c r="AO94" i="3"/>
  <c r="AN47" i="3"/>
  <c r="AC87" i="3"/>
  <c r="AC48" i="3"/>
  <c r="O55" i="3"/>
  <c r="AL69" i="3"/>
  <c r="AA92" i="3"/>
  <c r="AI61" i="3"/>
  <c r="H90" i="3"/>
  <c r="AE54" i="3"/>
  <c r="U80" i="3"/>
  <c r="AA75" i="3"/>
  <c r="AL47" i="3"/>
  <c r="AN73" i="3"/>
  <c r="AJ56" i="3"/>
  <c r="I89" i="3"/>
  <c r="R94" i="3"/>
  <c r="Z66" i="3"/>
  <c r="AL88" i="3"/>
  <c r="Z47" i="3"/>
  <c r="Q81" i="3"/>
  <c r="AL85" i="3"/>
  <c r="V85" i="3"/>
  <c r="Z81" i="3"/>
  <c r="H71" i="3"/>
  <c r="L97" i="3"/>
  <c r="AE81" i="3"/>
  <c r="AE95" i="3"/>
  <c r="AO72" i="3"/>
  <c r="AO93" i="3"/>
  <c r="AL78" i="3"/>
  <c r="I69" i="3"/>
  <c r="T92" i="3"/>
  <c r="Y79" i="3"/>
  <c r="AO89" i="3"/>
  <c r="AA74" i="3"/>
  <c r="AI83" i="3"/>
  <c r="L60" i="3"/>
  <c r="AJ55" i="3"/>
  <c r="P80" i="3"/>
  <c r="AA48" i="3"/>
  <c r="AO92" i="3"/>
  <c r="R97" i="3"/>
  <c r="T89" i="3"/>
  <c r="L57" i="3"/>
  <c r="M82" i="3"/>
  <c r="AE97" i="3"/>
  <c r="V50" i="3"/>
  <c r="I75" i="3"/>
  <c r="AG80" i="3"/>
  <c r="K49" i="3"/>
  <c r="AN66" i="3"/>
  <c r="P55" i="3"/>
  <c r="AQ57" i="3"/>
  <c r="AN91" i="3"/>
  <c r="AL86" i="3"/>
  <c r="AO90" i="3"/>
  <c r="Y66" i="3"/>
  <c r="O59" i="3"/>
  <c r="O49" i="3"/>
  <c r="AE48" i="3"/>
  <c r="AL81" i="3"/>
  <c r="AK90" i="3"/>
  <c r="W90" i="3"/>
  <c r="U59" i="3"/>
  <c r="U49" i="3"/>
  <c r="W79" i="3"/>
  <c r="AJ57" i="3"/>
  <c r="AJ96" i="3"/>
  <c r="AH68" i="3"/>
  <c r="AN92" i="3"/>
  <c r="AO77" i="3"/>
  <c r="AM93" i="3"/>
  <c r="AJ91" i="3"/>
  <c r="AN85" i="3"/>
  <c r="AN79" i="3"/>
  <c r="V65" i="3"/>
  <c r="AL65" i="3"/>
  <c r="AL67" i="3"/>
  <c r="T97" i="3"/>
  <c r="AK66" i="3"/>
  <c r="Y82" i="3"/>
  <c r="V77" i="3"/>
  <c r="T68" i="3"/>
  <c r="AL74" i="3"/>
  <c r="AG86" i="3"/>
  <c r="AC73" i="3"/>
  <c r="AE65" i="3"/>
  <c r="Z55" i="3"/>
  <c r="U79" i="3"/>
  <c r="AE74" i="3"/>
  <c r="J83" i="3"/>
  <c r="H73" i="3"/>
  <c r="M93" i="3"/>
  <c r="W67" i="3"/>
  <c r="AG59" i="3"/>
  <c r="S82" i="3"/>
  <c r="AQ70" i="3"/>
  <c r="R82" i="3"/>
  <c r="AL57" i="3"/>
  <c r="AQ77" i="3"/>
  <c r="AQ55" i="3"/>
  <c r="P97" i="3"/>
  <c r="AI79" i="3"/>
  <c r="O79" i="3"/>
  <c r="P70" i="3"/>
  <c r="O56" i="3"/>
  <c r="AN80" i="3"/>
  <c r="AL84" i="3"/>
  <c r="Y97" i="3"/>
  <c r="S86" i="3"/>
  <c r="P48" i="3"/>
  <c r="AO61" i="3"/>
  <c r="AL49" i="3"/>
  <c r="M73" i="3"/>
  <c r="M84" i="3"/>
  <c r="AH88" i="3"/>
  <c r="T78" i="3"/>
  <c r="AO80" i="3"/>
  <c r="I72" i="3"/>
  <c r="P72" i="3"/>
  <c r="S60" i="3"/>
  <c r="Z85" i="3"/>
  <c r="T87" i="3"/>
  <c r="J84" i="3"/>
  <c r="U78" i="3"/>
  <c r="M90" i="3"/>
  <c r="AL97" i="3"/>
  <c r="K85" i="3"/>
  <c r="T91" i="3"/>
  <c r="AH59" i="3"/>
  <c r="AH95" i="3"/>
  <c r="S83" i="3"/>
  <c r="AA82" i="3"/>
  <c r="AQ85" i="3"/>
  <c r="AE73" i="3"/>
  <c r="T76" i="3"/>
  <c r="Q90" i="3"/>
  <c r="AC92" i="3"/>
  <c r="Y71" i="3"/>
  <c r="AO91" i="3"/>
  <c r="V49" i="3"/>
  <c r="X60" i="3"/>
  <c r="W82" i="3"/>
  <c r="AO96" i="3"/>
  <c r="AN74" i="3"/>
  <c r="AO67" i="3"/>
  <c r="Y58" i="3"/>
  <c r="L47" i="3"/>
  <c r="L65" i="3"/>
  <c r="J47" i="3"/>
  <c r="AA79" i="3"/>
  <c r="W69" i="3"/>
  <c r="AG60" i="3"/>
  <c r="S49" i="3"/>
  <c r="AQ64" i="3"/>
  <c r="R71" i="3"/>
  <c r="AG54" i="3"/>
  <c r="R92" i="3"/>
  <c r="R73" i="3"/>
  <c r="Q91" i="3"/>
  <c r="AK55" i="3"/>
  <c r="L89" i="3"/>
  <c r="P90" i="3"/>
  <c r="M68" i="3"/>
  <c r="AL82" i="3"/>
  <c r="AG48" i="3"/>
  <c r="Y55" i="3"/>
  <c r="R60" i="3"/>
  <c r="AK64" i="3"/>
  <c r="M55" i="3"/>
  <c r="AG78" i="3"/>
  <c r="AQ49" i="3"/>
  <c r="AN50" i="3"/>
  <c r="AG50" i="3"/>
  <c r="O93" i="3"/>
  <c r="AG71" i="3"/>
  <c r="X71" i="3"/>
  <c r="Q66" i="3"/>
  <c r="AK76" i="3"/>
  <c r="S84" i="3"/>
  <c r="T71" i="3"/>
  <c r="AC66" i="3"/>
  <c r="Z63" i="3"/>
  <c r="AN68" i="3"/>
  <c r="K66" i="3"/>
  <c r="AK91" i="3"/>
  <c r="M56" i="3"/>
  <c r="O68" i="3"/>
  <c r="AE78" i="3"/>
  <c r="I70" i="3"/>
  <c r="M70" i="3"/>
  <c r="O85" i="3"/>
  <c r="Z69" i="3"/>
  <c r="S91" i="3"/>
  <c r="T85" i="3"/>
  <c r="AA49" i="3"/>
  <c r="AG55" i="3"/>
  <c r="AO56" i="3"/>
  <c r="M66" i="3"/>
  <c r="AM73" i="3"/>
  <c r="AH90" i="3"/>
  <c r="V73" i="3"/>
  <c r="K78" i="3"/>
  <c r="Q80" i="3"/>
  <c r="AL75" i="3"/>
  <c r="O94" i="3"/>
  <c r="P96" i="3"/>
  <c r="L49" i="3"/>
  <c r="J78" i="3"/>
  <c r="W58" i="3"/>
  <c r="K69" i="3"/>
  <c r="AA55" i="3"/>
  <c r="AK81" i="3"/>
  <c r="X82" i="3"/>
  <c r="AC70" i="3"/>
  <c r="M89" i="3"/>
  <c r="S90" i="3"/>
  <c r="W73" i="3"/>
  <c r="W63" i="3"/>
  <c r="AM71" i="3"/>
  <c r="K75" i="3"/>
  <c r="AO63" i="3"/>
  <c r="M80" i="3"/>
  <c r="AQ67" i="3"/>
  <c r="AA57" i="3"/>
  <c r="M50" i="3"/>
  <c r="M65" i="3"/>
  <c r="AO65" i="3"/>
  <c r="W66" i="3"/>
  <c r="S78" i="3"/>
  <c r="S57" i="3"/>
  <c r="I88" i="3"/>
  <c r="R58" i="3"/>
  <c r="AG63" i="3"/>
  <c r="M75" i="3"/>
  <c r="AI55" i="3"/>
  <c r="AC88" i="3"/>
  <c r="AG57" i="3"/>
  <c r="W84" i="3"/>
  <c r="AC81" i="3"/>
  <c r="AA70" i="3"/>
  <c r="AQ75" i="3"/>
  <c r="M64" i="3"/>
  <c r="J74" i="3"/>
  <c r="Y56" i="3"/>
  <c r="AG84" i="3"/>
  <c r="V48" i="3"/>
  <c r="AK79" i="3"/>
  <c r="AE86" i="3"/>
  <c r="I65" i="3"/>
  <c r="K59" i="3"/>
  <c r="Z60" i="3"/>
  <c r="K82" i="3"/>
  <c r="AC61" i="3"/>
  <c r="AN81" i="3"/>
  <c r="R87" i="3"/>
  <c r="M54" i="3"/>
  <c r="R66" i="3"/>
  <c r="AM61" i="3"/>
  <c r="S54" i="3"/>
  <c r="AL56" i="3"/>
  <c r="W85" i="3"/>
  <c r="P94" i="3"/>
  <c r="AM74" i="3"/>
  <c r="AI77" i="3"/>
  <c r="AE96" i="3"/>
  <c r="AJ60" i="3"/>
  <c r="R90" i="3"/>
  <c r="U91" i="3"/>
  <c r="X62" i="3"/>
  <c r="P54" i="3"/>
  <c r="T90" i="3"/>
  <c r="Y91" i="3"/>
  <c r="AI49" i="3"/>
  <c r="Z65" i="3"/>
  <c r="L79" i="3"/>
  <c r="J97" i="3"/>
  <c r="V67" i="3"/>
  <c r="K94" i="3"/>
  <c r="J59" i="3"/>
  <c r="AM64" i="3"/>
  <c r="J75" i="3"/>
  <c r="M88" i="3"/>
  <c r="X76" i="3"/>
  <c r="AL79" i="3"/>
  <c r="AG94" i="3"/>
  <c r="AH87" i="3"/>
  <c r="AE94" i="3"/>
  <c r="AH60" i="3"/>
  <c r="AQ71" i="3"/>
  <c r="J76" i="3"/>
  <c r="V76" i="3"/>
  <c r="Z73" i="3"/>
  <c r="AN82" i="3"/>
  <c r="AQ73" i="3"/>
  <c r="AA94" i="3"/>
  <c r="AH63" i="3"/>
  <c r="AQ48" i="3"/>
  <c r="X61" i="3"/>
  <c r="U92" i="3"/>
  <c r="T73" i="3"/>
  <c r="AJ49" i="3"/>
  <c r="Y75" i="3"/>
  <c r="AM85" i="3"/>
  <c r="AI72" i="3"/>
  <c r="AJ77" i="3"/>
  <c r="P73" i="3"/>
  <c r="I86" i="3"/>
  <c r="AE58" i="3"/>
  <c r="AE93" i="3"/>
  <c r="AH74" i="3"/>
  <c r="I68" i="3"/>
  <c r="W64" i="3"/>
  <c r="AE50" i="3"/>
  <c r="AM69" i="3"/>
  <c r="AI80" i="3"/>
  <c r="AE66" i="3"/>
  <c r="AN54" i="3"/>
  <c r="T57" i="3"/>
  <c r="U76" i="3"/>
  <c r="X84" i="3"/>
  <c r="AA64" i="3"/>
  <c r="AJ48" i="3"/>
  <c r="Q61" i="3"/>
  <c r="AK59" i="3"/>
  <c r="AN77" i="3"/>
  <c r="AM62" i="3"/>
  <c r="H65" i="3"/>
  <c r="H74" i="3"/>
  <c r="AA56" i="3"/>
  <c r="W62" i="3"/>
  <c r="X68" i="3"/>
  <c r="AH61" i="3"/>
  <c r="H50" i="3"/>
  <c r="J77" i="3"/>
  <c r="AC67" i="3"/>
  <c r="AO95" i="3"/>
  <c r="Z56" i="3"/>
  <c r="AN84" i="3"/>
  <c r="Y93" i="3"/>
  <c r="T83" i="3"/>
  <c r="AG79" i="3"/>
  <c r="L95" i="3"/>
  <c r="X85" i="3"/>
  <c r="AG91" i="3"/>
  <c r="U90" i="3"/>
  <c r="X72" i="3"/>
  <c r="Y90" i="3"/>
  <c r="U82" i="3"/>
  <c r="AQ93" i="3"/>
  <c r="K47" i="3"/>
  <c r="V84" i="3"/>
  <c r="Y48" i="3"/>
  <c r="AG81" i="3"/>
  <c r="X92" i="3"/>
  <c r="U97" i="3"/>
  <c r="Z84" i="3"/>
  <c r="X79" i="3"/>
  <c r="P75" i="3"/>
  <c r="AG87" i="3"/>
  <c r="Y49" i="3"/>
  <c r="AC59" i="3"/>
  <c r="M58" i="3"/>
  <c r="T94" i="3"/>
  <c r="AJ89" i="3"/>
  <c r="AK94" i="3"/>
  <c r="AI50" i="3"/>
  <c r="M74" i="3"/>
  <c r="AK86" i="3"/>
  <c r="AL64" i="3"/>
  <c r="AG83" i="3"/>
  <c r="Y92" i="3"/>
  <c r="I78" i="3"/>
  <c r="K86" i="3"/>
  <c r="AK49" i="3"/>
  <c r="AA72" i="3"/>
  <c r="Z88" i="3" l="1"/>
  <c r="Y85" i="3"/>
  <c r="H78" i="3"/>
  <c r="AQ86" i="3"/>
  <c r="AG75" i="3"/>
  <c r="AQ96" i="3"/>
  <c r="AA89" i="3"/>
  <c r="N76" i="3"/>
  <c r="N63" i="3"/>
  <c r="N55" i="3"/>
  <c r="N59" i="3"/>
  <c r="N50" i="3"/>
  <c r="N56" i="3"/>
  <c r="N48" i="3"/>
  <c r="N97" i="3"/>
  <c r="N85" i="3"/>
  <c r="N94" i="3"/>
  <c r="N78" i="3"/>
  <c r="N87" i="3"/>
  <c r="N80" i="3"/>
  <c r="N86" i="3"/>
  <c r="N96" i="3"/>
  <c r="N93" i="3"/>
  <c r="N54" i="3"/>
  <c r="N61" i="3"/>
  <c r="N66" i="3"/>
  <c r="N90" i="3"/>
  <c r="N68" i="3"/>
  <c r="N65" i="3"/>
  <c r="N75" i="3"/>
  <c r="N81" i="3"/>
  <c r="N92" i="3"/>
  <c r="N89" i="3"/>
  <c r="N70" i="3"/>
  <c r="N82" i="3"/>
  <c r="N95" i="3"/>
  <c r="H56" i="3"/>
  <c r="J63" i="3"/>
  <c r="U70" i="3"/>
  <c r="Q95" i="3"/>
  <c r="K65" i="3"/>
  <c r="T60" i="3"/>
  <c r="AI78" i="3"/>
  <c r="AA65" i="3"/>
  <c r="O78" i="3"/>
  <c r="O81" i="3"/>
  <c r="AM78" i="3"/>
  <c r="AG76" i="3"/>
  <c r="U64" i="3"/>
  <c r="AQ88" i="3"/>
  <c r="X93" i="3"/>
  <c r="AE88" i="3"/>
  <c r="L90" i="3"/>
  <c r="N79" i="3"/>
  <c r="AM66" i="3"/>
  <c r="L50" i="3"/>
  <c r="V70" i="3"/>
  <c r="AH82" i="3"/>
  <c r="AM65" i="3"/>
  <c r="AA78" i="3"/>
  <c r="AH78" i="3"/>
  <c r="U50" i="3"/>
  <c r="S50" i="3"/>
  <c r="Y50" i="3"/>
  <c r="U89" i="3"/>
  <c r="V75" i="3"/>
  <c r="AO57" i="3"/>
  <c r="M81" i="3"/>
  <c r="AO85" i="3"/>
  <c r="AM83" i="3"/>
  <c r="H75" i="3"/>
  <c r="Q87" i="3"/>
  <c r="H97" i="3"/>
  <c r="O50" i="3"/>
  <c r="N77" i="3"/>
  <c r="AL83" i="3"/>
  <c r="AQ87" i="3"/>
  <c r="T67" i="3"/>
  <c r="AO69" i="3"/>
  <c r="S80" i="3"/>
  <c r="I92" i="3"/>
  <c r="L96" i="3"/>
  <c r="N67" i="3"/>
  <c r="AE59" i="3"/>
  <c r="L48" i="3"/>
  <c r="T95" i="3"/>
  <c r="U73" i="3"/>
  <c r="T66" i="3"/>
  <c r="I60" i="3"/>
  <c r="L59" i="3"/>
  <c r="I48" i="3"/>
  <c r="AG56" i="3"/>
  <c r="AI97" i="3"/>
  <c r="P50" i="3"/>
  <c r="AO82" i="3"/>
  <c r="I49" i="3"/>
  <c r="X94" i="3"/>
  <c r="AA85" i="3"/>
  <c r="U57" i="3"/>
  <c r="L93" i="3"/>
  <c r="L62" i="3"/>
  <c r="Q94" i="3"/>
  <c r="AM89" i="3"/>
  <c r="AM58" i="3"/>
  <c r="V47" i="3"/>
  <c r="AJ88" i="3"/>
  <c r="J80" i="3"/>
  <c r="Z76" i="3"/>
  <c r="AH64" i="3"/>
  <c r="R54" i="3"/>
  <c r="P69" i="3"/>
  <c r="Q74" i="3"/>
  <c r="Q71" i="3"/>
  <c r="K54" i="3"/>
  <c r="AI69" i="3"/>
  <c r="H96" i="3"/>
  <c r="AC75" i="3"/>
  <c r="J60" i="3"/>
  <c r="Z48" i="3"/>
  <c r="U69" i="3"/>
  <c r="Y64" i="3"/>
  <c r="AG95" i="3"/>
  <c r="AN90" i="3"/>
  <c r="AA59" i="3"/>
  <c r="AA76" i="3"/>
  <c r="K72" i="3"/>
  <c r="AH77" i="3"/>
  <c r="AJ54" i="3"/>
  <c r="AI56" i="3"/>
  <c r="P87" i="3"/>
  <c r="O62" i="3"/>
  <c r="S95" i="3"/>
  <c r="AM96" i="3"/>
  <c r="Z97" i="3"/>
  <c r="AJ76" i="3"/>
  <c r="V66" i="3"/>
  <c r="AN48" i="3"/>
  <c r="Z82" i="3"/>
  <c r="X86" i="3"/>
  <c r="AI54" i="3"/>
  <c r="N64" i="3"/>
  <c r="H67" i="3"/>
  <c r="AO76" i="3"/>
  <c r="AI68" i="3"/>
  <c r="AQ95" i="3"/>
  <c r="M61" i="3"/>
  <c r="K79" i="3"/>
  <c r="Q76" i="3"/>
  <c r="Y80" i="3"/>
  <c r="V96" i="3"/>
  <c r="I81" i="3"/>
  <c r="X81" i="3"/>
  <c r="T84" i="3"/>
  <c r="L88" i="3"/>
  <c r="L56" i="3"/>
  <c r="AE47" i="3"/>
  <c r="N84" i="3"/>
  <c r="V64" i="3"/>
  <c r="I66" i="3"/>
  <c r="AQ81" i="3"/>
  <c r="AI70" i="3"/>
  <c r="V57" i="3"/>
  <c r="M47" i="3"/>
  <c r="AE70" i="3"/>
  <c r="Y70" i="3"/>
  <c r="L61" i="3"/>
  <c r="R57" i="3"/>
  <c r="L68" i="3"/>
  <c r="O87" i="3"/>
  <c r="AM68" i="3"/>
  <c r="N73" i="3"/>
  <c r="AQ54" i="3"/>
  <c r="V74" i="3"/>
  <c r="AH54" i="3"/>
  <c r="J65" i="3"/>
  <c r="AM54" i="3"/>
  <c r="V94" i="3"/>
  <c r="AG61" i="3"/>
  <c r="X59" i="3"/>
  <c r="S96" i="3"/>
  <c r="Q72" i="3"/>
  <c r="R62" i="3"/>
  <c r="AM48" i="3"/>
  <c r="AI82" i="3"/>
  <c r="AM87" i="3"/>
  <c r="H87" i="3"/>
  <c r="Q47" i="3"/>
  <c r="Y59" i="3"/>
  <c r="O61" i="3"/>
  <c r="H58" i="3"/>
  <c r="S73" i="3"/>
  <c r="K89" i="3"/>
  <c r="K62" i="3"/>
  <c r="R74" i="3"/>
  <c r="L94" i="3"/>
  <c r="Z58" i="3"/>
  <c r="U58" i="3"/>
  <c r="Y87" i="3"/>
  <c r="Q73" i="3"/>
  <c r="L78" i="3"/>
  <c r="AH69" i="3"/>
  <c r="Y83" i="3"/>
  <c r="J56" i="3"/>
  <c r="AA95" i="3"/>
  <c r="AH56" i="3"/>
  <c r="AL61" i="3"/>
  <c r="S85" i="3"/>
  <c r="X80" i="3"/>
  <c r="N91" i="3"/>
  <c r="S93" i="3"/>
  <c r="AQ82" i="3"/>
  <c r="O90" i="3"/>
  <c r="AL96" i="3"/>
  <c r="AH73" i="3"/>
  <c r="AI95" i="3"/>
  <c r="AA83" i="3"/>
  <c r="O57" i="3"/>
  <c r="R78" i="3"/>
  <c r="S75" i="3"/>
  <c r="AQ92" i="3"/>
  <c r="Y69" i="3"/>
  <c r="J70" i="3"/>
  <c r="X90" i="3"/>
  <c r="AH84" i="3"/>
  <c r="V69" i="3"/>
  <c r="AH79" i="3"/>
  <c r="O92" i="3"/>
  <c r="AI64" i="3"/>
  <c r="O95" i="3"/>
  <c r="AN96" i="3"/>
  <c r="Z49" i="3"/>
  <c r="U60" i="3"/>
  <c r="K63" i="3"/>
  <c r="AG58" i="3"/>
  <c r="U66" i="3"/>
  <c r="H77" i="3"/>
  <c r="AI63" i="3"/>
  <c r="AI47" i="3"/>
  <c r="O74" i="3"/>
  <c r="Q60" i="3"/>
  <c r="R55" i="3"/>
  <c r="AN83" i="3"/>
  <c r="S59" i="3"/>
  <c r="Y88" i="3"/>
  <c r="AN72" i="3"/>
  <c r="Z86" i="3"/>
  <c r="AI90" i="3"/>
  <c r="AA97" i="3"/>
  <c r="AM47" i="3"/>
  <c r="R70" i="3"/>
  <c r="X70" i="3"/>
  <c r="AI89" i="3"/>
  <c r="R64" i="3"/>
  <c r="AH97" i="3"/>
  <c r="V92" i="3"/>
  <c r="V54" i="3"/>
  <c r="K60" i="3"/>
  <c r="AG96" i="3"/>
  <c r="J57" i="3"/>
  <c r="AH62" i="3"/>
  <c r="L66" i="3"/>
  <c r="N71" i="3"/>
  <c r="V79" i="3"/>
  <c r="S69" i="3"/>
  <c r="J81" i="3"/>
  <c r="AG85" i="3"/>
  <c r="K55" i="3"/>
  <c r="K91" i="3"/>
  <c r="J92" i="3"/>
  <c r="AG70" i="3"/>
  <c r="S65" i="3"/>
  <c r="K80" i="3"/>
  <c r="AH71" i="3"/>
  <c r="V97" i="3"/>
  <c r="AA91" i="3"/>
  <c r="AG90" i="3"/>
  <c r="J48" i="3"/>
  <c r="V71" i="3"/>
  <c r="AA58" i="3"/>
  <c r="N49" i="3"/>
  <c r="L92" i="3"/>
  <c r="AG67" i="3"/>
  <c r="AH57" i="3"/>
  <c r="K61" i="3"/>
  <c r="H88" i="3"/>
  <c r="AC82" i="3"/>
  <c r="AC84" i="3"/>
  <c r="H63" i="3"/>
  <c r="H89" i="3"/>
  <c r="J87" i="3"/>
  <c r="L80" i="3"/>
  <c r="N83" i="3"/>
  <c r="AI93" i="3"/>
  <c r="AI86" i="3"/>
  <c r="BW30" i="1"/>
  <c r="BD50" i="1"/>
  <c r="BQ40" i="1"/>
  <c r="AX29" i="1"/>
  <c r="AS35" i="1"/>
  <c r="BE39" i="1"/>
  <c r="BB62" i="1"/>
  <c r="AP23" i="1"/>
  <c r="AP246" i="1" s="1"/>
  <c r="BR36" i="1"/>
  <c r="AN50" i="1"/>
  <c r="BR29" i="1"/>
  <c r="BP29" i="1"/>
  <c r="AT47" i="1"/>
  <c r="AT209" i="1" s="1"/>
  <c r="BA23" i="1"/>
  <c r="BA246" i="1" s="1"/>
  <c r="AX66" i="1"/>
  <c r="BO50" i="1"/>
  <c r="AT61" i="1"/>
  <c r="BG36" i="1"/>
  <c r="BE60" i="1"/>
  <c r="BK38" i="1"/>
  <c r="AR30" i="1"/>
  <c r="AU47" i="1"/>
  <c r="AU209" i="1" s="1"/>
  <c r="AZ36" i="1"/>
  <c r="BV133" i="1"/>
  <c r="BW133" i="1" s="1"/>
  <c r="BF38" i="1"/>
  <c r="BQ62" i="1"/>
  <c r="AP47" i="1"/>
  <c r="BK61" i="1"/>
  <c r="AY23" i="1"/>
  <c r="AI24" i="1"/>
  <c r="BU40" i="1"/>
  <c r="BP40" i="1"/>
  <c r="BU36" i="1"/>
  <c r="BF50" i="1"/>
  <c r="AZ28" i="1"/>
  <c r="BM50" i="1"/>
  <c r="AX62" i="1"/>
  <c r="BQ30" i="1"/>
  <c r="BF29" i="1"/>
  <c r="BV141" i="1"/>
  <c r="BW141" i="1" s="1"/>
  <c r="BT35" i="1"/>
  <c r="BC50" i="1"/>
  <c r="BA60" i="1"/>
  <c r="BR23" i="1"/>
  <c r="BR246" i="1" s="1"/>
  <c r="BR54" i="1"/>
  <c r="AN39" i="1"/>
  <c r="BQ28" i="1"/>
  <c r="AQ40" i="1"/>
  <c r="BN28" i="1"/>
  <c r="AV37" i="1"/>
  <c r="AI66" i="1"/>
  <c r="BA29" i="1"/>
  <c r="BP38" i="1"/>
  <c r="AM62" i="1"/>
  <c r="BG66" i="1"/>
  <c r="BS38" i="1"/>
  <c r="BO30" i="1"/>
  <c r="AI50" i="1"/>
  <c r="BH133" i="1"/>
  <c r="BI133" i="1" s="1"/>
  <c r="AU60" i="1"/>
  <c r="BN23" i="1"/>
  <c r="BB38" i="1"/>
  <c r="BP66" i="1"/>
  <c r="BE66" i="1"/>
  <c r="BG35" i="1"/>
  <c r="BC66" i="1"/>
  <c r="AU51" i="1"/>
  <c r="BG28" i="1"/>
  <c r="AR40" i="1"/>
  <c r="AV35" i="1"/>
  <c r="BW29" i="1"/>
  <c r="AR50" i="1"/>
  <c r="AR38" i="1"/>
  <c r="BP39" i="1"/>
  <c r="AU40" i="1"/>
  <c r="AR23" i="1"/>
  <c r="AR246" i="1" s="1"/>
  <c r="AN30" i="1"/>
  <c r="AO50" i="1"/>
  <c r="BH175" i="1"/>
  <c r="BQ50" i="1"/>
  <c r="BV61" i="1"/>
  <c r="BI28" i="1"/>
  <c r="AZ66" i="1"/>
  <c r="BI29" i="1"/>
  <c r="BS50" i="1"/>
  <c r="BP47" i="1"/>
  <c r="BK47" i="1"/>
  <c r="AT54" i="1"/>
  <c r="AJ89" i="1"/>
  <c r="BN61" i="1"/>
  <c r="BP24" i="1"/>
  <c r="BB54" i="1"/>
  <c r="BK30" i="1"/>
  <c r="AP51" i="1"/>
  <c r="AZ60" i="1"/>
  <c r="BK51" i="1"/>
  <c r="T165" i="1"/>
  <c r="BQ51" i="1"/>
  <c r="BR50" i="1"/>
  <c r="AP28" i="1"/>
  <c r="AU24" i="1"/>
  <c r="BV62" i="1"/>
  <c r="AW54" i="1"/>
  <c r="AY61" i="1"/>
  <c r="AN38" i="1"/>
  <c r="N139" i="1"/>
  <c r="AR60" i="1"/>
  <c r="BI39" i="1"/>
  <c r="BO62" i="1"/>
  <c r="AQ38" i="1"/>
  <c r="BN62" i="1"/>
  <c r="AU62" i="1"/>
  <c r="BH35" i="1"/>
  <c r="BR61" i="1"/>
  <c r="BW60" i="1"/>
  <c r="BF35" i="1"/>
  <c r="BM35" i="1"/>
  <c r="BG54" i="1"/>
  <c r="BR62" i="1"/>
  <c r="BT47" i="1"/>
  <c r="BU47" i="1"/>
  <c r="BO40" i="1"/>
  <c r="BM40" i="1"/>
  <c r="BU28" i="1"/>
  <c r="AO54" i="1"/>
  <c r="BT36" i="1"/>
  <c r="AT28" i="1"/>
  <c r="BI66" i="1"/>
  <c r="BC40" i="1"/>
  <c r="BE36" i="1"/>
  <c r="M170" i="1"/>
  <c r="AY38" i="1"/>
  <c r="BQ35" i="1"/>
  <c r="BS66" i="1"/>
  <c r="AM60" i="1"/>
  <c r="BG39" i="1"/>
  <c r="AY40" i="1"/>
  <c r="AT51" i="1"/>
  <c r="BI35" i="1"/>
  <c r="AP38" i="1"/>
  <c r="BF36" i="1"/>
  <c r="AT35" i="1"/>
  <c r="BG40" i="1"/>
  <c r="BE61" i="1"/>
  <c r="BI37" i="1"/>
  <c r="BO51" i="1"/>
  <c r="BJ62" i="1"/>
  <c r="AI23" i="1"/>
  <c r="BP30" i="1"/>
  <c r="AV61" i="1"/>
  <c r="BU30" i="1"/>
  <c r="AV23" i="1"/>
  <c r="AV246" i="1" s="1"/>
  <c r="AU61" i="1"/>
  <c r="BD39" i="1"/>
  <c r="BD28" i="1"/>
  <c r="BN39" i="1"/>
  <c r="AO35" i="1"/>
  <c r="AI37" i="1"/>
  <c r="J147" i="1"/>
  <c r="AR28" i="1"/>
  <c r="BP37" i="1"/>
  <c r="BP23" i="1"/>
  <c r="BP246" i="1" s="1"/>
  <c r="AV29" i="1"/>
  <c r="AT36" i="1"/>
  <c r="AJ88" i="1"/>
  <c r="BM29" i="1"/>
  <c r="AQ30" i="1"/>
  <c r="BA28" i="1"/>
  <c r="BO61" i="1"/>
  <c r="BQ61" i="1"/>
  <c r="AQ37" i="1"/>
  <c r="BV39" i="1"/>
  <c r="AR35" i="1"/>
  <c r="BR28" i="1"/>
  <c r="AT37" i="1"/>
  <c r="AV24" i="1"/>
  <c r="BQ36" i="1"/>
  <c r="BW54" i="1"/>
  <c r="BH162" i="1"/>
  <c r="BI162" i="1" s="1"/>
  <c r="BD23" i="1"/>
  <c r="AZ23" i="1"/>
  <c r="BK39" i="1"/>
  <c r="BI47" i="1"/>
  <c r="AP24" i="1"/>
  <c r="AM89" i="1"/>
  <c r="AV38" i="1"/>
  <c r="BQ47" i="1"/>
  <c r="BQ209" i="1" s="1"/>
  <c r="AW30" i="1"/>
  <c r="BA24" i="1"/>
  <c r="BO36" i="1"/>
  <c r="AN62" i="1"/>
  <c r="BS61" i="1"/>
  <c r="BH47" i="1"/>
  <c r="BH209" i="1" s="1"/>
  <c r="BQ38" i="1"/>
  <c r="AR66" i="1"/>
  <c r="AY62" i="1"/>
  <c r="AM88" i="1"/>
  <c r="BA62" i="1"/>
  <c r="AQ39" i="1"/>
  <c r="BU60" i="1"/>
  <c r="BT23" i="1"/>
  <c r="BO28" i="1"/>
  <c r="BV88" i="1"/>
  <c r="BW47" i="1"/>
  <c r="BW209" i="1" s="1"/>
  <c r="BT40" i="1"/>
  <c r="AQ51" i="1"/>
  <c r="BI60" i="1"/>
  <c r="BG47" i="1"/>
  <c r="AN35" i="1"/>
  <c r="BH54" i="1"/>
  <c r="BM51" i="1"/>
  <c r="BP54" i="1"/>
  <c r="AP62" i="1"/>
  <c r="BC51" i="1"/>
  <c r="AS66" i="1"/>
  <c r="BD66" i="1"/>
  <c r="AW51" i="1"/>
  <c r="AW40" i="1"/>
  <c r="AQ47" i="1"/>
  <c r="AO30" i="1"/>
  <c r="BK54" i="1"/>
  <c r="AO60" i="1"/>
  <c r="AO51" i="1"/>
  <c r="BT60" i="1"/>
  <c r="AT24" i="1"/>
  <c r="BH40" i="1"/>
  <c r="BF47" i="1"/>
  <c r="AQ61" i="1"/>
  <c r="BS30" i="1"/>
  <c r="BS51" i="1"/>
  <c r="AP30" i="1"/>
  <c r="BS39" i="1"/>
  <c r="BH39" i="1"/>
  <c r="BT62" i="1"/>
  <c r="BU66" i="1"/>
  <c r="AZ24" i="1"/>
  <c r="AN51" i="1"/>
  <c r="BM61" i="1"/>
  <c r="BA36" i="1"/>
  <c r="AT40" i="1"/>
  <c r="BG62" i="1"/>
  <c r="AW28" i="1"/>
  <c r="AN29" i="1"/>
  <c r="AY24" i="1"/>
  <c r="BS40" i="1"/>
  <c r="AT30" i="1"/>
  <c r="BT37" i="1"/>
  <c r="AV66" i="1"/>
  <c r="BK50" i="1"/>
  <c r="AS40" i="1"/>
  <c r="BE37" i="1"/>
  <c r="BN29" i="1"/>
  <c r="BJ54" i="1"/>
  <c r="AY28" i="1"/>
  <c r="BB66" i="1"/>
  <c r="AW66" i="1"/>
  <c r="AW37" i="1"/>
  <c r="AX60" i="1"/>
  <c r="BH51" i="1"/>
  <c r="BE50" i="1"/>
  <c r="AV54" i="1"/>
  <c r="BC28" i="1"/>
  <c r="BR66" i="1"/>
  <c r="AZ62" i="1"/>
  <c r="AZ47" i="1"/>
  <c r="BD47" i="1"/>
  <c r="BD209" i="1" s="1"/>
  <c r="BG29" i="1"/>
  <c r="AW60" i="1"/>
  <c r="BV160" i="1"/>
  <c r="AS38" i="1"/>
  <c r="AI40" i="1"/>
  <c r="BB28" i="1"/>
  <c r="BB36" i="1"/>
  <c r="BJ60" i="1"/>
  <c r="BR38" i="1"/>
  <c r="AW24" i="1"/>
  <c r="AI28" i="1"/>
  <c r="BV54" i="1"/>
  <c r="BE28" i="1"/>
  <c r="BE29" i="1"/>
  <c r="BF66" i="1"/>
  <c r="BS28" i="1"/>
  <c r="BH38" i="1"/>
  <c r="BR51" i="1"/>
  <c r="BR267" i="1" s="1"/>
  <c r="BV24" i="1"/>
  <c r="AW38" i="1"/>
  <c r="AX37" i="1"/>
  <c r="AX50" i="1"/>
  <c r="BK36" i="1"/>
  <c r="BE24" i="1"/>
  <c r="AO28" i="1"/>
  <c r="BG30" i="1"/>
  <c r="BR37" i="1"/>
  <c r="BQ24" i="1"/>
  <c r="BD62" i="1"/>
  <c r="AK89" i="1"/>
  <c r="BD51" i="1"/>
  <c r="AO37" i="1"/>
  <c r="BH66" i="1"/>
  <c r="BV30" i="1"/>
  <c r="BE35" i="1"/>
  <c r="AI39" i="1"/>
  <c r="BC23" i="1"/>
  <c r="BK66" i="1"/>
  <c r="AW50" i="1"/>
  <c r="AR24" i="1"/>
  <c r="AR25" i="1" s="1"/>
  <c r="AN37" i="1"/>
  <c r="AU39" i="1"/>
  <c r="BS62" i="1"/>
  <c r="BQ54" i="1"/>
  <c r="BV60" i="1"/>
  <c r="BI54" i="1"/>
  <c r="BU37" i="1"/>
  <c r="AO62" i="1"/>
  <c r="BF30" i="1"/>
  <c r="BA30" i="1"/>
  <c r="AR54" i="1"/>
  <c r="AT38" i="1"/>
  <c r="BN35" i="1"/>
  <c r="BJ61" i="1"/>
  <c r="AR51" i="1"/>
  <c r="AR267" i="1" s="1"/>
  <c r="AU37" i="1"/>
  <c r="BV51" i="1"/>
  <c r="BH179" i="1"/>
  <c r="BI179" i="1" s="1"/>
  <c r="BV168" i="1"/>
  <c r="BV152" i="1"/>
  <c r="BW152" i="1" s="1"/>
  <c r="BV134" i="1"/>
  <c r="BH142" i="1"/>
  <c r="BI142" i="1" s="1"/>
  <c r="T89" i="1"/>
  <c r="S82" i="1"/>
  <c r="T94" i="1"/>
  <c r="T185" i="1"/>
  <c r="D88" i="1"/>
  <c r="C92" i="1"/>
  <c r="B175" i="1"/>
  <c r="P157" i="1"/>
  <c r="R89" i="1"/>
  <c r="B174" i="1"/>
  <c r="N148" i="1"/>
  <c r="V175" i="1"/>
  <c r="R132" i="1"/>
  <c r="D79" i="1"/>
  <c r="E88" i="1"/>
  <c r="L88" i="1"/>
  <c r="Q148" i="1"/>
  <c r="T139" i="1"/>
  <c r="D132" i="1"/>
  <c r="Q161" i="1"/>
  <c r="F158" i="1"/>
  <c r="F93" i="1"/>
  <c r="H178" i="1"/>
  <c r="BT66" i="1"/>
  <c r="BF40" i="1"/>
  <c r="BM24" i="1"/>
  <c r="BW62" i="1"/>
  <c r="BF37" i="1"/>
  <c r="AR36" i="1"/>
  <c r="BU29" i="1"/>
  <c r="AV39" i="1"/>
  <c r="BA38" i="1"/>
  <c r="BA51" i="1"/>
  <c r="BA267" i="1" s="1"/>
  <c r="AQ28" i="1"/>
  <c r="BJ37" i="1"/>
  <c r="BJ41" i="1" s="1"/>
  <c r="BM60" i="1"/>
  <c r="AQ23" i="1"/>
  <c r="BT54" i="1"/>
  <c r="AO40" i="1"/>
  <c r="BV36" i="1"/>
  <c r="AZ30" i="1"/>
  <c r="BI36" i="1"/>
  <c r="AN66" i="1"/>
  <c r="BO60" i="1"/>
  <c r="BR35" i="1"/>
  <c r="AX23" i="1"/>
  <c r="BG23" i="1"/>
  <c r="BN30" i="1"/>
  <c r="AI51" i="1"/>
  <c r="AI52" i="1" s="1"/>
  <c r="BV23" i="1"/>
  <c r="AS24" i="1"/>
  <c r="AY60" i="1"/>
  <c r="BN66" i="1"/>
  <c r="BW40" i="1"/>
  <c r="AT60" i="1"/>
  <c r="AQ54" i="1"/>
  <c r="BJ47" i="1"/>
  <c r="AS54" i="1"/>
  <c r="BH24" i="1"/>
  <c r="BQ37" i="1"/>
  <c r="BU39" i="1"/>
  <c r="BI24" i="1"/>
  <c r="BK28" i="1"/>
  <c r="BC62" i="1"/>
  <c r="AS61" i="1"/>
  <c r="BH161" i="1"/>
  <c r="BI161" i="1" s="1"/>
  <c r="BV155" i="1"/>
  <c r="BW155" i="1" s="1"/>
  <c r="BX217" i="1" s="1"/>
  <c r="BV179" i="1"/>
  <c r="BW179" i="1" s="1"/>
  <c r="BV169" i="1"/>
  <c r="BW169" i="1" s="1"/>
  <c r="BV161" i="1"/>
  <c r="BW161" i="1" s="1"/>
  <c r="M160" i="1"/>
  <c r="M195" i="1" s="1"/>
  <c r="R168" i="1"/>
  <c r="R198" i="1" s="1"/>
  <c r="I186" i="1"/>
  <c r="S178" i="1"/>
  <c r="L142" i="1"/>
  <c r="U160" i="1"/>
  <c r="U195" i="1" s="1"/>
  <c r="G92" i="1"/>
  <c r="J170" i="1"/>
  <c r="I140" i="1"/>
  <c r="B160" i="1"/>
  <c r="B195" i="1" s="1"/>
  <c r="W166" i="1"/>
  <c r="F147" i="1"/>
  <c r="L179" i="1"/>
  <c r="F164" i="1"/>
  <c r="S92" i="1"/>
  <c r="Q162" i="1"/>
  <c r="O94" i="1"/>
  <c r="C161" i="1"/>
  <c r="J186" i="1"/>
  <c r="B178" i="1"/>
  <c r="E186" i="1"/>
  <c r="D166" i="1"/>
  <c r="N186" i="1"/>
  <c r="BV150" i="1"/>
  <c r="BW150" i="1" s="1"/>
  <c r="BH168" i="1"/>
  <c r="U161" i="1"/>
  <c r="R186" i="1"/>
  <c r="S170" i="1"/>
  <c r="C151" i="1"/>
  <c r="M82" i="1"/>
  <c r="F185" i="1"/>
  <c r="U94" i="1"/>
  <c r="V137" i="1"/>
  <c r="F178" i="1"/>
  <c r="B179" i="1"/>
  <c r="E142" i="1"/>
  <c r="R174" i="1"/>
  <c r="G166" i="1"/>
  <c r="I141" i="1"/>
  <c r="I169" i="1" s="1"/>
  <c r="C88" i="1"/>
  <c r="U164" i="1"/>
  <c r="K94" i="1"/>
  <c r="J157" i="1"/>
  <c r="W157" i="1"/>
  <c r="P141" i="1"/>
  <c r="P169" i="1" s="1"/>
  <c r="S152" i="1"/>
  <c r="R160" i="1"/>
  <c r="R195" i="1" s="1"/>
  <c r="AS60" i="1"/>
  <c r="AY35" i="1"/>
  <c r="AS28" i="1"/>
  <c r="AS36" i="1"/>
  <c r="BH167" i="1"/>
  <c r="BI167" i="1" s="1"/>
  <c r="BH178" i="1"/>
  <c r="BI178" i="1" s="1"/>
  <c r="BH170" i="1"/>
  <c r="BI170" i="1" s="1"/>
  <c r="BH174" i="1"/>
  <c r="BH159" i="1"/>
  <c r="W137" i="1"/>
  <c r="C133" i="1"/>
  <c r="H158" i="1"/>
  <c r="B186" i="1"/>
  <c r="N164" i="1"/>
  <c r="B161" i="1"/>
  <c r="F159" i="1"/>
  <c r="F194" i="1" s="1"/>
  <c r="R133" i="1"/>
  <c r="J132" i="1"/>
  <c r="E160" i="1"/>
  <c r="E195" i="1" s="1"/>
  <c r="U151" i="1"/>
  <c r="S88" i="1"/>
  <c r="J175" i="1"/>
  <c r="G139" i="1"/>
  <c r="T92" i="1"/>
  <c r="B187" i="1"/>
  <c r="H133" i="1"/>
  <c r="U139" i="1"/>
  <c r="D93" i="1"/>
  <c r="R155" i="1"/>
  <c r="F151" i="1"/>
  <c r="R93" i="1"/>
  <c r="T141" i="1"/>
  <c r="T169" i="1" s="1"/>
  <c r="U155" i="1"/>
  <c r="S174" i="1"/>
  <c r="C157" i="1"/>
  <c r="T174" i="1"/>
  <c r="C185" i="1"/>
  <c r="O148" i="1"/>
  <c r="H186" i="1"/>
  <c r="BW23" i="1"/>
  <c r="BW7" i="1" s="1"/>
  <c r="AW61" i="1"/>
  <c r="BU24" i="1"/>
  <c r="BC37" i="1"/>
  <c r="AU36" i="1"/>
  <c r="BF60" i="1"/>
  <c r="AQ24" i="1"/>
  <c r="BB39" i="1"/>
  <c r="BN24" i="1"/>
  <c r="AW36" i="1"/>
  <c r="BC38" i="1"/>
  <c r="BJ50" i="1"/>
  <c r="BN40" i="1"/>
  <c r="AZ39" i="1"/>
  <c r="BS23" i="1"/>
  <c r="BS246" i="1" s="1"/>
  <c r="BK62" i="1"/>
  <c r="AU29" i="1"/>
  <c r="BB47" i="1"/>
  <c r="BB61" i="1"/>
  <c r="BW61" i="1"/>
  <c r="AV47" i="1"/>
  <c r="AV209" i="1" s="1"/>
  <c r="AR29" i="1"/>
  <c r="BU61" i="1"/>
  <c r="BP61" i="1"/>
  <c r="BV66" i="1"/>
  <c r="BE38" i="1"/>
  <c r="BS60" i="1"/>
  <c r="BF24" i="1"/>
  <c r="BJ51" i="1"/>
  <c r="BJ267" i="1" s="1"/>
  <c r="AP50" i="1"/>
  <c r="AZ37" i="1"/>
  <c r="AV36" i="1"/>
  <c r="BW66" i="1"/>
  <c r="BB30" i="1"/>
  <c r="BD54" i="1"/>
  <c r="BU50" i="1"/>
  <c r="AZ38" i="1"/>
  <c r="BR39" i="1"/>
  <c r="AX47" i="1"/>
  <c r="AX209" i="1" s="1"/>
  <c r="AU23" i="1"/>
  <c r="AU246" i="1" s="1"/>
  <c r="BI51" i="1"/>
  <c r="AI60" i="1"/>
  <c r="BV47" i="1"/>
  <c r="BV209" i="1" s="1"/>
  <c r="AX36" i="1"/>
  <c r="AI36" i="1"/>
  <c r="BS29" i="1"/>
  <c r="BM39" i="1"/>
  <c r="BP35" i="1"/>
  <c r="BM47" i="1"/>
  <c r="BM218" i="1" s="1"/>
  <c r="BM216" i="1" s="1"/>
  <c r="BT29" i="1"/>
  <c r="BC54" i="1"/>
  <c r="BO37" i="1"/>
  <c r="BJ24" i="1"/>
  <c r="BJ25" i="1" s="1"/>
  <c r="BJ31" i="1" s="1"/>
  <c r="BM36" i="1"/>
  <c r="BK37" i="1"/>
  <c r="BO35" i="1"/>
  <c r="BD29" i="1"/>
  <c r="BM66" i="1"/>
  <c r="BV137" i="1"/>
  <c r="BW137" i="1" s="1"/>
  <c r="BV140" i="1"/>
  <c r="BW140" i="1" s="1"/>
  <c r="BH141" i="1"/>
  <c r="BI141" i="1" s="1"/>
  <c r="BV166" i="1"/>
  <c r="BW166" i="1" s="1"/>
  <c r="K175" i="1"/>
  <c r="L94" i="1"/>
  <c r="P139" i="1"/>
  <c r="V161" i="1"/>
  <c r="C132" i="1"/>
  <c r="M168" i="1"/>
  <c r="M198" i="1" s="1"/>
  <c r="Q137" i="1"/>
  <c r="J185" i="1"/>
  <c r="G162" i="1"/>
  <c r="J88" i="1"/>
  <c r="N161" i="1"/>
  <c r="O150" i="1"/>
  <c r="O146" i="1" s="1"/>
  <c r="W140" i="1"/>
  <c r="U187" i="1"/>
  <c r="S179" i="1"/>
  <c r="U147" i="1"/>
  <c r="D168" i="1"/>
  <c r="D198" i="1" s="1"/>
  <c r="R137" i="1"/>
  <c r="R178" i="1"/>
  <c r="W82" i="1"/>
  <c r="N179" i="1"/>
  <c r="J137" i="1"/>
  <c r="Q175" i="1"/>
  <c r="BP51" i="1"/>
  <c r="AV28" i="1"/>
  <c r="BN37" i="1"/>
  <c r="BJ89" i="1"/>
  <c r="BN50" i="1"/>
  <c r="AI88" i="1"/>
  <c r="BV167" i="1"/>
  <c r="BW167" i="1" s="1"/>
  <c r="BV158" i="1"/>
  <c r="BW158" i="1" s="1"/>
  <c r="BV146" i="1"/>
  <c r="N94" i="1"/>
  <c r="C93" i="1"/>
  <c r="G187" i="1"/>
  <c r="G160" i="1"/>
  <c r="G195" i="1" s="1"/>
  <c r="G147" i="1"/>
  <c r="S150" i="1"/>
  <c r="S146" i="1" s="1"/>
  <c r="F162" i="1"/>
  <c r="G151" i="1"/>
  <c r="R139" i="1"/>
  <c r="P162" i="1"/>
  <c r="M89" i="1"/>
  <c r="Q159" i="1"/>
  <c r="Q194" i="1" s="1"/>
  <c r="E168" i="1"/>
  <c r="E198" i="1" s="1"/>
  <c r="C155" i="1"/>
  <c r="B92" i="1"/>
  <c r="F166" i="1"/>
  <c r="R187" i="1"/>
  <c r="S151" i="1"/>
  <c r="D78" i="1"/>
  <c r="E132" i="1"/>
  <c r="C94" i="1"/>
  <c r="J178" i="1"/>
  <c r="C174" i="1"/>
  <c r="T82" i="1"/>
  <c r="V159" i="1"/>
  <c r="V194" i="1" s="1"/>
  <c r="R82" i="1"/>
  <c r="O187" i="1"/>
  <c r="F142" i="1"/>
  <c r="L174" i="1"/>
  <c r="T88" i="1"/>
  <c r="N147" i="1"/>
  <c r="D165" i="1"/>
  <c r="W161" i="1"/>
  <c r="F140" i="1"/>
  <c r="Q82" i="1"/>
  <c r="Q92" i="1"/>
  <c r="V170" i="1"/>
  <c r="D92" i="1"/>
  <c r="BV38" i="1"/>
  <c r="AO39" i="1"/>
  <c r="BE47" i="1"/>
  <c r="BE209" i="1" s="1"/>
  <c r="BP50" i="1"/>
  <c r="AY30" i="1"/>
  <c r="AU66" i="1"/>
  <c r="AI29" i="1"/>
  <c r="BT24" i="1"/>
  <c r="BE51" i="1"/>
  <c r="AX39" i="1"/>
  <c r="AY66" i="1"/>
  <c r="BC60" i="1"/>
  <c r="BD38" i="1"/>
  <c r="BF51" i="1"/>
  <c r="AP29" i="1"/>
  <c r="BG60" i="1"/>
  <c r="AN47" i="1"/>
  <c r="AY29" i="1"/>
  <c r="AT39" i="1"/>
  <c r="AX51" i="1"/>
  <c r="BV28" i="1"/>
  <c r="BS35" i="1"/>
  <c r="BH166" i="1"/>
  <c r="BI166" i="1" s="1"/>
  <c r="BH88" i="1"/>
  <c r="BH139" i="1"/>
  <c r="BI139" i="1" s="1"/>
  <c r="BV165" i="1"/>
  <c r="BW165" i="1" s="1"/>
  <c r="BV142" i="1"/>
  <c r="BW142" i="1" s="1"/>
  <c r="BH165" i="1"/>
  <c r="BI165" i="1" s="1"/>
  <c r="S147" i="1"/>
  <c r="B94" i="1"/>
  <c r="I152" i="1"/>
  <c r="J92" i="1"/>
  <c r="J160" i="1"/>
  <c r="J195" i="1" s="1"/>
  <c r="D158" i="1"/>
  <c r="C152" i="1"/>
  <c r="I178" i="1"/>
  <c r="G152" i="1"/>
  <c r="I150" i="1"/>
  <c r="I146" i="1" s="1"/>
  <c r="E93" i="1"/>
  <c r="V92" i="1"/>
  <c r="K170" i="1"/>
  <c r="S140" i="1"/>
  <c r="N141" i="1"/>
  <c r="N169" i="1" s="1"/>
  <c r="V174" i="1"/>
  <c r="C137" i="1"/>
  <c r="F139" i="1"/>
  <c r="K187" i="1"/>
  <c r="BS54" i="1"/>
  <c r="AY37" i="1"/>
  <c r="BI23" i="1"/>
  <c r="AI61" i="1"/>
  <c r="BM54" i="1"/>
  <c r="AP61" i="1"/>
  <c r="AX35" i="1"/>
  <c r="AI35" i="1"/>
  <c r="BD30" i="1"/>
  <c r="AX30" i="1"/>
  <c r="BM38" i="1"/>
  <c r="AQ60" i="1"/>
  <c r="AZ54" i="1"/>
  <c r="BC24" i="1"/>
  <c r="AQ36" i="1"/>
  <c r="BC36" i="1"/>
  <c r="BG24" i="1"/>
  <c r="AY54" i="1"/>
  <c r="BE62" i="1"/>
  <c r="BP62" i="1"/>
  <c r="AI38" i="1"/>
  <c r="BS36" i="1"/>
  <c r="BO24" i="1"/>
  <c r="AV50" i="1"/>
  <c r="AX28" i="1"/>
  <c r="AT66" i="1"/>
  <c r="BK24" i="1"/>
  <c r="BO66" i="1"/>
  <c r="AN40" i="1"/>
  <c r="BH62" i="1"/>
  <c r="BW37" i="1"/>
  <c r="BQ60" i="1"/>
  <c r="AX38" i="1"/>
  <c r="BA47" i="1"/>
  <c r="BM37" i="1"/>
  <c r="AQ66" i="1"/>
  <c r="BB51" i="1"/>
  <c r="AS62" i="1"/>
  <c r="AY36" i="1"/>
  <c r="BT50" i="1"/>
  <c r="BB60" i="1"/>
  <c r="AQ50" i="1"/>
  <c r="AW62" i="1"/>
  <c r="BT61" i="1"/>
  <c r="BF61" i="1"/>
  <c r="BH50" i="1"/>
  <c r="BC39" i="1"/>
  <c r="BO39" i="1"/>
  <c r="AS39" i="1"/>
  <c r="AV51" i="1"/>
  <c r="BD60" i="1"/>
  <c r="AS30" i="1"/>
  <c r="BE23" i="1"/>
  <c r="BE246" i="1" s="1"/>
  <c r="AV60" i="1"/>
  <c r="BF23" i="1"/>
  <c r="AT62" i="1"/>
  <c r="BI40" i="1"/>
  <c r="BV29" i="1"/>
  <c r="AI47" i="1"/>
  <c r="BH169" i="1"/>
  <c r="BI169" i="1" s="1"/>
  <c r="BV139" i="1"/>
  <c r="BV178" i="1"/>
  <c r="BW178" i="1" s="1"/>
  <c r="B147" i="1"/>
  <c r="L139" i="1"/>
  <c r="W185" i="1"/>
  <c r="F165" i="1"/>
  <c r="V166" i="1"/>
  <c r="B165" i="1"/>
  <c r="Q151" i="1"/>
  <c r="F152" i="1"/>
  <c r="P133" i="1"/>
  <c r="C160" i="1"/>
  <c r="C195" i="1" s="1"/>
  <c r="L93" i="1"/>
  <c r="I148" i="1"/>
  <c r="S141" i="1"/>
  <c r="S169" i="1" s="1"/>
  <c r="K142" i="1"/>
  <c r="C141" i="1"/>
  <c r="C169" i="1" s="1"/>
  <c r="L132" i="1"/>
  <c r="J133" i="1"/>
  <c r="E141" i="1"/>
  <c r="E169" i="1" s="1"/>
  <c r="L159" i="1"/>
  <c r="L194" i="1" s="1"/>
  <c r="V147" i="1"/>
  <c r="D186" i="1"/>
  <c r="BW36" i="1"/>
  <c r="BA35" i="1"/>
  <c r="BW28" i="1"/>
  <c r="AV62" i="1"/>
  <c r="BJ66" i="1"/>
  <c r="AU38" i="1"/>
  <c r="BW51" i="1"/>
  <c r="AI54" i="1"/>
  <c r="BA40" i="1"/>
  <c r="AT23" i="1"/>
  <c r="BQ66" i="1"/>
  <c r="AW23" i="1"/>
  <c r="BB23" i="1"/>
  <c r="BH61" i="1"/>
  <c r="BI62" i="1"/>
  <c r="AV30" i="1"/>
  <c r="BA50" i="1"/>
  <c r="BG50" i="1"/>
  <c r="BV40" i="1"/>
  <c r="BR60" i="1"/>
  <c r="AO38" i="1"/>
  <c r="BN54" i="1"/>
  <c r="BC30" i="1"/>
  <c r="AS23" i="1"/>
  <c r="BM23" i="1"/>
  <c r="BU51" i="1"/>
  <c r="BT38" i="1"/>
  <c r="AZ35" i="1"/>
  <c r="AP39" i="1"/>
  <c r="BH29" i="1"/>
  <c r="BK40" i="1"/>
  <c r="BH28" i="1"/>
  <c r="BM62" i="1"/>
  <c r="AP40" i="1"/>
  <c r="BU38" i="1"/>
  <c r="AS51" i="1"/>
  <c r="BD35" i="1"/>
  <c r="AM61" i="1"/>
  <c r="AS50" i="1"/>
  <c r="BV50" i="1"/>
  <c r="BN36" i="1"/>
  <c r="AX61" i="1"/>
  <c r="AM66" i="1"/>
  <c r="AK88" i="1"/>
  <c r="AP35" i="1"/>
  <c r="AN36" i="1"/>
  <c r="AZ50" i="1"/>
  <c r="BH132" i="1"/>
  <c r="BI132" i="1" s="1"/>
  <c r="BV159" i="1"/>
  <c r="BH150" i="1"/>
  <c r="BI150" i="1" s="1"/>
  <c r="B142" i="1"/>
  <c r="J148" i="1"/>
  <c r="U137" i="1"/>
  <c r="M152" i="1"/>
  <c r="S166" i="1"/>
  <c r="B162" i="1"/>
  <c r="S187" i="1"/>
  <c r="Q158" i="1"/>
  <c r="M178" i="1"/>
  <c r="Q155" i="1"/>
  <c r="J155" i="1"/>
  <c r="K162" i="1"/>
  <c r="D151" i="1"/>
  <c r="B146" i="1"/>
  <c r="D94" i="1"/>
  <c r="M166" i="1"/>
  <c r="C168" i="1"/>
  <c r="C198" i="1" s="1"/>
  <c r="P187" i="1"/>
  <c r="H142" i="1"/>
  <c r="V179" i="1"/>
  <c r="S133" i="1"/>
  <c r="E89" i="1"/>
  <c r="BD37" i="1"/>
  <c r="BK23" i="1"/>
  <c r="AO66" i="1"/>
  <c r="BW38" i="1"/>
  <c r="BP60" i="1"/>
  <c r="AP36" i="1"/>
  <c r="AI30" i="1"/>
  <c r="BW24" i="1"/>
  <c r="BV37" i="1"/>
  <c r="AQ62" i="1"/>
  <c r="AS37" i="1"/>
  <c r="AT29" i="1"/>
  <c r="AQ35" i="1"/>
  <c r="BU62" i="1"/>
  <c r="BQ39" i="1"/>
  <c r="BR30" i="1"/>
  <c r="BU23" i="1"/>
  <c r="AY47" i="1"/>
  <c r="BK35" i="1"/>
  <c r="BO54" i="1"/>
  <c r="BP28" i="1"/>
  <c r="BS47" i="1"/>
  <c r="BS209" i="1" s="1"/>
  <c r="AS47" i="1"/>
  <c r="BQ23" i="1"/>
  <c r="BA54" i="1"/>
  <c r="BR40" i="1"/>
  <c r="BT28" i="1"/>
  <c r="AO24" i="1"/>
  <c r="BA61" i="1"/>
  <c r="AU28" i="1"/>
  <c r="BG38" i="1"/>
  <c r="AW47" i="1"/>
  <c r="BN60" i="1"/>
  <c r="AP54" i="1"/>
  <c r="AY50" i="1"/>
  <c r="BI38" i="1"/>
  <c r="BU54" i="1"/>
  <c r="AP37" i="1"/>
  <c r="AO61" i="1"/>
  <c r="BS24" i="1"/>
  <c r="BH23" i="1"/>
  <c r="AN61" i="1"/>
  <c r="AR62" i="1"/>
  <c r="BW50" i="1"/>
  <c r="AR47" i="1"/>
  <c r="AR209" i="1" s="1"/>
  <c r="AV40" i="1"/>
  <c r="BH37" i="1"/>
  <c r="AP60" i="1"/>
  <c r="BH30" i="1"/>
  <c r="BV35" i="1"/>
  <c r="BB40" i="1"/>
  <c r="BN38" i="1"/>
  <c r="AZ61" i="1"/>
  <c r="BE40" i="1"/>
  <c r="BC29" i="1"/>
  <c r="BH60" i="1"/>
  <c r="AN23" i="1"/>
  <c r="BB29" i="1"/>
  <c r="AW35" i="1"/>
  <c r="BF39" i="1"/>
  <c r="BQ29" i="1"/>
  <c r="BF28" i="1"/>
  <c r="AZ51" i="1"/>
  <c r="AX40" i="1"/>
  <c r="BB35" i="1"/>
  <c r="AN24" i="1"/>
  <c r="BH164" i="1"/>
  <c r="BI164" i="1" s="1"/>
  <c r="BV174" i="1"/>
  <c r="BH134" i="1"/>
  <c r="U186" i="1"/>
  <c r="F179" i="1"/>
  <c r="U179" i="1"/>
  <c r="D160" i="1"/>
  <c r="D195" i="1" s="1"/>
  <c r="H161" i="1"/>
  <c r="C89" i="1"/>
  <c r="L152" i="1"/>
  <c r="J179" i="1"/>
  <c r="W162" i="1"/>
  <c r="W150" i="1"/>
  <c r="W146" i="1" s="1"/>
  <c r="T134" i="1"/>
  <c r="H165" i="1"/>
  <c r="L147" i="1"/>
  <c r="L165" i="1"/>
  <c r="Q134" i="1"/>
  <c r="K148" i="1"/>
  <c r="P93" i="1"/>
  <c r="M186" i="1"/>
  <c r="M134" i="1"/>
  <c r="J165" i="1"/>
  <c r="T152" i="1"/>
  <c r="V186" i="1"/>
  <c r="I174" i="1"/>
  <c r="I175" i="1"/>
  <c r="I176" i="1" s="1"/>
  <c r="J224" i="1" s="1"/>
  <c r="I142" i="1"/>
  <c r="BF62" i="1"/>
  <c r="BC35" i="1"/>
  <c r="BM30" i="1"/>
  <c r="BG61" i="1"/>
  <c r="AI62" i="1"/>
  <c r="BO38" i="1"/>
  <c r="BK29" i="1"/>
  <c r="BW35" i="1"/>
  <c r="BI61" i="1"/>
  <c r="BB50" i="1"/>
  <c r="BJ88" i="1"/>
  <c r="BD24" i="1"/>
  <c r="BD40" i="1"/>
  <c r="AN54" i="1"/>
  <c r="BH36" i="1"/>
  <c r="BA66" i="1"/>
  <c r="AY51" i="1"/>
  <c r="AR61" i="1"/>
  <c r="BB24" i="1"/>
  <c r="AR37" i="1"/>
  <c r="BT39" i="1"/>
  <c r="AO36" i="1"/>
  <c r="AY39" i="1"/>
  <c r="AT50" i="1"/>
  <c r="BI30" i="1"/>
  <c r="AZ40" i="1"/>
  <c r="BB37" i="1"/>
  <c r="AQ29" i="1"/>
  <c r="BT30" i="1"/>
  <c r="BE54" i="1"/>
  <c r="BR47" i="1"/>
  <c r="BD36" i="1"/>
  <c r="AW29" i="1"/>
  <c r="AO29" i="1"/>
  <c r="AR39" i="1"/>
  <c r="AW39" i="1"/>
  <c r="BW39" i="1"/>
  <c r="BN51" i="1"/>
  <c r="BN47" i="1"/>
  <c r="AS29" i="1"/>
  <c r="BU35" i="1"/>
  <c r="AO23" i="1"/>
  <c r="AN28" i="1"/>
  <c r="BF54" i="1"/>
  <c r="AZ29" i="1"/>
  <c r="BC61" i="1"/>
  <c r="BI50" i="1"/>
  <c r="BO47" i="1"/>
  <c r="BO209" i="1" s="1"/>
  <c r="AU30" i="1"/>
  <c r="BG37" i="1"/>
  <c r="AX24" i="1"/>
  <c r="BM28" i="1"/>
  <c r="AU35" i="1"/>
  <c r="BT51" i="1"/>
  <c r="AP66" i="1"/>
  <c r="BE30" i="1"/>
  <c r="BS37" i="1"/>
  <c r="BK60" i="1"/>
  <c r="BD61" i="1"/>
  <c r="BA39" i="1"/>
  <c r="BG51" i="1"/>
  <c r="AO47" i="1"/>
  <c r="BR24" i="1"/>
  <c r="BP36" i="1"/>
  <c r="BO23" i="1"/>
  <c r="BO246" i="1" s="1"/>
  <c r="BH152" i="1"/>
  <c r="BI152" i="1" s="1"/>
  <c r="BH147" i="1"/>
  <c r="BV162" i="1"/>
  <c r="BW162" i="1" s="1"/>
  <c r="BH140" i="1"/>
  <c r="BI140" i="1" s="1"/>
  <c r="BV157" i="1"/>
  <c r="BW157" i="1" s="1"/>
  <c r="BH155" i="1"/>
  <c r="BI155" i="1" s="1"/>
  <c r="BJ217" i="1" s="1"/>
  <c r="BV132" i="1"/>
  <c r="BW132" i="1" s="1"/>
  <c r="D133" i="1"/>
  <c r="W151" i="1"/>
  <c r="W168" i="1"/>
  <c r="F175" i="1"/>
  <c r="W175" i="1"/>
  <c r="O166" i="1"/>
  <c r="I165" i="1"/>
  <c r="B78" i="1"/>
  <c r="G133" i="1"/>
  <c r="H137" i="1"/>
  <c r="L161" i="1"/>
  <c r="M92" i="1"/>
  <c r="D164" i="1"/>
  <c r="P174" i="1"/>
  <c r="P176" i="1" s="1"/>
  <c r="Q224" i="1" s="1"/>
  <c r="O134" i="1"/>
  <c r="I159" i="1"/>
  <c r="I194" i="1" s="1"/>
  <c r="F82" i="1"/>
  <c r="L150" i="1"/>
  <c r="L146" i="1" s="1"/>
  <c r="W94" i="1"/>
  <c r="J166" i="1"/>
  <c r="N151" i="1"/>
  <c r="L185" i="1"/>
  <c r="BH146" i="1"/>
  <c r="M139" i="1"/>
  <c r="T148" i="1"/>
  <c r="D175" i="1"/>
  <c r="M147" i="1"/>
  <c r="D141" i="1"/>
  <c r="D169" i="1" s="1"/>
  <c r="O140" i="1"/>
  <c r="J158" i="1"/>
  <c r="H174" i="1"/>
  <c r="E137" i="1"/>
  <c r="Q93" i="1"/>
  <c r="R142" i="1"/>
  <c r="D89" i="1"/>
  <c r="L151" i="1"/>
  <c r="W141" i="1"/>
  <c r="W169" i="1" s="1"/>
  <c r="R179" i="1"/>
  <c r="M161" i="1"/>
  <c r="C78" i="1"/>
  <c r="D142" i="1"/>
  <c r="W93" i="1"/>
  <c r="W142" i="1"/>
  <c r="H134" i="1"/>
  <c r="E134" i="1"/>
  <c r="T160" i="1"/>
  <c r="T195" i="1" s="1"/>
  <c r="S132" i="1"/>
  <c r="V152" i="1"/>
  <c r="P161" i="1"/>
  <c r="W165" i="1"/>
  <c r="G161" i="1"/>
  <c r="T179" i="1"/>
  <c r="J152" i="1"/>
  <c r="H139" i="1"/>
  <c r="E151" i="1"/>
  <c r="C159" i="1"/>
  <c r="C194" i="1" s="1"/>
  <c r="W89" i="1"/>
  <c r="T175" i="1"/>
  <c r="D152" i="1"/>
  <c r="E157" i="1"/>
  <c r="G132" i="1"/>
  <c r="R94" i="1"/>
  <c r="H93" i="1"/>
  <c r="G186" i="1"/>
  <c r="P151" i="1"/>
  <c r="O141" i="1"/>
  <c r="O169" i="1" s="1"/>
  <c r="I170" i="1"/>
  <c r="I139" i="1"/>
  <c r="B155" i="1"/>
  <c r="B157" i="1"/>
  <c r="E155" i="1"/>
  <c r="I162" i="1"/>
  <c r="H159" i="1"/>
  <c r="H194" i="1" s="1"/>
  <c r="R150" i="1"/>
  <c r="R146" i="1" s="1"/>
  <c r="V158" i="1"/>
  <c r="H179" i="1"/>
  <c r="G88" i="1"/>
  <c r="C164" i="1"/>
  <c r="N168" i="1"/>
  <c r="N198" i="1" s="1"/>
  <c r="W164" i="1"/>
  <c r="Q186" i="1"/>
  <c r="I164" i="1"/>
  <c r="J159" i="1"/>
  <c r="J194" i="1" s="1"/>
  <c r="N132" i="1"/>
  <c r="L82" i="1"/>
  <c r="U93" i="1"/>
  <c r="W158" i="1"/>
  <c r="K186" i="1"/>
  <c r="L187" i="1"/>
  <c r="H94" i="1"/>
  <c r="L140" i="1"/>
  <c r="S137" i="1"/>
  <c r="T170" i="1"/>
  <c r="V140" i="1"/>
  <c r="K137" i="1"/>
  <c r="G185" i="1"/>
  <c r="Q165" i="1"/>
  <c r="O139" i="1"/>
  <c r="L175" i="1"/>
  <c r="J141" i="1"/>
  <c r="J169" i="1" s="1"/>
  <c r="B133" i="1"/>
  <c r="D161" i="1"/>
  <c r="L137" i="1"/>
  <c r="U162" i="1"/>
  <c r="U158" i="1"/>
  <c r="C82" i="1"/>
  <c r="K164" i="1"/>
  <c r="Q142" i="1"/>
  <c r="W187" i="1"/>
  <c r="T151" i="1"/>
  <c r="O93" i="1"/>
  <c r="E170" i="1"/>
  <c r="K88" i="1"/>
  <c r="D148" i="1"/>
  <c r="H162" i="1"/>
  <c r="U174" i="1"/>
  <c r="M164" i="1"/>
  <c r="H92" i="1"/>
  <c r="O151" i="1"/>
  <c r="Q150" i="1"/>
  <c r="Q146" i="1" s="1"/>
  <c r="J164" i="1"/>
  <c r="H175" i="1"/>
  <c r="M148" i="1"/>
  <c r="E164" i="1"/>
  <c r="C175" i="1"/>
  <c r="C162" i="1"/>
  <c r="K150" i="1"/>
  <c r="K146" i="1" s="1"/>
  <c r="N160" i="1"/>
  <c r="N195" i="1" s="1"/>
  <c r="B166" i="1"/>
  <c r="L157" i="1"/>
  <c r="Q157" i="1"/>
  <c r="W159" i="1"/>
  <c r="G155" i="1"/>
  <c r="R157" i="1"/>
  <c r="I158" i="1"/>
  <c r="Q179" i="1"/>
  <c r="Q89" i="1"/>
  <c r="V162" i="1"/>
  <c r="N150" i="1"/>
  <c r="N146" i="1" s="1"/>
  <c r="E165" i="1"/>
  <c r="D155" i="1"/>
  <c r="T147" i="1"/>
  <c r="I161" i="1"/>
  <c r="I147" i="1"/>
  <c r="V93" i="1"/>
  <c r="D185" i="1"/>
  <c r="K160" i="1"/>
  <c r="K195" i="1" s="1"/>
  <c r="S162" i="1"/>
  <c r="M157" i="1"/>
  <c r="V151" i="1"/>
  <c r="R147" i="1"/>
  <c r="V141" i="1"/>
  <c r="V169" i="1" s="1"/>
  <c r="P159" i="1"/>
  <c r="P194" i="1" s="1"/>
  <c r="K165" i="1"/>
  <c r="H89" i="1"/>
  <c r="N175" i="1"/>
  <c r="S164" i="1"/>
  <c r="C147" i="1"/>
  <c r="M88" i="1"/>
  <c r="S186" i="1"/>
  <c r="S134" i="1"/>
  <c r="L170" i="1"/>
  <c r="C146" i="1"/>
  <c r="O147" i="1"/>
  <c r="D150" i="1"/>
  <c r="S175" i="1"/>
  <c r="D146" i="1"/>
  <c r="V187" i="1"/>
  <c r="V94" i="1"/>
  <c r="T157" i="1"/>
  <c r="W179" i="1"/>
  <c r="I134" i="1"/>
  <c r="J168" i="1"/>
  <c r="J198" i="1" s="1"/>
  <c r="R92" i="1"/>
  <c r="S94" i="1"/>
  <c r="L155" i="1"/>
  <c r="U152" i="1"/>
  <c r="O164" i="1"/>
  <c r="E187" i="1"/>
  <c r="R148" i="1"/>
  <c r="O137" i="1"/>
  <c r="K152" i="1"/>
  <c r="W88" i="1"/>
  <c r="O160" i="1"/>
  <c r="O195" i="1" s="1"/>
  <c r="D140" i="1"/>
  <c r="F148" i="1"/>
  <c r="F150" i="1"/>
  <c r="F146" i="1" s="1"/>
  <c r="N152" i="1"/>
  <c r="H82" i="1"/>
  <c r="P150" i="1"/>
  <c r="P146" i="1" s="1"/>
  <c r="I160" i="1"/>
  <c r="I195" i="1" s="1"/>
  <c r="D162" i="1"/>
  <c r="F141" i="1"/>
  <c r="F169" i="1" s="1"/>
  <c r="S155" i="1"/>
  <c r="S142" i="1"/>
  <c r="H141" i="1"/>
  <c r="H169" i="1" s="1"/>
  <c r="E161" i="1"/>
  <c r="L186" i="1"/>
  <c r="L134" i="1"/>
  <c r="D187" i="1"/>
  <c r="U142" i="1"/>
  <c r="V132" i="1"/>
  <c r="I133" i="1"/>
  <c r="D179" i="1"/>
  <c r="J140" i="1"/>
  <c r="N82" i="1"/>
  <c r="K161" i="1"/>
  <c r="M94" i="1"/>
  <c r="I151" i="1"/>
  <c r="W133" i="1"/>
  <c r="G142" i="1"/>
  <c r="H150" i="1"/>
  <c r="H146" i="1" s="1"/>
  <c r="Q88" i="1"/>
  <c r="C150" i="1"/>
  <c r="V168" i="1"/>
  <c r="V198" i="1" s="1"/>
  <c r="V133" i="1"/>
  <c r="Q147" i="1"/>
  <c r="B139" i="1"/>
  <c r="E178" i="1"/>
  <c r="Q141" i="1"/>
  <c r="Q169" i="1" s="1"/>
  <c r="O132" i="1"/>
  <c r="K132" i="1"/>
  <c r="E92" i="1"/>
  <c r="N92" i="1"/>
  <c r="R161" i="1"/>
  <c r="E133" i="1"/>
  <c r="H160" i="1"/>
  <c r="H195" i="1" s="1"/>
  <c r="R134" i="1"/>
  <c r="K140" i="1"/>
  <c r="O133" i="1"/>
  <c r="Q140" i="1"/>
  <c r="J94" i="1"/>
  <c r="U157" i="1"/>
  <c r="B152" i="1"/>
  <c r="I187" i="1"/>
  <c r="P147" i="1"/>
  <c r="H185" i="1"/>
  <c r="I155" i="1"/>
  <c r="G82" i="1"/>
  <c r="U178" i="1"/>
  <c r="E94" i="1"/>
  <c r="B132" i="1"/>
  <c r="M137" i="1"/>
  <c r="P185" i="1"/>
  <c r="F155" i="1"/>
  <c r="T162" i="1"/>
  <c r="O159" i="1"/>
  <c r="O194" i="1" s="1"/>
  <c r="S159" i="1"/>
  <c r="S194" i="1" s="1"/>
  <c r="O179" i="1"/>
  <c r="R162" i="1"/>
  <c r="N89" i="1"/>
  <c r="W174" i="1"/>
  <c r="G148" i="1"/>
  <c r="S160" i="1"/>
  <c r="S195" i="1" s="1"/>
  <c r="S148" i="1"/>
  <c r="D82" i="1"/>
  <c r="K185" i="1"/>
  <c r="M165" i="1"/>
  <c r="N140" i="1"/>
  <c r="Q152" i="1"/>
  <c r="U92" i="1"/>
  <c r="G93" i="1"/>
  <c r="W186" i="1"/>
  <c r="B137" i="1"/>
  <c r="R151" i="1"/>
  <c r="F88" i="1"/>
  <c r="G141" i="1"/>
  <c r="G169" i="1" s="1"/>
  <c r="K82" i="1"/>
  <c r="U82" i="1"/>
  <c r="V142" i="1"/>
  <c r="Q185" i="1"/>
  <c r="C79" i="1"/>
  <c r="P186" i="1"/>
  <c r="L89" i="1"/>
  <c r="T142" i="1"/>
  <c r="R88" i="1"/>
  <c r="P160" i="1"/>
  <c r="P195" i="1" s="1"/>
  <c r="E166" i="1"/>
  <c r="V160" i="1"/>
  <c r="V195" i="1" s="1"/>
  <c r="P178" i="1"/>
  <c r="C170" i="1"/>
  <c r="P152" i="1"/>
  <c r="U134" i="1"/>
  <c r="M175" i="1"/>
  <c r="K166" i="1"/>
  <c r="B185" i="1"/>
  <c r="B188" i="1" s="1"/>
  <c r="R185" i="1"/>
  <c r="J161" i="1"/>
  <c r="E162" i="1"/>
  <c r="R165" i="1"/>
  <c r="J187" i="1"/>
  <c r="F160" i="1"/>
  <c r="F195" i="1" s="1"/>
  <c r="J150" i="1"/>
  <c r="J146" i="1" s="1"/>
  <c r="D147" i="1"/>
  <c r="R152" i="1"/>
  <c r="O158" i="1"/>
  <c r="F157" i="1"/>
  <c r="D174" i="1"/>
  <c r="O165" i="1"/>
  <c r="G165" i="1"/>
  <c r="T178" i="1"/>
  <c r="P134" i="1"/>
  <c r="J89" i="1"/>
  <c r="U159" i="1"/>
  <c r="U194" i="1" s="1"/>
  <c r="G157" i="1"/>
  <c r="E140" i="1"/>
  <c r="S93" i="1"/>
  <c r="P92" i="1"/>
  <c r="Q160" i="1"/>
  <c r="Q195" i="1" s="1"/>
  <c r="C166" i="1"/>
  <c r="M159" i="1"/>
  <c r="M194" i="1" s="1"/>
  <c r="U89" i="1"/>
  <c r="V139" i="1"/>
  <c r="R175" i="1"/>
  <c r="R176" i="1" s="1"/>
  <c r="K89" i="1"/>
  <c r="K157" i="1"/>
  <c r="J162" i="1"/>
  <c r="L168" i="1"/>
  <c r="L198" i="1" s="1"/>
  <c r="V155" i="1"/>
  <c r="V89" i="1"/>
  <c r="M93" i="1"/>
  <c r="O155" i="1"/>
  <c r="O152" i="1"/>
  <c r="C179" i="1"/>
  <c r="F137" i="1"/>
  <c r="N178" i="1"/>
  <c r="W178" i="1"/>
  <c r="N159" i="1"/>
  <c r="N194" i="1" s="1"/>
  <c r="H152" i="1"/>
  <c r="F92" i="1"/>
  <c r="I88" i="1"/>
  <c r="K174" i="1"/>
  <c r="I93" i="1"/>
  <c r="T133" i="1"/>
  <c r="T161" i="1"/>
  <c r="J93" i="1"/>
  <c r="O185" i="1"/>
  <c r="P179" i="1"/>
  <c r="J174" i="1"/>
  <c r="J176" i="1" s="1"/>
  <c r="K224" i="1" s="1"/>
  <c r="N142" i="1"/>
  <c r="L92" i="1"/>
  <c r="AX54" i="1"/>
  <c r="BV147" i="1"/>
  <c r="BH148" i="1"/>
  <c r="BV170" i="1"/>
  <c r="BW170" i="1" s="1"/>
  <c r="BH89" i="1"/>
  <c r="BV175" i="1"/>
  <c r="BH157" i="1"/>
  <c r="BI157" i="1" s="1"/>
  <c r="BV148" i="1"/>
  <c r="B141" i="1"/>
  <c r="B169" i="1" s="1"/>
  <c r="L133" i="1"/>
  <c r="V88" i="1"/>
  <c r="P165" i="1"/>
  <c r="P158" i="1"/>
  <c r="O142" i="1"/>
  <c r="F133" i="1"/>
  <c r="O170" i="1"/>
  <c r="C142" i="1"/>
  <c r="P164" i="1"/>
  <c r="V150" i="1"/>
  <c r="V146" i="1" s="1"/>
  <c r="N166" i="1"/>
  <c r="V82" i="1"/>
  <c r="W134" i="1"/>
  <c r="F168" i="1"/>
  <c r="F198" i="1" s="1"/>
  <c r="E148" i="1"/>
  <c r="C186" i="1"/>
  <c r="M150" i="1"/>
  <c r="M146" i="1" s="1"/>
  <c r="J151" i="1"/>
  <c r="I89" i="1"/>
  <c r="B79" i="1"/>
  <c r="N165" i="1"/>
  <c r="S139" i="1"/>
  <c r="Q187" i="1"/>
  <c r="F187" i="1"/>
  <c r="R140" i="1"/>
  <c r="T158" i="1"/>
  <c r="B170" i="1"/>
  <c r="E150" i="1"/>
  <c r="E146" i="1" s="1"/>
  <c r="S161" i="1"/>
  <c r="B134" i="1"/>
  <c r="V178" i="1"/>
  <c r="F170" i="1"/>
  <c r="T137" i="1"/>
  <c r="W139" i="1"/>
  <c r="O157" i="1"/>
  <c r="Q170" i="1"/>
  <c r="G150" i="1"/>
  <c r="G146" i="1" s="1"/>
  <c r="T155" i="1"/>
  <c r="R158" i="1"/>
  <c r="D134" i="1"/>
  <c r="N170" i="1"/>
  <c r="I166" i="1"/>
  <c r="O161" i="1"/>
  <c r="H132" i="1"/>
  <c r="I132" i="1"/>
  <c r="N93" i="1"/>
  <c r="G89" i="1"/>
  <c r="P94" i="1"/>
  <c r="R170" i="1"/>
  <c r="N158" i="1"/>
  <c r="W92" i="1"/>
  <c r="U185" i="1"/>
  <c r="C187" i="1"/>
  <c r="W155" i="1"/>
  <c r="X217" i="1" s="1"/>
  <c r="T168" i="1"/>
  <c r="T198" i="1" s="1"/>
  <c r="F134" i="1"/>
  <c r="K168" i="1"/>
  <c r="K198" i="1" s="1"/>
  <c r="U133" i="1"/>
  <c r="I168" i="1"/>
  <c r="I198" i="1" s="1"/>
  <c r="H187" i="1"/>
  <c r="L148" i="1"/>
  <c r="G170" i="1"/>
  <c r="V148" i="1"/>
  <c r="B82" i="1"/>
  <c r="O178" i="1"/>
  <c r="C134" i="1"/>
  <c r="C158" i="1"/>
  <c r="M174" i="1"/>
  <c r="I185" i="1"/>
  <c r="C148" i="1"/>
  <c r="B151" i="1"/>
  <c r="N162" i="1"/>
  <c r="P88" i="1"/>
  <c r="K158" i="1"/>
  <c r="K178" i="1"/>
  <c r="P148" i="1"/>
  <c r="Q139" i="1"/>
  <c r="R159" i="1"/>
  <c r="R194" i="1" s="1"/>
  <c r="D170" i="1"/>
  <c r="N137" i="1"/>
  <c r="K159" i="1"/>
  <c r="K194" i="1" s="1"/>
  <c r="T164" i="1"/>
  <c r="G158" i="1"/>
  <c r="U168" i="1"/>
  <c r="U198" i="1" s="1"/>
  <c r="H147" i="1"/>
  <c r="L178" i="1"/>
  <c r="V185" i="1"/>
  <c r="P140" i="1"/>
  <c r="Q174" i="1"/>
  <c r="Q176" i="1" s="1"/>
  <c r="I82" i="1"/>
  <c r="C178" i="1"/>
  <c r="Q94" i="1"/>
  <c r="V157" i="1"/>
  <c r="S185" i="1"/>
  <c r="J139" i="1"/>
  <c r="U165" i="1"/>
  <c r="M140" i="1"/>
  <c r="U175" i="1"/>
  <c r="O88" i="1"/>
  <c r="D139" i="1"/>
  <c r="S157" i="1"/>
  <c r="E179" i="1"/>
  <c r="D178" i="1"/>
  <c r="K151" i="1"/>
  <c r="B158" i="1"/>
  <c r="W170" i="1"/>
  <c r="F89" i="1"/>
  <c r="C140" i="1"/>
  <c r="S165" i="1"/>
  <c r="H168" i="1"/>
  <c r="H198" i="1" s="1"/>
  <c r="U141" i="1"/>
  <c r="U169" i="1" s="1"/>
  <c r="L162" i="1"/>
  <c r="H140" i="1"/>
  <c r="L141" i="1"/>
  <c r="L169" i="1" s="1"/>
  <c r="B164" i="1"/>
  <c r="H151" i="1"/>
  <c r="G174" i="1"/>
  <c r="K93" i="1"/>
  <c r="M151" i="1"/>
  <c r="S158" i="1"/>
  <c r="H148" i="1"/>
  <c r="F94" i="1"/>
  <c r="H170" i="1"/>
  <c r="G134" i="1"/>
  <c r="P89" i="1"/>
  <c r="T166" i="1"/>
  <c r="G179" i="1"/>
  <c r="M179" i="1"/>
  <c r="L158" i="1"/>
  <c r="H88" i="1"/>
  <c r="P132" i="1"/>
  <c r="R164" i="1"/>
  <c r="M158" i="1"/>
  <c r="J82" i="1"/>
  <c r="L166" i="1"/>
  <c r="H164" i="1"/>
  <c r="I92" i="1"/>
  <c r="U140" i="1"/>
  <c r="L160" i="1"/>
  <c r="L195" i="1" s="1"/>
  <c r="O162" i="1"/>
  <c r="K155" i="1"/>
  <c r="K139" i="1"/>
  <c r="E159" i="1"/>
  <c r="E194" i="1" s="1"/>
  <c r="N185" i="1"/>
  <c r="M132" i="1"/>
  <c r="O174" i="1"/>
  <c r="S168" i="1"/>
  <c r="S198" i="1" s="1"/>
  <c r="O92" i="1"/>
  <c r="O168" i="1"/>
  <c r="O198" i="1" s="1"/>
  <c r="N134" i="1"/>
  <c r="T140" i="1"/>
  <c r="Q133" i="1"/>
  <c r="P155" i="1"/>
  <c r="I179" i="1"/>
  <c r="V134" i="1"/>
  <c r="E147" i="1"/>
  <c r="H155" i="1"/>
  <c r="T159" i="1"/>
  <c r="T194" i="1" s="1"/>
  <c r="N174" i="1"/>
  <c r="U148" i="1"/>
  <c r="E82" i="1"/>
  <c r="M142" i="1"/>
  <c r="P82" i="1"/>
  <c r="Q166" i="1"/>
  <c r="M185" i="1"/>
  <c r="Q132" i="1"/>
  <c r="E158" i="1"/>
  <c r="R141" i="1"/>
  <c r="R169" i="1" s="1"/>
  <c r="F174" i="1"/>
  <c r="V164" i="1"/>
  <c r="P137" i="1"/>
  <c r="M141" i="1"/>
  <c r="U170" i="1"/>
  <c r="AU54" i="1"/>
  <c r="BC47" i="1"/>
  <c r="BC209" i="1" s="1"/>
  <c r="AU50" i="1"/>
  <c r="BA37" i="1"/>
  <c r="BO29" i="1"/>
  <c r="AN60" i="1"/>
  <c r="BV164" i="1"/>
  <c r="BW164" i="1" s="1"/>
  <c r="BV89" i="1"/>
  <c r="BH160" i="1"/>
  <c r="BH158" i="1"/>
  <c r="BI158" i="1" s="1"/>
  <c r="BH137" i="1"/>
  <c r="BI137" i="1" s="1"/>
  <c r="K179" i="1"/>
  <c r="E152" i="1"/>
  <c r="Q164" i="1"/>
  <c r="G159" i="1"/>
  <c r="G194" i="1" s="1"/>
  <c r="T93" i="1"/>
  <c r="F161" i="1"/>
  <c r="G137" i="1"/>
  <c r="I137" i="1"/>
  <c r="K133" i="1"/>
  <c r="O82" i="1"/>
  <c r="M155" i="1"/>
  <c r="K92" i="1"/>
  <c r="T150" i="1"/>
  <c r="T146" i="1" s="1"/>
  <c r="E185" i="1"/>
  <c r="G94" i="1"/>
  <c r="R166" i="1"/>
  <c r="T187" i="1"/>
  <c r="M133" i="1"/>
  <c r="N88" i="1"/>
  <c r="N187" i="1"/>
  <c r="D157" i="1"/>
  <c r="B168" i="1"/>
  <c r="B198" i="1" s="1"/>
  <c r="U88" i="1"/>
  <c r="U132" i="1"/>
  <c r="T186" i="1"/>
  <c r="B150" i="1"/>
  <c r="V165" i="1"/>
  <c r="W152" i="1"/>
  <c r="B93" i="1"/>
  <c r="Q178" i="1"/>
  <c r="F186" i="1"/>
  <c r="N157" i="1"/>
  <c r="M162" i="1"/>
  <c r="G164" i="1"/>
  <c r="I94" i="1"/>
  <c r="H157" i="1"/>
  <c r="B148" i="1"/>
  <c r="U150" i="1"/>
  <c r="U146" i="1" s="1"/>
  <c r="O175" i="1"/>
  <c r="B159" i="1"/>
  <c r="B194" i="1" s="1"/>
  <c r="N133" i="1"/>
  <c r="K134" i="1"/>
  <c r="U166" i="1"/>
  <c r="P166" i="1"/>
  <c r="N155" i="1"/>
  <c r="T132" i="1"/>
  <c r="H166" i="1"/>
  <c r="W148" i="1"/>
  <c r="G175" i="1"/>
  <c r="L164" i="1"/>
  <c r="M187" i="1"/>
  <c r="B140" i="1"/>
  <c r="G140" i="1"/>
  <c r="I157" i="1"/>
  <c r="E175" i="1"/>
  <c r="E176" i="1" s="1"/>
  <c r="F224" i="1" s="1"/>
  <c r="D159" i="1"/>
  <c r="D194" i="1" s="1"/>
  <c r="K141" i="1"/>
  <c r="K169" i="1" s="1"/>
  <c r="S89" i="1"/>
  <c r="E139" i="1"/>
  <c r="K147" i="1"/>
  <c r="C165" i="1"/>
  <c r="W160" i="1"/>
  <c r="O186" i="1"/>
  <c r="O89" i="1"/>
  <c r="F132" i="1"/>
  <c r="J142" i="1"/>
  <c r="AX155" i="1"/>
  <c r="AY155" i="1" s="1"/>
  <c r="AZ168" i="1"/>
  <c r="BR141" i="1"/>
  <c r="BS141" i="1" s="1"/>
  <c r="AZ169" i="1"/>
  <c r="BA169" i="1" s="1"/>
  <c r="BT146" i="1"/>
  <c r="BP170" i="1"/>
  <c r="BQ170" i="1" s="1"/>
  <c r="BP88" i="1"/>
  <c r="BF140" i="1"/>
  <c r="BG140" i="1" s="1"/>
  <c r="AP161" i="1"/>
  <c r="AQ161" i="1" s="1"/>
  <c r="BI88" i="1"/>
  <c r="AX159" i="1"/>
  <c r="BR174" i="1"/>
  <c r="BF89" i="1"/>
  <c r="AZ167" i="1"/>
  <c r="BA167" i="1" s="1"/>
  <c r="BD150" i="1"/>
  <c r="BE150" i="1" s="1"/>
  <c r="AZ132" i="1"/>
  <c r="BA132" i="1" s="1"/>
  <c r="BN179" i="1"/>
  <c r="BO179" i="1" s="1"/>
  <c r="BF162" i="1"/>
  <c r="BG162" i="1" s="1"/>
  <c r="BT166" i="1"/>
  <c r="BU166" i="1" s="1"/>
  <c r="BN134" i="1"/>
  <c r="BW89" i="1"/>
  <c r="BN141" i="1"/>
  <c r="BO141" i="1" s="1"/>
  <c r="AX166" i="1"/>
  <c r="AY166" i="1" s="1"/>
  <c r="AZ146" i="1"/>
  <c r="BF169" i="1"/>
  <c r="BG169" i="1" s="1"/>
  <c r="BR142" i="1"/>
  <c r="BS142" i="1" s="1"/>
  <c r="BD162" i="1"/>
  <c r="BE162" i="1" s="1"/>
  <c r="AP158" i="1"/>
  <c r="AQ158" i="1" s="1"/>
  <c r="AV150" i="1"/>
  <c r="AW150" i="1" s="1"/>
  <c r="BB150" i="1"/>
  <c r="BC150" i="1" s="1"/>
  <c r="AR179" i="1"/>
  <c r="AS179" i="1" s="1"/>
  <c r="AQ88" i="1"/>
  <c r="AX89" i="1"/>
  <c r="BA88" i="1"/>
  <c r="BF166" i="1"/>
  <c r="BG166" i="1" s="1"/>
  <c r="BN137" i="1"/>
  <c r="BO137" i="1" s="1"/>
  <c r="BF139" i="1"/>
  <c r="BG139" i="1" s="1"/>
  <c r="BF178" i="1"/>
  <c r="BG178" i="1" s="1"/>
  <c r="AZ175" i="1"/>
  <c r="AW88" i="1"/>
  <c r="BP141" i="1"/>
  <c r="BQ141" i="1" s="1"/>
  <c r="BD167" i="1"/>
  <c r="BE167" i="1" s="1"/>
  <c r="BG88" i="1"/>
  <c r="AZ157" i="1"/>
  <c r="BA157" i="1" s="1"/>
  <c r="BD175" i="1"/>
  <c r="BT132" i="1"/>
  <c r="BU132" i="1" s="1"/>
  <c r="BN167" i="1"/>
  <c r="BO167" i="1" s="1"/>
  <c r="BD164" i="1"/>
  <c r="BE164" i="1" s="1"/>
  <c r="BT167" i="1"/>
  <c r="BU167" i="1" s="1"/>
  <c r="BM89" i="1"/>
  <c r="BN142" i="1"/>
  <c r="BO142" i="1" s="1"/>
  <c r="BR147" i="1"/>
  <c r="BP159" i="1"/>
  <c r="BF179" i="1"/>
  <c r="BG179" i="1" s="1"/>
  <c r="AZ150" i="1"/>
  <c r="BA150" i="1" s="1"/>
  <c r="BT161" i="1"/>
  <c r="BU161" i="1" s="1"/>
  <c r="BP139" i="1"/>
  <c r="BQ139" i="1" s="1"/>
  <c r="BP157" i="1"/>
  <c r="BQ157" i="1" s="1"/>
  <c r="BT89" i="1"/>
  <c r="AR158" i="1"/>
  <c r="AS158" i="1" s="1"/>
  <c r="BF133" i="1"/>
  <c r="BG133" i="1" s="1"/>
  <c r="AX88" i="1"/>
  <c r="AX162" i="1"/>
  <c r="AY162" i="1" s="1"/>
  <c r="AX167" i="1"/>
  <c r="AY167" i="1" s="1"/>
  <c r="BB139" i="1"/>
  <c r="BF132" i="1"/>
  <c r="BG132" i="1" s="1"/>
  <c r="AZ162" i="1"/>
  <c r="BA162" i="1" s="1"/>
  <c r="BP146" i="1"/>
  <c r="AV159" i="1"/>
  <c r="BW88" i="1"/>
  <c r="BN170" i="1"/>
  <c r="BO170" i="1" s="1"/>
  <c r="BR164" i="1"/>
  <c r="BS164" i="1" s="1"/>
  <c r="BP134" i="1"/>
  <c r="BR88" i="1"/>
  <c r="BB89" i="1"/>
  <c r="BD89" i="1"/>
  <c r="BN140" i="1"/>
  <c r="BO140" i="1" s="1"/>
  <c r="BB161" i="1"/>
  <c r="BC161" i="1" s="1"/>
  <c r="BF147" i="1"/>
  <c r="AT137" i="1"/>
  <c r="AU137" i="1" s="1"/>
  <c r="AN137" i="1"/>
  <c r="AO137" i="1" s="1"/>
  <c r="BB141" i="1"/>
  <c r="BC141" i="1" s="1"/>
  <c r="BP155" i="1"/>
  <c r="BQ155" i="1" s="1"/>
  <c r="AP155" i="1"/>
  <c r="AV155" i="1"/>
  <c r="AV165" i="1"/>
  <c r="AW165" i="1" s="1"/>
  <c r="AN133" i="1"/>
  <c r="AO133" i="1" s="1"/>
  <c r="AN89" i="1"/>
  <c r="AX137" i="1"/>
  <c r="AY137" i="1" s="1"/>
  <c r="AX175" i="1"/>
  <c r="BB134" i="1"/>
  <c r="AZ160" i="1"/>
  <c r="BT159" i="1"/>
  <c r="AP134" i="1"/>
  <c r="BR166" i="1"/>
  <c r="BS166" i="1" s="1"/>
  <c r="AX165" i="1"/>
  <c r="AY165" i="1" s="1"/>
  <c r="BR159" i="1"/>
  <c r="BB175" i="1"/>
  <c r="BD146" i="1"/>
  <c r="BT168" i="1"/>
  <c r="BR161" i="1"/>
  <c r="BS161" i="1" s="1"/>
  <c r="BB142" i="1"/>
  <c r="BC142" i="1" s="1"/>
  <c r="BP160" i="1"/>
  <c r="BC88" i="1"/>
  <c r="BD166" i="1"/>
  <c r="BE166" i="1" s="1"/>
  <c r="BR160" i="1"/>
  <c r="BT174" i="1"/>
  <c r="AV164" i="1"/>
  <c r="AW164" i="1" s="1"/>
  <c r="AZ159" i="1"/>
  <c r="AP139" i="1"/>
  <c r="AQ139" i="1" s="1"/>
  <c r="BP132" i="1"/>
  <c r="BQ132" i="1" s="1"/>
  <c r="BP147" i="1"/>
  <c r="BD179" i="1"/>
  <c r="BE179" i="1" s="1"/>
  <c r="AV174" i="1"/>
  <c r="AV132" i="1"/>
  <c r="AW132" i="1" s="1"/>
  <c r="AR134" i="1"/>
  <c r="AZ155" i="1"/>
  <c r="BA155" i="1" s="1"/>
  <c r="AP178" i="1"/>
  <c r="AQ178" i="1" s="1"/>
  <c r="AP157" i="1"/>
  <c r="AV140" i="1"/>
  <c r="AW140" i="1" s="1"/>
  <c r="AV141" i="1"/>
  <c r="AW141" i="1" s="1"/>
  <c r="AR169" i="1"/>
  <c r="AS169" i="1" s="1"/>
  <c r="AV148" i="1"/>
  <c r="AR133" i="1"/>
  <c r="AS133" i="1" s="1"/>
  <c r="AR167" i="1"/>
  <c r="AS167" i="1" s="1"/>
  <c r="BP174" i="1"/>
  <c r="AN165" i="1"/>
  <c r="AO165" i="1" s="1"/>
  <c r="AN175" i="1"/>
  <c r="AV179" i="1"/>
  <c r="AW179" i="1" s="1"/>
  <c r="AR168" i="1"/>
  <c r="AN141" i="1"/>
  <c r="AO141" i="1" s="1"/>
  <c r="AR137" i="1"/>
  <c r="AS137" i="1" s="1"/>
  <c r="AR161" i="1"/>
  <c r="AS161" i="1" s="1"/>
  <c r="BB146" i="1"/>
  <c r="AV88" i="1"/>
  <c r="AU88" i="1"/>
  <c r="AR175" i="1"/>
  <c r="AV168" i="1"/>
  <c r="AR88" i="1"/>
  <c r="BO89" i="1"/>
  <c r="BT155" i="1"/>
  <c r="BF165" i="1"/>
  <c r="BG165" i="1" s="1"/>
  <c r="BN88" i="1"/>
  <c r="AV175" i="1"/>
  <c r="AR159" i="1"/>
  <c r="BP164" i="1"/>
  <c r="BQ164" i="1" s="1"/>
  <c r="AV166" i="1"/>
  <c r="AW166" i="1" s="1"/>
  <c r="BT142" i="1"/>
  <c r="BU142" i="1" s="1"/>
  <c r="AR162" i="1"/>
  <c r="AS162" i="1" s="1"/>
  <c r="BB160" i="1"/>
  <c r="AT133" i="1"/>
  <c r="AU133" i="1" s="1"/>
  <c r="BO88" i="1"/>
  <c r="AX178" i="1"/>
  <c r="AY178" i="1" s="1"/>
  <c r="BB155" i="1"/>
  <c r="BC155" i="1" s="1"/>
  <c r="BD132" i="1"/>
  <c r="BR150" i="1"/>
  <c r="BS150" i="1" s="1"/>
  <c r="BB168" i="1"/>
  <c r="BF175" i="1"/>
  <c r="BP168" i="1"/>
  <c r="AX170" i="1"/>
  <c r="AY170" i="1" s="1"/>
  <c r="BN174" i="1"/>
  <c r="AZ141" i="1"/>
  <c r="BA141" i="1" s="1"/>
  <c r="AX146" i="1"/>
  <c r="BN159" i="1"/>
  <c r="BR133" i="1"/>
  <c r="BS133" i="1" s="1"/>
  <c r="BS88" i="1"/>
  <c r="BQ89" i="1"/>
  <c r="AT150" i="1"/>
  <c r="AU150" i="1" s="1"/>
  <c r="BD178" i="1"/>
  <c r="BE178" i="1" s="1"/>
  <c r="BD137" i="1"/>
  <c r="BE137" i="1" s="1"/>
  <c r="BT134" i="1"/>
  <c r="BB169" i="1"/>
  <c r="BC169" i="1" s="1"/>
  <c r="BF146" i="1"/>
  <c r="AX134" i="1"/>
  <c r="AX150" i="1"/>
  <c r="AY150" i="1" s="1"/>
  <c r="AX160" i="1"/>
  <c r="AZ148" i="1"/>
  <c r="AZ170" i="1"/>
  <c r="BA170" i="1" s="1"/>
  <c r="BF168" i="1"/>
  <c r="BF150" i="1"/>
  <c r="BG150" i="1" s="1"/>
  <c r="BD165" i="1"/>
  <c r="BE165" i="1" s="1"/>
  <c r="BN165" i="1"/>
  <c r="BO165" i="1" s="1"/>
  <c r="AQ89" i="1"/>
  <c r="BR89" i="1"/>
  <c r="AZ142" i="1"/>
  <c r="BA142" i="1" s="1"/>
  <c r="BD161" i="1"/>
  <c r="BE161" i="1" s="1"/>
  <c r="BD139" i="1"/>
  <c r="BE139" i="1" s="1"/>
  <c r="BP89" i="1"/>
  <c r="AV169" i="1"/>
  <c r="AW169" i="1" s="1"/>
  <c r="BN89" i="1"/>
  <c r="BR179" i="1"/>
  <c r="BS179" i="1" s="1"/>
  <c r="AN179" i="1"/>
  <c r="AO179" i="1" s="1"/>
  <c r="AX147" i="1"/>
  <c r="BE88" i="1"/>
  <c r="BN148" i="1"/>
  <c r="BN178" i="1"/>
  <c r="BO178" i="1" s="1"/>
  <c r="BN169" i="1"/>
  <c r="BO169" i="1" s="1"/>
  <c r="AY88" i="1"/>
  <c r="BR157" i="1"/>
  <c r="BS157" i="1" s="1"/>
  <c r="BF157" i="1"/>
  <c r="BG157" i="1" s="1"/>
  <c r="BD160" i="1"/>
  <c r="BT169" i="1"/>
  <c r="BU169" i="1" s="1"/>
  <c r="BP166" i="1"/>
  <c r="BQ166" i="1" s="1"/>
  <c r="AZ133" i="1"/>
  <c r="BA133" i="1" s="1"/>
  <c r="AX141" i="1"/>
  <c r="AY141" i="1" s="1"/>
  <c r="BN162" i="1"/>
  <c r="BO162" i="1" s="1"/>
  <c r="BR148" i="1"/>
  <c r="BR170" i="1"/>
  <c r="BS170" i="1" s="1"/>
  <c r="BR165" i="1"/>
  <c r="BS165" i="1" s="1"/>
  <c r="BB137" i="1"/>
  <c r="BC137" i="1" s="1"/>
  <c r="AZ147" i="1"/>
  <c r="AP164" i="1"/>
  <c r="AQ164" i="1" s="1"/>
  <c r="AW89" i="1"/>
  <c r="AS88" i="1"/>
  <c r="AT142" i="1"/>
  <c r="AU142" i="1" s="1"/>
  <c r="BB165" i="1"/>
  <c r="BC165" i="1" s="1"/>
  <c r="AZ178" i="1"/>
  <c r="BA178" i="1" s="1"/>
  <c r="AZ165" i="1"/>
  <c r="BA165" i="1" s="1"/>
  <c r="BD134" i="1"/>
  <c r="BD155" i="1"/>
  <c r="BE155" i="1" s="1"/>
  <c r="AP89" i="1"/>
  <c r="BG89" i="1"/>
  <c r="BF137" i="1"/>
  <c r="BG137" i="1" s="1"/>
  <c r="BF155" i="1"/>
  <c r="BG155" i="1" s="1"/>
  <c r="BD157" i="1"/>
  <c r="BE157" i="1" s="1"/>
  <c r="BP137" i="1"/>
  <c r="BQ137" i="1" s="1"/>
  <c r="BK88" i="1"/>
  <c r="AT134" i="1"/>
  <c r="BN168" i="1"/>
  <c r="BB157" i="1"/>
  <c r="BC157" i="1" s="1"/>
  <c r="AZ164" i="1"/>
  <c r="BA164" i="1" s="1"/>
  <c r="BP161" i="1"/>
  <c r="BQ161" i="1" s="1"/>
  <c r="AN161" i="1"/>
  <c r="AO161" i="1" s="1"/>
  <c r="BT160" i="1"/>
  <c r="BD168" i="1"/>
  <c r="BF141" i="1"/>
  <c r="BG141" i="1" s="1"/>
  <c r="BT165" i="1"/>
  <c r="BU165" i="1" s="1"/>
  <c r="AN174" i="1"/>
  <c r="AZ152" i="1"/>
  <c r="BA152" i="1" s="1"/>
  <c r="AP141" i="1"/>
  <c r="AQ141" i="1" s="1"/>
  <c r="BP140" i="1"/>
  <c r="BQ140" i="1" s="1"/>
  <c r="AV161" i="1"/>
  <c r="AW161" i="1" s="1"/>
  <c r="AR140" i="1"/>
  <c r="AS140" i="1" s="1"/>
  <c r="BT162" i="1"/>
  <c r="BU162" i="1" s="1"/>
  <c r="BP167" i="1"/>
  <c r="BQ167" i="1" s="1"/>
  <c r="AP142" i="1"/>
  <c r="AQ142" i="1" s="1"/>
  <c r="AV133" i="1"/>
  <c r="AW133" i="1" s="1"/>
  <c r="AV178" i="1"/>
  <c r="AW178" i="1" s="1"/>
  <c r="AV139" i="1"/>
  <c r="BD88" i="1"/>
  <c r="AP168" i="1"/>
  <c r="BP148" i="1"/>
  <c r="AN162" i="1"/>
  <c r="AO162" i="1" s="1"/>
  <c r="AR152" i="1"/>
  <c r="AS152" i="1" s="1"/>
  <c r="BI89" i="1"/>
  <c r="AS89" i="1"/>
  <c r="AR165" i="1"/>
  <c r="AS165" i="1" s="1"/>
  <c r="AP175" i="1"/>
  <c r="AN169" i="1"/>
  <c r="AO169" i="1" s="1"/>
  <c r="AV142" i="1"/>
  <c r="AW142" i="1" s="1"/>
  <c r="BP169" i="1"/>
  <c r="BQ169" i="1" s="1"/>
  <c r="AN166" i="1"/>
  <c r="AO166" i="1" s="1"/>
  <c r="AN150" i="1"/>
  <c r="AO150" i="1" s="1"/>
  <c r="BQ88" i="1"/>
  <c r="BS89" i="1"/>
  <c r="AR164" i="1"/>
  <c r="AS164" i="1" s="1"/>
  <c r="AP88" i="1"/>
  <c r="BR139" i="1"/>
  <c r="BS139" i="1" s="1"/>
  <c r="AV157" i="1"/>
  <c r="AW157" i="1" s="1"/>
  <c r="AN158" i="1"/>
  <c r="AO158" i="1" s="1"/>
  <c r="AN147" i="1"/>
  <c r="AV160" i="1"/>
  <c r="AX168" i="1"/>
  <c r="BB88" i="1"/>
  <c r="BR169" i="1"/>
  <c r="BS169" i="1" s="1"/>
  <c r="BT147" i="1"/>
  <c r="BK89" i="1"/>
  <c r="AX132" i="1"/>
  <c r="AX169" i="1"/>
  <c r="AY169" i="1" s="1"/>
  <c r="BB140" i="1"/>
  <c r="BC140" i="1" s="1"/>
  <c r="BF159" i="1"/>
  <c r="BT140" i="1"/>
  <c r="BU140" i="1" s="1"/>
  <c r="BR155" i="1"/>
  <c r="BT139" i="1"/>
  <c r="BC89" i="1"/>
  <c r="AZ139" i="1"/>
  <c r="BA139" i="1" s="1"/>
  <c r="BF167" i="1"/>
  <c r="BG167" i="1" s="1"/>
  <c r="BB159" i="1"/>
  <c r="BT170" i="1"/>
  <c r="BU170" i="1" s="1"/>
  <c r="BB162" i="1"/>
  <c r="BC162" i="1" s="1"/>
  <c r="BP165" i="1"/>
  <c r="BQ165" i="1" s="1"/>
  <c r="AN148" i="1"/>
  <c r="BT88" i="1"/>
  <c r="AP160" i="1"/>
  <c r="AV146" i="1"/>
  <c r="BD142" i="1"/>
  <c r="BE142" i="1" s="1"/>
  <c r="AX174" i="1"/>
  <c r="AX179" i="1"/>
  <c r="AY179" i="1" s="1"/>
  <c r="AX140" i="1"/>
  <c r="AY140" i="1" s="1"/>
  <c r="BU88" i="1"/>
  <c r="AZ89" i="1"/>
  <c r="BF161" i="1"/>
  <c r="BG161" i="1" s="1"/>
  <c r="BR167" i="1"/>
  <c r="BS167" i="1" s="1"/>
  <c r="BR134" i="1"/>
  <c r="BR140" i="1"/>
  <c r="BS140" i="1" s="1"/>
  <c r="BR132" i="1"/>
  <c r="BB179" i="1"/>
  <c r="BC179" i="1" s="1"/>
  <c r="AZ134" i="1"/>
  <c r="BF164" i="1"/>
  <c r="BG164" i="1" s="1"/>
  <c r="BD133" i="1"/>
  <c r="BE133" i="1" s="1"/>
  <c r="BT179" i="1"/>
  <c r="BU179" i="1" s="1"/>
  <c r="BP175" i="1"/>
  <c r="AP147" i="1"/>
  <c r="BN146" i="1"/>
  <c r="BR162" i="1"/>
  <c r="BS162" i="1" s="1"/>
  <c r="AX161" i="1"/>
  <c r="AY161" i="1" s="1"/>
  <c r="BN175" i="1"/>
  <c r="BR137" i="1"/>
  <c r="BS137" i="1" s="1"/>
  <c r="BB174" i="1"/>
  <c r="BF148" i="1"/>
  <c r="BT133" i="1"/>
  <c r="BU133" i="1" s="1"/>
  <c r="BP178" i="1"/>
  <c r="BQ178" i="1" s="1"/>
  <c r="BP162" i="1"/>
  <c r="BQ162" i="1" s="1"/>
  <c r="BM88" i="1"/>
  <c r="AX142" i="1"/>
  <c r="AY142" i="1" s="1"/>
  <c r="BN166" i="1"/>
  <c r="BO166" i="1" s="1"/>
  <c r="BR146" i="1"/>
  <c r="BR168" i="1"/>
  <c r="AZ174" i="1"/>
  <c r="BD170" i="1"/>
  <c r="BE170" i="1" s="1"/>
  <c r="BT148" i="1"/>
  <c r="AP166" i="1"/>
  <c r="AQ166" i="1" s="1"/>
  <c r="AT139" i="1"/>
  <c r="AU139" i="1" s="1"/>
  <c r="BN150" i="1"/>
  <c r="BO150" i="1" s="1"/>
  <c r="BB167" i="1"/>
  <c r="BC167" i="1" s="1"/>
  <c r="BU89" i="1"/>
  <c r="AZ140" i="1"/>
  <c r="BA140" i="1" s="1"/>
  <c r="BF170" i="1"/>
  <c r="BG170" i="1" s="1"/>
  <c r="BP133" i="1"/>
  <c r="BQ133" i="1" s="1"/>
  <c r="BF174" i="1"/>
  <c r="BD140" i="1"/>
  <c r="BE140" i="1" s="1"/>
  <c r="BT137" i="1"/>
  <c r="BU137" i="1" s="1"/>
  <c r="AZ88" i="1"/>
  <c r="BT157" i="1"/>
  <c r="BU157" i="1" s="1"/>
  <c r="AP179" i="1"/>
  <c r="AQ179" i="1" s="1"/>
  <c r="BB132" i="1"/>
  <c r="AN160" i="1"/>
  <c r="BD169" i="1"/>
  <c r="BE169" i="1" s="1"/>
  <c r="BP150" i="1"/>
  <c r="BQ150" i="1" s="1"/>
  <c r="AP150" i="1"/>
  <c r="AQ150" i="1" s="1"/>
  <c r="AN139" i="1"/>
  <c r="BP179" i="1"/>
  <c r="BQ179" i="1" s="1"/>
  <c r="AV137" i="1"/>
  <c r="AW137" i="1" s="1"/>
  <c r="AR150" i="1"/>
  <c r="AS150" i="1" s="1"/>
  <c r="AR155" i="1"/>
  <c r="AS155" i="1" s="1"/>
  <c r="AR148" i="1"/>
  <c r="AP162" i="1"/>
  <c r="AQ162" i="1" s="1"/>
  <c r="AV170" i="1"/>
  <c r="AW170" i="1" s="1"/>
  <c r="AP146" i="1"/>
  <c r="AR147" i="1"/>
  <c r="BD147" i="1"/>
  <c r="AN159" i="1"/>
  <c r="AV134" i="1"/>
  <c r="AR160" i="1"/>
  <c r="BT164" i="1"/>
  <c r="BU164" i="1" s="1"/>
  <c r="AN164" i="1"/>
  <c r="AO164" i="1" s="1"/>
  <c r="AP169" i="1"/>
  <c r="AQ169" i="1" s="1"/>
  <c r="AN170" i="1"/>
  <c r="AO170" i="1" s="1"/>
  <c r="AN146" i="1"/>
  <c r="AT147" i="1"/>
  <c r="AN88" i="1"/>
  <c r="AO89" i="1"/>
  <c r="AV162" i="1"/>
  <c r="AW162" i="1" s="1"/>
  <c r="AV152" i="1"/>
  <c r="AW152" i="1" s="1"/>
  <c r="AV158" i="1"/>
  <c r="AP152" i="1"/>
  <c r="AQ152" i="1" s="1"/>
  <c r="BF152" i="1"/>
  <c r="BG152" i="1" s="1"/>
  <c r="BP152" i="1"/>
  <c r="BQ152" i="1" s="1"/>
  <c r="BD152" i="1"/>
  <c r="BE152" i="1" s="1"/>
  <c r="BN152" i="1"/>
  <c r="BO152" i="1" s="1"/>
  <c r="BR152" i="1"/>
  <c r="BS152" i="1" s="1"/>
  <c r="BT152" i="1"/>
  <c r="BU152" i="1" s="1"/>
  <c r="BT158" i="1"/>
  <c r="AX158" i="1"/>
  <c r="BD158" i="1"/>
  <c r="AZ158" i="1"/>
  <c r="BR158" i="1"/>
  <c r="CQ149" i="1"/>
  <c r="CY80" i="1"/>
  <c r="CZ78" i="1"/>
  <c r="AN157" i="1" l="1"/>
  <c r="BF142" i="1"/>
  <c r="BG142" i="1" s="1"/>
  <c r="U217" i="1"/>
  <c r="AT166" i="1"/>
  <c r="AU166" i="1" s="1"/>
  <c r="AT174" i="1"/>
  <c r="AP25" i="1"/>
  <c r="BA25" i="1"/>
  <c r="AT146" i="1"/>
  <c r="AT140" i="1"/>
  <c r="AU140" i="1" s="1"/>
  <c r="AT159" i="1"/>
  <c r="AT168" i="1"/>
  <c r="AT141" i="1"/>
  <c r="AU141" i="1" s="1"/>
  <c r="AT165" i="1"/>
  <c r="AT160" i="1"/>
  <c r="AT170" i="1"/>
  <c r="AU170" i="1" s="1"/>
  <c r="AT132" i="1"/>
  <c r="AT179" i="1"/>
  <c r="AU179" i="1" s="1"/>
  <c r="AT167" i="1"/>
  <c r="AU167" i="1" s="1"/>
  <c r="AT89" i="1"/>
  <c r="AT157" i="1"/>
  <c r="AT178" i="1"/>
  <c r="AU178" i="1" s="1"/>
  <c r="AT162" i="1"/>
  <c r="AU162" i="1" s="1"/>
  <c r="AT152" i="1"/>
  <c r="AU152" i="1" s="1"/>
  <c r="BW246" i="1"/>
  <c r="AT148" i="1"/>
  <c r="BK52" i="1"/>
  <c r="BR41" i="1"/>
  <c r="C217" i="1"/>
  <c r="D217" i="1"/>
  <c r="I217" i="1"/>
  <c r="Q135" i="1"/>
  <c r="F176" i="1"/>
  <c r="BH195" i="1"/>
  <c r="BI195" i="1" s="1"/>
  <c r="AX133" i="1"/>
  <c r="AY133" i="1" s="1"/>
  <c r="AP140" i="1"/>
  <c r="AQ140" i="1" s="1"/>
  <c r="AN132" i="1"/>
  <c r="BP142" i="1"/>
  <c r="BQ142" i="1" s="1"/>
  <c r="BB147" i="1"/>
  <c r="BE89" i="1"/>
  <c r="BN161" i="1"/>
  <c r="BO161" i="1" s="1"/>
  <c r="BN147" i="1"/>
  <c r="AY89" i="1"/>
  <c r="BA89" i="1"/>
  <c r="BN157" i="1"/>
  <c r="BO157" i="1" s="1"/>
  <c r="BD141" i="1"/>
  <c r="BE141" i="1" s="1"/>
  <c r="AP165" i="1"/>
  <c r="AQ165" i="1" s="1"/>
  <c r="AR157" i="1"/>
  <c r="AS157" i="1" s="1"/>
  <c r="AN152" i="1"/>
  <c r="AO152" i="1" s="1"/>
  <c r="AR139" i="1"/>
  <c r="AT164" i="1"/>
  <c r="AU164" i="1" s="1"/>
  <c r="AP148" i="1"/>
  <c r="BF160" i="1"/>
  <c r="AZ137" i="1"/>
  <c r="BA137" i="1" s="1"/>
  <c r="BT150" i="1"/>
  <c r="BU150" i="1" s="1"/>
  <c r="AO88" i="1"/>
  <c r="AX164" i="1"/>
  <c r="AX152" i="1"/>
  <c r="AY152" i="1" s="1"/>
  <c r="BN139" i="1"/>
  <c r="BN160" i="1"/>
  <c r="BB164" i="1"/>
  <c r="BC164" i="1" s="1"/>
  <c r="BB166" i="1"/>
  <c r="BC166" i="1" s="1"/>
  <c r="AZ166" i="1"/>
  <c r="BA166" i="1" s="1"/>
  <c r="BT175" i="1"/>
  <c r="BP158" i="1"/>
  <c r="BQ158" i="1" s="1"/>
  <c r="AP133" i="1"/>
  <c r="AQ133" i="1" s="1"/>
  <c r="AX157" i="1"/>
  <c r="AY157" i="1" s="1"/>
  <c r="AT161" i="1"/>
  <c r="AU161" i="1" s="1"/>
  <c r="AT169" i="1"/>
  <c r="AU169" i="1" s="1"/>
  <c r="BF134" i="1"/>
  <c r="AZ179" i="1"/>
  <c r="BA179" i="1" s="1"/>
  <c r="AP137" i="1"/>
  <c r="AQ137" i="1" s="1"/>
  <c r="AT158" i="1"/>
  <c r="AU158" i="1" s="1"/>
  <c r="BB148" i="1"/>
  <c r="AP159" i="1"/>
  <c r="AN167" i="1"/>
  <c r="AO167" i="1" s="1"/>
  <c r="AR89" i="1"/>
  <c r="AN178" i="1"/>
  <c r="AO178" i="1" s="1"/>
  <c r="AV89" i="1"/>
  <c r="AR132" i="1"/>
  <c r="AR142" i="1"/>
  <c r="AS142" i="1" s="1"/>
  <c r="AV167" i="1"/>
  <c r="AW167" i="1" s="1"/>
  <c r="AR178" i="1"/>
  <c r="AS178" i="1" s="1"/>
  <c r="AR141" i="1"/>
  <c r="AS141" i="1" s="1"/>
  <c r="AZ161" i="1"/>
  <c r="BA161" i="1" s="1"/>
  <c r="BD174" i="1"/>
  <c r="AX139" i="1"/>
  <c r="AP170" i="1"/>
  <c r="AQ170" i="1" s="1"/>
  <c r="BD159" i="1"/>
  <c r="AN155" i="1"/>
  <c r="BB178" i="1"/>
  <c r="BC178" i="1" s="1"/>
  <c r="BD148" i="1"/>
  <c r="BN155" i="1"/>
  <c r="AV147" i="1"/>
  <c r="AX148" i="1"/>
  <c r="BN133" i="1"/>
  <c r="BO133" i="1" s="1"/>
  <c r="BN164" i="1"/>
  <c r="BO164" i="1" s="1"/>
  <c r="BR175" i="1"/>
  <c r="BN132" i="1"/>
  <c r="BO132" i="1" s="1"/>
  <c r="BR178" i="1"/>
  <c r="BS178" i="1" s="1"/>
  <c r="BB170" i="1"/>
  <c r="BC170" i="1" s="1"/>
  <c r="AT155" i="1"/>
  <c r="AU155" i="1" s="1"/>
  <c r="BF88" i="1"/>
  <c r="BT141" i="1"/>
  <c r="BU141" i="1" s="1"/>
  <c r="AU89" i="1"/>
  <c r="BB133" i="1"/>
  <c r="BC133" i="1" s="1"/>
  <c r="BT178" i="1"/>
  <c r="BU178" i="1" s="1"/>
  <c r="AP132" i="1"/>
  <c r="AQ132" i="1" s="1"/>
  <c r="AN134" i="1"/>
  <c r="AP174" i="1"/>
  <c r="AR146" i="1"/>
  <c r="AR170" i="1"/>
  <c r="AS170" i="1" s="1"/>
  <c r="AR166" i="1"/>
  <c r="AS166" i="1" s="1"/>
  <c r="AT88" i="1"/>
  <c r="BB152" i="1"/>
  <c r="BC152" i="1" s="1"/>
  <c r="BB158" i="1"/>
  <c r="BF158" i="1"/>
  <c r="BN158" i="1"/>
  <c r="BB209" i="1"/>
  <c r="BR209" i="1"/>
  <c r="BN48" i="1"/>
  <c r="BN209" i="1"/>
  <c r="AO246" i="1"/>
  <c r="BJ32" i="1"/>
  <c r="AY267" i="1"/>
  <c r="BN268" i="1"/>
  <c r="M135" i="1"/>
  <c r="M190" i="1" s="1"/>
  <c r="AT175" i="1"/>
  <c r="AP167" i="1"/>
  <c r="AQ167" i="1" s="1"/>
  <c r="AN168" i="1"/>
  <c r="AR174" i="1"/>
  <c r="AN142" i="1"/>
  <c r="AO142" i="1" s="1"/>
  <c r="AN140" i="1"/>
  <c r="AO140" i="1" s="1"/>
  <c r="BU267" i="1"/>
  <c r="BH176" i="1"/>
  <c r="BP267" i="1"/>
  <c r="BT25" i="1"/>
  <c r="BT15" i="1"/>
  <c r="AM63" i="1"/>
  <c r="BV15" i="1"/>
  <c r="AN41" i="1"/>
  <c r="BV194" i="1"/>
  <c r="BW194" i="1" s="1"/>
  <c r="N149" i="1"/>
  <c r="L188" i="1"/>
  <c r="D188" i="1"/>
  <c r="O135" i="1"/>
  <c r="O69" i="1" s="1"/>
  <c r="BV149" i="1"/>
  <c r="U149" i="1"/>
  <c r="O217" i="1"/>
  <c r="W149" i="1"/>
  <c r="K149" i="1"/>
  <c r="AR198" i="1"/>
  <c r="AR194" i="1"/>
  <c r="AS194" i="1" s="1"/>
  <c r="BP198" i="1"/>
  <c r="BQ198" i="1" s="1"/>
  <c r="AQ209" i="1"/>
  <c r="BT246" i="1"/>
  <c r="AP198" i="1"/>
  <c r="AQ198" i="1" s="1"/>
  <c r="AP267" i="1"/>
  <c r="AP209" i="1"/>
  <c r="AP268" i="1"/>
  <c r="AI197" i="1"/>
  <c r="BN267" i="1"/>
  <c r="BR25" i="1"/>
  <c r="AI25" i="1"/>
  <c r="AL113" i="1"/>
  <c r="AL114" i="1" s="1"/>
  <c r="AL119" i="1" s="1"/>
  <c r="BP25" i="1"/>
  <c r="AU25" i="1"/>
  <c r="AI195" i="1"/>
  <c r="BP268" i="1"/>
  <c r="BP209" i="1"/>
  <c r="AU268" i="1"/>
  <c r="BT209" i="1"/>
  <c r="BU209" i="1"/>
  <c r="BK209" i="1"/>
  <c r="BK48" i="1"/>
  <c r="BK218" i="1"/>
  <c r="BK216" i="1" s="1"/>
  <c r="AV25" i="1"/>
  <c r="BI209" i="1"/>
  <c r="AU267" i="1"/>
  <c r="AI194" i="1"/>
  <c r="AI246" i="1"/>
  <c r="BZ113" i="1"/>
  <c r="BZ114" i="1" s="1"/>
  <c r="AY246" i="1"/>
  <c r="BN246" i="1"/>
  <c r="N188" i="1"/>
  <c r="AS267" i="1"/>
  <c r="BO25" i="1"/>
  <c r="BP27" i="1" s="1"/>
  <c r="BS267" i="1"/>
  <c r="H149" i="1"/>
  <c r="U176" i="1"/>
  <c r="V224" i="1" s="1"/>
  <c r="H135" i="1"/>
  <c r="D171" i="1"/>
  <c r="BQ41" i="1"/>
  <c r="AY25" i="1"/>
  <c r="BH267" i="1"/>
  <c r="BN25" i="1"/>
  <c r="BM209" i="1"/>
  <c r="B149" i="1"/>
  <c r="BM41" i="1"/>
  <c r="S217" i="1"/>
  <c r="BM48" i="1"/>
  <c r="P188" i="1"/>
  <c r="S171" i="1"/>
  <c r="BW267" i="1"/>
  <c r="C176" i="1"/>
  <c r="T176" i="1"/>
  <c r="U224" i="1" s="1"/>
  <c r="BN194" i="1"/>
  <c r="BO194" i="1" s="1"/>
  <c r="L171" i="1"/>
  <c r="O176" i="1"/>
  <c r="P224" i="1" s="1"/>
  <c r="V135" i="1"/>
  <c r="M217" i="1"/>
  <c r="V188" i="1"/>
  <c r="G188" i="1"/>
  <c r="B80" i="1"/>
  <c r="AU41" i="1"/>
  <c r="H176" i="1"/>
  <c r="I224" i="1" s="1"/>
  <c r="J217" i="1"/>
  <c r="BD41" i="1"/>
  <c r="S176" i="1"/>
  <c r="T224" i="1" s="1"/>
  <c r="J135" i="1"/>
  <c r="BH198" i="1"/>
  <c r="BI198" i="1" s="1"/>
  <c r="AO267" i="1"/>
  <c r="BO267" i="1"/>
  <c r="BD25" i="1"/>
  <c r="BT41" i="1"/>
  <c r="AO41" i="1"/>
  <c r="AW113" i="1"/>
  <c r="AW114" i="1" s="1"/>
  <c r="F188" i="1"/>
  <c r="AS41" i="1"/>
  <c r="BH194" i="1"/>
  <c r="BI194" i="1" s="1"/>
  <c r="BI267" i="1"/>
  <c r="BF267" i="1"/>
  <c r="BB267" i="1"/>
  <c r="AQ41" i="1"/>
  <c r="AO25" i="1"/>
  <c r="BS25" i="1"/>
  <c r="BH41" i="1"/>
  <c r="AN268" i="1"/>
  <c r="AZ267" i="1"/>
  <c r="BU41" i="1"/>
  <c r="H188" i="1"/>
  <c r="K188" i="1"/>
  <c r="Q188" i="1"/>
  <c r="C80" i="1"/>
  <c r="M176" i="1"/>
  <c r="R188" i="1"/>
  <c r="R171" i="1"/>
  <c r="J188" i="1"/>
  <c r="O163" i="1"/>
  <c r="O197" i="1" s="1"/>
  <c r="O196" i="1" s="1"/>
  <c r="D176" i="1"/>
  <c r="O171" i="1"/>
  <c r="P135" i="1"/>
  <c r="G163" i="1"/>
  <c r="G197" i="1" s="1"/>
  <c r="G196" i="1" s="1"/>
  <c r="T149" i="1"/>
  <c r="T48" i="1" s="1"/>
  <c r="O188" i="1"/>
  <c r="F135" i="1"/>
  <c r="AZ198" i="1"/>
  <c r="BA198" i="1" s="1"/>
  <c r="AX194" i="1"/>
  <c r="AY194" i="1" s="1"/>
  <c r="BN198" i="1"/>
  <c r="BO198" i="1" s="1"/>
  <c r="BT195" i="1"/>
  <c r="BU195" i="1" s="1"/>
  <c r="H217" i="1"/>
  <c r="G217" i="1"/>
  <c r="BV195" i="1"/>
  <c r="BW195" i="1" s="1"/>
  <c r="BV267" i="1"/>
  <c r="BV198" i="1"/>
  <c r="BW198" i="1" s="1"/>
  <c r="BW25" i="1"/>
  <c r="BW15" i="1"/>
  <c r="P149" i="1"/>
  <c r="BH217" i="1"/>
  <c r="AZ41" i="1"/>
  <c r="BP41" i="1"/>
  <c r="BM52" i="1"/>
  <c r="BS41" i="1"/>
  <c r="BK267" i="1"/>
  <c r="BI41" i="1"/>
  <c r="BT268" i="1"/>
  <c r="AY41" i="1"/>
  <c r="BG41" i="1"/>
  <c r="AT41" i="1"/>
  <c r="BA41" i="1"/>
  <c r="BE41" i="1"/>
  <c r="AW25" i="1"/>
  <c r="B176" i="1"/>
  <c r="C224" i="1" s="1"/>
  <c r="BF41" i="1"/>
  <c r="J163" i="1"/>
  <c r="AP41" i="1"/>
  <c r="J149" i="1"/>
  <c r="G143" i="1"/>
  <c r="R217" i="1"/>
  <c r="BC41" i="1"/>
  <c r="BB41" i="1"/>
  <c r="BF25" i="1"/>
  <c r="AV41" i="1"/>
  <c r="AX41" i="1"/>
  <c r="BK41" i="1"/>
  <c r="BO41" i="1"/>
  <c r="BN41" i="1"/>
  <c r="G149" i="1"/>
  <c r="S149" i="1"/>
  <c r="R143" i="1"/>
  <c r="L176" i="1"/>
  <c r="AX267" i="1"/>
  <c r="I149" i="1"/>
  <c r="V176" i="1"/>
  <c r="W224" i="1" s="1"/>
  <c r="AI41" i="1"/>
  <c r="I143" i="1"/>
  <c r="BW41" i="1"/>
  <c r="AR41" i="1"/>
  <c r="AR42" i="1" s="1"/>
  <c r="AW41" i="1"/>
  <c r="J171" i="1"/>
  <c r="S135" i="1"/>
  <c r="E163" i="1"/>
  <c r="E217" i="1"/>
  <c r="Q143" i="1"/>
  <c r="Q183" i="1" s="1"/>
  <c r="Q124" i="1" s="1"/>
  <c r="Q149" i="1"/>
  <c r="Q163" i="1"/>
  <c r="E171" i="1"/>
  <c r="D149" i="1"/>
  <c r="F149" i="1"/>
  <c r="F153" i="1" s="1"/>
  <c r="P217" i="1"/>
  <c r="K176" i="1"/>
  <c r="BV176" i="1"/>
  <c r="P171" i="1"/>
  <c r="P200" i="1" s="1"/>
  <c r="P199" i="1" s="1"/>
  <c r="V149" i="1"/>
  <c r="M149" i="1"/>
  <c r="N171" i="1"/>
  <c r="N200" i="1" s="1"/>
  <c r="N199" i="1" s="1"/>
  <c r="E149" i="1"/>
  <c r="B135" i="1"/>
  <c r="W143" i="1"/>
  <c r="X264" i="1" s="1"/>
  <c r="X266" i="1" s="1"/>
  <c r="T217" i="1"/>
  <c r="I171" i="1"/>
  <c r="I188" i="1"/>
  <c r="C149" i="1"/>
  <c r="V163" i="1"/>
  <c r="V197" i="1" s="1"/>
  <c r="V196" i="1" s="1"/>
  <c r="S188" i="1"/>
  <c r="D143" i="1"/>
  <c r="G176" i="1"/>
  <c r="G135" i="1"/>
  <c r="H171" i="1"/>
  <c r="H200" i="1" s="1"/>
  <c r="H199" i="1" s="1"/>
  <c r="U143" i="1"/>
  <c r="L217" i="1"/>
  <c r="K143" i="1"/>
  <c r="T143" i="1"/>
  <c r="Q217" i="1"/>
  <c r="M188" i="1"/>
  <c r="U171" i="1"/>
  <c r="Q171" i="1"/>
  <c r="F163" i="1"/>
  <c r="N217" i="1"/>
  <c r="B143" i="1"/>
  <c r="I163" i="1"/>
  <c r="I197" i="1" s="1"/>
  <c r="I196" i="1" s="1"/>
  <c r="J143" i="1"/>
  <c r="BP194" i="1"/>
  <c r="BQ194" i="1" s="1"/>
  <c r="AZ195" i="1"/>
  <c r="BA195" i="1" s="1"/>
  <c r="BT194" i="1"/>
  <c r="BU194" i="1" s="1"/>
  <c r="BT198" i="1"/>
  <c r="BU198" i="1" s="1"/>
  <c r="BP195" i="1"/>
  <c r="BQ195" i="1" s="1"/>
  <c r="AZ194" i="1"/>
  <c r="BA194" i="1" s="1"/>
  <c r="BB195" i="1"/>
  <c r="BC195" i="1" s="1"/>
  <c r="BB198" i="1"/>
  <c r="BC198" i="1" s="1"/>
  <c r="AX195" i="1"/>
  <c r="AY195" i="1" s="1"/>
  <c r="BF198" i="1"/>
  <c r="BG198" i="1" s="1"/>
  <c r="AV195" i="1"/>
  <c r="AW195" i="1" s="1"/>
  <c r="AX198" i="1"/>
  <c r="AY198" i="1" s="1"/>
  <c r="BF194" i="1"/>
  <c r="BG194" i="1" s="1"/>
  <c r="BB194" i="1"/>
  <c r="BC194" i="1" s="1"/>
  <c r="AN195" i="1"/>
  <c r="AO195" i="1" s="1"/>
  <c r="BV41" i="1"/>
  <c r="AI200" i="1"/>
  <c r="AI198" i="1"/>
  <c r="BC113" i="1"/>
  <c r="BC114" i="1" s="1"/>
  <c r="AZ246" i="1"/>
  <c r="AZ25" i="1"/>
  <c r="BT267" i="1"/>
  <c r="BV113" i="1"/>
  <c r="BV114" i="1" s="1"/>
  <c r="BW113" i="1"/>
  <c r="BW114" i="1" s="1"/>
  <c r="BG209" i="1"/>
  <c r="BG268" i="1"/>
  <c r="BF209" i="1"/>
  <c r="BF268" i="1"/>
  <c r="AZ268" i="1"/>
  <c r="AZ209" i="1"/>
  <c r="BC246" i="1"/>
  <c r="BC25" i="1"/>
  <c r="BC267" i="1"/>
  <c r="BJ43" i="1"/>
  <c r="BJ42" i="1"/>
  <c r="AQ246" i="1"/>
  <c r="AQ25" i="1"/>
  <c r="AQ268" i="1"/>
  <c r="AS113" i="1"/>
  <c r="AS114" i="1" s="1"/>
  <c r="AQ267" i="1"/>
  <c r="AR113" i="1"/>
  <c r="AR114" i="1" s="1"/>
  <c r="AX246" i="1"/>
  <c r="AX25" i="1"/>
  <c r="AX268" i="1"/>
  <c r="BA113" i="1"/>
  <c r="BA114" i="1" s="1"/>
  <c r="BG267" i="1"/>
  <c r="BG246" i="1"/>
  <c r="BJ113" i="1"/>
  <c r="BJ114" i="1" s="1"/>
  <c r="BG25" i="1"/>
  <c r="BV268" i="1"/>
  <c r="BV25" i="1"/>
  <c r="BY113" i="1"/>
  <c r="BY114" i="1" s="1"/>
  <c r="BJ268" i="1"/>
  <c r="BJ209" i="1"/>
  <c r="AN48" i="1"/>
  <c r="AN209" i="1"/>
  <c r="BI246" i="1"/>
  <c r="BI268" i="1"/>
  <c r="BL113" i="1"/>
  <c r="BL114" i="1" s="1"/>
  <c r="BI25" i="1"/>
  <c r="BA268" i="1"/>
  <c r="BA209" i="1"/>
  <c r="BI113" i="1"/>
  <c r="BI114" i="1" s="1"/>
  <c r="BF246" i="1"/>
  <c r="AI209" i="1"/>
  <c r="AI48" i="1"/>
  <c r="AI218" i="1"/>
  <c r="AI216" i="1" s="1"/>
  <c r="BW139" i="1"/>
  <c r="BW143" i="1" s="1"/>
  <c r="BV143" i="1"/>
  <c r="AZ113" i="1"/>
  <c r="AZ114" i="1" s="1"/>
  <c r="AW246" i="1"/>
  <c r="AY113" i="1"/>
  <c r="AY114" i="1" s="1"/>
  <c r="AW267" i="1"/>
  <c r="BB268" i="1"/>
  <c r="BB113" i="1"/>
  <c r="BB114" i="1" s="1"/>
  <c r="BD113" i="1"/>
  <c r="BD114" i="1" s="1"/>
  <c r="BB246" i="1"/>
  <c r="BB25" i="1"/>
  <c r="BE113" i="1"/>
  <c r="BE114" i="1" s="1"/>
  <c r="AS246" i="1"/>
  <c r="AS25" i="1"/>
  <c r="BP113" i="1"/>
  <c r="BP114" i="1" s="1"/>
  <c r="BM246" i="1"/>
  <c r="BO113" i="1"/>
  <c r="BO114" i="1" s="1"/>
  <c r="BM268" i="1"/>
  <c r="BM25" i="1"/>
  <c r="BM267" i="1"/>
  <c r="BN113" i="1"/>
  <c r="BN114" i="1" s="1"/>
  <c r="BK268" i="1"/>
  <c r="BK246" i="1"/>
  <c r="BM113" i="1"/>
  <c r="BM114" i="1" s="1"/>
  <c r="BK25" i="1"/>
  <c r="BU246" i="1"/>
  <c r="BU25" i="1"/>
  <c r="BX113" i="1"/>
  <c r="BX114" i="1" s="1"/>
  <c r="BU268" i="1"/>
  <c r="AY209" i="1"/>
  <c r="AY268" i="1"/>
  <c r="AS209" i="1"/>
  <c r="AS268" i="1"/>
  <c r="BQ113" i="1"/>
  <c r="BQ114" i="1" s="1"/>
  <c r="BQ268" i="1"/>
  <c r="BQ246" i="1"/>
  <c r="BQ25" i="1"/>
  <c r="BQ267" i="1"/>
  <c r="AW209" i="1"/>
  <c r="AW268" i="1"/>
  <c r="BH246" i="1"/>
  <c r="BH25" i="1"/>
  <c r="BK113" i="1"/>
  <c r="BK114" i="1" s="1"/>
  <c r="BH268" i="1"/>
  <c r="AO209" i="1"/>
  <c r="AO268" i="1"/>
  <c r="BH163" i="1"/>
  <c r="BH197" i="1" s="1"/>
  <c r="N135" i="1"/>
  <c r="I135" i="1"/>
  <c r="BH113" i="1"/>
  <c r="BH114" i="1" s="1"/>
  <c r="BR113" i="1"/>
  <c r="BR114" i="1" s="1"/>
  <c r="BD198" i="1"/>
  <c r="BE198" i="1" s="1"/>
  <c r="BD195" i="1"/>
  <c r="BE195" i="1" s="1"/>
  <c r="BF113" i="1"/>
  <c r="BF114" i="1" s="1"/>
  <c r="AT268" i="1"/>
  <c r="AT25" i="1"/>
  <c r="BW268" i="1"/>
  <c r="B171" i="1"/>
  <c r="B200" i="1" s="1"/>
  <c r="B199" i="1" s="1"/>
  <c r="C163" i="1"/>
  <c r="U163" i="1"/>
  <c r="L163" i="1"/>
  <c r="T171" i="1"/>
  <c r="C135" i="1"/>
  <c r="S163" i="1"/>
  <c r="S197" i="1" s="1"/>
  <c r="S196" i="1" s="1"/>
  <c r="W217" i="1"/>
  <c r="N143" i="1"/>
  <c r="BO268" i="1"/>
  <c r="BD267" i="1"/>
  <c r="E188" i="1"/>
  <c r="W188" i="1"/>
  <c r="AN194" i="1"/>
  <c r="AO194" i="1" s="1"/>
  <c r="F217" i="1"/>
  <c r="H163" i="1"/>
  <c r="U135" i="1"/>
  <c r="M143" i="1"/>
  <c r="P143" i="1"/>
  <c r="U188" i="1"/>
  <c r="D135" i="1"/>
  <c r="C188" i="1"/>
  <c r="P163" i="1"/>
  <c r="K135" i="1"/>
  <c r="D163" i="1"/>
  <c r="C171" i="1"/>
  <c r="H143" i="1"/>
  <c r="L149" i="1"/>
  <c r="L48" i="1" s="1"/>
  <c r="F143" i="1"/>
  <c r="F171" i="1"/>
  <c r="F200" i="1" s="1"/>
  <c r="F199" i="1" s="1"/>
  <c r="O149" i="1"/>
  <c r="R135" i="1"/>
  <c r="D80" i="1"/>
  <c r="AU113" i="1"/>
  <c r="AU114" i="1" s="1"/>
  <c r="BV135" i="1"/>
  <c r="BV107" i="1" s="1"/>
  <c r="BW217" i="1"/>
  <c r="BE268" i="1"/>
  <c r="AN113" i="1"/>
  <c r="AN114" i="1" s="1"/>
  <c r="BR268" i="1"/>
  <c r="BE25" i="1"/>
  <c r="BV163" i="1"/>
  <c r="BV197" i="1" s="1"/>
  <c r="BG113" i="1"/>
  <c r="BG114" i="1" s="1"/>
  <c r="BG117" i="1" s="1"/>
  <c r="BH143" i="1"/>
  <c r="AP195" i="1"/>
  <c r="AQ195" i="1" s="1"/>
  <c r="K163" i="1"/>
  <c r="E143" i="1"/>
  <c r="N176" i="1"/>
  <c r="B163" i="1"/>
  <c r="BI217" i="1"/>
  <c r="BC268" i="1"/>
  <c r="AV113" i="1"/>
  <c r="AV114" i="1" s="1"/>
  <c r="AN246" i="1"/>
  <c r="AX113" i="1"/>
  <c r="AX114" i="1" s="1"/>
  <c r="BT113" i="1"/>
  <c r="BT114" i="1" s="1"/>
  <c r="BD246" i="1"/>
  <c r="BI143" i="1"/>
  <c r="N163" i="1"/>
  <c r="T135" i="1"/>
  <c r="G171" i="1"/>
  <c r="AV268" i="1"/>
  <c r="AP113" i="1"/>
  <c r="AP114" i="1" s="1"/>
  <c r="AN25" i="1"/>
  <c r="AT113" i="1"/>
  <c r="AT114" i="1" s="1"/>
  <c r="BD268" i="1"/>
  <c r="BH171" i="1"/>
  <c r="BH200" i="1" s="1"/>
  <c r="AV198" i="1"/>
  <c r="AW198" i="1" s="1"/>
  <c r="AV194" i="1"/>
  <c r="AW194" i="1" s="1"/>
  <c r="BH149" i="1"/>
  <c r="BI48" i="1" s="1"/>
  <c r="T188" i="1"/>
  <c r="AQ113" i="1"/>
  <c r="AQ114" i="1" s="1"/>
  <c r="AO113" i="1"/>
  <c r="AO114" i="1" s="1"/>
  <c r="BS268" i="1"/>
  <c r="AV267" i="1"/>
  <c r="AT267" i="1"/>
  <c r="BU113" i="1"/>
  <c r="BU114" i="1" s="1"/>
  <c r="BS113" i="1"/>
  <c r="BS114" i="1" s="1"/>
  <c r="AT246" i="1"/>
  <c r="AN267" i="1"/>
  <c r="BR198" i="1"/>
  <c r="BS198" i="1" s="1"/>
  <c r="BR194" i="1"/>
  <c r="BS194" i="1" s="1"/>
  <c r="BV171" i="1"/>
  <c r="BV200" i="1" s="1"/>
  <c r="V171" i="1"/>
  <c r="V200" i="1" s="1"/>
  <c r="BE267" i="1"/>
  <c r="AR268" i="1"/>
  <c r="BH135" i="1"/>
  <c r="BR195" i="1"/>
  <c r="BS195" i="1" s="1"/>
  <c r="M169" i="1"/>
  <c r="M171" i="1" s="1"/>
  <c r="L143" i="1"/>
  <c r="V143" i="1"/>
  <c r="V52" i="1" s="1"/>
  <c r="S143" i="1"/>
  <c r="C143" i="1"/>
  <c r="E135" i="1"/>
  <c r="E190" i="1" s="1"/>
  <c r="K171" i="1"/>
  <c r="K217" i="1"/>
  <c r="BV246" i="1"/>
  <c r="BV7" i="1"/>
  <c r="BU15" i="1"/>
  <c r="V217" i="1"/>
  <c r="L135" i="1"/>
  <c r="R163" i="1"/>
  <c r="R149" i="1"/>
  <c r="T163" i="1"/>
  <c r="O143" i="1"/>
  <c r="O52" i="1" s="1"/>
  <c r="M163" i="1"/>
  <c r="M197" i="1" s="1"/>
  <c r="M196" i="1" s="1"/>
  <c r="BS15" i="1"/>
  <c r="R224" i="1"/>
  <c r="S224" i="1"/>
  <c r="AN176" i="1"/>
  <c r="AO224" i="1" s="1"/>
  <c r="AV176" i="1"/>
  <c r="AW224" i="1" s="1"/>
  <c r="BN176" i="1"/>
  <c r="BO224" i="1" s="1"/>
  <c r="BR149" i="1"/>
  <c r="AX176" i="1"/>
  <c r="AY224" i="1" s="1"/>
  <c r="BS143" i="1"/>
  <c r="AZ149" i="1"/>
  <c r="BP149" i="1"/>
  <c r="BP176" i="1"/>
  <c r="BQ224" i="1" s="1"/>
  <c r="BB176" i="1"/>
  <c r="AZ176" i="1"/>
  <c r="BA224" i="1" s="1"/>
  <c r="AQ155" i="1"/>
  <c r="AW155" i="1"/>
  <c r="AQ157" i="1"/>
  <c r="AY132" i="1"/>
  <c r="BT149" i="1"/>
  <c r="BF176" i="1"/>
  <c r="BG224" i="1" s="1"/>
  <c r="BF149" i="1"/>
  <c r="BC132" i="1"/>
  <c r="AO139" i="1"/>
  <c r="AR195" i="1"/>
  <c r="AS195" i="1" s="1"/>
  <c r="BC139" i="1"/>
  <c r="BC143" i="1" s="1"/>
  <c r="BB143" i="1"/>
  <c r="BU155" i="1"/>
  <c r="BV217" i="1" s="1"/>
  <c r="BE132" i="1"/>
  <c r="BD135" i="1"/>
  <c r="AW139" i="1"/>
  <c r="AW143" i="1" s="1"/>
  <c r="AV143" i="1"/>
  <c r="AO157" i="1"/>
  <c r="AN163" i="1"/>
  <c r="BS155" i="1"/>
  <c r="BR217" i="1"/>
  <c r="BU139" i="1"/>
  <c r="BS132" i="1"/>
  <c r="BR135" i="1"/>
  <c r="BR107" i="1" s="1"/>
  <c r="BF217" i="1"/>
  <c r="AN149" i="1"/>
  <c r="BT171" i="1"/>
  <c r="BT200" i="1" s="1"/>
  <c r="AZ135" i="1"/>
  <c r="AS217" i="1"/>
  <c r="BP171" i="1"/>
  <c r="BP200" i="1" s="1"/>
  <c r="BT135" i="1"/>
  <c r="BF143" i="1"/>
  <c r="BE217" i="1"/>
  <c r="BR171" i="1"/>
  <c r="BR200" i="1" s="1"/>
  <c r="AZ143" i="1"/>
  <c r="BQ217" i="1"/>
  <c r="BD171" i="1"/>
  <c r="BD200" i="1" s="1"/>
  <c r="BP135" i="1"/>
  <c r="BP107" i="1" s="1"/>
  <c r="BP109" i="1" s="1"/>
  <c r="BG143" i="1"/>
  <c r="BA143" i="1"/>
  <c r="BF171" i="1"/>
  <c r="BF200" i="1" s="1"/>
  <c r="BR143" i="1"/>
  <c r="AV135" i="1"/>
  <c r="AW158" i="1"/>
  <c r="AV163" i="1"/>
  <c r="BE158" i="1"/>
  <c r="BU158" i="1"/>
  <c r="BT163" i="1"/>
  <c r="AY158" i="1"/>
  <c r="BS158" i="1"/>
  <c r="BR163" i="1"/>
  <c r="BA158" i="1"/>
  <c r="BB217" i="1"/>
  <c r="BA217" i="1"/>
  <c r="AY217" i="1"/>
  <c r="AZ217" i="1"/>
  <c r="BC217" i="1"/>
  <c r="BD217" i="1"/>
  <c r="AR31" i="1"/>
  <c r="BG217" i="1"/>
  <c r="CQ153" i="1"/>
  <c r="CR47" i="1"/>
  <c r="AB140" i="1"/>
  <c r="AB143" i="1" s="1"/>
  <c r="AB264" i="1" s="1"/>
  <c r="AD157" i="1"/>
  <c r="CZ80" i="1"/>
  <c r="DA78" i="1"/>
  <c r="D183" i="1" l="1"/>
  <c r="D124" i="1" s="1"/>
  <c r="G183" i="1"/>
  <c r="G124" i="1" s="1"/>
  <c r="BT42" i="1"/>
  <c r="AT195" i="1"/>
  <c r="AU195" i="1" s="1"/>
  <c r="AT198" i="1"/>
  <c r="AU198" i="1" s="1"/>
  <c r="M69" i="1"/>
  <c r="BP143" i="1"/>
  <c r="AT143" i="1"/>
  <c r="BQ143" i="1"/>
  <c r="BD143" i="1"/>
  <c r="AU143" i="1"/>
  <c r="AP31" i="1"/>
  <c r="AP26" i="1"/>
  <c r="AN198" i="1"/>
  <c r="AO198" i="1" s="1"/>
  <c r="AR176" i="1"/>
  <c r="AS224" i="1" s="1"/>
  <c r="AU132" i="1"/>
  <c r="AT135" i="1"/>
  <c r="AT107" i="1" s="1"/>
  <c r="AT149" i="1"/>
  <c r="AU157" i="1"/>
  <c r="AU165" i="1"/>
  <c r="BN149" i="1"/>
  <c r="AP143" i="1"/>
  <c r="BF135" i="1"/>
  <c r="AZ171" i="1"/>
  <c r="AZ200" i="1" s="1"/>
  <c r="AX163" i="1"/>
  <c r="AZ163" i="1"/>
  <c r="AT194" i="1"/>
  <c r="AU194" i="1" s="1"/>
  <c r="BA31" i="1"/>
  <c r="G224" i="1"/>
  <c r="Q263" i="1"/>
  <c r="Q69" i="1"/>
  <c r="Q190" i="1"/>
  <c r="L52" i="1"/>
  <c r="BT176" i="1"/>
  <c r="BU224" i="1" s="1"/>
  <c r="BE143" i="1"/>
  <c r="AS139" i="1"/>
  <c r="BN195" i="1"/>
  <c r="BO195" i="1" s="1"/>
  <c r="AR143" i="1"/>
  <c r="BF195" i="1"/>
  <c r="BG195" i="1" s="1"/>
  <c r="AP163" i="1"/>
  <c r="AP197" i="1" s="1"/>
  <c r="BD194" i="1"/>
  <c r="BE194" i="1" s="1"/>
  <c r="AP194" i="1"/>
  <c r="AQ194" i="1" s="1"/>
  <c r="AR149" i="1"/>
  <c r="AS149" i="1" s="1"/>
  <c r="BD176" i="1"/>
  <c r="BE224" i="1" s="1"/>
  <c r="AS143" i="1"/>
  <c r="AS132" i="1"/>
  <c r="AR135" i="1"/>
  <c r="AX135" i="1"/>
  <c r="AY139" i="1"/>
  <c r="AY143" i="1" s="1"/>
  <c r="AX143" i="1"/>
  <c r="BO155" i="1"/>
  <c r="BN217" i="1"/>
  <c r="AV149" i="1"/>
  <c r="BD149" i="1"/>
  <c r="AP149" i="1"/>
  <c r="AT163" i="1"/>
  <c r="BB135" i="1"/>
  <c r="BB107" i="1" s="1"/>
  <c r="AO143" i="1"/>
  <c r="AN143" i="1"/>
  <c r="AR163" i="1"/>
  <c r="AR197" i="1" s="1"/>
  <c r="AO132" i="1"/>
  <c r="AN135" i="1"/>
  <c r="AT171" i="1"/>
  <c r="AT200" i="1" s="1"/>
  <c r="AY164" i="1"/>
  <c r="AX171" i="1"/>
  <c r="AX200" i="1" s="1"/>
  <c r="BO139" i="1"/>
  <c r="BO143" i="1" s="1"/>
  <c r="BN143" i="1"/>
  <c r="BU143" i="1"/>
  <c r="BT143" i="1"/>
  <c r="AO155" i="1"/>
  <c r="AN217" i="1"/>
  <c r="AQ143" i="1"/>
  <c r="AT217" i="1"/>
  <c r="AP176" i="1"/>
  <c r="AX149" i="1"/>
  <c r="BB149" i="1"/>
  <c r="BR176" i="1"/>
  <c r="AR171" i="1"/>
  <c r="BN135" i="1"/>
  <c r="BP163" i="1"/>
  <c r="BP197" i="1" s="1"/>
  <c r="BB171" i="1"/>
  <c r="BB200" i="1" s="1"/>
  <c r="AP135" i="1"/>
  <c r="AP107" i="1" s="1"/>
  <c r="BN171" i="1"/>
  <c r="BN200" i="1" s="1"/>
  <c r="AN171" i="1"/>
  <c r="AN200" i="1" s="1"/>
  <c r="AP171" i="1"/>
  <c r="AV171" i="1"/>
  <c r="AV200" i="1" s="1"/>
  <c r="BC158" i="1"/>
  <c r="BB163" i="1"/>
  <c r="BG158" i="1"/>
  <c r="BF163" i="1"/>
  <c r="BD163" i="1"/>
  <c r="BO158" i="1"/>
  <c r="BN163" i="1"/>
  <c r="AU217" i="1"/>
  <c r="AV217" i="1"/>
  <c r="BU31" i="1"/>
  <c r="BV31" i="1"/>
  <c r="AT176" i="1"/>
  <c r="AU224" i="1" s="1"/>
  <c r="BK27" i="1"/>
  <c r="AS27" i="1"/>
  <c r="AT27" i="1"/>
  <c r="AQ27" i="1"/>
  <c r="BQ26" i="1"/>
  <c r="BM240" i="1"/>
  <c r="BM26" i="1"/>
  <c r="BM31" i="1"/>
  <c r="BM27" i="1"/>
  <c r="BP26" i="1"/>
  <c r="BN26" i="1"/>
  <c r="AO26" i="1"/>
  <c r="AV26" i="1"/>
  <c r="BP42" i="1"/>
  <c r="BS42" i="1"/>
  <c r="AV42" i="1"/>
  <c r="BN42" i="1"/>
  <c r="AI42" i="1"/>
  <c r="N153" i="1"/>
  <c r="BH196" i="1"/>
  <c r="J222" i="1"/>
  <c r="H211" i="1"/>
  <c r="M183" i="1"/>
  <c r="M124" i="1" s="1"/>
  <c r="Q211" i="1"/>
  <c r="K222" i="1"/>
  <c r="D212" i="1"/>
  <c r="BV196" i="1"/>
  <c r="N172" i="1"/>
  <c r="N180" i="1" s="1"/>
  <c r="BH199" i="1"/>
  <c r="O190" i="1"/>
  <c r="H69" i="1"/>
  <c r="H190" i="1"/>
  <c r="B81" i="1"/>
  <c r="B122" i="1"/>
  <c r="B123" i="1"/>
  <c r="M212" i="1"/>
  <c r="K212" i="1"/>
  <c r="F48" i="1"/>
  <c r="T183" i="1"/>
  <c r="T124" i="1" s="1"/>
  <c r="H263" i="1"/>
  <c r="N48" i="1"/>
  <c r="D221" i="1"/>
  <c r="P212" i="1"/>
  <c r="T153" i="1"/>
  <c r="T259" i="1" s="1"/>
  <c r="B153" i="1"/>
  <c r="B48" i="1"/>
  <c r="C122" i="1"/>
  <c r="C81" i="1"/>
  <c r="C84" i="1" s="1"/>
  <c r="C123" i="1"/>
  <c r="N224" i="1"/>
  <c r="M263" i="1"/>
  <c r="U153" i="1"/>
  <c r="U48" i="1"/>
  <c r="F263" i="1"/>
  <c r="F190" i="1"/>
  <c r="F69" i="1"/>
  <c r="J52" i="1"/>
  <c r="J183" i="1"/>
  <c r="J124" i="1" s="1"/>
  <c r="J211" i="1"/>
  <c r="J197" i="1"/>
  <c r="J196" i="1" s="1"/>
  <c r="S200" i="1"/>
  <c r="P153" i="1"/>
  <c r="P48" i="1"/>
  <c r="H153" i="1"/>
  <c r="H48" i="1"/>
  <c r="S212" i="1"/>
  <c r="E224" i="1"/>
  <c r="J263" i="1"/>
  <c r="J144" i="1"/>
  <c r="J70" i="1" s="1"/>
  <c r="G153" i="1"/>
  <c r="G48" i="1"/>
  <c r="I48" i="1"/>
  <c r="I153" i="1"/>
  <c r="H264" i="1"/>
  <c r="H266" i="1" s="1"/>
  <c r="E48" i="1"/>
  <c r="E153" i="1"/>
  <c r="J190" i="1"/>
  <c r="J69" i="1"/>
  <c r="D48" i="1"/>
  <c r="D153" i="1"/>
  <c r="L200" i="1"/>
  <c r="L199" i="1" s="1"/>
  <c r="K263" i="1"/>
  <c r="B190" i="1"/>
  <c r="B69" i="1"/>
  <c r="B263" i="1"/>
  <c r="T52" i="1"/>
  <c r="B52" i="1"/>
  <c r="B183" i="1"/>
  <c r="B124" i="1" s="1"/>
  <c r="B144" i="1"/>
  <c r="B70" i="1" s="1"/>
  <c r="K264" i="1"/>
  <c r="K266" i="1" s="1"/>
  <c r="K221" i="1"/>
  <c r="K52" i="1"/>
  <c r="K69" i="1"/>
  <c r="K190" i="1"/>
  <c r="D224" i="1"/>
  <c r="C263" i="1"/>
  <c r="AI201" i="1"/>
  <c r="M153" i="1"/>
  <c r="M48" i="1"/>
  <c r="S222" i="1"/>
  <c r="S69" i="1"/>
  <c r="Q197" i="1"/>
  <c r="Q196" i="1" s="1"/>
  <c r="J172" i="1"/>
  <c r="I52" i="1"/>
  <c r="J221" i="1"/>
  <c r="K48" i="1"/>
  <c r="K153" i="1"/>
  <c r="D200" i="1"/>
  <c r="E212" i="1"/>
  <c r="W153" i="1"/>
  <c r="X218" i="1" s="1"/>
  <c r="X216" i="1" s="1"/>
  <c r="W48" i="1"/>
  <c r="V263" i="1"/>
  <c r="J200" i="1"/>
  <c r="Q222" i="1"/>
  <c r="I144" i="1"/>
  <c r="I70" i="1" s="1"/>
  <c r="P190" i="1"/>
  <c r="G144" i="1"/>
  <c r="G70" i="1" s="1"/>
  <c r="G52" i="1"/>
  <c r="U221" i="1"/>
  <c r="U183" i="1"/>
  <c r="U124" i="1" s="1"/>
  <c r="U52" i="1"/>
  <c r="S263" i="1"/>
  <c r="S190" i="1"/>
  <c r="R264" i="1"/>
  <c r="R266" i="1" s="1"/>
  <c r="I172" i="1"/>
  <c r="I212" i="1"/>
  <c r="I200" i="1"/>
  <c r="J212" i="1"/>
  <c r="Q200" i="1"/>
  <c r="Q172" i="1"/>
  <c r="Q212" i="1"/>
  <c r="R212" i="1"/>
  <c r="T197" i="1"/>
  <c r="N144" i="1"/>
  <c r="N70" i="1" s="1"/>
  <c r="N52" i="1"/>
  <c r="L183" i="1"/>
  <c r="L124" i="1" s="1"/>
  <c r="L264" i="1"/>
  <c r="L266" i="1" s="1"/>
  <c r="L221" i="1"/>
  <c r="P222" i="1"/>
  <c r="P69" i="1"/>
  <c r="P263" i="1"/>
  <c r="M224" i="1"/>
  <c r="L263" i="1"/>
  <c r="V69" i="1"/>
  <c r="V190" i="1"/>
  <c r="Q144" i="1"/>
  <c r="Q70" i="1" s="1"/>
  <c r="R221" i="1"/>
  <c r="Q52" i="1"/>
  <c r="E200" i="1"/>
  <c r="E172" i="1"/>
  <c r="O200" i="1"/>
  <c r="O212" i="1"/>
  <c r="U200" i="1"/>
  <c r="U172" i="1"/>
  <c r="M144" i="1"/>
  <c r="M70" i="1" s="1"/>
  <c r="R200" i="1"/>
  <c r="BT199" i="1"/>
  <c r="BP199" i="1"/>
  <c r="AZ42" i="1"/>
  <c r="BK42" i="1"/>
  <c r="AW42" i="1"/>
  <c r="BL27" i="1"/>
  <c r="BK31" i="1"/>
  <c r="AM67" i="1"/>
  <c r="AM134" i="1"/>
  <c r="AM135" i="1" s="1"/>
  <c r="AM144" i="1" s="1"/>
  <c r="AM208" i="1"/>
  <c r="AM210" i="1" s="1"/>
  <c r="AM81" i="1"/>
  <c r="AM84" i="1" s="1"/>
  <c r="AT42" i="1"/>
  <c r="AY42" i="1"/>
  <c r="AZ27" i="1"/>
  <c r="AY31" i="1"/>
  <c r="BA42" i="1"/>
  <c r="BQ42" i="1"/>
  <c r="AP42" i="1"/>
  <c r="AQ203" i="1"/>
  <c r="BM42" i="1"/>
  <c r="BU26" i="1"/>
  <c r="BQ31" i="1"/>
  <c r="BQ43" i="1" s="1"/>
  <c r="BQ27" i="1"/>
  <c r="BU42" i="1"/>
  <c r="AS198" i="1"/>
  <c r="BR42" i="1"/>
  <c r="N73" i="1"/>
  <c r="AL259" i="1"/>
  <c r="AJ27" i="1"/>
  <c r="AM26" i="1"/>
  <c r="AL240" i="1"/>
  <c r="AI31" i="1"/>
  <c r="BP31" i="1"/>
  <c r="AY26" i="1"/>
  <c r="AU31" i="1"/>
  <c r="AU42" i="1"/>
  <c r="BS31" i="1"/>
  <c r="BT27" i="1"/>
  <c r="BR31" i="1"/>
  <c r="BT203" i="1"/>
  <c r="AI196" i="1"/>
  <c r="AP27" i="1"/>
  <c r="AL117" i="1"/>
  <c r="AL118" i="1"/>
  <c r="BN31" i="1"/>
  <c r="BR26" i="1"/>
  <c r="BZ118" i="1"/>
  <c r="BZ117" i="1"/>
  <c r="BZ119" i="1"/>
  <c r="AP203" i="1"/>
  <c r="BX26" i="1"/>
  <c r="BT31" i="1"/>
  <c r="AO31" i="1"/>
  <c r="BI224" i="1"/>
  <c r="AO42" i="1"/>
  <c r="AV31" i="1"/>
  <c r="AW27" i="1"/>
  <c r="BT26" i="1"/>
  <c r="AV27" i="1"/>
  <c r="BV153" i="1"/>
  <c r="BW48" i="1"/>
  <c r="BW149" i="1"/>
  <c r="AW117" i="1"/>
  <c r="AW119" i="1"/>
  <c r="AW118" i="1"/>
  <c r="K183" i="1"/>
  <c r="K124" i="1" s="1"/>
  <c r="W52" i="1"/>
  <c r="O263" i="1"/>
  <c r="BC42" i="1"/>
  <c r="BS26" i="1"/>
  <c r="BP196" i="1"/>
  <c r="G263" i="1"/>
  <c r="L224" i="1"/>
  <c r="BO42" i="1"/>
  <c r="H224" i="1"/>
  <c r="BO27" i="1"/>
  <c r="BO31" i="1"/>
  <c r="AX42" i="1"/>
  <c r="BS203" i="1"/>
  <c r="AZ199" i="1"/>
  <c r="O172" i="1"/>
  <c r="BH42" i="1"/>
  <c r="X221" i="1"/>
  <c r="AI199" i="1"/>
  <c r="U264" i="1"/>
  <c r="U266" i="1" s="1"/>
  <c r="BF42" i="1"/>
  <c r="BB42" i="1"/>
  <c r="BI42" i="1"/>
  <c r="AX199" i="1"/>
  <c r="O221" i="1"/>
  <c r="BR199" i="1"/>
  <c r="AR43" i="1"/>
  <c r="AR44" i="1" s="1"/>
  <c r="BG240" i="1"/>
  <c r="BH26" i="1"/>
  <c r="BD31" i="1"/>
  <c r="BE27" i="1"/>
  <c r="BD42" i="1"/>
  <c r="BD203" i="1"/>
  <c r="BS27" i="1"/>
  <c r="BU240" i="1"/>
  <c r="AW31" i="1"/>
  <c r="AX27" i="1"/>
  <c r="AZ240" i="1"/>
  <c r="AX240" i="1"/>
  <c r="AW203" i="1"/>
  <c r="AY240" i="1"/>
  <c r="Q73" i="1"/>
  <c r="BA26" i="1"/>
  <c r="J153" i="1"/>
  <c r="J48" i="1"/>
  <c r="BI240" i="1"/>
  <c r="BJ26" i="1"/>
  <c r="BG27" i="1"/>
  <c r="BF31" i="1"/>
  <c r="BF43" i="1" s="1"/>
  <c r="S153" i="1"/>
  <c r="S48" i="1"/>
  <c r="R52" i="1"/>
  <c r="R183" i="1"/>
  <c r="R124" i="1" s="1"/>
  <c r="I183" i="1"/>
  <c r="I124" i="1" s="1"/>
  <c r="J264" i="1"/>
  <c r="J266" i="1" s="1"/>
  <c r="E197" i="1"/>
  <c r="E196" i="1" s="1"/>
  <c r="F211" i="1"/>
  <c r="C153" i="1"/>
  <c r="C48" i="1"/>
  <c r="G190" i="1"/>
  <c r="G222" i="1"/>
  <c r="G69" i="1"/>
  <c r="H222" i="1"/>
  <c r="G211" i="1"/>
  <c r="F197" i="1"/>
  <c r="AZ31" i="1"/>
  <c r="BB240" i="1"/>
  <c r="R73" i="1"/>
  <c r="BA27" i="1"/>
  <c r="BD26" i="1"/>
  <c r="BA203" i="1"/>
  <c r="AZ26" i="1"/>
  <c r="AZ203" i="1"/>
  <c r="BC240" i="1"/>
  <c r="BG26" i="1"/>
  <c r="BC31" i="1"/>
  <c r="BC26" i="1"/>
  <c r="BC203" i="1"/>
  <c r="BD27" i="1"/>
  <c r="AQ42" i="1"/>
  <c r="AV203" i="1"/>
  <c r="AR240" i="1"/>
  <c r="AU26" i="1"/>
  <c r="AT240" i="1"/>
  <c r="P73" i="1"/>
  <c r="AQ31" i="1"/>
  <c r="AQ26" i="1"/>
  <c r="AR27" i="1"/>
  <c r="AR203" i="1"/>
  <c r="AS240" i="1"/>
  <c r="AY203" i="1"/>
  <c r="AY27" i="1"/>
  <c r="BA240" i="1"/>
  <c r="AX31" i="1"/>
  <c r="BB26" i="1"/>
  <c r="AX203" i="1"/>
  <c r="BG31" i="1"/>
  <c r="BJ240" i="1"/>
  <c r="BG42" i="1"/>
  <c r="BG203" i="1"/>
  <c r="BH27" i="1"/>
  <c r="BJ259" i="1"/>
  <c r="T73" i="1"/>
  <c r="BI203" i="1"/>
  <c r="BL240" i="1"/>
  <c r="BJ203" i="1"/>
  <c r="BJ27" i="1"/>
  <c r="BI31" i="1"/>
  <c r="BL259" i="1"/>
  <c r="BC27" i="1"/>
  <c r="BB27" i="1"/>
  <c r="BB203" i="1"/>
  <c r="BD240" i="1"/>
  <c r="BB31" i="1"/>
  <c r="BE240" i="1"/>
  <c r="BF26" i="1"/>
  <c r="AU240" i="1"/>
  <c r="AW26" i="1"/>
  <c r="AS26" i="1"/>
  <c r="AS42" i="1"/>
  <c r="AV240" i="1"/>
  <c r="AS31" i="1"/>
  <c r="BM203" i="1"/>
  <c r="BN203" i="1"/>
  <c r="BN27" i="1"/>
  <c r="BO240" i="1"/>
  <c r="BP240" i="1"/>
  <c r="BO203" i="1"/>
  <c r="BN240" i="1"/>
  <c r="BO26" i="1"/>
  <c r="U73" i="1"/>
  <c r="BP203" i="1"/>
  <c r="BY26" i="1"/>
  <c r="BU203" i="1"/>
  <c r="BU27" i="1"/>
  <c r="BY203" i="1"/>
  <c r="V73" i="1"/>
  <c r="BR240" i="1"/>
  <c r="BT240" i="1"/>
  <c r="BQ203" i="1"/>
  <c r="BS240" i="1"/>
  <c r="BQ240" i="1"/>
  <c r="BR203" i="1"/>
  <c r="BR27" i="1"/>
  <c r="BH203" i="1"/>
  <c r="BL26" i="1"/>
  <c r="BI27" i="1"/>
  <c r="BH31" i="1"/>
  <c r="AT31" i="1"/>
  <c r="AT26" i="1"/>
  <c r="AW240" i="1"/>
  <c r="AU27" i="1"/>
  <c r="AT203" i="1"/>
  <c r="AX26" i="1"/>
  <c r="AU203" i="1"/>
  <c r="C172" i="1"/>
  <c r="C197" i="1"/>
  <c r="C196" i="1" s="1"/>
  <c r="U197" i="1"/>
  <c r="U196" i="1" s="1"/>
  <c r="V211" i="1"/>
  <c r="T212" i="1"/>
  <c r="U212" i="1"/>
  <c r="T200" i="1"/>
  <c r="AO203" i="1"/>
  <c r="AN26" i="1"/>
  <c r="AO240" i="1"/>
  <c r="AN31" i="1"/>
  <c r="AO27" i="1"/>
  <c r="AR26" i="1"/>
  <c r="AN27" i="1"/>
  <c r="AN203" i="1"/>
  <c r="AN240" i="1"/>
  <c r="S144" i="1"/>
  <c r="S70" i="1" s="1"/>
  <c r="S52" i="1"/>
  <c r="S183" i="1"/>
  <c r="S124" i="1" s="1"/>
  <c r="S221" i="1"/>
  <c r="S264" i="1"/>
  <c r="S266" i="1" s="1"/>
  <c r="R197" i="1"/>
  <c r="R196" i="1" s="1"/>
  <c r="R172" i="1"/>
  <c r="BV201" i="1"/>
  <c r="BZ204" i="1" s="1"/>
  <c r="BF199" i="1"/>
  <c r="CA203" i="1"/>
  <c r="X73" i="1"/>
  <c r="CB203" i="1"/>
  <c r="BW42" i="1"/>
  <c r="BW203" i="1"/>
  <c r="BX27" i="1"/>
  <c r="BZ240" i="1"/>
  <c r="CA26" i="1"/>
  <c r="BZ259" i="1"/>
  <c r="BW31" i="1"/>
  <c r="BW26" i="1"/>
  <c r="BX203" i="1"/>
  <c r="Q153" i="1"/>
  <c r="Q48" i="1"/>
  <c r="F259" i="1"/>
  <c r="F261" i="1"/>
  <c r="BW224" i="1"/>
  <c r="BV263" i="1"/>
  <c r="V153" i="1"/>
  <c r="V48" i="1"/>
  <c r="BC117" i="1"/>
  <c r="BC119" i="1"/>
  <c r="BC118" i="1"/>
  <c r="BV119" i="1"/>
  <c r="BV117" i="1"/>
  <c r="BV118" i="1"/>
  <c r="BW118" i="1"/>
  <c r="BW117" i="1"/>
  <c r="BW119" i="1"/>
  <c r="BJ44" i="1"/>
  <c r="BJ247" i="1"/>
  <c r="BJ248" i="1" s="1"/>
  <c r="BJ49" i="1"/>
  <c r="BJ53" i="1" s="1"/>
  <c r="AS119" i="1"/>
  <c r="AS118" i="1"/>
  <c r="AS117" i="1"/>
  <c r="AR119" i="1"/>
  <c r="AR118" i="1"/>
  <c r="AR117" i="1"/>
  <c r="BA119" i="1"/>
  <c r="BA117" i="1"/>
  <c r="BA118" i="1"/>
  <c r="BJ117" i="1"/>
  <c r="BJ119" i="1"/>
  <c r="BJ118" i="1"/>
  <c r="BX259" i="1"/>
  <c r="BW240" i="1"/>
  <c r="BV27" i="1"/>
  <c r="BV26" i="1"/>
  <c r="BV42" i="1"/>
  <c r="BZ203" i="1"/>
  <c r="BV240" i="1"/>
  <c r="BW27" i="1"/>
  <c r="BY240" i="1"/>
  <c r="BZ26" i="1"/>
  <c r="BX240" i="1"/>
  <c r="BV203" i="1"/>
  <c r="W73" i="1"/>
  <c r="BY119" i="1"/>
  <c r="BY117" i="1"/>
  <c r="BY118" i="1"/>
  <c r="BL119" i="1"/>
  <c r="BL118" i="1"/>
  <c r="BL117" i="1"/>
  <c r="BI118" i="1"/>
  <c r="BI117" i="1"/>
  <c r="BI119" i="1"/>
  <c r="BX264" i="1"/>
  <c r="BW221" i="1"/>
  <c r="BW264" i="1"/>
  <c r="BX221" i="1"/>
  <c r="BV183" i="1"/>
  <c r="BV144" i="1"/>
  <c r="AZ117" i="1"/>
  <c r="AZ118" i="1"/>
  <c r="AZ119" i="1"/>
  <c r="AY118" i="1"/>
  <c r="AY117" i="1"/>
  <c r="AY119" i="1"/>
  <c r="BB117" i="1"/>
  <c r="BB118" i="1"/>
  <c r="BB119" i="1"/>
  <c r="BE119" i="1"/>
  <c r="BE117" i="1"/>
  <c r="BE118" i="1"/>
  <c r="BP117" i="1"/>
  <c r="BP119" i="1"/>
  <c r="BP118" i="1"/>
  <c r="BO117" i="1"/>
  <c r="BO119" i="1"/>
  <c r="BO118" i="1"/>
  <c r="BN117" i="1"/>
  <c r="BN118" i="1"/>
  <c r="BN119" i="1"/>
  <c r="BM117" i="1"/>
  <c r="BM119" i="1"/>
  <c r="BM118" i="1"/>
  <c r="BX117" i="1"/>
  <c r="BX118" i="1"/>
  <c r="BX119" i="1"/>
  <c r="BQ117" i="1"/>
  <c r="BQ119" i="1"/>
  <c r="BQ118" i="1"/>
  <c r="BK119" i="1"/>
  <c r="BK117" i="1"/>
  <c r="BK118" i="1"/>
  <c r="BH118" i="1"/>
  <c r="BH119" i="1"/>
  <c r="BH117" i="1"/>
  <c r="BR118" i="1"/>
  <c r="BR119" i="1"/>
  <c r="BR117" i="1"/>
  <c r="BF117" i="1"/>
  <c r="BF119" i="1"/>
  <c r="BF118" i="1"/>
  <c r="O153" i="1"/>
  <c r="O48" i="1"/>
  <c r="AN117" i="1"/>
  <c r="AN119" i="1"/>
  <c r="AV118" i="1"/>
  <c r="AV119" i="1"/>
  <c r="AV117" i="1"/>
  <c r="AX118" i="1"/>
  <c r="AX119" i="1"/>
  <c r="AX117" i="1"/>
  <c r="BT118" i="1"/>
  <c r="BT117" i="1"/>
  <c r="BT119" i="1"/>
  <c r="BI221" i="1"/>
  <c r="BJ221" i="1"/>
  <c r="BJ264" i="1"/>
  <c r="BI264" i="1"/>
  <c r="AP117" i="1"/>
  <c r="AP119" i="1"/>
  <c r="AP118" i="1"/>
  <c r="AT117" i="1"/>
  <c r="AT118" i="1"/>
  <c r="AT119" i="1"/>
  <c r="AO118" i="1"/>
  <c r="AO119" i="1"/>
  <c r="D222" i="1"/>
  <c r="T221" i="1"/>
  <c r="E222" i="1"/>
  <c r="BD199" i="1"/>
  <c r="BH221" i="1"/>
  <c r="D52" i="1"/>
  <c r="D264" i="1"/>
  <c r="D266" i="1" s="1"/>
  <c r="BD119" i="1"/>
  <c r="BD118" i="1"/>
  <c r="BD117" i="1"/>
  <c r="BL203" i="1"/>
  <c r="BK240" i="1"/>
  <c r="BK26" i="1"/>
  <c r="BK203" i="1"/>
  <c r="N69" i="1"/>
  <c r="O222" i="1"/>
  <c r="N222" i="1"/>
  <c r="N190" i="1"/>
  <c r="I69" i="1"/>
  <c r="I190" i="1"/>
  <c r="I222" i="1"/>
  <c r="I263" i="1"/>
  <c r="L172" i="1"/>
  <c r="L197" i="1"/>
  <c r="M211" i="1"/>
  <c r="C190" i="1"/>
  <c r="C69" i="1"/>
  <c r="C222" i="1"/>
  <c r="V222" i="1"/>
  <c r="U144" i="1"/>
  <c r="U70" i="1" s="1"/>
  <c r="Q264" i="1"/>
  <c r="Q266" i="1" s="1"/>
  <c r="P52" i="1"/>
  <c r="P264" i="1"/>
  <c r="P266" i="1" s="1"/>
  <c r="P183" i="1"/>
  <c r="P124" i="1" s="1"/>
  <c r="P144" i="1"/>
  <c r="P70" i="1" s="1"/>
  <c r="Q221" i="1"/>
  <c r="D69" i="1"/>
  <c r="D263" i="1"/>
  <c r="D144" i="1"/>
  <c r="D70" i="1" s="1"/>
  <c r="D190" i="1"/>
  <c r="P211" i="1"/>
  <c r="P172" i="1"/>
  <c r="P197" i="1"/>
  <c r="P201" i="1" s="1"/>
  <c r="D211" i="1"/>
  <c r="E211" i="1"/>
  <c r="D172" i="1"/>
  <c r="H144" i="1"/>
  <c r="H70" i="1" s="1"/>
  <c r="I264" i="1"/>
  <c r="I266" i="1" s="1"/>
  <c r="H183" i="1"/>
  <c r="H124" i="1" s="1"/>
  <c r="F52" i="1"/>
  <c r="F144" i="1"/>
  <c r="F70" i="1" s="1"/>
  <c r="R69" i="1"/>
  <c r="R190" i="1"/>
  <c r="R263" i="1"/>
  <c r="R144" i="1"/>
  <c r="R70" i="1" s="1"/>
  <c r="R222" i="1"/>
  <c r="D122" i="1"/>
  <c r="D125" i="1" s="1"/>
  <c r="D128" i="1" s="1"/>
  <c r="D81" i="1"/>
  <c r="D123" i="1"/>
  <c r="D126" i="1" s="1"/>
  <c r="D129" i="1" s="1"/>
  <c r="AU118" i="1"/>
  <c r="AU119" i="1"/>
  <c r="AU117" i="1"/>
  <c r="BE42" i="1"/>
  <c r="BF240" i="1"/>
  <c r="BE31" i="1"/>
  <c r="BE203" i="1"/>
  <c r="BI26" i="1"/>
  <c r="BF27" i="1"/>
  <c r="BE26" i="1"/>
  <c r="BH240" i="1"/>
  <c r="BF203" i="1"/>
  <c r="S73" i="1"/>
  <c r="BH144" i="1"/>
  <c r="BH183" i="1"/>
  <c r="K211" i="1"/>
  <c r="K197" i="1"/>
  <c r="K196" i="1" s="1"/>
  <c r="E183" i="1"/>
  <c r="E124" i="1" s="1"/>
  <c r="E221" i="1"/>
  <c r="F264" i="1"/>
  <c r="F266" i="1" s="1"/>
  <c r="O224" i="1"/>
  <c r="N263" i="1"/>
  <c r="N183" i="1"/>
  <c r="N124" i="1" s="1"/>
  <c r="B172" i="1"/>
  <c r="C211" i="1"/>
  <c r="T69" i="1"/>
  <c r="T222" i="1"/>
  <c r="G200" i="1"/>
  <c r="G172" i="1"/>
  <c r="H212" i="1"/>
  <c r="O73" i="1"/>
  <c r="AP240" i="1"/>
  <c r="AS203" i="1"/>
  <c r="AN42" i="1"/>
  <c r="AQ240" i="1"/>
  <c r="BH153" i="1"/>
  <c r="BI149" i="1"/>
  <c r="AQ119" i="1"/>
  <c r="BU118" i="1"/>
  <c r="BU119" i="1"/>
  <c r="BS117" i="1"/>
  <c r="BS118" i="1"/>
  <c r="BS119" i="1"/>
  <c r="BH107" i="1"/>
  <c r="BH263" i="1"/>
  <c r="BV199" i="1"/>
  <c r="M52" i="1"/>
  <c r="T144" i="1"/>
  <c r="T70" i="1" s="1"/>
  <c r="AQ118" i="1"/>
  <c r="BU117" i="1"/>
  <c r="M264" i="1"/>
  <c r="M266" i="1" s="1"/>
  <c r="L211" i="1"/>
  <c r="D197" i="1"/>
  <c r="D196" i="1" s="1"/>
  <c r="E144" i="1"/>
  <c r="E70" i="1" s="1"/>
  <c r="V264" i="1"/>
  <c r="V266" i="1" s="1"/>
  <c r="T263" i="1"/>
  <c r="F212" i="1"/>
  <c r="AN118" i="1"/>
  <c r="V212" i="1"/>
  <c r="N197" i="1"/>
  <c r="N201" i="1" s="1"/>
  <c r="U263" i="1"/>
  <c r="S172" i="1"/>
  <c r="T190" i="1"/>
  <c r="V221" i="1"/>
  <c r="U222" i="1"/>
  <c r="U190" i="1"/>
  <c r="BH201" i="1"/>
  <c r="BL204" i="1" s="1"/>
  <c r="BH172" i="1"/>
  <c r="M200" i="1"/>
  <c r="V172" i="1"/>
  <c r="B197" i="1"/>
  <c r="N264" i="1"/>
  <c r="N266" i="1" s="1"/>
  <c r="C212" i="1"/>
  <c r="O211" i="1"/>
  <c r="I211" i="1"/>
  <c r="K144" i="1"/>
  <c r="K70" i="1" s="1"/>
  <c r="U69" i="1"/>
  <c r="BG118" i="1"/>
  <c r="M172" i="1"/>
  <c r="H172" i="1"/>
  <c r="C200" i="1"/>
  <c r="H197" i="1"/>
  <c r="H196" i="1" s="1"/>
  <c r="L153" i="1"/>
  <c r="T211" i="1"/>
  <c r="BG119" i="1"/>
  <c r="N212" i="1"/>
  <c r="E52" i="1"/>
  <c r="S211" i="1"/>
  <c r="R211" i="1"/>
  <c r="H221" i="1"/>
  <c r="M221" i="1"/>
  <c r="F172" i="1"/>
  <c r="F180" i="1" s="1"/>
  <c r="N221" i="1"/>
  <c r="W221" i="1"/>
  <c r="G264" i="1"/>
  <c r="G266" i="1" s="1"/>
  <c r="H52" i="1"/>
  <c r="BV172" i="1"/>
  <c r="G212" i="1"/>
  <c r="V144" i="1"/>
  <c r="V70" i="1" s="1"/>
  <c r="F221" i="1"/>
  <c r="I221" i="1"/>
  <c r="W264" i="1"/>
  <c r="W266" i="1" s="1"/>
  <c r="G221" i="1"/>
  <c r="F183" i="1"/>
  <c r="F124" i="1" s="1"/>
  <c r="U211" i="1"/>
  <c r="L212" i="1"/>
  <c r="L190" i="1"/>
  <c r="L69" i="1"/>
  <c r="E69" i="1"/>
  <c r="C52" i="1"/>
  <c r="C144" i="1"/>
  <c r="C70" i="1" s="1"/>
  <c r="K200" i="1"/>
  <c r="P221" i="1"/>
  <c r="O144" i="1"/>
  <c r="O70" i="1" s="1"/>
  <c r="O264" i="1"/>
  <c r="O266" i="1" s="1"/>
  <c r="L144" i="1"/>
  <c r="L70" i="1" s="1"/>
  <c r="K172" i="1"/>
  <c r="C183" i="1"/>
  <c r="C124" i="1" s="1"/>
  <c r="C221" i="1"/>
  <c r="M222" i="1"/>
  <c r="M220" i="1" s="1"/>
  <c r="R153" i="1"/>
  <c r="R48" i="1"/>
  <c r="O183" i="1"/>
  <c r="O124" i="1" s="1"/>
  <c r="C264" i="1"/>
  <c r="C266" i="1" s="1"/>
  <c r="N211" i="1"/>
  <c r="N213" i="1" s="1"/>
  <c r="N214" i="1" s="1"/>
  <c r="L222" i="1"/>
  <c r="V183" i="1"/>
  <c r="V124" i="1" s="1"/>
  <c r="T172" i="1"/>
  <c r="T264" i="1"/>
  <c r="T266" i="1" s="1"/>
  <c r="F222" i="1"/>
  <c r="BR264" i="1"/>
  <c r="BU217" i="1"/>
  <c r="AX217" i="1"/>
  <c r="AW217" i="1"/>
  <c r="AR217" i="1"/>
  <c r="AQ217" i="1"/>
  <c r="BB183" i="1"/>
  <c r="AV183" i="1"/>
  <c r="BS48" i="1"/>
  <c r="BS149" i="1"/>
  <c r="BR153" i="1"/>
  <c r="AV264" i="1"/>
  <c r="AO149" i="1"/>
  <c r="AO48" i="1"/>
  <c r="AN153" i="1"/>
  <c r="AV221" i="1"/>
  <c r="V199" i="1"/>
  <c r="V201" i="1"/>
  <c r="BC221" i="1"/>
  <c r="BC264" i="1"/>
  <c r="BU48" i="1"/>
  <c r="BT153" i="1"/>
  <c r="BU149" i="1"/>
  <c r="BG149" i="1"/>
  <c r="BG48" i="1"/>
  <c r="BF153" i="1"/>
  <c r="BF183" i="1"/>
  <c r="BP183" i="1"/>
  <c r="BR144" i="1"/>
  <c r="BS264" i="1"/>
  <c r="BS221" i="1"/>
  <c r="BA149" i="1"/>
  <c r="BA48" i="1"/>
  <c r="AZ153" i="1"/>
  <c r="BQ48" i="1"/>
  <c r="BP153" i="1"/>
  <c r="BQ149" i="1"/>
  <c r="BC224" i="1"/>
  <c r="BD107" i="1"/>
  <c r="AW264" i="1"/>
  <c r="AW221" i="1"/>
  <c r="AN197" i="1"/>
  <c r="BT217" i="1"/>
  <c r="BS217" i="1"/>
  <c r="AZ183" i="1"/>
  <c r="AZ144" i="1"/>
  <c r="BD221" i="1"/>
  <c r="BD144" i="1"/>
  <c r="BD264" i="1"/>
  <c r="AV107" i="1"/>
  <c r="AV263" i="1"/>
  <c r="BG264" i="1"/>
  <c r="BH264" i="1"/>
  <c r="BB221" i="1"/>
  <c r="BA264" i="1"/>
  <c r="BB264" i="1"/>
  <c r="BA221" i="1"/>
  <c r="AU221" i="1"/>
  <c r="AU264" i="1"/>
  <c r="BR221" i="1"/>
  <c r="AZ107" i="1"/>
  <c r="AZ263" i="1"/>
  <c r="BT107" i="1"/>
  <c r="BP111" i="1"/>
  <c r="AV144" i="1"/>
  <c r="BQ264" i="1"/>
  <c r="BP263" i="1"/>
  <c r="BP144" i="1"/>
  <c r="BG221" i="1"/>
  <c r="BQ221" i="1"/>
  <c r="BP110" i="1"/>
  <c r="AV197" i="1"/>
  <c r="BT197" i="1"/>
  <c r="BT172" i="1"/>
  <c r="BR197" i="1"/>
  <c r="BR201" i="1" s="1"/>
  <c r="BR172" i="1"/>
  <c r="BV111" i="1"/>
  <c r="BV110" i="1"/>
  <c r="BV109" i="1"/>
  <c r="BK34" i="1"/>
  <c r="AP43" i="1"/>
  <c r="AP33" i="1"/>
  <c r="AP32" i="1"/>
  <c r="BU43" i="1"/>
  <c r="BV34" i="1"/>
  <c r="BY33" i="1"/>
  <c r="BU32" i="1"/>
  <c r="AR32" i="1"/>
  <c r="BM32" i="1"/>
  <c r="BQ33" i="1"/>
  <c r="BM43" i="1"/>
  <c r="BM34" i="1"/>
  <c r="AT110" i="1"/>
  <c r="AT111" i="1"/>
  <c r="AT109" i="1"/>
  <c r="AN33" i="1"/>
  <c r="AN34" i="1"/>
  <c r="AV33" i="1"/>
  <c r="BR111" i="1"/>
  <c r="BR109" i="1"/>
  <c r="BR110" i="1"/>
  <c r="AO33" i="1"/>
  <c r="O74" i="1"/>
  <c r="AQ33" i="1"/>
  <c r="CR209" i="1"/>
  <c r="CR147" i="1"/>
  <c r="CQ218" i="1"/>
  <c r="CQ216" i="1" s="1"/>
  <c r="AB221" i="1"/>
  <c r="DB78" i="1"/>
  <c r="DB80" i="1" s="1"/>
  <c r="DA80" i="1"/>
  <c r="AT33" i="1" l="1"/>
  <c r="BJ45" i="1"/>
  <c r="BP33" i="1"/>
  <c r="BN33" i="1"/>
  <c r="AQ34" i="1"/>
  <c r="BN34" i="1"/>
  <c r="BB34" i="1"/>
  <c r="AP196" i="1"/>
  <c r="AR153" i="1"/>
  <c r="AR261" i="1" s="1"/>
  <c r="AR196" i="1"/>
  <c r="AS48" i="1"/>
  <c r="AQ264" i="1"/>
  <c r="AN107" i="1"/>
  <c r="AN110" i="1" s="1"/>
  <c r="AN263" i="1"/>
  <c r="AR221" i="1"/>
  <c r="AR264" i="1"/>
  <c r="AN261" i="1"/>
  <c r="BC48" i="1"/>
  <c r="BB153" i="1"/>
  <c r="BC149" i="1"/>
  <c r="BT144" i="1"/>
  <c r="BN183" i="1"/>
  <c r="BN144" i="1"/>
  <c r="BB144" i="1"/>
  <c r="AT263" i="1"/>
  <c r="AS221" i="1"/>
  <c r="AS264" i="1"/>
  <c r="AR183" i="1"/>
  <c r="AS52" i="1" s="1"/>
  <c r="BN153" i="1"/>
  <c r="BO149" i="1"/>
  <c r="BO48" i="1"/>
  <c r="BF221" i="1"/>
  <c r="BB263" i="1"/>
  <c r="AR263" i="1"/>
  <c r="AX221" i="1"/>
  <c r="AX183" i="1"/>
  <c r="AX144" i="1"/>
  <c r="AX264" i="1"/>
  <c r="BO217" i="1"/>
  <c r="BP217" i="1"/>
  <c r="AT153" i="1"/>
  <c r="AU48" i="1"/>
  <c r="AU149" i="1"/>
  <c r="BD263" i="1"/>
  <c r="BV264" i="1"/>
  <c r="BU264" i="1"/>
  <c r="BU221" i="1"/>
  <c r="BV221" i="1"/>
  <c r="BT183" i="1"/>
  <c r="BT264" i="1"/>
  <c r="BT221" i="1"/>
  <c r="AP217" i="1"/>
  <c r="AO217" i="1"/>
  <c r="AZ264" i="1"/>
  <c r="AZ221" i="1"/>
  <c r="AT144" i="1"/>
  <c r="AT264" i="1"/>
  <c r="AT221" i="1"/>
  <c r="BE264" i="1"/>
  <c r="BE221" i="1"/>
  <c r="BD183" i="1"/>
  <c r="AQ221" i="1"/>
  <c r="AP221" i="1"/>
  <c r="AP264" i="1"/>
  <c r="BP201" i="1"/>
  <c r="BP204" i="1" s="1"/>
  <c r="AY221" i="1"/>
  <c r="AY264" i="1"/>
  <c r="AQ224" i="1"/>
  <c r="AP263" i="1"/>
  <c r="BS224" i="1"/>
  <c r="BR263" i="1"/>
  <c r="BT263" i="1"/>
  <c r="BF264" i="1"/>
  <c r="BF144" i="1"/>
  <c r="AP183" i="1"/>
  <c r="AP144" i="1"/>
  <c r="AP110" i="1"/>
  <c r="AP109" i="1"/>
  <c r="AP111" i="1"/>
  <c r="AP200" i="1"/>
  <c r="AP172" i="1"/>
  <c r="BF107" i="1"/>
  <c r="BF263" i="1"/>
  <c r="BP172" i="1"/>
  <c r="AV201" i="1"/>
  <c r="AV172" i="1"/>
  <c r="BB197" i="1"/>
  <c r="BB172" i="1"/>
  <c r="BD197" i="1"/>
  <c r="BD172" i="1"/>
  <c r="AX197" i="1"/>
  <c r="AX172" i="1"/>
  <c r="BF197" i="1"/>
  <c r="BF172" i="1"/>
  <c r="BN197" i="1"/>
  <c r="BN172" i="1"/>
  <c r="AZ197" i="1"/>
  <c r="AZ172" i="1"/>
  <c r="AS153" i="1"/>
  <c r="AT48" i="1"/>
  <c r="BN199" i="1"/>
  <c r="BA43" i="1"/>
  <c r="BA32" i="1"/>
  <c r="AT199" i="1"/>
  <c r="BV32" i="1"/>
  <c r="BZ33" i="1"/>
  <c r="BV43" i="1"/>
  <c r="AR144" i="1"/>
  <c r="AR107" i="1"/>
  <c r="AX107" i="1"/>
  <c r="AX263" i="1"/>
  <c r="AW48" i="1"/>
  <c r="AV153" i="1"/>
  <c r="AW149" i="1"/>
  <c r="BE48" i="1"/>
  <c r="BE149" i="1"/>
  <c r="BD153" i="1"/>
  <c r="AQ149" i="1"/>
  <c r="AN183" i="1"/>
  <c r="BP264" i="1"/>
  <c r="BP221" i="1"/>
  <c r="BR183" i="1"/>
  <c r="BO221" i="1"/>
  <c r="BO264" i="1"/>
  <c r="BN264" i="1"/>
  <c r="BN221" i="1"/>
  <c r="AN172" i="1"/>
  <c r="AN199" i="1"/>
  <c r="AT183" i="1"/>
  <c r="BB199" i="1"/>
  <c r="AV199" i="1"/>
  <c r="C220" i="1"/>
  <c r="AP153" i="1"/>
  <c r="AQ48" i="1"/>
  <c r="AT197" i="1"/>
  <c r="AT172" i="1"/>
  <c r="BB110" i="1"/>
  <c r="BB111" i="1"/>
  <c r="BB109" i="1"/>
  <c r="AO264" i="1"/>
  <c r="AO221" i="1"/>
  <c r="AN264" i="1"/>
  <c r="AN221" i="1"/>
  <c r="AN144" i="1"/>
  <c r="AY149" i="1"/>
  <c r="AX153" i="1"/>
  <c r="AY48" i="1"/>
  <c r="AR200" i="1"/>
  <c r="AR172" i="1"/>
  <c r="BN263" i="1"/>
  <c r="BN107" i="1"/>
  <c r="S220" i="1"/>
  <c r="BE33" i="1"/>
  <c r="T218" i="1"/>
  <c r="T216" i="1" s="1"/>
  <c r="P213" i="1"/>
  <c r="P214" i="1" s="1"/>
  <c r="D213" i="1"/>
  <c r="D214" i="1" s="1"/>
  <c r="E213" i="1"/>
  <c r="E214" i="1" s="1"/>
  <c r="H213" i="1"/>
  <c r="H214" i="1" s="1"/>
  <c r="V220" i="1"/>
  <c r="N259" i="1"/>
  <c r="BH180" i="1"/>
  <c r="C213" i="1"/>
  <c r="C214" i="1" s="1"/>
  <c r="N261" i="1"/>
  <c r="M180" i="1"/>
  <c r="H180" i="1"/>
  <c r="S213" i="1"/>
  <c r="S214" i="1" s="1"/>
  <c r="R213" i="1"/>
  <c r="R214" i="1" s="1"/>
  <c r="F181" i="1"/>
  <c r="K201" i="1"/>
  <c r="P220" i="1"/>
  <c r="K180" i="1"/>
  <c r="L220" i="1"/>
  <c r="T180" i="1"/>
  <c r="T181" i="1" s="1"/>
  <c r="U261" i="1"/>
  <c r="T261" i="1"/>
  <c r="C83" i="1"/>
  <c r="U218" i="1"/>
  <c r="U216" i="1" s="1"/>
  <c r="U180" i="1"/>
  <c r="U181" i="1" s="1"/>
  <c r="W218" i="1"/>
  <c r="W216" i="1" s="1"/>
  <c r="B83" i="1"/>
  <c r="B84" i="1"/>
  <c r="D220" i="1"/>
  <c r="U259" i="1"/>
  <c r="BV33" i="1"/>
  <c r="G213" i="1"/>
  <c r="G214" i="1" s="1"/>
  <c r="BD33" i="1"/>
  <c r="K213" i="1"/>
  <c r="K214" i="1" s="1"/>
  <c r="B180" i="1"/>
  <c r="T220" i="1"/>
  <c r="G180" i="1"/>
  <c r="G181" i="1" s="1"/>
  <c r="S261" i="1"/>
  <c r="S259" i="1"/>
  <c r="S180" i="1"/>
  <c r="U220" i="1"/>
  <c r="O213" i="1"/>
  <c r="O214" i="1" s="1"/>
  <c r="I213" i="1"/>
  <c r="I214" i="1" s="1"/>
  <c r="T213" i="1"/>
  <c r="T214" i="1" s="1"/>
  <c r="H220" i="1"/>
  <c r="C180" i="1"/>
  <c r="BV180" i="1"/>
  <c r="H261" i="1"/>
  <c r="H259" i="1"/>
  <c r="J213" i="1"/>
  <c r="J214" i="1" s="1"/>
  <c r="S199" i="1"/>
  <c r="S201" i="1"/>
  <c r="K220" i="1"/>
  <c r="P180" i="1"/>
  <c r="P181" i="1" s="1"/>
  <c r="R220" i="1"/>
  <c r="P259" i="1"/>
  <c r="P261" i="1"/>
  <c r="D180" i="1"/>
  <c r="J220" i="1"/>
  <c r="I180" i="1"/>
  <c r="I181" i="1" s="1"/>
  <c r="Q213" i="1"/>
  <c r="Q214" i="1" s="1"/>
  <c r="E180" i="1"/>
  <c r="G218" i="1"/>
  <c r="G216" i="1" s="1"/>
  <c r="G259" i="1"/>
  <c r="G261" i="1"/>
  <c r="H218" i="1"/>
  <c r="H216" i="1" s="1"/>
  <c r="I218" i="1"/>
  <c r="I216" i="1" s="1"/>
  <c r="I259" i="1"/>
  <c r="I261" i="1"/>
  <c r="J218" i="1"/>
  <c r="J216" i="1" s="1"/>
  <c r="E259" i="1"/>
  <c r="E261" i="1"/>
  <c r="F218" i="1"/>
  <c r="F216" i="1" s="1"/>
  <c r="B125" i="1"/>
  <c r="B128" i="1" s="1"/>
  <c r="B126" i="1"/>
  <c r="B129" i="1" s="1"/>
  <c r="N218" i="1"/>
  <c r="N216" i="1" s="1"/>
  <c r="M259" i="1"/>
  <c r="M261" i="1"/>
  <c r="N181" i="1"/>
  <c r="E218" i="1"/>
  <c r="E216" i="1" s="1"/>
  <c r="L196" i="1"/>
  <c r="L201" i="1"/>
  <c r="D199" i="1"/>
  <c r="Q220" i="1"/>
  <c r="M213" i="1"/>
  <c r="M214" i="1" s="1"/>
  <c r="D84" i="1"/>
  <c r="D85" i="1" s="1"/>
  <c r="D83" i="1"/>
  <c r="J199" i="1"/>
  <c r="J201" i="1"/>
  <c r="K259" i="1"/>
  <c r="K261" i="1"/>
  <c r="P196" i="1"/>
  <c r="Q201" i="1"/>
  <c r="Q199" i="1"/>
  <c r="I199" i="1"/>
  <c r="I201" i="1"/>
  <c r="E199" i="1"/>
  <c r="E201" i="1"/>
  <c r="U199" i="1"/>
  <c r="U201" i="1"/>
  <c r="T196" i="1"/>
  <c r="G201" i="1"/>
  <c r="G199" i="1"/>
  <c r="O201" i="1"/>
  <c r="O199" i="1"/>
  <c r="R201" i="1"/>
  <c r="R199" i="1"/>
  <c r="C102" i="1"/>
  <c r="C100" i="1"/>
  <c r="C101" i="1"/>
  <c r="B104" i="1"/>
  <c r="AP34" i="1"/>
  <c r="BL34" i="1"/>
  <c r="BK32" i="1"/>
  <c r="BK43" i="1"/>
  <c r="AM69" i="1"/>
  <c r="AM222" i="1"/>
  <c r="AM220" i="1" s="1"/>
  <c r="AM70" i="1"/>
  <c r="AM107" i="1"/>
  <c r="AM101" i="1"/>
  <c r="AM100" i="1"/>
  <c r="AM102" i="1"/>
  <c r="AY43" i="1"/>
  <c r="AY32" i="1"/>
  <c r="AZ34" i="1"/>
  <c r="BQ32" i="1"/>
  <c r="BU33" i="1"/>
  <c r="BQ49" i="1"/>
  <c r="BQ53" i="1" s="1"/>
  <c r="BQ44" i="1"/>
  <c r="BQ247" i="1"/>
  <c r="BQ248" i="1" s="1"/>
  <c r="BP43" i="1"/>
  <c r="BP32" i="1"/>
  <c r="BQ34" i="1"/>
  <c r="BF32" i="1"/>
  <c r="BJ33" i="1"/>
  <c r="BS34" i="1"/>
  <c r="BD32" i="1"/>
  <c r="BC34" i="1"/>
  <c r="BT34" i="1"/>
  <c r="AU33" i="1"/>
  <c r="Q74" i="1"/>
  <c r="BF44" i="1"/>
  <c r="BF49" i="1"/>
  <c r="BF53" i="1" s="1"/>
  <c r="BF247" i="1"/>
  <c r="BF248" i="1" s="1"/>
  <c r="BO43" i="1"/>
  <c r="V74" i="1"/>
  <c r="BP34" i="1"/>
  <c r="BS33" i="1"/>
  <c r="BO33" i="1"/>
  <c r="BO32" i="1"/>
  <c r="AJ34" i="1"/>
  <c r="AI32" i="1"/>
  <c r="AM33" i="1"/>
  <c r="AI43" i="1"/>
  <c r="N74" i="1"/>
  <c r="AU34" i="1"/>
  <c r="AV34" i="1"/>
  <c r="AU43" i="1"/>
  <c r="AY33" i="1"/>
  <c r="AU32" i="1"/>
  <c r="BS43" i="1"/>
  <c r="BS32" i="1"/>
  <c r="BC43" i="1"/>
  <c r="BC32" i="1"/>
  <c r="BC33" i="1"/>
  <c r="BR43" i="1"/>
  <c r="BR34" i="1"/>
  <c r="BR32" i="1"/>
  <c r="BH43" i="1"/>
  <c r="BH32" i="1"/>
  <c r="BL33" i="1"/>
  <c r="BB33" i="1"/>
  <c r="AX34" i="1"/>
  <c r="AX32" i="1"/>
  <c r="AX43" i="1"/>
  <c r="BR33" i="1"/>
  <c r="BN43" i="1"/>
  <c r="U74" i="1"/>
  <c r="BN32" i="1"/>
  <c r="AR247" i="1"/>
  <c r="AR248" i="1" s="1"/>
  <c r="BO34" i="1"/>
  <c r="BG34" i="1"/>
  <c r="BG33" i="1"/>
  <c r="BG32" i="1"/>
  <c r="BH34" i="1"/>
  <c r="BK33" i="1"/>
  <c r="T74" i="1"/>
  <c r="BG43" i="1"/>
  <c r="AN43" i="1"/>
  <c r="AO34" i="1"/>
  <c r="AR33" i="1"/>
  <c r="AN32" i="1"/>
  <c r="AV43" i="1"/>
  <c r="AV32" i="1"/>
  <c r="AW34" i="1"/>
  <c r="AZ33" i="1"/>
  <c r="BU34" i="1"/>
  <c r="BT43" i="1"/>
  <c r="BX33" i="1"/>
  <c r="BT32" i="1"/>
  <c r="BT33" i="1"/>
  <c r="BW153" i="1"/>
  <c r="BX48" i="1"/>
  <c r="AR49" i="1"/>
  <c r="AR53" i="1" s="1"/>
  <c r="AY34" i="1"/>
  <c r="BI34" i="1"/>
  <c r="BV259" i="1"/>
  <c r="BV261" i="1"/>
  <c r="AO43" i="1"/>
  <c r="AO32" i="1"/>
  <c r="AS33" i="1"/>
  <c r="BH261" i="1"/>
  <c r="BH259" i="1"/>
  <c r="AQ43" i="1"/>
  <c r="AQ32" i="1"/>
  <c r="AR34" i="1"/>
  <c r="BB32" i="1"/>
  <c r="R74" i="1"/>
  <c r="BB43" i="1"/>
  <c r="BF33" i="1"/>
  <c r="BD43" i="1"/>
  <c r="BD34" i="1"/>
  <c r="AX33" i="1"/>
  <c r="BE34" i="1"/>
  <c r="G220" i="1"/>
  <c r="P74" i="1"/>
  <c r="F213" i="1"/>
  <c r="F214" i="1" s="1"/>
  <c r="BH33" i="1"/>
  <c r="BA33" i="1"/>
  <c r="AW43" i="1"/>
  <c r="AW32" i="1"/>
  <c r="AZ32" i="1"/>
  <c r="BA34" i="1"/>
  <c r="AZ43" i="1"/>
  <c r="AT32" i="1"/>
  <c r="AT43" i="1"/>
  <c r="O220" i="1"/>
  <c r="V213" i="1"/>
  <c r="V214" i="1" s="1"/>
  <c r="U213" i="1"/>
  <c r="U214" i="1" s="1"/>
  <c r="R180" i="1"/>
  <c r="R181" i="1" s="1"/>
  <c r="J261" i="1"/>
  <c r="K218" i="1"/>
  <c r="K216" i="1" s="1"/>
  <c r="J259" i="1"/>
  <c r="J180" i="1"/>
  <c r="J181" i="1" s="1"/>
  <c r="C218" i="1"/>
  <c r="C216" i="1" s="1"/>
  <c r="D218" i="1"/>
  <c r="D216" i="1" s="1"/>
  <c r="F196" i="1"/>
  <c r="F201" i="1"/>
  <c r="BI33" i="1"/>
  <c r="BJ34" i="1"/>
  <c r="BI32" i="1"/>
  <c r="BM33" i="1"/>
  <c r="BI43" i="1"/>
  <c r="AS34" i="1"/>
  <c r="AT34" i="1"/>
  <c r="AW33" i="1"/>
  <c r="AS43" i="1"/>
  <c r="AS32" i="1"/>
  <c r="T199" i="1"/>
  <c r="T201" i="1"/>
  <c r="B201" i="1"/>
  <c r="B196" i="1"/>
  <c r="C125" i="1"/>
  <c r="C128" i="1" s="1"/>
  <c r="C126" i="1"/>
  <c r="C129" i="1" s="1"/>
  <c r="V180" i="1"/>
  <c r="V181" i="1" s="1"/>
  <c r="N220" i="1"/>
  <c r="I220" i="1"/>
  <c r="BV204" i="1"/>
  <c r="CA33" i="1"/>
  <c r="X74" i="1"/>
  <c r="BW32" i="1"/>
  <c r="BW34" i="1"/>
  <c r="BW33" i="1"/>
  <c r="BX34" i="1"/>
  <c r="BW43" i="1"/>
  <c r="Q180" i="1"/>
  <c r="Q181" i="1" s="1"/>
  <c r="Q218" i="1"/>
  <c r="Q216" i="1" s="1"/>
  <c r="Q261" i="1"/>
  <c r="Q259" i="1"/>
  <c r="V218" i="1"/>
  <c r="V216" i="1" s="1"/>
  <c r="V259" i="1"/>
  <c r="V261" i="1"/>
  <c r="BJ55" i="1"/>
  <c r="BJ56" i="1"/>
  <c r="BW52" i="1"/>
  <c r="BV124" i="1"/>
  <c r="BV44" i="1"/>
  <c r="BV247" i="1"/>
  <c r="BV248" i="1" s="1"/>
  <c r="P218" i="1"/>
  <c r="P216" i="1" s="1"/>
  <c r="O218" i="1"/>
  <c r="O216" i="1" s="1"/>
  <c r="O259" i="1"/>
  <c r="O180" i="1"/>
  <c r="O261" i="1"/>
  <c r="C201" i="1"/>
  <c r="C199" i="1"/>
  <c r="BH109" i="1"/>
  <c r="BH110" i="1"/>
  <c r="BH111" i="1"/>
  <c r="F220" i="1"/>
  <c r="E220" i="1"/>
  <c r="L213" i="1"/>
  <c r="L214" i="1" s="1"/>
  <c r="BE43" i="1"/>
  <c r="BE32" i="1"/>
  <c r="BF34" i="1"/>
  <c r="S74" i="1"/>
  <c r="BH124" i="1"/>
  <c r="BI52" i="1"/>
  <c r="BJ48" i="1"/>
  <c r="BI153" i="1"/>
  <c r="M201" i="1"/>
  <c r="M199" i="1"/>
  <c r="K199" i="1"/>
  <c r="L261" i="1"/>
  <c r="L259" i="1"/>
  <c r="M218" i="1"/>
  <c r="M216" i="1" s="1"/>
  <c r="L180" i="1"/>
  <c r="L181" i="1" s="1"/>
  <c r="N196" i="1"/>
  <c r="L218" i="1"/>
  <c r="L216" i="1" s="1"/>
  <c r="D201" i="1"/>
  <c r="H201" i="1"/>
  <c r="S218" i="1"/>
  <c r="S216" i="1" s="1"/>
  <c r="R259" i="1"/>
  <c r="R261" i="1"/>
  <c r="O181" i="1"/>
  <c r="R218" i="1"/>
  <c r="R216" i="1" s="1"/>
  <c r="AW52" i="1"/>
  <c r="AV124" i="1"/>
  <c r="BS153" i="1"/>
  <c r="BT48" i="1"/>
  <c r="BR261" i="1"/>
  <c r="BR259" i="1"/>
  <c r="AP48" i="1"/>
  <c r="AO153" i="1"/>
  <c r="BR180" i="1"/>
  <c r="BR181" i="1" s="1"/>
  <c r="BB124" i="1"/>
  <c r="BC52" i="1"/>
  <c r="BP124" i="1"/>
  <c r="BQ52" i="1"/>
  <c r="BT180" i="1"/>
  <c r="BF261" i="1"/>
  <c r="BF259" i="1"/>
  <c r="BG52" i="1"/>
  <c r="BF124" i="1"/>
  <c r="AN259" i="1"/>
  <c r="AN218" i="1"/>
  <c r="AN216" i="1" s="1"/>
  <c r="BT261" i="1"/>
  <c r="BT259" i="1"/>
  <c r="BA153" i="1"/>
  <c r="BB48" i="1"/>
  <c r="AZ259" i="1"/>
  <c r="AZ261" i="1"/>
  <c r="BR48" i="1"/>
  <c r="BQ153" i="1"/>
  <c r="AN196" i="1"/>
  <c r="AN201" i="1"/>
  <c r="BG153" i="1"/>
  <c r="BH48" i="1"/>
  <c r="BV48" i="1"/>
  <c r="BU153" i="1"/>
  <c r="BD110" i="1"/>
  <c r="BD109" i="1"/>
  <c r="BD111" i="1"/>
  <c r="AV111" i="1"/>
  <c r="AV109" i="1"/>
  <c r="AV110" i="1"/>
  <c r="BP261" i="1"/>
  <c r="BP259" i="1"/>
  <c r="AZ124" i="1"/>
  <c r="BA52" i="1"/>
  <c r="AZ110" i="1"/>
  <c r="AZ111" i="1"/>
  <c r="AZ109" i="1"/>
  <c r="BT111" i="1"/>
  <c r="BT110" i="1"/>
  <c r="BT109" i="1"/>
  <c r="AV196" i="1"/>
  <c r="BR196" i="1"/>
  <c r="BT201" i="1"/>
  <c r="BT196" i="1"/>
  <c r="BX241" i="1"/>
  <c r="AP44" i="1"/>
  <c r="AP45" i="1"/>
  <c r="AP247" i="1"/>
  <c r="AP248" i="1" s="1"/>
  <c r="AP49" i="1"/>
  <c r="AP53" i="1" s="1"/>
  <c r="BV265" i="1"/>
  <c r="BV46" i="1"/>
  <c r="BU45" i="1"/>
  <c r="BU44" i="1"/>
  <c r="BU247" i="1"/>
  <c r="BU248" i="1" s="1"/>
  <c r="BY45" i="1"/>
  <c r="BU49" i="1"/>
  <c r="BU53" i="1" s="1"/>
  <c r="BM49" i="1"/>
  <c r="BM53" i="1" s="1"/>
  <c r="BM44" i="1"/>
  <c r="BQ45" i="1"/>
  <c r="BM46" i="1"/>
  <c r="BM247" i="1"/>
  <c r="BM248" i="1" s="1"/>
  <c r="BM265" i="1"/>
  <c r="BM266" i="1" s="1"/>
  <c r="O75" i="1"/>
  <c r="AP241" i="1"/>
  <c r="AP127" i="1"/>
  <c r="BG46" i="1"/>
  <c r="AO241" i="1"/>
  <c r="AN46" i="1"/>
  <c r="AN241" i="1"/>
  <c r="AO127" i="1"/>
  <c r="AN127" i="1"/>
  <c r="AN45" i="1"/>
  <c r="BO241" i="1"/>
  <c r="BN46" i="1"/>
  <c r="BN45" i="1"/>
  <c r="BO127" i="1"/>
  <c r="AQ45" i="1"/>
  <c r="AO45" i="1"/>
  <c r="AV45" i="1"/>
  <c r="CR149" i="1"/>
  <c r="AE157" i="1"/>
  <c r="AC139" i="1"/>
  <c r="AX45" i="1" l="1"/>
  <c r="BV49" i="1"/>
  <c r="BV53" i="1" s="1"/>
  <c r="BZ45" i="1"/>
  <c r="BM127" i="1"/>
  <c r="BM241" i="1"/>
  <c r="BP127" i="1"/>
  <c r="BB46" i="1"/>
  <c r="AR259" i="1"/>
  <c r="AN109" i="1"/>
  <c r="AN111" i="1"/>
  <c r="AN180" i="1"/>
  <c r="BP180" i="1"/>
  <c r="BP181" i="1" s="1"/>
  <c r="BN124" i="1"/>
  <c r="BO52" i="1"/>
  <c r="BN218" i="1"/>
  <c r="BN216" i="1" s="1"/>
  <c r="BN261" i="1"/>
  <c r="BN259" i="1"/>
  <c r="BB180" i="1"/>
  <c r="BB181" i="1" s="1"/>
  <c r="BF180" i="1"/>
  <c r="BF181" i="1" s="1"/>
  <c r="BT181" i="1"/>
  <c r="BD48" i="1"/>
  <c r="BC153" i="1"/>
  <c r="BN180" i="1"/>
  <c r="BN181" i="1" s="1"/>
  <c r="AZ180" i="1"/>
  <c r="AZ181" i="1" s="1"/>
  <c r="AW153" i="1"/>
  <c r="AX48" i="1"/>
  <c r="BS52" i="1"/>
  <c r="BR124" i="1"/>
  <c r="BB261" i="1"/>
  <c r="BB259" i="1"/>
  <c r="AV259" i="1"/>
  <c r="AV261" i="1"/>
  <c r="BE153" i="1"/>
  <c r="BF48" i="1"/>
  <c r="BD259" i="1"/>
  <c r="BD261" i="1"/>
  <c r="AU52" i="1"/>
  <c r="AT124" i="1"/>
  <c r="BD180" i="1"/>
  <c r="BD181" i="1" s="1"/>
  <c r="AR109" i="1"/>
  <c r="AR111" i="1"/>
  <c r="AR110" i="1"/>
  <c r="AX111" i="1"/>
  <c r="AX110" i="1"/>
  <c r="AX109" i="1"/>
  <c r="AQ153" i="1"/>
  <c r="AR48" i="1"/>
  <c r="AO52" i="1"/>
  <c r="AN124" i="1"/>
  <c r="AV48" i="1"/>
  <c r="AU153" i="1"/>
  <c r="BU52" i="1"/>
  <c r="BT124" i="1"/>
  <c r="BE52" i="1"/>
  <c r="BD124" i="1"/>
  <c r="BP48" i="1"/>
  <c r="BO153" i="1"/>
  <c r="AY52" i="1"/>
  <c r="AX124" i="1"/>
  <c r="AT261" i="1"/>
  <c r="AT259" i="1"/>
  <c r="AP124" i="1"/>
  <c r="AQ52" i="1"/>
  <c r="AP201" i="1"/>
  <c r="AP204" i="1" s="1"/>
  <c r="AP199" i="1"/>
  <c r="AX196" i="1"/>
  <c r="AX201" i="1"/>
  <c r="BF196" i="1"/>
  <c r="BF201" i="1"/>
  <c r="BJ204" i="1" s="1"/>
  <c r="BF110" i="1"/>
  <c r="BF111" i="1"/>
  <c r="BF109" i="1"/>
  <c r="BN196" i="1"/>
  <c r="BN201" i="1"/>
  <c r="BB201" i="1"/>
  <c r="BB196" i="1"/>
  <c r="BD196" i="1"/>
  <c r="BD201" i="1"/>
  <c r="AZ201" i="1"/>
  <c r="AZ204" i="1" s="1"/>
  <c r="AZ196" i="1"/>
  <c r="BV266" i="1"/>
  <c r="AS218" i="1"/>
  <c r="AS216" i="1" s="1"/>
  <c r="AT218" i="1"/>
  <c r="AT216" i="1" s="1"/>
  <c r="M181" i="1"/>
  <c r="BA44" i="1"/>
  <c r="BA247" i="1"/>
  <c r="BA248" i="1" s="1"/>
  <c r="BA49" i="1"/>
  <c r="BA53" i="1" s="1"/>
  <c r="AV180" i="1"/>
  <c r="AV181" i="1" s="1"/>
  <c r="AR180" i="1"/>
  <c r="AR181" i="1" s="1"/>
  <c r="AX261" i="1"/>
  <c r="AP180" i="1"/>
  <c r="AP181" i="1" s="1"/>
  <c r="AT201" i="1"/>
  <c r="AR201" i="1"/>
  <c r="AR199" i="1"/>
  <c r="AZ48" i="1"/>
  <c r="AY153" i="1"/>
  <c r="BN111" i="1"/>
  <c r="BN110" i="1"/>
  <c r="BN109" i="1"/>
  <c r="AP261" i="1"/>
  <c r="AP259" i="1"/>
  <c r="AX259" i="1"/>
  <c r="AT196" i="1"/>
  <c r="AX180" i="1"/>
  <c r="AX181" i="1" s="1"/>
  <c r="AT180" i="1"/>
  <c r="AT181" i="1" s="1"/>
  <c r="AU241" i="1"/>
  <c r="BT127" i="1"/>
  <c r="BD241" i="1"/>
  <c r="BD127" i="1"/>
  <c r="BT241" i="1"/>
  <c r="BX218" i="1"/>
  <c r="BX216" i="1" s="1"/>
  <c r="BW218" i="1"/>
  <c r="BW216" i="1" s="1"/>
  <c r="AT45" i="1"/>
  <c r="AQ46" i="1"/>
  <c r="BK46" i="1"/>
  <c r="AS241" i="1"/>
  <c r="AS127" i="1"/>
  <c r="BP45" i="1"/>
  <c r="AU127" i="1"/>
  <c r="BR46" i="1"/>
  <c r="BP241" i="1"/>
  <c r="K181" i="1"/>
  <c r="H181" i="1"/>
  <c r="BB127" i="1"/>
  <c r="S181" i="1"/>
  <c r="E181" i="1"/>
  <c r="T228" i="1"/>
  <c r="BV181" i="1"/>
  <c r="P225" i="1"/>
  <c r="P226" i="1" s="1"/>
  <c r="BH181" i="1"/>
  <c r="S228" i="1"/>
  <c r="P228" i="1"/>
  <c r="B259" i="1"/>
  <c r="B181" i="1"/>
  <c r="S225" i="1"/>
  <c r="S226" i="1" s="1"/>
  <c r="P204" i="1"/>
  <c r="P205" i="1" s="1"/>
  <c r="L204" i="1"/>
  <c r="L205" i="1" s="1"/>
  <c r="S204" i="1"/>
  <c r="S205" i="1" s="1"/>
  <c r="R204" i="1"/>
  <c r="R205" i="1" s="1"/>
  <c r="O204" i="1"/>
  <c r="O205" i="1" s="1"/>
  <c r="O228" i="1"/>
  <c r="B102" i="1"/>
  <c r="C85" i="1"/>
  <c r="B100" i="1"/>
  <c r="B101" i="1"/>
  <c r="C204" i="1"/>
  <c r="C205" i="1" s="1"/>
  <c r="C181" i="1"/>
  <c r="U228" i="1"/>
  <c r="E225" i="1"/>
  <c r="E226" i="1" s="1"/>
  <c r="C259" i="1"/>
  <c r="M228" i="1"/>
  <c r="H204" i="1"/>
  <c r="H205" i="1" s="1"/>
  <c r="U225" i="1"/>
  <c r="U226" i="1" s="1"/>
  <c r="T225" i="1"/>
  <c r="T226" i="1" s="1"/>
  <c r="K228" i="1"/>
  <c r="K225" i="1"/>
  <c r="K226" i="1" s="1"/>
  <c r="V204" i="1"/>
  <c r="V205" i="1" s="1"/>
  <c r="D225" i="1"/>
  <c r="D226" i="1" s="1"/>
  <c r="D228" i="1"/>
  <c r="Q228" i="1"/>
  <c r="H225" i="1"/>
  <c r="H226" i="1" s="1"/>
  <c r="J228" i="1"/>
  <c r="Q225" i="1"/>
  <c r="Q226" i="1" s="1"/>
  <c r="I228" i="1"/>
  <c r="D259" i="1"/>
  <c r="D181" i="1"/>
  <c r="J225" i="1"/>
  <c r="J226" i="1" s="1"/>
  <c r="H228" i="1"/>
  <c r="I225" i="1"/>
  <c r="I226" i="1" s="1"/>
  <c r="N228" i="1"/>
  <c r="N225" i="1"/>
  <c r="N226" i="1" s="1"/>
  <c r="M225" i="1"/>
  <c r="M226" i="1" s="1"/>
  <c r="I204" i="1"/>
  <c r="I205" i="1" s="1"/>
  <c r="G225" i="1"/>
  <c r="G226" i="1" s="1"/>
  <c r="G228" i="1"/>
  <c r="F228" i="1"/>
  <c r="F225" i="1"/>
  <c r="F226" i="1" s="1"/>
  <c r="E228" i="1"/>
  <c r="C225" i="1"/>
  <c r="C226" i="1" s="1"/>
  <c r="C228" i="1"/>
  <c r="V225" i="1"/>
  <c r="V226" i="1" s="1"/>
  <c r="V228" i="1"/>
  <c r="J204" i="1"/>
  <c r="J205" i="1" s="1"/>
  <c r="Q204" i="1"/>
  <c r="Q205" i="1" s="1"/>
  <c r="D100" i="1"/>
  <c r="D101" i="1"/>
  <c r="D102" i="1"/>
  <c r="C104" i="1"/>
  <c r="T204" i="1"/>
  <c r="T205" i="1" s="1"/>
  <c r="K204" i="1"/>
  <c r="K205" i="1" s="1"/>
  <c r="U204" i="1"/>
  <c r="U205" i="1" s="1"/>
  <c r="BA241" i="1"/>
  <c r="BL127" i="1"/>
  <c r="AQ265" i="1"/>
  <c r="AQ266" i="1" s="1"/>
  <c r="BS241" i="1"/>
  <c r="BO45" i="1"/>
  <c r="BK45" i="1"/>
  <c r="BK44" i="1"/>
  <c r="BL46" i="1"/>
  <c r="BK247" i="1"/>
  <c r="BK248" i="1" s="1"/>
  <c r="BK49" i="1"/>
  <c r="BK53" i="1" s="1"/>
  <c r="BK265" i="1"/>
  <c r="BK266" i="1" s="1"/>
  <c r="BL265" i="1"/>
  <c r="BL266" i="1" s="1"/>
  <c r="AM109" i="1"/>
  <c r="AM110" i="1"/>
  <c r="AM111" i="1"/>
  <c r="AY44" i="1"/>
  <c r="AY247" i="1"/>
  <c r="AY248" i="1" s="1"/>
  <c r="AY49" i="1"/>
  <c r="AY53" i="1" s="1"/>
  <c r="AZ265" i="1"/>
  <c r="AZ266" i="1" s="1"/>
  <c r="AZ46" i="1"/>
  <c r="BK127" i="1"/>
  <c r="U75" i="1"/>
  <c r="AS247" i="1"/>
  <c r="AS248" i="1" s="1"/>
  <c r="AS49" i="1"/>
  <c r="AS53" i="1" s="1"/>
  <c r="AW45" i="1"/>
  <c r="AT46" i="1"/>
  <c r="AS265" i="1"/>
  <c r="AS266" i="1" s="1"/>
  <c r="AS44" i="1"/>
  <c r="AT265" i="1"/>
  <c r="AT266" i="1" s="1"/>
  <c r="BI247" i="1"/>
  <c r="BI248" i="1" s="1"/>
  <c r="BI49" i="1"/>
  <c r="BI44" i="1"/>
  <c r="BL241" i="1"/>
  <c r="BJ46" i="1"/>
  <c r="BJ265" i="1"/>
  <c r="BJ266" i="1" s="1"/>
  <c r="BQ46" i="1"/>
  <c r="BP44" i="1"/>
  <c r="BP247" i="1"/>
  <c r="BP248" i="1" s="1"/>
  <c r="BP49" i="1"/>
  <c r="BP53" i="1" s="1"/>
  <c r="BQ265" i="1"/>
  <c r="BQ266" i="1" s="1"/>
  <c r="BM45" i="1"/>
  <c r="BD265" i="1"/>
  <c r="BD266" i="1" s="1"/>
  <c r="AP46" i="1"/>
  <c r="BD49" i="1"/>
  <c r="BD53" i="1" s="1"/>
  <c r="BD44" i="1"/>
  <c r="BD247" i="1"/>
  <c r="BD248" i="1" s="1"/>
  <c r="BF56" i="1"/>
  <c r="BF55" i="1"/>
  <c r="BO44" i="1"/>
  <c r="BO49" i="1"/>
  <c r="BO53" i="1" s="1"/>
  <c r="BO247" i="1"/>
  <c r="BO248" i="1" s="1"/>
  <c r="BP46" i="1"/>
  <c r="BP265" i="1"/>
  <c r="BP266" i="1" s="1"/>
  <c r="AX241" i="1"/>
  <c r="BT265" i="1"/>
  <c r="BT266" i="1" s="1"/>
  <c r="BC46" i="1"/>
  <c r="AJ46" i="1"/>
  <c r="AL127" i="1"/>
  <c r="AI44" i="1"/>
  <c r="AM45" i="1"/>
  <c r="AI49" i="1"/>
  <c r="N75" i="1"/>
  <c r="AL241" i="1"/>
  <c r="AI247" i="1"/>
  <c r="AI248" i="1" s="1"/>
  <c r="AW241" i="1"/>
  <c r="AW127" i="1"/>
  <c r="AU46" i="1"/>
  <c r="AU265" i="1"/>
  <c r="AU266" i="1" s="1"/>
  <c r="AV241" i="1"/>
  <c r="AU247" i="1"/>
  <c r="AU248" i="1" s="1"/>
  <c r="AU44" i="1"/>
  <c r="AU49" i="1"/>
  <c r="AU53" i="1" s="1"/>
  <c r="AY45" i="1"/>
  <c r="AV46" i="1"/>
  <c r="AV265" i="1"/>
  <c r="AV266" i="1" s="1"/>
  <c r="AU45" i="1"/>
  <c r="BS45" i="1"/>
  <c r="BS49" i="1"/>
  <c r="BS53" i="1" s="1"/>
  <c r="BS44" i="1"/>
  <c r="BS247" i="1"/>
  <c r="BS248" i="1" s="1"/>
  <c r="BS265" i="1"/>
  <c r="BS266" i="1" s="1"/>
  <c r="BD46" i="1"/>
  <c r="BG45" i="1"/>
  <c r="BF127" i="1"/>
  <c r="BC49" i="1"/>
  <c r="BC44" i="1"/>
  <c r="BC247" i="1"/>
  <c r="BC248" i="1" s="1"/>
  <c r="BF241" i="1"/>
  <c r="BC45" i="1"/>
  <c r="BV45" i="1"/>
  <c r="BS127" i="1"/>
  <c r="AQ241" i="1"/>
  <c r="BV241" i="1"/>
  <c r="BR265" i="1"/>
  <c r="BR266" i="1" s="1"/>
  <c r="BR44" i="1"/>
  <c r="BS46" i="1"/>
  <c r="V75" i="1"/>
  <c r="BR241" i="1"/>
  <c r="BR247" i="1"/>
  <c r="BR248" i="1" s="1"/>
  <c r="BR127" i="1"/>
  <c r="BR49" i="1"/>
  <c r="BN127" i="1"/>
  <c r="BN241" i="1"/>
  <c r="BA127" i="1"/>
  <c r="AX127" i="1"/>
  <c r="AY127" i="1"/>
  <c r="AY241" i="1"/>
  <c r="AY46" i="1"/>
  <c r="AY265" i="1"/>
  <c r="AY266" i="1" s="1"/>
  <c r="AZ127" i="1"/>
  <c r="BV127" i="1"/>
  <c r="AQ127" i="1"/>
  <c r="BT46" i="1"/>
  <c r="AR241" i="1"/>
  <c r="AP265" i="1"/>
  <c r="AP266" i="1" s="1"/>
  <c r="BK241" i="1"/>
  <c r="AV127" i="1"/>
  <c r="Q75" i="1"/>
  <c r="BC127" i="1"/>
  <c r="BC241" i="1"/>
  <c r="BB241" i="1"/>
  <c r="R75" i="1"/>
  <c r="AV49" i="1"/>
  <c r="AZ45" i="1"/>
  <c r="AV44" i="1"/>
  <c r="AV247" i="1"/>
  <c r="AV248" i="1" s="1"/>
  <c r="AW265" i="1"/>
  <c r="AW266" i="1" s="1"/>
  <c r="BG44" i="1"/>
  <c r="BG265" i="1"/>
  <c r="BG266" i="1" s="1"/>
  <c r="BG49" i="1"/>
  <c r="BG247" i="1"/>
  <c r="BG248" i="1" s="1"/>
  <c r="BH46" i="1"/>
  <c r="BL45" i="1"/>
  <c r="BH44" i="1"/>
  <c r="BH49" i="1"/>
  <c r="BH53" i="1" s="1"/>
  <c r="BH247" i="1"/>
  <c r="BH248" i="1" s="1"/>
  <c r="BH265" i="1"/>
  <c r="BH266" i="1" s="1"/>
  <c r="BH45" i="1"/>
  <c r="AN265" i="1"/>
  <c r="AN266" i="1" s="1"/>
  <c r="AN49" i="1"/>
  <c r="AN44" i="1"/>
  <c r="AN247" i="1"/>
  <c r="AN248" i="1" s="1"/>
  <c r="AR45" i="1"/>
  <c r="AO46" i="1"/>
  <c r="BN49" i="1"/>
  <c r="BR45" i="1"/>
  <c r="BQ127" i="1"/>
  <c r="BN44" i="1"/>
  <c r="BO46" i="1"/>
  <c r="BN247" i="1"/>
  <c r="BN248" i="1" s="1"/>
  <c r="BO265" i="1"/>
  <c r="BO266" i="1" s="1"/>
  <c r="BN265" i="1"/>
  <c r="BN266" i="1" s="1"/>
  <c r="BQ241" i="1"/>
  <c r="AX247" i="1"/>
  <c r="AX248" i="1" s="1"/>
  <c r="BB45" i="1"/>
  <c r="AX49" i="1"/>
  <c r="AX44" i="1"/>
  <c r="BB49" i="1"/>
  <c r="BF45" i="1"/>
  <c r="BB247" i="1"/>
  <c r="BB248" i="1" s="1"/>
  <c r="BB44" i="1"/>
  <c r="BB265" i="1"/>
  <c r="BB266" i="1" s="1"/>
  <c r="BC265" i="1"/>
  <c r="BC266" i="1" s="1"/>
  <c r="AQ44" i="1"/>
  <c r="AQ247" i="1"/>
  <c r="AQ248" i="1" s="1"/>
  <c r="AQ49" i="1"/>
  <c r="AR46" i="1"/>
  <c r="AR265" i="1"/>
  <c r="AR266" i="1" s="1"/>
  <c r="AO247" i="1"/>
  <c r="AO248" i="1" s="1"/>
  <c r="AO49" i="1"/>
  <c r="AO53" i="1" s="1"/>
  <c r="AO55" i="1" s="1"/>
  <c r="AR127" i="1"/>
  <c r="AO265" i="1"/>
  <c r="AO266" i="1" s="1"/>
  <c r="AO44" i="1"/>
  <c r="AR56" i="1"/>
  <c r="AR55" i="1"/>
  <c r="BT49" i="1"/>
  <c r="BU265" i="1"/>
  <c r="BU266" i="1" s="1"/>
  <c r="BT44" i="1"/>
  <c r="BX45" i="1"/>
  <c r="BU46" i="1"/>
  <c r="BT247" i="1"/>
  <c r="BT248" i="1" s="1"/>
  <c r="BT45" i="1"/>
  <c r="BU127" i="1"/>
  <c r="BQ55" i="1"/>
  <c r="BQ56" i="1"/>
  <c r="O225" i="1"/>
  <c r="O226" i="1" s="1"/>
  <c r="L228" i="1"/>
  <c r="AW49" i="1"/>
  <c r="AW53" i="1" s="1"/>
  <c r="AW44" i="1"/>
  <c r="AW247" i="1"/>
  <c r="AW248" i="1" s="1"/>
  <c r="BA45" i="1"/>
  <c r="BA265" i="1"/>
  <c r="BA266" i="1" s="1"/>
  <c r="AZ49" i="1"/>
  <c r="AZ247" i="1"/>
  <c r="AZ248" i="1" s="1"/>
  <c r="AZ44" i="1"/>
  <c r="BA46" i="1"/>
  <c r="BD45" i="1"/>
  <c r="AT247" i="1"/>
  <c r="AT248" i="1" s="1"/>
  <c r="AT44" i="1"/>
  <c r="AT49" i="1"/>
  <c r="AW46" i="1"/>
  <c r="AX265" i="1"/>
  <c r="AX266" i="1" s="1"/>
  <c r="AZ241" i="1"/>
  <c r="AX46" i="1"/>
  <c r="F204" i="1"/>
  <c r="F205" i="1" s="1"/>
  <c r="G204" i="1"/>
  <c r="G205" i="1" s="1"/>
  <c r="T75" i="1"/>
  <c r="BJ127" i="1"/>
  <c r="BI241" i="1"/>
  <c r="BI127" i="1"/>
  <c r="BJ241" i="1"/>
  <c r="BI265" i="1"/>
  <c r="BI266" i="1" s="1"/>
  <c r="BI46" i="1"/>
  <c r="AS46" i="1"/>
  <c r="AT241" i="1"/>
  <c r="P75" i="1"/>
  <c r="AT127" i="1"/>
  <c r="AS45" i="1"/>
  <c r="BH241" i="1"/>
  <c r="BG127" i="1"/>
  <c r="BH127" i="1"/>
  <c r="BG241" i="1"/>
  <c r="BE241" i="1"/>
  <c r="BE127" i="1"/>
  <c r="M204" i="1"/>
  <c r="M205" i="1" s="1"/>
  <c r="N204" i="1"/>
  <c r="N205" i="1" s="1"/>
  <c r="BX127" i="1"/>
  <c r="BW45" i="1"/>
  <c r="BW46" i="1"/>
  <c r="BW241" i="1"/>
  <c r="BW247" i="1"/>
  <c r="BW248" i="1" s="1"/>
  <c r="BX46" i="1"/>
  <c r="X75" i="1"/>
  <c r="BW44" i="1"/>
  <c r="BZ127" i="1"/>
  <c r="BZ241" i="1"/>
  <c r="BW265" i="1"/>
  <c r="BW266" i="1" s="1"/>
  <c r="BW49" i="1"/>
  <c r="BY127" i="1"/>
  <c r="CA45" i="1"/>
  <c r="BX265" i="1"/>
  <c r="BX266" i="1" s="1"/>
  <c r="BY241" i="1"/>
  <c r="BW127" i="1"/>
  <c r="BJ57" i="1"/>
  <c r="BJ260" i="1" s="1"/>
  <c r="BJ63" i="1"/>
  <c r="BJ249" i="1"/>
  <c r="BV125" i="1"/>
  <c r="BV126" i="1"/>
  <c r="BV55" i="1"/>
  <c r="BV56" i="1"/>
  <c r="BJ218" i="1"/>
  <c r="BJ216" i="1" s="1"/>
  <c r="BI218" i="1"/>
  <c r="BI216" i="1" s="1"/>
  <c r="S75" i="1"/>
  <c r="BF265" i="1"/>
  <c r="BF266" i="1" s="1"/>
  <c r="BE45" i="1"/>
  <c r="BE46" i="1"/>
  <c r="BE265" i="1"/>
  <c r="BE266" i="1" s="1"/>
  <c r="BI45" i="1"/>
  <c r="BE247" i="1"/>
  <c r="BE248" i="1" s="1"/>
  <c r="BE44" i="1"/>
  <c r="BE49" i="1"/>
  <c r="BF46" i="1"/>
  <c r="BH125" i="1"/>
  <c r="BH126" i="1"/>
  <c r="D204" i="1"/>
  <c r="D205" i="1" s="1"/>
  <c r="E204" i="1"/>
  <c r="E205" i="1" s="1"/>
  <c r="R225" i="1"/>
  <c r="R226" i="1" s="1"/>
  <c r="R228" i="1"/>
  <c r="L225" i="1"/>
  <c r="L226" i="1" s="1"/>
  <c r="AV125" i="1"/>
  <c r="AV126" i="1"/>
  <c r="BT218" i="1"/>
  <c r="BT216" i="1" s="1"/>
  <c r="BS218" i="1"/>
  <c r="BS216" i="1" s="1"/>
  <c r="AP218" i="1"/>
  <c r="AP216" i="1" s="1"/>
  <c r="AO218" i="1"/>
  <c r="AO216" i="1" s="1"/>
  <c r="BB126" i="1"/>
  <c r="BB125" i="1"/>
  <c r="BP125" i="1"/>
  <c r="BP126" i="1"/>
  <c r="BF126" i="1"/>
  <c r="BF125" i="1"/>
  <c r="BB218" i="1"/>
  <c r="BB216" i="1" s="1"/>
  <c r="BA218" i="1"/>
  <c r="BA216" i="1" s="1"/>
  <c r="BR218" i="1"/>
  <c r="BR216" i="1" s="1"/>
  <c r="BQ218" i="1"/>
  <c r="BQ216" i="1" s="1"/>
  <c r="BH218" i="1"/>
  <c r="BH216" i="1" s="1"/>
  <c r="BG218" i="1"/>
  <c r="BG216" i="1" s="1"/>
  <c r="BV218" i="1"/>
  <c r="BV216" i="1" s="1"/>
  <c r="BU218" i="1"/>
  <c r="BU216" i="1" s="1"/>
  <c r="AZ125" i="1"/>
  <c r="AZ126" i="1"/>
  <c r="BT204" i="1"/>
  <c r="BX204" i="1"/>
  <c r="AP55" i="1"/>
  <c r="AP56" i="1"/>
  <c r="AP58" i="1" s="1"/>
  <c r="BU56" i="1"/>
  <c r="BY58" i="1" s="1"/>
  <c r="BU55" i="1"/>
  <c r="BM55" i="1"/>
  <c r="BM56" i="1"/>
  <c r="CR153" i="1"/>
  <c r="CS47" i="1"/>
  <c r="AN181" i="1" l="1"/>
  <c r="BA56" i="1"/>
  <c r="BA55" i="1"/>
  <c r="BP128" i="1"/>
  <c r="BP129" i="1"/>
  <c r="BN126" i="1"/>
  <c r="BN125" i="1"/>
  <c r="BC218" i="1"/>
  <c r="BC216" i="1" s="1"/>
  <c r="BD218" i="1"/>
  <c r="BD216" i="1" s="1"/>
  <c r="AX218" i="1"/>
  <c r="AX216" i="1" s="1"/>
  <c r="AW218" i="1"/>
  <c r="AW216" i="1" s="1"/>
  <c r="AR218" i="1"/>
  <c r="AR216" i="1" s="1"/>
  <c r="AQ218" i="1"/>
  <c r="AQ216" i="1" s="1"/>
  <c r="BR125" i="1"/>
  <c r="BR126" i="1"/>
  <c r="BE218" i="1"/>
  <c r="BE216" i="1" s="1"/>
  <c r="BF218" i="1"/>
  <c r="BF216" i="1" s="1"/>
  <c r="AT126" i="1"/>
  <c r="AT125" i="1"/>
  <c r="AN126" i="1"/>
  <c r="AN129" i="1" s="1"/>
  <c r="AN125" i="1"/>
  <c r="AN128" i="1" s="1"/>
  <c r="AV218" i="1"/>
  <c r="AV216" i="1" s="1"/>
  <c r="AU218" i="1"/>
  <c r="AU216" i="1" s="1"/>
  <c r="BT126" i="1"/>
  <c r="BT125" i="1"/>
  <c r="BD126" i="1"/>
  <c r="BD125" i="1"/>
  <c r="BO218" i="1"/>
  <c r="BO216" i="1" s="1"/>
  <c r="BP218" i="1"/>
  <c r="BP216" i="1" s="1"/>
  <c r="AX125" i="1"/>
  <c r="AX126" i="1"/>
  <c r="AP125" i="1"/>
  <c r="AP128" i="1" s="1"/>
  <c r="AP126" i="1"/>
  <c r="AP129" i="1" s="1"/>
  <c r="BH204" i="1"/>
  <c r="BD204" i="1"/>
  <c r="BN204" i="1"/>
  <c r="BR204" i="1"/>
  <c r="BB204" i="1"/>
  <c r="BF204" i="1"/>
  <c r="BB129" i="1"/>
  <c r="BB128" i="1"/>
  <c r="BN129" i="1"/>
  <c r="BT129" i="1"/>
  <c r="BT128" i="1"/>
  <c r="BD129" i="1"/>
  <c r="BD128" i="1"/>
  <c r="BR53" i="1"/>
  <c r="AP70" i="1"/>
  <c r="AN70" i="1"/>
  <c r="BT70" i="1"/>
  <c r="BN128" i="1"/>
  <c r="AY218" i="1"/>
  <c r="AY216" i="1" s="1"/>
  <c r="AZ218" i="1"/>
  <c r="AZ216" i="1" s="1"/>
  <c r="AR204" i="1"/>
  <c r="AV204" i="1"/>
  <c r="AT204" i="1"/>
  <c r="AX204" i="1"/>
  <c r="BD70" i="1"/>
  <c r="BP70" i="1"/>
  <c r="AV128" i="1"/>
  <c r="AV129" i="1"/>
  <c r="AV53" i="1"/>
  <c r="BJ70" i="1"/>
  <c r="BG53" i="1"/>
  <c r="BV128" i="1"/>
  <c r="BV129" i="1"/>
  <c r="BF129" i="1"/>
  <c r="BF128" i="1"/>
  <c r="AZ128" i="1"/>
  <c r="AZ129" i="1"/>
  <c r="BL128" i="1"/>
  <c r="BL129" i="1"/>
  <c r="BK56" i="1"/>
  <c r="BK55" i="1"/>
  <c r="AY55" i="1"/>
  <c r="AY56" i="1"/>
  <c r="AS55" i="1"/>
  <c r="AS56" i="1"/>
  <c r="AS59" i="1" s="1"/>
  <c r="BP55" i="1"/>
  <c r="BP56" i="1"/>
  <c r="BQ59" i="1" s="1"/>
  <c r="BI53" i="1"/>
  <c r="BL70" i="1"/>
  <c r="BF249" i="1"/>
  <c r="BF57" i="1"/>
  <c r="BF260" i="1" s="1"/>
  <c r="BF63" i="1"/>
  <c r="BJ58" i="1"/>
  <c r="BV70" i="1"/>
  <c r="BD55" i="1"/>
  <c r="BD56" i="1"/>
  <c r="BO56" i="1"/>
  <c r="BO55" i="1"/>
  <c r="AL129" i="1"/>
  <c r="AL128" i="1"/>
  <c r="AI53" i="1"/>
  <c r="AL70" i="1"/>
  <c r="AU56" i="1"/>
  <c r="AU55" i="1"/>
  <c r="BC53" i="1"/>
  <c r="BF70" i="1"/>
  <c r="BR70" i="1"/>
  <c r="AR70" i="1"/>
  <c r="AO56" i="1"/>
  <c r="AR57" i="1"/>
  <c r="AR260" i="1" s="1"/>
  <c r="AR63" i="1"/>
  <c r="AR249" i="1"/>
  <c r="AX53" i="1"/>
  <c r="BN53" i="1"/>
  <c r="BH56" i="1"/>
  <c r="BH55" i="1"/>
  <c r="AQ53" i="1"/>
  <c r="BB53" i="1"/>
  <c r="AN53" i="1"/>
  <c r="AX70" i="1"/>
  <c r="BT53" i="1"/>
  <c r="BN70" i="1"/>
  <c r="BS55" i="1"/>
  <c r="BS56" i="1"/>
  <c r="BQ57" i="1"/>
  <c r="BQ260" i="1" s="1"/>
  <c r="BQ63" i="1"/>
  <c r="BQ249" i="1"/>
  <c r="BA249" i="1"/>
  <c r="BA57" i="1"/>
  <c r="BA260" i="1" s="1"/>
  <c r="BA63" i="1"/>
  <c r="AW56" i="1"/>
  <c r="AW55" i="1"/>
  <c r="BH128" i="1"/>
  <c r="BH129" i="1"/>
  <c r="AT128" i="1"/>
  <c r="AZ53" i="1"/>
  <c r="AZ70" i="1"/>
  <c r="BB70" i="1"/>
  <c r="AT53" i="1"/>
  <c r="AT70" i="1"/>
  <c r="AV70" i="1"/>
  <c r="BJ128" i="1"/>
  <c r="BJ129" i="1"/>
  <c r="BX128" i="1"/>
  <c r="BX129" i="1"/>
  <c r="BZ128" i="1"/>
  <c r="BZ129" i="1"/>
  <c r="BX70" i="1"/>
  <c r="BZ70" i="1"/>
  <c r="BW53" i="1"/>
  <c r="BY70" i="1"/>
  <c r="BJ67" i="1"/>
  <c r="BJ208" i="1"/>
  <c r="BJ210" i="1" s="1"/>
  <c r="BJ81" i="1"/>
  <c r="BV57" i="1"/>
  <c r="BV260" i="1" s="1"/>
  <c r="BV63" i="1"/>
  <c r="BV249" i="1"/>
  <c r="BZ58" i="1"/>
  <c r="BE53" i="1"/>
  <c r="BH70" i="1"/>
  <c r="AP249" i="1"/>
  <c r="AP63" i="1"/>
  <c r="AP57" i="1"/>
  <c r="AP260" i="1" s="1"/>
  <c r="BU57" i="1"/>
  <c r="BU260" i="1" s="1"/>
  <c r="BU249" i="1"/>
  <c r="BU63" i="1"/>
  <c r="BV59" i="1"/>
  <c r="BU58" i="1"/>
  <c r="BM63" i="1"/>
  <c r="BM59" i="1"/>
  <c r="BM249" i="1"/>
  <c r="BQ58" i="1"/>
  <c r="BM57" i="1"/>
  <c r="BM260" i="1" s="1"/>
  <c r="CS209" i="1"/>
  <c r="CS147" i="1"/>
  <c r="CR218" i="1"/>
  <c r="CR216" i="1" s="1"/>
  <c r="AC140" i="1"/>
  <c r="AC143" i="1" s="1"/>
  <c r="AC264" i="1" s="1"/>
  <c r="AT129" i="1" l="1"/>
  <c r="BR128" i="1"/>
  <c r="BR129" i="1"/>
  <c r="AX128" i="1"/>
  <c r="AX129" i="1"/>
  <c r="BR56" i="1"/>
  <c r="BR55" i="1"/>
  <c r="AO58" i="1"/>
  <c r="BT56" i="1"/>
  <c r="BT55" i="1"/>
  <c r="BK59" i="1"/>
  <c r="BG55" i="1"/>
  <c r="BG56" i="1"/>
  <c r="BM242" i="1"/>
  <c r="AV55" i="1"/>
  <c r="BP58" i="1"/>
  <c r="AV56" i="1"/>
  <c r="BL59" i="1"/>
  <c r="BK63" i="1"/>
  <c r="BK57" i="1"/>
  <c r="BK260" i="1" s="1"/>
  <c r="AY249" i="1"/>
  <c r="AY57" i="1"/>
  <c r="AY260" i="1" s="1"/>
  <c r="AY63" i="1"/>
  <c r="BF208" i="1"/>
  <c r="BF210" i="1" s="1"/>
  <c r="BF81" i="1"/>
  <c r="BS58" i="1"/>
  <c r="BD63" i="1"/>
  <c r="BD249" i="1"/>
  <c r="BD57" i="1"/>
  <c r="BD260" i="1" s="1"/>
  <c r="AP59" i="1"/>
  <c r="AO63" i="1"/>
  <c r="AO249" i="1"/>
  <c r="AS58" i="1"/>
  <c r="AO57" i="1"/>
  <c r="AO260" i="1" s="1"/>
  <c r="BN56" i="1"/>
  <c r="BN55" i="1"/>
  <c r="AQ56" i="1"/>
  <c r="AQ55" i="1"/>
  <c r="AR67" i="1"/>
  <c r="AR208" i="1"/>
  <c r="AR210" i="1" s="1"/>
  <c r="AR81" i="1"/>
  <c r="BK249" i="1"/>
  <c r="AS63" i="1"/>
  <c r="AS57" i="1"/>
  <c r="AS260" i="1" s="1"/>
  <c r="AS249" i="1"/>
  <c r="AW58" i="1"/>
  <c r="BP63" i="1"/>
  <c r="BP249" i="1"/>
  <c r="BP57" i="1"/>
  <c r="BP260" i="1" s="1"/>
  <c r="BI56" i="1"/>
  <c r="BI59" i="1" s="1"/>
  <c r="BI55" i="1"/>
  <c r="BF67" i="1"/>
  <c r="BC56" i="1"/>
  <c r="BC55" i="1"/>
  <c r="BO249" i="1"/>
  <c r="BO57" i="1"/>
  <c r="BO260" i="1" s="1"/>
  <c r="BO63" i="1"/>
  <c r="BP59" i="1"/>
  <c r="BO58" i="1"/>
  <c r="AI56" i="1"/>
  <c r="AI55" i="1"/>
  <c r="AU57" i="1"/>
  <c r="AU260" i="1" s="1"/>
  <c r="AU249" i="1"/>
  <c r="AY58" i="1"/>
  <c r="AU63" i="1"/>
  <c r="BH58" i="1"/>
  <c r="BW56" i="1"/>
  <c r="BW58" i="1" s="1"/>
  <c r="BW55" i="1"/>
  <c r="AN56" i="1"/>
  <c r="AN55" i="1"/>
  <c r="BH63" i="1"/>
  <c r="BL58" i="1"/>
  <c r="BH249" i="1"/>
  <c r="BH57" i="1"/>
  <c r="BH260" i="1" s="1"/>
  <c r="AX56" i="1"/>
  <c r="AX55" i="1"/>
  <c r="BV67" i="1"/>
  <c r="BB56" i="1"/>
  <c r="BB55" i="1"/>
  <c r="BS249" i="1"/>
  <c r="BS57" i="1"/>
  <c r="BS260" i="1" s="1"/>
  <c r="BS63" i="1"/>
  <c r="BQ208" i="1"/>
  <c r="BQ210" i="1" s="1"/>
  <c r="BQ134" i="1"/>
  <c r="BQ135" i="1" s="1"/>
  <c r="BQ81" i="1"/>
  <c r="BQ67" i="1"/>
  <c r="BA67" i="1"/>
  <c r="BA208" i="1"/>
  <c r="BA210" i="1" s="1"/>
  <c r="BA81" i="1"/>
  <c r="BA134" i="1"/>
  <c r="BA135" i="1" s="1"/>
  <c r="BA58" i="1"/>
  <c r="AW249" i="1"/>
  <c r="AW63" i="1"/>
  <c r="AW57" i="1"/>
  <c r="AW260" i="1" s="1"/>
  <c r="AZ56" i="1"/>
  <c r="AZ55" i="1"/>
  <c r="AT56" i="1"/>
  <c r="AT55" i="1"/>
  <c r="BE55" i="1"/>
  <c r="BE56" i="1"/>
  <c r="BV208" i="1"/>
  <c r="BV210" i="1" s="1"/>
  <c r="BV81" i="1"/>
  <c r="AP208" i="1"/>
  <c r="AP210" i="1" s="1"/>
  <c r="AP81" i="1"/>
  <c r="AP67" i="1"/>
  <c r="BU134" i="1"/>
  <c r="BU135" i="1" s="1"/>
  <c r="BU67" i="1"/>
  <c r="BU208" i="1"/>
  <c r="BU210" i="1" s="1"/>
  <c r="BU81" i="1"/>
  <c r="BM81" i="1"/>
  <c r="BM67" i="1"/>
  <c r="BM134" i="1"/>
  <c r="BM135" i="1" s="1"/>
  <c r="BM208" i="1"/>
  <c r="BM210" i="1" s="1"/>
  <c r="CS149" i="1"/>
  <c r="AC221" i="1"/>
  <c r="CA241" i="1"/>
  <c r="CB241" i="1"/>
  <c r="BU241" i="1"/>
  <c r="BS59" i="1" l="1"/>
  <c r="BS242" i="1"/>
  <c r="BK242" i="1"/>
  <c r="BD59" i="1"/>
  <c r="BC58" i="1"/>
  <c r="BC63" i="1"/>
  <c r="BC249" i="1"/>
  <c r="BC57" i="1"/>
  <c r="BC260" i="1" s="1"/>
  <c r="BO67" i="1"/>
  <c r="BO81" i="1"/>
  <c r="BO208" i="1"/>
  <c r="BO210" i="1" s="1"/>
  <c r="BO134" i="1"/>
  <c r="BO135" i="1" s="1"/>
  <c r="BR57" i="1"/>
  <c r="BR260" i="1" s="1"/>
  <c r="BR249" i="1"/>
  <c r="BR63" i="1"/>
  <c r="BV58" i="1"/>
  <c r="BT57" i="1"/>
  <c r="BT260" i="1" s="1"/>
  <c r="BT249" i="1"/>
  <c r="BT63" i="1"/>
  <c r="BU59" i="1"/>
  <c r="BV242" i="1"/>
  <c r="AV249" i="1"/>
  <c r="AW59" i="1"/>
  <c r="AV59" i="1"/>
  <c r="AQ58" i="1"/>
  <c r="BT59" i="1"/>
  <c r="BG63" i="1"/>
  <c r="BG57" i="1"/>
  <c r="BG260" i="1" s="1"/>
  <c r="BG249" i="1"/>
  <c r="BG59" i="1"/>
  <c r="BR59" i="1"/>
  <c r="BR242" i="1"/>
  <c r="BX58" i="1"/>
  <c r="BT58" i="1"/>
  <c r="AV57" i="1"/>
  <c r="AV260" i="1" s="1"/>
  <c r="AV63" i="1"/>
  <c r="AV58" i="1"/>
  <c r="BT242" i="1"/>
  <c r="BK58" i="1"/>
  <c r="BH59" i="1"/>
  <c r="AY242" i="1"/>
  <c r="AX242" i="1"/>
  <c r="AI57" i="1"/>
  <c r="AI249" i="1"/>
  <c r="AJ59" i="1"/>
  <c r="AN242" i="1"/>
  <c r="AN58" i="1"/>
  <c r="AP242" i="1"/>
  <c r="AO242" i="1"/>
  <c r="AN59" i="1"/>
  <c r="BW242" i="1"/>
  <c r="AQ59" i="1"/>
  <c r="AS242" i="1"/>
  <c r="AR242" i="1"/>
  <c r="BN58" i="1"/>
  <c r="BN242" i="1"/>
  <c r="BN59" i="1"/>
  <c r="BO242" i="1"/>
  <c r="BP242" i="1"/>
  <c r="BD242" i="1"/>
  <c r="BB59" i="1"/>
  <c r="AX59" i="1"/>
  <c r="BG58" i="1"/>
  <c r="BJ242" i="1"/>
  <c r="BI242" i="1"/>
  <c r="BX242" i="1"/>
  <c r="BW59" i="1"/>
  <c r="X76" i="1"/>
  <c r="BY242" i="1"/>
  <c r="CA58" i="1"/>
  <c r="BW57" i="1"/>
  <c r="BW260" i="1" s="1"/>
  <c r="BZ242" i="1"/>
  <c r="BK67" i="1"/>
  <c r="BK208" i="1"/>
  <c r="BK210" i="1" s="1"/>
  <c r="BK134" i="1"/>
  <c r="BK135" i="1" s="1"/>
  <c r="BK81" i="1"/>
  <c r="AY208" i="1"/>
  <c r="AY210" i="1" s="1"/>
  <c r="AY81" i="1"/>
  <c r="AY134" i="1"/>
  <c r="AY135" i="1" s="1"/>
  <c r="AY67" i="1"/>
  <c r="AS67" i="1"/>
  <c r="AS134" i="1"/>
  <c r="AS135" i="1" s="1"/>
  <c r="AS208" i="1"/>
  <c r="AS210" i="1" s="1"/>
  <c r="AS81" i="1"/>
  <c r="BP67" i="1"/>
  <c r="BP208" i="1"/>
  <c r="BP210" i="1" s="1"/>
  <c r="BP81" i="1"/>
  <c r="BM58" i="1"/>
  <c r="BL242" i="1"/>
  <c r="BI63" i="1"/>
  <c r="BI249" i="1"/>
  <c r="BJ59" i="1"/>
  <c r="BI57" i="1"/>
  <c r="BI260" i="1" s="1"/>
  <c r="BD67" i="1"/>
  <c r="BD208" i="1"/>
  <c r="BD210" i="1" s="1"/>
  <c r="BD81" i="1"/>
  <c r="AO208" i="1"/>
  <c r="AO210" i="1" s="1"/>
  <c r="AO81" i="1"/>
  <c r="AO134" i="1"/>
  <c r="AO135" i="1" s="1"/>
  <c r="AO67" i="1"/>
  <c r="AR58" i="1"/>
  <c r="AN63" i="1"/>
  <c r="AN249" i="1"/>
  <c r="AR59" i="1"/>
  <c r="AQ249" i="1"/>
  <c r="AQ63" i="1"/>
  <c r="AQ57" i="1"/>
  <c r="AQ260" i="1" s="1"/>
  <c r="AU58" i="1"/>
  <c r="BN249" i="1"/>
  <c r="BR58" i="1"/>
  <c r="BN63" i="1"/>
  <c r="BN57" i="1"/>
  <c r="BN260" i="1" s="1"/>
  <c r="BO59" i="1"/>
  <c r="BQ242" i="1"/>
  <c r="AM58" i="1"/>
  <c r="AI63" i="1"/>
  <c r="AL242" i="1"/>
  <c r="AU67" i="1"/>
  <c r="AU81" i="1"/>
  <c r="AU208" i="1"/>
  <c r="AU210" i="1" s="1"/>
  <c r="AU134" i="1"/>
  <c r="AU135" i="1" s="1"/>
  <c r="AN57" i="1"/>
  <c r="AN260" i="1" s="1"/>
  <c r="AQ242" i="1"/>
  <c r="AO59" i="1"/>
  <c r="BB57" i="1"/>
  <c r="BB260" i="1" s="1"/>
  <c r="BF58" i="1"/>
  <c r="BB249" i="1"/>
  <c r="BB63" i="1"/>
  <c r="BB222" i="1" s="1"/>
  <c r="BB220" i="1" s="1"/>
  <c r="BC59" i="1"/>
  <c r="BB58" i="1"/>
  <c r="AX63" i="1"/>
  <c r="AX249" i="1"/>
  <c r="AX57" i="1"/>
  <c r="AX260" i="1" s="1"/>
  <c r="AY59" i="1"/>
  <c r="BS208" i="1"/>
  <c r="BS210" i="1" s="1"/>
  <c r="BS134" i="1"/>
  <c r="BS135" i="1" s="1"/>
  <c r="BQ144" i="1"/>
  <c r="BQ70" i="1" s="1"/>
  <c r="BA222" i="1"/>
  <c r="BA220" i="1" s="1"/>
  <c r="BA107" i="1"/>
  <c r="BH67" i="1"/>
  <c r="BH81" i="1"/>
  <c r="BH208" i="1"/>
  <c r="BH210" i="1" s="1"/>
  <c r="BW249" i="1"/>
  <c r="BX59" i="1"/>
  <c r="BW63" i="1"/>
  <c r="BS67" i="1"/>
  <c r="BS81" i="1"/>
  <c r="BQ222" i="1"/>
  <c r="BQ220" i="1" s="1"/>
  <c r="BQ107" i="1"/>
  <c r="BA144" i="1"/>
  <c r="BA70" i="1" s="1"/>
  <c r="AW67" i="1"/>
  <c r="AW134" i="1"/>
  <c r="AW135" i="1" s="1"/>
  <c r="AW81" i="1"/>
  <c r="AW208" i="1"/>
  <c r="AW210" i="1" s="1"/>
  <c r="AZ59" i="1"/>
  <c r="BD58" i="1"/>
  <c r="BA59" i="1"/>
  <c r="AZ57" i="1"/>
  <c r="AZ260" i="1" s="1"/>
  <c r="AZ63" i="1"/>
  <c r="AZ249" i="1"/>
  <c r="AT59" i="1"/>
  <c r="AT58" i="1"/>
  <c r="AU59" i="1"/>
  <c r="AU242" i="1"/>
  <c r="AT63" i="1"/>
  <c r="AT57" i="1"/>
  <c r="AT260" i="1" s="1"/>
  <c r="AT249" i="1"/>
  <c r="BE58" i="1"/>
  <c r="BF59" i="1"/>
  <c r="BE63" i="1"/>
  <c r="BE57" i="1"/>
  <c r="BE260" i="1" s="1"/>
  <c r="BE59" i="1"/>
  <c r="BE249" i="1"/>
  <c r="AZ242" i="1"/>
  <c r="BA242" i="1"/>
  <c r="AZ58" i="1"/>
  <c r="BB242" i="1"/>
  <c r="BC242" i="1"/>
  <c r="AW242" i="1"/>
  <c r="AV242" i="1"/>
  <c r="AT242" i="1"/>
  <c r="AX58" i="1"/>
  <c r="BI58" i="1"/>
  <c r="BF242" i="1"/>
  <c r="BG242" i="1"/>
  <c r="BE242" i="1"/>
  <c r="BH242" i="1"/>
  <c r="BV222" i="1"/>
  <c r="BV220" i="1" s="1"/>
  <c r="BU222" i="1"/>
  <c r="BU220" i="1" s="1"/>
  <c r="BU107" i="1"/>
  <c r="BU144" i="1"/>
  <c r="BU70" i="1" s="1"/>
  <c r="BM69" i="1"/>
  <c r="BM222" i="1"/>
  <c r="BM220" i="1" s="1"/>
  <c r="BM144" i="1"/>
  <c r="BM70" i="1" s="1"/>
  <c r="BM107" i="1"/>
  <c r="CS153" i="1"/>
  <c r="CT47" i="1"/>
  <c r="AD139" i="1"/>
  <c r="W74" i="1"/>
  <c r="BR222" i="1" l="1"/>
  <c r="BR220" i="1" s="1"/>
  <c r="O76" i="1"/>
  <c r="BC81" i="1"/>
  <c r="BC134" i="1"/>
  <c r="BC135" i="1" s="1"/>
  <c r="BC208" i="1"/>
  <c r="BC210" i="1" s="1"/>
  <c r="BC67" i="1"/>
  <c r="BO222" i="1"/>
  <c r="BO220" i="1" s="1"/>
  <c r="BO144" i="1"/>
  <c r="BO70" i="1" s="1"/>
  <c r="BP222" i="1"/>
  <c r="BP220" i="1" s="1"/>
  <c r="BO107" i="1"/>
  <c r="BT69" i="1"/>
  <c r="BR67" i="1"/>
  <c r="BR208" i="1"/>
  <c r="BR210" i="1" s="1"/>
  <c r="BR81" i="1"/>
  <c r="BR69" i="1"/>
  <c r="V76" i="1"/>
  <c r="BV69" i="1"/>
  <c r="BU69" i="1"/>
  <c r="AV208" i="1"/>
  <c r="AV210" i="1" s="1"/>
  <c r="AV67" i="1"/>
  <c r="AV81" i="1"/>
  <c r="BT208" i="1"/>
  <c r="BT210" i="1" s="1"/>
  <c r="BT67" i="1"/>
  <c r="BT81" i="1"/>
  <c r="AR69" i="1"/>
  <c r="BG67" i="1"/>
  <c r="BG81" i="1"/>
  <c r="BG134" i="1"/>
  <c r="BG135" i="1" s="1"/>
  <c r="BJ69" i="1"/>
  <c r="BG208" i="1"/>
  <c r="BG210" i="1" s="1"/>
  <c r="T76" i="1"/>
  <c r="AP69" i="1"/>
  <c r="AN69" i="1"/>
  <c r="BQ69" i="1"/>
  <c r="BO69" i="1"/>
  <c r="BN69" i="1"/>
  <c r="U76" i="1"/>
  <c r="BP69" i="1"/>
  <c r="AV69" i="1"/>
  <c r="Q76" i="1"/>
  <c r="AX69" i="1"/>
  <c r="AZ69" i="1"/>
  <c r="BB69" i="1"/>
  <c r="R76" i="1"/>
  <c r="BD69" i="1"/>
  <c r="BX69" i="1"/>
  <c r="BY69" i="1"/>
  <c r="S76" i="1"/>
  <c r="BF69" i="1"/>
  <c r="BM84" i="1"/>
  <c r="BI104" i="1" s="1"/>
  <c r="BK69" i="1"/>
  <c r="BK107" i="1"/>
  <c r="BL222" i="1"/>
  <c r="BL220" i="1" s="1"/>
  <c r="BK222" i="1"/>
  <c r="BK220" i="1" s="1"/>
  <c r="BK144" i="1"/>
  <c r="BK70" i="1" s="1"/>
  <c r="AY107" i="1"/>
  <c r="AY222" i="1"/>
  <c r="AY220" i="1" s="1"/>
  <c r="AY144" i="1"/>
  <c r="AY70" i="1" s="1"/>
  <c r="AS222" i="1"/>
  <c r="AS220" i="1" s="1"/>
  <c r="AS107" i="1"/>
  <c r="AS144" i="1"/>
  <c r="AS70" i="1" s="1"/>
  <c r="AO69" i="1"/>
  <c r="BL69" i="1"/>
  <c r="BI67" i="1"/>
  <c r="BI208" i="1"/>
  <c r="BI210" i="1" s="1"/>
  <c r="BI81" i="1"/>
  <c r="BI134" i="1"/>
  <c r="BI135" i="1" s="1"/>
  <c r="AX222" i="1"/>
  <c r="AX220" i="1" s="1"/>
  <c r="AI81" i="1"/>
  <c r="AL84" i="1" s="1"/>
  <c r="AI67" i="1"/>
  <c r="AL69" i="1"/>
  <c r="N76" i="1"/>
  <c r="AI222" i="1"/>
  <c r="AI220" i="1" s="1"/>
  <c r="AI208" i="1"/>
  <c r="AI210" i="1" s="1"/>
  <c r="AI214" i="1" s="1"/>
  <c r="AI228" i="1" s="1"/>
  <c r="AQ134" i="1"/>
  <c r="AQ135" i="1" s="1"/>
  <c r="AQ67" i="1"/>
  <c r="AS69" i="1"/>
  <c r="AT69" i="1"/>
  <c r="AN67" i="1"/>
  <c r="BT222" i="1"/>
  <c r="BT220" i="1" s="1"/>
  <c r="BS144" i="1"/>
  <c r="BS70" i="1" s="1"/>
  <c r="BS222" i="1"/>
  <c r="BS220" i="1" s="1"/>
  <c r="BQ109" i="1"/>
  <c r="BQ110" i="1"/>
  <c r="BA110" i="1"/>
  <c r="BA109" i="1"/>
  <c r="AU107" i="1"/>
  <c r="AU222" i="1"/>
  <c r="AU220" i="1" s="1"/>
  <c r="AU144" i="1"/>
  <c r="AU70" i="1" s="1"/>
  <c r="AU69" i="1"/>
  <c r="AP222" i="1"/>
  <c r="AP220" i="1" s="1"/>
  <c r="AO107" i="1"/>
  <c r="AO144" i="1"/>
  <c r="AO70" i="1" s="1"/>
  <c r="AO222" i="1"/>
  <c r="AO220" i="1" s="1"/>
  <c r="AV222" i="1"/>
  <c r="AV220" i="1" s="1"/>
  <c r="AY69" i="1"/>
  <c r="BN222" i="1"/>
  <c r="BN220" i="1" s="1"/>
  <c r="BN67" i="1"/>
  <c r="BN81" i="1"/>
  <c r="BN208" i="1"/>
  <c r="BN210" i="1" s="1"/>
  <c r="AX67" i="1"/>
  <c r="AX81" i="1"/>
  <c r="AX208" i="1"/>
  <c r="AX210" i="1" s="1"/>
  <c r="BB81" i="1"/>
  <c r="BB67" i="1"/>
  <c r="BB208" i="1"/>
  <c r="BB210" i="1" s="1"/>
  <c r="AQ208" i="1"/>
  <c r="AQ210" i="1" s="1"/>
  <c r="AQ81" i="1"/>
  <c r="P76" i="1"/>
  <c r="AN81" i="1"/>
  <c r="AN208" i="1"/>
  <c r="AN210" i="1" s="1"/>
  <c r="AN222" i="1"/>
  <c r="AN220" i="1" s="1"/>
  <c r="BS107" i="1"/>
  <c r="BS69" i="1"/>
  <c r="BQ111" i="1"/>
  <c r="BA111" i="1"/>
  <c r="AZ222" i="1"/>
  <c r="AZ220" i="1" s="1"/>
  <c r="AT222" i="1"/>
  <c r="AT220" i="1" s="1"/>
  <c r="BA69" i="1"/>
  <c r="AW69" i="1"/>
  <c r="BW134" i="1"/>
  <c r="BW135" i="1" s="1"/>
  <c r="BW208" i="1"/>
  <c r="BW210" i="1" s="1"/>
  <c r="BW67" i="1"/>
  <c r="BZ69" i="1"/>
  <c r="BW81" i="1"/>
  <c r="BH69" i="1"/>
  <c r="AW107" i="1"/>
  <c r="AW222" i="1"/>
  <c r="AW220" i="1" s="1"/>
  <c r="AW144" i="1"/>
  <c r="AW70" i="1" s="1"/>
  <c r="AZ208" i="1"/>
  <c r="AZ210" i="1" s="1"/>
  <c r="AZ81" i="1"/>
  <c r="AZ67" i="1"/>
  <c r="AT67" i="1"/>
  <c r="AT208" i="1"/>
  <c r="AT210" i="1" s="1"/>
  <c r="AT81" i="1"/>
  <c r="BE134" i="1"/>
  <c r="BE135" i="1" s="1"/>
  <c r="BE67" i="1"/>
  <c r="BE208" i="1"/>
  <c r="BE210" i="1" s="1"/>
  <c r="BE81" i="1"/>
  <c r="BU109" i="1"/>
  <c r="BU111" i="1"/>
  <c r="BU110" i="1"/>
  <c r="BM110" i="1"/>
  <c r="BM111" i="1"/>
  <c r="BM109" i="1"/>
  <c r="BC222" i="1"/>
  <c r="BC220" i="1" s="1"/>
  <c r="BC144" i="1"/>
  <c r="BC70" i="1" s="1"/>
  <c r="BC107" i="1"/>
  <c r="BC69" i="1"/>
  <c r="BD222" i="1"/>
  <c r="BD220" i="1" s="1"/>
  <c r="BO109" i="1"/>
  <c r="BO110" i="1"/>
  <c r="BO111" i="1"/>
  <c r="AC47" i="1"/>
  <c r="CT209" i="1"/>
  <c r="CT147" i="1"/>
  <c r="CS218" i="1"/>
  <c r="CS216" i="1" s="1"/>
  <c r="W75" i="1"/>
  <c r="BV84" i="1" l="1"/>
  <c r="BR104" i="1" s="1"/>
  <c r="BR84" i="1"/>
  <c r="BR101" i="1" s="1"/>
  <c r="BS84" i="1"/>
  <c r="BG222" i="1"/>
  <c r="BG220" i="1" s="1"/>
  <c r="BG144" i="1"/>
  <c r="BG70" i="1" s="1"/>
  <c r="BG107" i="1"/>
  <c r="BG69" i="1"/>
  <c r="BH222" i="1"/>
  <c r="BH220" i="1" s="1"/>
  <c r="BM100" i="1"/>
  <c r="BM102" i="1"/>
  <c r="BM101" i="1"/>
  <c r="BT84" i="1"/>
  <c r="BU84" i="1"/>
  <c r="BU100" i="1" s="1"/>
  <c r="BK84" i="1"/>
  <c r="AY84" i="1"/>
  <c r="AY101" i="1" s="1"/>
  <c r="AX84" i="1"/>
  <c r="AR84" i="1"/>
  <c r="AS84" i="1"/>
  <c r="BO84" i="1"/>
  <c r="BN84" i="1"/>
  <c r="BP84" i="1"/>
  <c r="AN84" i="1"/>
  <c r="AP84" i="1"/>
  <c r="AO84" i="1"/>
  <c r="BJ84" i="1"/>
  <c r="BF104" i="1" s="1"/>
  <c r="BI84" i="1"/>
  <c r="BD84" i="1"/>
  <c r="BX84" i="1"/>
  <c r="BY84" i="1"/>
  <c r="BW84" i="1"/>
  <c r="BK111" i="1"/>
  <c r="BK109" i="1"/>
  <c r="BK110" i="1"/>
  <c r="AY109" i="1"/>
  <c r="AY110" i="1"/>
  <c r="AY111" i="1"/>
  <c r="BL84" i="1"/>
  <c r="AS110" i="1"/>
  <c r="AS111" i="1"/>
  <c r="AS109" i="1"/>
  <c r="BI107" i="1"/>
  <c r="BI144" i="1"/>
  <c r="BI70" i="1" s="1"/>
  <c r="BI222" i="1"/>
  <c r="BI220" i="1" s="1"/>
  <c r="BI69" i="1"/>
  <c r="BJ222" i="1"/>
  <c r="BJ220" i="1" s="1"/>
  <c r="AI225" i="1"/>
  <c r="AI226" i="1" s="1"/>
  <c r="AL100" i="1"/>
  <c r="AL101" i="1"/>
  <c r="AL102" i="1"/>
  <c r="AU110" i="1"/>
  <c r="AU111" i="1"/>
  <c r="AU109" i="1"/>
  <c r="AO111" i="1"/>
  <c r="AO110" i="1"/>
  <c r="BQ84" i="1"/>
  <c r="AQ84" i="1"/>
  <c r="AQ144" i="1"/>
  <c r="AQ70" i="1" s="1"/>
  <c r="AQ222" i="1"/>
  <c r="AQ220" i="1" s="1"/>
  <c r="AQ107" i="1"/>
  <c r="AR222" i="1"/>
  <c r="AR220" i="1" s="1"/>
  <c r="AQ69" i="1"/>
  <c r="BS109" i="1"/>
  <c r="BS110" i="1"/>
  <c r="BS111" i="1"/>
  <c r="BZ84" i="1"/>
  <c r="BW222" i="1"/>
  <c r="BW220" i="1" s="1"/>
  <c r="BX222" i="1"/>
  <c r="BX220" i="1" s="1"/>
  <c r="BW144" i="1"/>
  <c r="BW70" i="1" s="1"/>
  <c r="BW69" i="1"/>
  <c r="BW107" i="1"/>
  <c r="BV102" i="1"/>
  <c r="BV101" i="1"/>
  <c r="BV100" i="1"/>
  <c r="AW111" i="1"/>
  <c r="AW109" i="1"/>
  <c r="AW110" i="1"/>
  <c r="BE222" i="1"/>
  <c r="BE220" i="1" s="1"/>
  <c r="BE144" i="1"/>
  <c r="BE70" i="1" s="1"/>
  <c r="BE107" i="1"/>
  <c r="BF222" i="1"/>
  <c r="BF220" i="1" s="1"/>
  <c r="BE69" i="1"/>
  <c r="AZ84" i="1"/>
  <c r="BB84" i="1"/>
  <c r="BA84" i="1"/>
  <c r="BC84" i="1"/>
  <c r="AU84" i="1"/>
  <c r="AV84" i="1"/>
  <c r="AW84" i="1"/>
  <c r="AT84" i="1"/>
  <c r="BF84" i="1"/>
  <c r="BG84" i="1"/>
  <c r="BH84" i="1"/>
  <c r="BE84" i="1"/>
  <c r="BN104" i="1"/>
  <c r="BR100" i="1"/>
  <c r="BR102" i="1"/>
  <c r="BV85" i="1"/>
  <c r="BS102" i="1"/>
  <c r="BO104" i="1"/>
  <c r="BS101" i="1"/>
  <c r="BS100" i="1"/>
  <c r="BC110" i="1"/>
  <c r="BC109" i="1"/>
  <c r="BC111" i="1"/>
  <c r="BG109" i="1"/>
  <c r="BG111" i="1"/>
  <c r="BG110" i="1"/>
  <c r="AC209" i="1"/>
  <c r="AC147" i="1"/>
  <c r="AC149" i="1" s="1"/>
  <c r="AC48" i="1" s="1"/>
  <c r="CT149" i="1"/>
  <c r="AD140" i="1"/>
  <c r="AD143" i="1" s="1"/>
  <c r="AD264" i="1" s="1"/>
  <c r="AR124" i="1"/>
  <c r="W76" i="1"/>
  <c r="BP104" i="1" l="1"/>
  <c r="BT102" i="1"/>
  <c r="BT100" i="1"/>
  <c r="BT101" i="1"/>
  <c r="BK102" i="1"/>
  <c r="BG104" i="1"/>
  <c r="BQ104" i="1"/>
  <c r="BU102" i="1"/>
  <c r="BU101" i="1"/>
  <c r="AN100" i="1"/>
  <c r="BO100" i="1"/>
  <c r="BK104" i="1"/>
  <c r="BO101" i="1"/>
  <c r="BO85" i="1"/>
  <c r="BO102" i="1"/>
  <c r="BJ101" i="1"/>
  <c r="BJ100" i="1"/>
  <c r="AS101" i="1"/>
  <c r="AO104" i="1"/>
  <c r="AS100" i="1"/>
  <c r="AY100" i="1"/>
  <c r="BN85" i="1"/>
  <c r="AR101" i="1"/>
  <c r="AR100" i="1"/>
  <c r="AX101" i="1"/>
  <c r="AX100" i="1"/>
  <c r="AT104" i="1"/>
  <c r="AX102" i="1"/>
  <c r="AS102" i="1"/>
  <c r="CC85" i="1"/>
  <c r="BY102" i="1"/>
  <c r="BX101" i="1"/>
  <c r="BT104" i="1"/>
  <c r="BX102" i="1"/>
  <c r="BU104" i="1"/>
  <c r="BY101" i="1"/>
  <c r="BY100" i="1"/>
  <c r="AP102" i="1"/>
  <c r="AP85" i="1"/>
  <c r="AN104" i="1"/>
  <c r="AR102" i="1"/>
  <c r="BX85" i="1"/>
  <c r="CB85" i="1"/>
  <c r="BX100" i="1"/>
  <c r="AN102" i="1"/>
  <c r="AR85" i="1"/>
  <c r="AN101" i="1"/>
  <c r="CA85" i="1"/>
  <c r="BS104" i="1"/>
  <c r="BW102" i="1"/>
  <c r="AL104" i="1"/>
  <c r="AP101" i="1"/>
  <c r="AP100" i="1"/>
  <c r="BR85" i="1"/>
  <c r="BJ104" i="1"/>
  <c r="BN102" i="1"/>
  <c r="BN100" i="1"/>
  <c r="BN101" i="1"/>
  <c r="BK100" i="1"/>
  <c r="BK101" i="1"/>
  <c r="BT85" i="1"/>
  <c r="BV104" i="1"/>
  <c r="BZ85" i="1"/>
  <c r="BY85" i="1"/>
  <c r="BW100" i="1"/>
  <c r="BW85" i="1"/>
  <c r="BW109" i="1"/>
  <c r="BW110" i="1"/>
  <c r="AQ85" i="1"/>
  <c r="BQ85" i="1"/>
  <c r="AZ104" i="1"/>
  <c r="BD100" i="1"/>
  <c r="BD102" i="1"/>
  <c r="BD101" i="1"/>
  <c r="AY102" i="1"/>
  <c r="AU104" i="1"/>
  <c r="BJ102" i="1"/>
  <c r="BW101" i="1"/>
  <c r="BS85" i="1"/>
  <c r="BM85" i="1"/>
  <c r="BI102" i="1"/>
  <c r="BI100" i="1"/>
  <c r="BI101" i="1"/>
  <c r="BE104" i="1"/>
  <c r="AO102" i="1"/>
  <c r="AS85" i="1"/>
  <c r="AO101" i="1"/>
  <c r="BL104" i="1"/>
  <c r="BP101" i="1"/>
  <c r="BP102" i="1"/>
  <c r="BP100" i="1"/>
  <c r="BZ101" i="1"/>
  <c r="CC105" i="1" s="1"/>
  <c r="BZ100" i="1"/>
  <c r="BW111" i="1"/>
  <c r="AQ110" i="1"/>
  <c r="BL100" i="1"/>
  <c r="BL101" i="1"/>
  <c r="BH104" i="1"/>
  <c r="BL102" i="1"/>
  <c r="BI110" i="1"/>
  <c r="BI111" i="1"/>
  <c r="BI109" i="1"/>
  <c r="BQ101" i="1"/>
  <c r="BM104" i="1"/>
  <c r="AQ101" i="1"/>
  <c r="BU85" i="1"/>
  <c r="CD85" i="1"/>
  <c r="BZ102" i="1"/>
  <c r="AU85" i="1"/>
  <c r="AQ102" i="1"/>
  <c r="BQ100" i="1"/>
  <c r="BQ102" i="1"/>
  <c r="AM104" i="1"/>
  <c r="AQ111" i="1"/>
  <c r="BP85" i="1"/>
  <c r="BJ85" i="1"/>
  <c r="AY85" i="1"/>
  <c r="BE110" i="1"/>
  <c r="BE111" i="1"/>
  <c r="BE109" i="1"/>
  <c r="AU100" i="1"/>
  <c r="AQ104" i="1"/>
  <c r="AU101" i="1"/>
  <c r="AU102" i="1"/>
  <c r="BF101" i="1"/>
  <c r="BF102" i="1"/>
  <c r="BF100" i="1"/>
  <c r="BB104" i="1"/>
  <c r="AV104" i="1"/>
  <c r="AZ101" i="1"/>
  <c r="AZ100" i="1"/>
  <c r="AZ102" i="1"/>
  <c r="BD85" i="1"/>
  <c r="BB85" i="1"/>
  <c r="AX104" i="1"/>
  <c r="BF85" i="1"/>
  <c r="BB102" i="1"/>
  <c r="BB101" i="1"/>
  <c r="BB100" i="1"/>
  <c r="AW104" i="1"/>
  <c r="BE85" i="1"/>
  <c r="BA102" i="1"/>
  <c r="BA101" i="1"/>
  <c r="BA100" i="1"/>
  <c r="BC102" i="1"/>
  <c r="AY104" i="1"/>
  <c r="BG85" i="1"/>
  <c r="BC101" i="1"/>
  <c r="BC100" i="1"/>
  <c r="BC85" i="1"/>
  <c r="AR104" i="1"/>
  <c r="AV102" i="1"/>
  <c r="AZ85" i="1"/>
  <c r="AV100" i="1"/>
  <c r="AV101" i="1"/>
  <c r="AV85" i="1"/>
  <c r="AW100" i="1"/>
  <c r="BA85" i="1"/>
  <c r="AW101" i="1"/>
  <c r="AS104" i="1"/>
  <c r="AW102" i="1"/>
  <c r="AW85" i="1"/>
  <c r="AX85" i="1"/>
  <c r="AT102" i="1"/>
  <c r="AT100" i="1"/>
  <c r="AP104" i="1"/>
  <c r="AT101" i="1"/>
  <c r="AT85" i="1"/>
  <c r="BC104" i="1"/>
  <c r="BG100" i="1"/>
  <c r="BG101" i="1"/>
  <c r="BG102" i="1"/>
  <c r="BK85" i="1"/>
  <c r="BH85" i="1"/>
  <c r="BH102" i="1"/>
  <c r="BH100" i="1"/>
  <c r="BD104" i="1"/>
  <c r="BL85" i="1"/>
  <c r="BH101" i="1"/>
  <c r="BE101" i="1"/>
  <c r="BI85" i="1"/>
  <c r="BE102" i="1"/>
  <c r="BE100" i="1"/>
  <c r="BA104" i="1"/>
  <c r="CU47" i="1"/>
  <c r="CT153" i="1"/>
  <c r="AD221" i="1"/>
  <c r="AB153" i="1"/>
  <c r="AR125" i="1"/>
  <c r="AR128" i="1" s="1"/>
  <c r="AR126" i="1"/>
  <c r="AR129" i="1" s="1"/>
  <c r="CA242" i="1"/>
  <c r="CB242" i="1"/>
  <c r="W208" i="1"/>
  <c r="W210" i="1" s="1"/>
  <c r="BU242" i="1"/>
  <c r="BV105" i="1" l="1"/>
  <c r="BS105" i="1"/>
  <c r="BK105" i="1"/>
  <c r="BH105" i="1"/>
  <c r="BG105" i="1"/>
  <c r="BB105" i="1"/>
  <c r="BL105" i="1"/>
  <c r="BR105" i="1"/>
  <c r="BW105" i="1"/>
  <c r="BU105" i="1"/>
  <c r="BN105" i="1"/>
  <c r="AP105" i="1"/>
  <c r="CA105" i="1"/>
  <c r="BQ105" i="1"/>
  <c r="AO105" i="1"/>
  <c r="BZ105" i="1"/>
  <c r="BY105" i="1"/>
  <c r="BP105" i="1"/>
  <c r="BX105" i="1"/>
  <c r="CB105" i="1"/>
  <c r="BM105" i="1"/>
  <c r="BF105" i="1"/>
  <c r="BD105" i="1"/>
  <c r="AW105" i="1"/>
  <c r="AZ105" i="1"/>
  <c r="AY105" i="1"/>
  <c r="AR105" i="1"/>
  <c r="AS105" i="1"/>
  <c r="AQ105" i="1"/>
  <c r="BO105" i="1"/>
  <c r="BT105" i="1"/>
  <c r="BJ105" i="1"/>
  <c r="AX105" i="1"/>
  <c r="BE105" i="1"/>
  <c r="BI105" i="1"/>
  <c r="BA105" i="1"/>
  <c r="BC105" i="1"/>
  <c r="AV105" i="1"/>
  <c r="AU105" i="1"/>
  <c r="AT105" i="1"/>
  <c r="CT218" i="1"/>
  <c r="CT216" i="1" s="1"/>
  <c r="CU209" i="1"/>
  <c r="CU147" i="1"/>
  <c r="AB218" i="1"/>
  <c r="AB216" i="1" s="1"/>
  <c r="AE139" i="1"/>
  <c r="CA104" i="1"/>
  <c r="CU149" i="1" l="1"/>
  <c r="CF104" i="1"/>
  <c r="CU153" i="1" l="1"/>
  <c r="CV47" i="1"/>
  <c r="AE140" i="1"/>
  <c r="AE143" i="1" s="1"/>
  <c r="AE264" i="1" s="1"/>
  <c r="CV209" i="1" l="1"/>
  <c r="CV147" i="1"/>
  <c r="CU218" i="1"/>
  <c r="CU216" i="1" s="1"/>
  <c r="AE221" i="1"/>
  <c r="AC153" i="1"/>
  <c r="W135" i="1"/>
  <c r="CV149" i="1" l="1"/>
  <c r="W69" i="1"/>
  <c r="AC218" i="1"/>
  <c r="AC216" i="1" s="1"/>
  <c r="X222" i="1"/>
  <c r="X220" i="1" s="1"/>
  <c r="W222" i="1"/>
  <c r="W220" i="1" s="1"/>
  <c r="W144" i="1"/>
  <c r="W70" i="1" s="1"/>
  <c r="W190" i="1"/>
  <c r="CW47" i="1" l="1"/>
  <c r="CV153" i="1"/>
  <c r="CV218" i="1" l="1"/>
  <c r="CV216" i="1" s="1"/>
  <c r="CW209" i="1"/>
  <c r="CW147" i="1"/>
  <c r="CW149" i="1" l="1"/>
  <c r="CW153" i="1" l="1"/>
  <c r="CX47" i="1"/>
  <c r="AD47" i="1" l="1"/>
  <c r="CX209" i="1"/>
  <c r="CX147" i="1"/>
  <c r="CW218" i="1"/>
  <c r="CW216" i="1" s="1"/>
  <c r="AD209" i="1" l="1"/>
  <c r="AD147" i="1"/>
  <c r="AD149" i="1" s="1"/>
  <c r="CX149" i="1"/>
  <c r="AD153" i="1" l="1"/>
  <c r="AD218" i="1" s="1"/>
  <c r="AD216" i="1" s="1"/>
  <c r="AD48" i="1"/>
  <c r="CX153" i="1"/>
  <c r="CY47" i="1"/>
  <c r="CY209" i="1" l="1"/>
  <c r="CY147" i="1"/>
  <c r="CX218" i="1"/>
  <c r="CX216" i="1" s="1"/>
  <c r="CY149" i="1" l="1"/>
  <c r="W195" i="1"/>
  <c r="CY153" i="1" l="1"/>
  <c r="CZ47" i="1"/>
  <c r="W198" i="1"/>
  <c r="W171" i="1"/>
  <c r="X212" i="1" s="1"/>
  <c r="CZ209" i="1" l="1"/>
  <c r="CZ147" i="1"/>
  <c r="CY218" i="1"/>
  <c r="CY216" i="1" s="1"/>
  <c r="W200" i="1"/>
  <c r="W199" i="1" s="1"/>
  <c r="W212" i="1"/>
  <c r="W163" i="1"/>
  <c r="X211" i="1" s="1"/>
  <c r="X213" i="1" s="1"/>
  <c r="X214" i="1" s="1"/>
  <c r="X228" i="1" s="1"/>
  <c r="W194" i="1"/>
  <c r="CZ149" i="1" l="1"/>
  <c r="W197" i="1"/>
  <c r="W172" i="1"/>
  <c r="W211" i="1"/>
  <c r="W213" i="1" s="1"/>
  <c r="W214" i="1" s="1"/>
  <c r="CZ153" i="1" l="1"/>
  <c r="CZ218" i="1" s="1"/>
  <c r="CZ216" i="1" s="1"/>
  <c r="DA47" i="1"/>
  <c r="W196" i="1"/>
  <c r="W201" i="1"/>
  <c r="W225" i="1"/>
  <c r="W228" i="1"/>
  <c r="DA209" i="1" l="1"/>
  <c r="DA147" i="1"/>
  <c r="W204" i="1"/>
  <c r="W205" i="1" s="1"/>
  <c r="X204" i="1"/>
  <c r="X205" i="1" s="1"/>
  <c r="DA149" i="1" l="1"/>
  <c r="W176" i="1"/>
  <c r="X224" i="1" l="1"/>
  <c r="X225" i="1" s="1"/>
  <c r="X226" i="1" s="1"/>
  <c r="W261" i="1"/>
  <c r="W263" i="1"/>
  <c r="W259" i="1"/>
  <c r="DA153" i="1"/>
  <c r="DA218" i="1" s="1"/>
  <c r="DA216" i="1" s="1"/>
  <c r="DB47" i="1"/>
  <c r="W183" i="1"/>
  <c r="W124" i="1" s="1"/>
  <c r="W180" i="1"/>
  <c r="W226" i="1"/>
  <c r="AE47" i="1" l="1"/>
  <c r="AE209" i="1" s="1"/>
  <c r="DB209" i="1"/>
  <c r="DB147" i="1"/>
  <c r="W181" i="1"/>
  <c r="DB149" i="1" l="1"/>
  <c r="DB153" i="1" s="1"/>
  <c r="DB218" i="1" s="1"/>
  <c r="DB216" i="1" s="1"/>
  <c r="AE147" i="1"/>
  <c r="AE149" i="1" s="1"/>
  <c r="C112" i="2"/>
  <c r="C111" i="2"/>
  <c r="C113" i="2"/>
  <c r="AE153" i="1" l="1"/>
  <c r="AE218" i="1" s="1"/>
  <c r="AE216" i="1" s="1"/>
  <c r="AE48" i="1"/>
  <c r="B88" i="1"/>
  <c r="B89" i="1"/>
  <c r="AK194" i="1" l="1"/>
  <c r="AK159" i="1" s="1"/>
  <c r="AM159" i="1" l="1"/>
  <c r="AO159" i="1" l="1"/>
  <c r="AQ159" i="1" l="1"/>
  <c r="AS159" i="1" l="1"/>
  <c r="AU159" i="1" l="1"/>
  <c r="AW159" i="1" l="1"/>
  <c r="AY159" i="1" l="1"/>
  <c r="BA159" i="1" l="1"/>
  <c r="BC159" i="1" l="1"/>
  <c r="BE159" i="1" l="1"/>
  <c r="BG159" i="1" l="1"/>
  <c r="BI159" i="1" l="1"/>
  <c r="BK159" i="1" l="1"/>
  <c r="BM159" i="1" l="1"/>
  <c r="BO159" i="1" l="1"/>
  <c r="BQ159" i="1" l="1"/>
  <c r="BS159" i="1" l="1"/>
  <c r="BU159" i="1" l="1"/>
  <c r="BW159" i="1" l="1"/>
  <c r="BY159" i="1" l="1"/>
  <c r="AK160" i="1" l="1"/>
  <c r="AK163" i="1" s="1"/>
  <c r="AL211" i="1" l="1"/>
  <c r="AK211" i="1"/>
  <c r="AK197" i="1"/>
  <c r="AM160" i="1"/>
  <c r="AM163" i="1" s="1"/>
  <c r="AM197" i="1" l="1"/>
  <c r="AM196" i="1" s="1"/>
  <c r="AN211" i="1"/>
  <c r="AM211" i="1"/>
  <c r="AJ196" i="1"/>
  <c r="AK196" i="1"/>
  <c r="AO160" i="1" l="1"/>
  <c r="AO163" i="1" s="1"/>
  <c r="AP211" i="1" l="1"/>
  <c r="AO197" i="1"/>
  <c r="AO196" i="1" s="1"/>
  <c r="AO211" i="1"/>
  <c r="AQ160" i="1" l="1"/>
  <c r="AQ163" i="1" s="1"/>
  <c r="AQ197" i="1" l="1"/>
  <c r="AQ196" i="1" s="1"/>
  <c r="AR211" i="1"/>
  <c r="AQ211" i="1"/>
  <c r="AS160" i="1" l="1"/>
  <c r="AS163" i="1" s="1"/>
  <c r="AT211" i="1" l="1"/>
  <c r="AS197" i="1"/>
  <c r="AS196" i="1" s="1"/>
  <c r="AS211" i="1"/>
  <c r="AU160" i="1" l="1"/>
  <c r="AU163" i="1" s="1"/>
  <c r="AU197" i="1" l="1"/>
  <c r="AU196" i="1" s="1"/>
  <c r="AV211" i="1"/>
  <c r="AU211" i="1"/>
  <c r="AW160" i="1" l="1"/>
  <c r="AW163" i="1" s="1"/>
  <c r="AW197" i="1" l="1"/>
  <c r="AW196" i="1" s="1"/>
  <c r="AX211" i="1"/>
  <c r="AW211" i="1"/>
  <c r="AY160" i="1" l="1"/>
  <c r="AY163" i="1" s="1"/>
  <c r="AY197" i="1" l="1"/>
  <c r="AY196" i="1" s="1"/>
  <c r="AZ211" i="1"/>
  <c r="AY211" i="1"/>
  <c r="BA160" i="1" l="1"/>
  <c r="BA163" i="1" s="1"/>
  <c r="BB211" i="1" l="1"/>
  <c r="BA197" i="1"/>
  <c r="BA196" i="1" s="1"/>
  <c r="BA211" i="1"/>
  <c r="BC160" i="1" l="1"/>
  <c r="BC163" i="1" s="1"/>
  <c r="BD211" i="1" l="1"/>
  <c r="BC197" i="1"/>
  <c r="BC196" i="1" s="1"/>
  <c r="BC211" i="1"/>
  <c r="BE160" i="1" l="1"/>
  <c r="BE163" i="1" s="1"/>
  <c r="BF211" i="1" l="1"/>
  <c r="BE197" i="1"/>
  <c r="BE196" i="1" s="1"/>
  <c r="BE211" i="1"/>
  <c r="BG160" i="1" l="1"/>
  <c r="BG163" i="1" s="1"/>
  <c r="BG197" i="1" l="1"/>
  <c r="BG196" i="1" s="1"/>
  <c r="BH211" i="1"/>
  <c r="BG211" i="1"/>
  <c r="BI160" i="1" l="1"/>
  <c r="BI163" i="1" s="1"/>
  <c r="BJ211" i="1" l="1"/>
  <c r="BI197" i="1"/>
  <c r="BI196" i="1" s="1"/>
  <c r="BI211" i="1"/>
  <c r="BK160" i="1" l="1"/>
  <c r="BK163" i="1" s="1"/>
  <c r="BL211" i="1" l="1"/>
  <c r="BK197" i="1"/>
  <c r="BK196" i="1" s="1"/>
  <c r="BK211" i="1"/>
  <c r="BM160" i="1" l="1"/>
  <c r="BM163" i="1" s="1"/>
  <c r="BM197" i="1" l="1"/>
  <c r="BM196" i="1" s="1"/>
  <c r="BN211" i="1"/>
  <c r="BM211" i="1"/>
  <c r="BO160" i="1" l="1"/>
  <c r="BO163" i="1" s="1"/>
  <c r="BO197" i="1" l="1"/>
  <c r="BO196" i="1" s="1"/>
  <c r="BP211" i="1"/>
  <c r="BO211" i="1"/>
  <c r="BQ160" i="1" l="1"/>
  <c r="BQ163" i="1" s="1"/>
  <c r="BR211" i="1" l="1"/>
  <c r="BQ197" i="1"/>
  <c r="BQ196" i="1" s="1"/>
  <c r="BQ211" i="1"/>
  <c r="BS160" i="1" l="1"/>
  <c r="BS163" i="1" s="1"/>
  <c r="BT211" i="1" l="1"/>
  <c r="BS197" i="1"/>
  <c r="BS196" i="1" s="1"/>
  <c r="BS211" i="1"/>
  <c r="BU160" i="1" l="1"/>
  <c r="BU163" i="1" s="1"/>
  <c r="BU197" i="1" l="1"/>
  <c r="BU196" i="1" s="1"/>
  <c r="BV211" i="1"/>
  <c r="BU211" i="1"/>
  <c r="BW160" i="1" l="1"/>
  <c r="BW163" i="1" s="1"/>
  <c r="BW197" i="1" l="1"/>
  <c r="BW196" i="1" s="1"/>
  <c r="BX211" i="1"/>
  <c r="BW211" i="1"/>
  <c r="BY160" i="1" l="1"/>
  <c r="BY163" i="1" s="1"/>
  <c r="BZ211" i="1" l="1"/>
  <c r="BY197" i="1"/>
  <c r="BY196" i="1" s="1"/>
  <c r="BY211" i="1"/>
  <c r="AK198" i="1" l="1"/>
  <c r="AK168" i="1" s="1"/>
  <c r="AK171" i="1" s="1"/>
  <c r="AK172" i="1" l="1"/>
  <c r="AK200" i="1"/>
  <c r="AL212" i="1"/>
  <c r="AL213" i="1" s="1"/>
  <c r="AL214" i="1" s="1"/>
  <c r="AL228" i="1" s="1"/>
  <c r="AK212" i="1"/>
  <c r="AK213" i="1" s="1"/>
  <c r="AK214" i="1" s="1"/>
  <c r="AM168" i="1"/>
  <c r="AM171" i="1" s="1"/>
  <c r="AK228" i="1" l="1"/>
  <c r="AK225" i="1"/>
  <c r="AK175" i="1" s="1"/>
  <c r="AK176" i="1" s="1"/>
  <c r="AK180" i="1" s="1"/>
  <c r="AK181" i="1" s="1"/>
  <c r="AN212" i="1"/>
  <c r="AN213" i="1" s="1"/>
  <c r="AN214" i="1" s="1"/>
  <c r="AN228" i="1" s="1"/>
  <c r="AM200" i="1"/>
  <c r="AM199" i="1" s="1"/>
  <c r="AM212" i="1"/>
  <c r="AM213" i="1" s="1"/>
  <c r="AM214" i="1" s="1"/>
  <c r="AM172" i="1"/>
  <c r="AJ199" i="1"/>
  <c r="AJ201" i="1"/>
  <c r="AN204" i="1" s="1"/>
  <c r="AK199" i="1"/>
  <c r="AK201" i="1"/>
  <c r="AO168" i="1"/>
  <c r="AO171" i="1" s="1"/>
  <c r="AM201" i="1" l="1"/>
  <c r="AO200" i="1"/>
  <c r="AO199" i="1" s="1"/>
  <c r="AP212" i="1"/>
  <c r="AP213" i="1" s="1"/>
  <c r="AP214" i="1" s="1"/>
  <c r="AP228" i="1" s="1"/>
  <c r="AO212" i="1"/>
  <c r="AO213" i="1" s="1"/>
  <c r="AO214" i="1" s="1"/>
  <c r="AM228" i="1"/>
  <c r="AM225" i="1"/>
  <c r="AO172" i="1"/>
  <c r="AL224" i="1" l="1"/>
  <c r="AL225" i="1" s="1"/>
  <c r="AL226" i="1" s="1"/>
  <c r="AK226" i="1"/>
  <c r="AO201" i="1"/>
  <c r="AO204" i="1" s="1"/>
  <c r="AO228" i="1"/>
  <c r="AO225" i="1"/>
  <c r="AQ168" i="1"/>
  <c r="AQ171" i="1" s="1"/>
  <c r="AK183" i="1"/>
  <c r="AL52" i="1" s="1"/>
  <c r="AM175" i="1"/>
  <c r="AM176" i="1" s="1"/>
  <c r="AM180" i="1" s="1"/>
  <c r="AN224" i="1" l="1"/>
  <c r="AN225" i="1" s="1"/>
  <c r="AN226" i="1" s="1"/>
  <c r="AM263" i="1"/>
  <c r="AM261" i="1"/>
  <c r="AM259" i="1"/>
  <c r="AQ200" i="1"/>
  <c r="AQ199" i="1" s="1"/>
  <c r="AR212" i="1"/>
  <c r="AR213" i="1" s="1"/>
  <c r="AR214" i="1" s="1"/>
  <c r="AR228" i="1" s="1"/>
  <c r="AQ212" i="1"/>
  <c r="AQ213" i="1" s="1"/>
  <c r="AQ214" i="1" s="1"/>
  <c r="AM226" i="1"/>
  <c r="AQ172" i="1"/>
  <c r="AO175" i="1"/>
  <c r="AO176" i="1" s="1"/>
  <c r="AM183" i="1"/>
  <c r="AO261" i="1" l="1"/>
  <c r="AO263" i="1"/>
  <c r="AO259" i="1"/>
  <c r="AM124" i="1"/>
  <c r="AM125" i="1" s="1"/>
  <c r="AM128" i="1" s="1"/>
  <c r="AN52" i="1"/>
  <c r="AQ201" i="1"/>
  <c r="AQ204" i="1" s="1"/>
  <c r="AQ228" i="1"/>
  <c r="AQ225" i="1"/>
  <c r="AP224" i="1"/>
  <c r="AP225" i="1" s="1"/>
  <c r="AP226" i="1" s="1"/>
  <c r="AO226" i="1"/>
  <c r="AS168" i="1"/>
  <c r="AS171" i="1" s="1"/>
  <c r="AO183" i="1"/>
  <c r="AO180" i="1"/>
  <c r="AM181" i="1"/>
  <c r="AM126" i="1" l="1"/>
  <c r="AM129" i="1" s="1"/>
  <c r="AO124" i="1"/>
  <c r="AO126" i="1" s="1"/>
  <c r="AO129" i="1" s="1"/>
  <c r="AP52" i="1"/>
  <c r="AS200" i="1"/>
  <c r="AS199" i="1" s="1"/>
  <c r="AT212" i="1"/>
  <c r="AT213" i="1" s="1"/>
  <c r="AT214" i="1" s="1"/>
  <c r="AT228" i="1" s="1"/>
  <c r="AS212" i="1"/>
  <c r="AS213" i="1" s="1"/>
  <c r="AS214" i="1" s="1"/>
  <c r="AO181" i="1"/>
  <c r="AS172" i="1"/>
  <c r="AQ175" i="1"/>
  <c r="AQ176" i="1" s="1"/>
  <c r="AQ261" i="1" l="1"/>
  <c r="AQ263" i="1"/>
  <c r="AQ259" i="1"/>
  <c r="AO125" i="1"/>
  <c r="AO128" i="1" s="1"/>
  <c r="AS201" i="1"/>
  <c r="AS204" i="1" s="1"/>
  <c r="AS228" i="1"/>
  <c r="AS225" i="1"/>
  <c r="AR224" i="1"/>
  <c r="AR225" i="1" s="1"/>
  <c r="AR226" i="1" s="1"/>
  <c r="AQ226" i="1"/>
  <c r="AQ180" i="1"/>
  <c r="AQ183" i="1"/>
  <c r="AU168" i="1"/>
  <c r="AU171" i="1" s="1"/>
  <c r="AQ124" i="1" l="1"/>
  <c r="AQ125" i="1" s="1"/>
  <c r="AQ128" i="1" s="1"/>
  <c r="AR52" i="1"/>
  <c r="AU200" i="1"/>
  <c r="AU199" i="1" s="1"/>
  <c r="AV212" i="1"/>
  <c r="AV213" i="1" s="1"/>
  <c r="AV214" i="1" s="1"/>
  <c r="AV228" i="1" s="1"/>
  <c r="AU212" i="1"/>
  <c r="AU213" i="1" s="1"/>
  <c r="AU214" i="1" s="1"/>
  <c r="AU172" i="1"/>
  <c r="AS175" i="1"/>
  <c r="AS176" i="1" s="1"/>
  <c r="AQ181" i="1"/>
  <c r="AS263" i="1" l="1"/>
  <c r="AS261" i="1"/>
  <c r="AS259" i="1"/>
  <c r="AQ126" i="1"/>
  <c r="AQ129" i="1" s="1"/>
  <c r="AU201" i="1"/>
  <c r="AU204" i="1" s="1"/>
  <c r="AU228" i="1"/>
  <c r="AU225" i="1"/>
  <c r="AT224" i="1"/>
  <c r="AT225" i="1" s="1"/>
  <c r="AT226" i="1" s="1"/>
  <c r="AS226" i="1"/>
  <c r="AS183" i="1"/>
  <c r="AS180" i="1"/>
  <c r="AW168" i="1"/>
  <c r="AW171" i="1" s="1"/>
  <c r="AS124" i="1" l="1"/>
  <c r="AS125" i="1" s="1"/>
  <c r="AS128" i="1" s="1"/>
  <c r="AT52" i="1"/>
  <c r="AW200" i="1"/>
  <c r="AW201" i="1" s="1"/>
  <c r="AW204" i="1" s="1"/>
  <c r="AX212" i="1"/>
  <c r="AX213" i="1" s="1"/>
  <c r="AX214" i="1" s="1"/>
  <c r="AX228" i="1" s="1"/>
  <c r="AW212" i="1"/>
  <c r="AW213" i="1" s="1"/>
  <c r="AW214" i="1" s="1"/>
  <c r="AU175" i="1"/>
  <c r="AU176" i="1" s="1"/>
  <c r="AS181" i="1"/>
  <c r="AW172" i="1"/>
  <c r="AU263" i="1" l="1"/>
  <c r="AU261" i="1"/>
  <c r="AU259" i="1"/>
  <c r="AS126" i="1"/>
  <c r="AS129" i="1" s="1"/>
  <c r="AW199" i="1"/>
  <c r="AW228" i="1"/>
  <c r="AW225" i="1"/>
  <c r="AV224" i="1"/>
  <c r="AV225" i="1" s="1"/>
  <c r="AV226" i="1" s="1"/>
  <c r="AU226" i="1"/>
  <c r="AU183" i="1"/>
  <c r="AU180" i="1"/>
  <c r="AY168" i="1"/>
  <c r="AY171" i="1" s="1"/>
  <c r="AU124" i="1" l="1"/>
  <c r="AU126" i="1" s="1"/>
  <c r="AU129" i="1" s="1"/>
  <c r="AV52" i="1"/>
  <c r="AY200" i="1"/>
  <c r="AY199" i="1" s="1"/>
  <c r="AZ212" i="1"/>
  <c r="AZ213" i="1" s="1"/>
  <c r="AZ214" i="1" s="1"/>
  <c r="AZ228" i="1" s="1"/>
  <c r="AY212" i="1"/>
  <c r="AY213" i="1" s="1"/>
  <c r="AY214" i="1" s="1"/>
  <c r="AW175" i="1"/>
  <c r="AW176" i="1" s="1"/>
  <c r="AY172" i="1"/>
  <c r="AU181" i="1"/>
  <c r="AW261" i="1" l="1"/>
  <c r="AW263" i="1"/>
  <c r="AW259" i="1"/>
  <c r="AU125" i="1"/>
  <c r="AU128" i="1" s="1"/>
  <c r="AY201" i="1"/>
  <c r="AY204" i="1" s="1"/>
  <c r="AY228" i="1"/>
  <c r="AY225" i="1"/>
  <c r="AX224" i="1"/>
  <c r="AX225" i="1" s="1"/>
  <c r="AX226" i="1" s="1"/>
  <c r="AW226" i="1"/>
  <c r="BA168" i="1"/>
  <c r="BA171" i="1" s="1"/>
  <c r="AW180" i="1"/>
  <c r="AW183" i="1"/>
  <c r="AW124" i="1" l="1"/>
  <c r="AW126" i="1" s="1"/>
  <c r="AW129" i="1" s="1"/>
  <c r="AX52" i="1"/>
  <c r="BB212" i="1"/>
  <c r="BB213" i="1" s="1"/>
  <c r="BB214" i="1" s="1"/>
  <c r="BB228" i="1" s="1"/>
  <c r="BA200" i="1"/>
  <c r="BA199" i="1" s="1"/>
  <c r="BA212" i="1"/>
  <c r="BA213" i="1" s="1"/>
  <c r="BA214" i="1" s="1"/>
  <c r="AW181" i="1"/>
  <c r="BA172" i="1"/>
  <c r="AY175" i="1"/>
  <c r="AY176" i="1" s="1"/>
  <c r="AY261" i="1" l="1"/>
  <c r="AY263" i="1"/>
  <c r="AY259" i="1"/>
  <c r="AW125" i="1"/>
  <c r="AW128" i="1" s="1"/>
  <c r="BA201" i="1"/>
  <c r="BA204" i="1" s="1"/>
  <c r="BA228" i="1"/>
  <c r="BA225" i="1"/>
  <c r="AZ224" i="1"/>
  <c r="AZ225" i="1" s="1"/>
  <c r="AZ226" i="1" s="1"/>
  <c r="AY226" i="1"/>
  <c r="AY180" i="1"/>
  <c r="AY183" i="1"/>
  <c r="BC168" i="1"/>
  <c r="BC171" i="1" s="1"/>
  <c r="AY124" i="1" l="1"/>
  <c r="AY126" i="1" s="1"/>
  <c r="AY129" i="1" s="1"/>
  <c r="AZ52" i="1"/>
  <c r="BC200" i="1"/>
  <c r="BC199" i="1" s="1"/>
  <c r="BD212" i="1"/>
  <c r="BD213" i="1" s="1"/>
  <c r="BD214" i="1" s="1"/>
  <c r="BD228" i="1" s="1"/>
  <c r="BC212" i="1"/>
  <c r="BC213" i="1" s="1"/>
  <c r="BC214" i="1" s="1"/>
  <c r="AY181" i="1"/>
  <c r="BC172" i="1"/>
  <c r="BA175" i="1"/>
  <c r="BA176" i="1" s="1"/>
  <c r="BA263" i="1" l="1"/>
  <c r="BA261" i="1"/>
  <c r="BA259" i="1"/>
  <c r="AY125" i="1"/>
  <c r="AY128" i="1" s="1"/>
  <c r="BC201" i="1"/>
  <c r="BC204" i="1" s="1"/>
  <c r="BC228" i="1"/>
  <c r="BC225" i="1"/>
  <c r="BB224" i="1"/>
  <c r="BB225" i="1" s="1"/>
  <c r="BB226" i="1" s="1"/>
  <c r="BA226" i="1"/>
  <c r="BE168" i="1"/>
  <c r="BE171" i="1" s="1"/>
  <c r="BA183" i="1"/>
  <c r="BA180" i="1"/>
  <c r="BA124" i="1" l="1"/>
  <c r="BA125" i="1" s="1"/>
  <c r="BA128" i="1" s="1"/>
  <c r="BB52" i="1"/>
  <c r="BE200" i="1"/>
  <c r="BE199" i="1" s="1"/>
  <c r="BF212" i="1"/>
  <c r="BF213" i="1" s="1"/>
  <c r="BF214" i="1" s="1"/>
  <c r="BF228" i="1" s="1"/>
  <c r="BE212" i="1"/>
  <c r="BE213" i="1" s="1"/>
  <c r="BE214" i="1" s="1"/>
  <c r="BC175" i="1"/>
  <c r="BC176" i="1" s="1"/>
  <c r="BA181" i="1"/>
  <c r="BE172" i="1"/>
  <c r="BC263" i="1" l="1"/>
  <c r="BC261" i="1"/>
  <c r="BC259" i="1"/>
  <c r="BA126" i="1"/>
  <c r="BA129" i="1" s="1"/>
  <c r="BE201" i="1"/>
  <c r="BE204" i="1" s="1"/>
  <c r="BE228" i="1"/>
  <c r="BE225" i="1"/>
  <c r="BD224" i="1"/>
  <c r="BD225" i="1" s="1"/>
  <c r="BD226" i="1" s="1"/>
  <c r="BC226" i="1"/>
  <c r="BG168" i="1"/>
  <c r="BG171" i="1" s="1"/>
  <c r="BC180" i="1"/>
  <c r="BC183" i="1"/>
  <c r="BC124" i="1" l="1"/>
  <c r="BC125" i="1" s="1"/>
  <c r="BC128" i="1" s="1"/>
  <c r="BD52" i="1"/>
  <c r="BG200" i="1"/>
  <c r="BG201" i="1" s="1"/>
  <c r="BG204" i="1" s="1"/>
  <c r="BH212" i="1"/>
  <c r="BH213" i="1" s="1"/>
  <c r="BH214" i="1" s="1"/>
  <c r="BH228" i="1" s="1"/>
  <c r="BG212" i="1"/>
  <c r="BG213" i="1" s="1"/>
  <c r="BG214" i="1" s="1"/>
  <c r="BC181" i="1"/>
  <c r="BE175" i="1"/>
  <c r="BE176" i="1" s="1"/>
  <c r="BG172" i="1"/>
  <c r="BE261" i="1" l="1"/>
  <c r="BE263" i="1"/>
  <c r="BE259" i="1"/>
  <c r="BC126" i="1"/>
  <c r="BC129" i="1" s="1"/>
  <c r="BG199" i="1"/>
  <c r="BG228" i="1"/>
  <c r="BG225" i="1"/>
  <c r="BF224" i="1"/>
  <c r="BF225" i="1" s="1"/>
  <c r="BF226" i="1" s="1"/>
  <c r="BE226" i="1"/>
  <c r="BE183" i="1"/>
  <c r="BE180" i="1"/>
  <c r="BI168" i="1"/>
  <c r="BI171" i="1" s="1"/>
  <c r="BE124" i="1" l="1"/>
  <c r="BE125" i="1" s="1"/>
  <c r="BE128" i="1" s="1"/>
  <c r="BF52" i="1"/>
  <c r="BI200" i="1"/>
  <c r="BI199" i="1" s="1"/>
  <c r="BJ212" i="1"/>
  <c r="BJ213" i="1" s="1"/>
  <c r="BJ214" i="1" s="1"/>
  <c r="BJ228" i="1" s="1"/>
  <c r="BI212" i="1"/>
  <c r="BI213" i="1" s="1"/>
  <c r="BI214" i="1" s="1"/>
  <c r="BE181" i="1"/>
  <c r="BG175" i="1"/>
  <c r="BG176" i="1" s="1"/>
  <c r="BI172" i="1"/>
  <c r="BG261" i="1" l="1"/>
  <c r="BG263" i="1"/>
  <c r="BG259" i="1"/>
  <c r="BE126" i="1"/>
  <c r="BE129" i="1" s="1"/>
  <c r="BI201" i="1"/>
  <c r="BI204" i="1" s="1"/>
  <c r="BI228" i="1"/>
  <c r="BI225" i="1"/>
  <c r="BH224" i="1"/>
  <c r="BH225" i="1" s="1"/>
  <c r="BH226" i="1" s="1"/>
  <c r="BG226" i="1"/>
  <c r="BG180" i="1"/>
  <c r="BG183" i="1"/>
  <c r="BK168" i="1"/>
  <c r="BK171" i="1" s="1"/>
  <c r="BG124" i="1" l="1"/>
  <c r="BG125" i="1" s="1"/>
  <c r="BG128" i="1" s="1"/>
  <c r="BH52" i="1"/>
  <c r="BL212" i="1"/>
  <c r="BL213" i="1" s="1"/>
  <c r="BL214" i="1" s="1"/>
  <c r="BL228" i="1" s="1"/>
  <c r="BK200" i="1"/>
  <c r="BK199" i="1" s="1"/>
  <c r="BK212" i="1"/>
  <c r="BK213" i="1" s="1"/>
  <c r="BK214" i="1" s="1"/>
  <c r="BK172" i="1"/>
  <c r="BG181" i="1"/>
  <c r="BI175" i="1"/>
  <c r="BI176" i="1" s="1"/>
  <c r="BI263" i="1" l="1"/>
  <c r="BI261" i="1"/>
  <c r="BI259" i="1"/>
  <c r="BG126" i="1"/>
  <c r="BG129" i="1" s="1"/>
  <c r="BK201" i="1"/>
  <c r="BK204" i="1" s="1"/>
  <c r="BK228" i="1"/>
  <c r="BK225" i="1"/>
  <c r="BJ224" i="1"/>
  <c r="BJ225" i="1" s="1"/>
  <c r="BJ226" i="1" s="1"/>
  <c r="BI226" i="1"/>
  <c r="BI183" i="1"/>
  <c r="BI180" i="1"/>
  <c r="BM168" i="1"/>
  <c r="BM171" i="1" s="1"/>
  <c r="BI124" i="1" l="1"/>
  <c r="BI126" i="1" s="1"/>
  <c r="BI129" i="1" s="1"/>
  <c r="BJ52" i="1"/>
  <c r="BM200" i="1"/>
  <c r="BM199" i="1" s="1"/>
  <c r="BN212" i="1"/>
  <c r="BN213" i="1" s="1"/>
  <c r="BN214" i="1" s="1"/>
  <c r="BN228" i="1" s="1"/>
  <c r="BM212" i="1"/>
  <c r="BM213" i="1" s="1"/>
  <c r="BM214" i="1" s="1"/>
  <c r="BM172" i="1"/>
  <c r="BI181" i="1"/>
  <c r="BK175" i="1"/>
  <c r="BK176" i="1" s="1"/>
  <c r="BK263" i="1" l="1"/>
  <c r="BK261" i="1"/>
  <c r="BK259" i="1"/>
  <c r="BI125" i="1"/>
  <c r="BI128" i="1" s="1"/>
  <c r="BM201" i="1"/>
  <c r="BM204" i="1" s="1"/>
  <c r="BM228" i="1"/>
  <c r="BM225" i="1"/>
  <c r="BL224" i="1"/>
  <c r="BL225" i="1" s="1"/>
  <c r="BL226" i="1" s="1"/>
  <c r="BK226" i="1"/>
  <c r="BK183" i="1"/>
  <c r="BK180" i="1"/>
  <c r="BO168" i="1"/>
  <c r="BO171" i="1" s="1"/>
  <c r="BK124" i="1" l="1"/>
  <c r="BK126" i="1" s="1"/>
  <c r="BK129" i="1" s="1"/>
  <c r="BL52" i="1"/>
  <c r="BO200" i="1"/>
  <c r="BO199" i="1" s="1"/>
  <c r="BP212" i="1"/>
  <c r="BP213" i="1" s="1"/>
  <c r="BP214" i="1" s="1"/>
  <c r="BP228" i="1" s="1"/>
  <c r="BO212" i="1"/>
  <c r="BO213" i="1" s="1"/>
  <c r="BO214" i="1" s="1"/>
  <c r="BM175" i="1"/>
  <c r="BM176" i="1" s="1"/>
  <c r="BK181" i="1"/>
  <c r="BO172" i="1"/>
  <c r="BM261" i="1" l="1"/>
  <c r="BM263" i="1"/>
  <c r="BM259" i="1"/>
  <c r="BK125" i="1"/>
  <c r="BK128" i="1" s="1"/>
  <c r="BO201" i="1"/>
  <c r="BO204" i="1" s="1"/>
  <c r="BO228" i="1"/>
  <c r="BO225" i="1"/>
  <c r="BN224" i="1"/>
  <c r="BN225" i="1" s="1"/>
  <c r="BN226" i="1" s="1"/>
  <c r="BM226" i="1"/>
  <c r="BM180" i="1"/>
  <c r="BM183" i="1"/>
  <c r="BQ168" i="1"/>
  <c r="BQ171" i="1" s="1"/>
  <c r="BM124" i="1" l="1"/>
  <c r="BM125" i="1" s="1"/>
  <c r="BM128" i="1" s="1"/>
  <c r="BN52" i="1"/>
  <c r="BQ200" i="1"/>
  <c r="BQ199" i="1" s="1"/>
  <c r="BR212" i="1"/>
  <c r="BR213" i="1" s="1"/>
  <c r="BR214" i="1" s="1"/>
  <c r="BR228" i="1" s="1"/>
  <c r="BQ212" i="1"/>
  <c r="BQ213" i="1" s="1"/>
  <c r="BQ214" i="1" s="1"/>
  <c r="BO175" i="1"/>
  <c r="BO176" i="1" s="1"/>
  <c r="BQ172" i="1"/>
  <c r="BM181" i="1"/>
  <c r="BO261" i="1" l="1"/>
  <c r="BO263" i="1"/>
  <c r="BO259" i="1"/>
  <c r="BM126" i="1"/>
  <c r="BM129" i="1" s="1"/>
  <c r="BQ201" i="1"/>
  <c r="BQ204" i="1" s="1"/>
  <c r="BQ228" i="1"/>
  <c r="BQ225" i="1"/>
  <c r="BP224" i="1"/>
  <c r="BP225" i="1" s="1"/>
  <c r="BP226" i="1" s="1"/>
  <c r="BO226" i="1"/>
  <c r="BS168" i="1"/>
  <c r="BS171" i="1" s="1"/>
  <c r="BO180" i="1"/>
  <c r="BO183" i="1"/>
  <c r="BO124" i="1" l="1"/>
  <c r="BO125" i="1" s="1"/>
  <c r="BO128" i="1" s="1"/>
  <c r="BP52" i="1"/>
  <c r="BS200" i="1"/>
  <c r="BS199" i="1" s="1"/>
  <c r="BT212" i="1"/>
  <c r="BT213" i="1" s="1"/>
  <c r="BT214" i="1" s="1"/>
  <c r="BT228" i="1" s="1"/>
  <c r="BS212" i="1"/>
  <c r="BS213" i="1" s="1"/>
  <c r="BS214" i="1" s="1"/>
  <c r="BO181" i="1"/>
  <c r="BS172" i="1"/>
  <c r="BQ175" i="1"/>
  <c r="BQ176" i="1" s="1"/>
  <c r="BQ263" i="1" l="1"/>
  <c r="BQ261" i="1"/>
  <c r="BQ259" i="1"/>
  <c r="BO126" i="1"/>
  <c r="BO129" i="1" s="1"/>
  <c r="BS201" i="1"/>
  <c r="BS204" i="1" s="1"/>
  <c r="BS228" i="1"/>
  <c r="BS225" i="1"/>
  <c r="BR224" i="1"/>
  <c r="BR225" i="1" s="1"/>
  <c r="BR226" i="1" s="1"/>
  <c r="BQ226" i="1"/>
  <c r="BQ180" i="1"/>
  <c r="BQ183" i="1"/>
  <c r="BU168" i="1"/>
  <c r="BU171" i="1" s="1"/>
  <c r="BQ124" i="1" l="1"/>
  <c r="BQ125" i="1" s="1"/>
  <c r="BQ128" i="1" s="1"/>
  <c r="BR52" i="1"/>
  <c r="BU200" i="1"/>
  <c r="BU199" i="1" s="1"/>
  <c r="BV212" i="1"/>
  <c r="BV213" i="1" s="1"/>
  <c r="BV214" i="1" s="1"/>
  <c r="BV228" i="1" s="1"/>
  <c r="BU212" i="1"/>
  <c r="BU213" i="1" s="1"/>
  <c r="BU214" i="1" s="1"/>
  <c r="BS175" i="1"/>
  <c r="BS176" i="1" s="1"/>
  <c r="BQ181" i="1"/>
  <c r="BU172" i="1"/>
  <c r="BS263" i="1" l="1"/>
  <c r="BS261" i="1"/>
  <c r="BS259" i="1"/>
  <c r="BQ126" i="1"/>
  <c r="BQ129" i="1" s="1"/>
  <c r="BU201" i="1"/>
  <c r="BU204" i="1" s="1"/>
  <c r="BU228" i="1"/>
  <c r="BU225" i="1"/>
  <c r="BT224" i="1"/>
  <c r="BT225" i="1" s="1"/>
  <c r="BT226" i="1" s="1"/>
  <c r="BS226" i="1"/>
  <c r="BS180" i="1"/>
  <c r="BS183" i="1"/>
  <c r="BW168" i="1"/>
  <c r="BW171" i="1" s="1"/>
  <c r="BS124" i="1" l="1"/>
  <c r="BS126" i="1" s="1"/>
  <c r="BS129" i="1" s="1"/>
  <c r="BT52" i="1"/>
  <c r="BW200" i="1"/>
  <c r="BW199" i="1" s="1"/>
  <c r="BX212" i="1"/>
  <c r="BX213" i="1" s="1"/>
  <c r="BX214" i="1" s="1"/>
  <c r="BX228" i="1" s="1"/>
  <c r="BW212" i="1"/>
  <c r="BW213" i="1" s="1"/>
  <c r="BW214" i="1" s="1"/>
  <c r="BW172" i="1"/>
  <c r="BS181" i="1"/>
  <c r="BU175" i="1"/>
  <c r="BU176" i="1" s="1"/>
  <c r="BU261" i="1" l="1"/>
  <c r="BU263" i="1"/>
  <c r="BU259" i="1"/>
  <c r="BS125" i="1"/>
  <c r="BS128" i="1" s="1"/>
  <c r="BW201" i="1"/>
  <c r="BW204" i="1" s="1"/>
  <c r="BW228" i="1"/>
  <c r="BW225" i="1"/>
  <c r="BV224" i="1"/>
  <c r="BV225" i="1" s="1"/>
  <c r="BV226" i="1" s="1"/>
  <c r="BU226" i="1"/>
  <c r="BU180" i="1"/>
  <c r="BU183" i="1"/>
  <c r="BY168" i="1"/>
  <c r="BY171" i="1" s="1"/>
  <c r="BU124" i="1" l="1"/>
  <c r="BU126" i="1" s="1"/>
  <c r="BU129" i="1" s="1"/>
  <c r="BV52" i="1"/>
  <c r="BZ212" i="1"/>
  <c r="BZ213" i="1" s="1"/>
  <c r="BZ214" i="1" s="1"/>
  <c r="BZ228" i="1" s="1"/>
  <c r="BY200" i="1"/>
  <c r="BY199" i="1" s="1"/>
  <c r="BY212" i="1"/>
  <c r="BY213" i="1" s="1"/>
  <c r="BY214" i="1" s="1"/>
  <c r="BW175" i="1"/>
  <c r="BW176" i="1" s="1"/>
  <c r="BY172" i="1"/>
  <c r="BU181" i="1"/>
  <c r="BW261" i="1" l="1"/>
  <c r="BW263" i="1"/>
  <c r="BW259" i="1"/>
  <c r="BU125" i="1"/>
  <c r="BU128" i="1" s="1"/>
  <c r="BY201" i="1"/>
  <c r="BY204" i="1" s="1"/>
  <c r="BY228" i="1"/>
  <c r="BY225" i="1"/>
  <c r="BX224" i="1"/>
  <c r="BX225" i="1" s="1"/>
  <c r="BX226" i="1" s="1"/>
  <c r="BW226" i="1"/>
  <c r="BW180" i="1"/>
  <c r="BW183" i="1"/>
  <c r="BW124" i="1" l="1"/>
  <c r="BW126" i="1" s="1"/>
  <c r="BW129" i="1" s="1"/>
  <c r="BX52" i="1"/>
  <c r="BW181" i="1"/>
  <c r="BY175" i="1"/>
  <c r="BY176" i="1" s="1"/>
  <c r="BY263" i="1" l="1"/>
  <c r="BY261" i="1"/>
  <c r="BY259" i="1"/>
  <c r="BW125" i="1"/>
  <c r="BW128" i="1" s="1"/>
  <c r="BZ224" i="1"/>
  <c r="BZ225" i="1" s="1"/>
  <c r="BZ226" i="1" s="1"/>
  <c r="BY226" i="1"/>
  <c r="BY183" i="1"/>
  <c r="BY180" i="1"/>
  <c r="BY124" i="1" l="1"/>
  <c r="BY125" i="1" s="1"/>
  <c r="BY128" i="1" s="1"/>
  <c r="BZ52" i="1"/>
  <c r="BY181" i="1"/>
  <c r="CC160" i="1"/>
  <c r="CC159" i="1"/>
  <c r="CA159" i="1"/>
  <c r="CA168" i="1"/>
  <c r="CA171" i="1" s="1"/>
  <c r="CA160" i="1"/>
  <c r="BY126" i="1" l="1"/>
  <c r="BY129" i="1" s="1"/>
  <c r="CA163" i="1"/>
  <c r="CA197" i="1" s="1"/>
  <c r="CA196" i="1" s="1"/>
  <c r="CB212" i="1"/>
  <c r="CA200" i="1"/>
  <c r="CA199" i="1" s="1"/>
  <c r="CA212" i="1"/>
  <c r="CC168" i="1"/>
  <c r="CC171" i="1" s="1"/>
  <c r="CC163" i="1"/>
  <c r="CA172" i="1" l="1"/>
  <c r="CA211" i="1"/>
  <c r="CA213" i="1" s="1"/>
  <c r="CA214" i="1" s="1"/>
  <c r="CA228" i="1" s="1"/>
  <c r="CB211" i="1"/>
  <c r="CB213" i="1" s="1"/>
  <c r="CB214" i="1" s="1"/>
  <c r="CB228" i="1" s="1"/>
  <c r="CA201" i="1"/>
  <c r="CD211" i="1"/>
  <c r="CC197" i="1"/>
  <c r="CC196" i="1" s="1"/>
  <c r="CC211" i="1"/>
  <c r="CC200" i="1"/>
  <c r="CC199" i="1" s="1"/>
  <c r="CD212" i="1"/>
  <c r="CC212" i="1"/>
  <c r="CC172" i="1"/>
  <c r="CA204" i="1" l="1"/>
  <c r="CE204" i="1"/>
  <c r="CC213" i="1"/>
  <c r="CC214" i="1" s="1"/>
  <c r="CC228" i="1" s="1"/>
  <c r="CD213" i="1"/>
  <c r="CD214" i="1" s="1"/>
  <c r="CD228" i="1" s="1"/>
  <c r="CA225" i="1"/>
  <c r="CA175" i="1" s="1"/>
  <c r="CA176" i="1" s="1"/>
  <c r="CC201" i="1"/>
  <c r="CA263" i="1" l="1"/>
  <c r="CA261" i="1"/>
  <c r="CA259" i="1"/>
  <c r="CC204" i="1"/>
  <c r="CG204" i="1"/>
  <c r="CC225" i="1"/>
  <c r="CC175" i="1" s="1"/>
  <c r="CC176" i="1" s="1"/>
  <c r="CB224" i="1"/>
  <c r="CB225" i="1" s="1"/>
  <c r="CB226" i="1" s="1"/>
  <c r="CA226" i="1"/>
  <c r="CA183" i="1"/>
  <c r="CA180" i="1"/>
  <c r="CC261" i="1" l="1"/>
  <c r="CC263" i="1"/>
  <c r="CC259" i="1"/>
  <c r="CA124" i="1"/>
  <c r="CA125" i="1" s="1"/>
  <c r="CA128" i="1" s="1"/>
  <c r="CB52" i="1"/>
  <c r="CD224" i="1"/>
  <c r="CD225" i="1" s="1"/>
  <c r="CD226" i="1" s="1"/>
  <c r="CC226" i="1"/>
  <c r="CC180" i="1"/>
  <c r="CC183" i="1"/>
  <c r="CA181" i="1"/>
  <c r="CA126" i="1" l="1"/>
  <c r="CA129" i="1" s="1"/>
  <c r="CC124" i="1"/>
  <c r="CC125" i="1" s="1"/>
  <c r="CC128" i="1" s="1"/>
  <c r="CD52" i="1"/>
  <c r="CC181" i="1"/>
  <c r="CC126" i="1" l="1"/>
  <c r="CC129" i="1" s="1"/>
  <c r="CE104" i="1"/>
  <c r="CD104" i="1"/>
  <c r="CC104" i="1"/>
  <c r="CB104" i="1"/>
  <c r="CI160" i="1" l="1"/>
  <c r="CI168" i="1"/>
  <c r="CI171" i="1" s="1"/>
  <c r="CI159" i="1"/>
  <c r="CJ212" i="1" l="1"/>
  <c r="CI163" i="1"/>
  <c r="CI212" i="1"/>
  <c r="CJ211" i="1" l="1"/>
  <c r="CJ213" i="1" s="1"/>
  <c r="CJ214" i="1" s="1"/>
  <c r="CJ228" i="1" s="1"/>
  <c r="CI172" i="1"/>
  <c r="CI211" i="1"/>
  <c r="CI213" i="1" s="1"/>
  <c r="CI214" i="1" s="1"/>
  <c r="CI228" i="1" s="1"/>
  <c r="CI201" i="1" l="1"/>
  <c r="CI204" i="1" s="1"/>
  <c r="CI225" i="1"/>
  <c r="CI175" i="1" s="1"/>
  <c r="CI176" i="1" s="1"/>
  <c r="CI263" i="1" l="1"/>
  <c r="CI261" i="1"/>
  <c r="CI259" i="1"/>
  <c r="CI226" i="1"/>
  <c r="CJ224" i="1"/>
  <c r="CJ225" i="1" s="1"/>
  <c r="CI183" i="1"/>
  <c r="CI180" i="1"/>
  <c r="CI124" i="1" l="1"/>
  <c r="CI126" i="1" s="1"/>
  <c r="CI129" i="1" s="1"/>
  <c r="CJ52" i="1"/>
  <c r="CJ226" i="1"/>
  <c r="CI181" i="1"/>
  <c r="CI125" i="1" l="1"/>
  <c r="CI128" i="1" s="1"/>
  <c r="CJ183" i="1"/>
  <c r="CJ124" i="1" l="1"/>
  <c r="CK52" i="1"/>
  <c r="CJ125" i="1" l="1"/>
  <c r="CJ128" i="1" s="1"/>
  <c r="CJ126" i="1"/>
  <c r="CJ129" i="1" s="1"/>
  <c r="CK246" i="1" l="1"/>
  <c r="CK268" i="1"/>
  <c r="CK267" i="1"/>
  <c r="CN25" i="1"/>
  <c r="CN268" i="1"/>
  <c r="CM25" i="1"/>
  <c r="CM268" i="1"/>
  <c r="CN246" i="1"/>
  <c r="CM246" i="1"/>
  <c r="CM113" i="1"/>
  <c r="CM114" i="1" s="1"/>
  <c r="CN113" i="1"/>
  <c r="CN114" i="1" s="1"/>
  <c r="CN27" i="1" l="1"/>
  <c r="CM26" i="1"/>
  <c r="CM27" i="1"/>
  <c r="CN26" i="1"/>
  <c r="CM161" i="1"/>
  <c r="CQ268" i="1"/>
  <c r="CO25" i="1"/>
  <c r="CO27" i="1" s="1"/>
  <c r="CN41" i="1"/>
  <c r="CN38" i="1" s="1"/>
  <c r="CR268" i="1"/>
  <c r="CN160" i="1"/>
  <c r="CN31" i="1"/>
  <c r="CN159" i="1"/>
  <c r="CN168" i="1"/>
  <c r="CM41" i="1"/>
  <c r="CM38" i="1" s="1"/>
  <c r="CM168" i="1"/>
  <c r="CN167" i="1"/>
  <c r="CN161" i="1"/>
  <c r="CM160" i="1"/>
  <c r="CM31" i="1"/>
  <c r="CM30" i="1" s="1"/>
  <c r="CM167" i="1"/>
  <c r="CM159" i="1"/>
  <c r="CK159" i="1"/>
  <c r="CK168" i="1"/>
  <c r="CK160" i="1"/>
  <c r="CM240" i="1"/>
  <c r="CK167" i="1"/>
  <c r="CK240" i="1"/>
  <c r="CK161" i="1"/>
  <c r="CN240" i="1"/>
  <c r="CO26" i="1" l="1"/>
  <c r="CO240" i="1"/>
  <c r="CM171" i="1"/>
  <c r="CK171" i="1"/>
  <c r="CN30" i="1"/>
  <c r="CN33" i="1"/>
  <c r="CN43" i="1"/>
  <c r="CN163" i="1"/>
  <c r="CM163" i="1"/>
  <c r="CN171" i="1"/>
  <c r="CR25" i="1"/>
  <c r="CM33" i="1"/>
  <c r="CR246" i="1"/>
  <c r="CQ25" i="1"/>
  <c r="CQ246" i="1"/>
  <c r="CM43" i="1"/>
  <c r="CR113" i="1"/>
  <c r="CR114" i="1" s="1"/>
  <c r="CP268" i="1"/>
  <c r="CN34" i="1"/>
  <c r="CO113" i="1"/>
  <c r="CO114" i="1" s="1"/>
  <c r="CO268" i="1"/>
  <c r="CO246" i="1"/>
  <c r="CK163" i="1"/>
  <c r="CM34" i="1"/>
  <c r="CP246" i="1"/>
  <c r="CP25" i="1"/>
  <c r="CQ113" i="1"/>
  <c r="CQ114" i="1" s="1"/>
  <c r="AB23" i="1"/>
  <c r="AB268" i="1" s="1"/>
  <c r="CP113" i="1"/>
  <c r="CP114" i="1" s="1"/>
  <c r="CO159" i="1"/>
  <c r="CO31" i="1"/>
  <c r="CO167" i="1"/>
  <c r="CO168" i="1"/>
  <c r="CO41" i="1"/>
  <c r="CO38" i="1" s="1"/>
  <c r="CO160" i="1"/>
  <c r="CO161" i="1"/>
  <c r="CK212" i="1" l="1"/>
  <c r="CL212" i="1"/>
  <c r="CK211" i="1"/>
  <c r="CL211" i="1"/>
  <c r="CL213" i="1" s="1"/>
  <c r="CL214" i="1" s="1"/>
  <c r="CL228" i="1" s="1"/>
  <c r="CQ27" i="1"/>
  <c r="CP26" i="1"/>
  <c r="CR27" i="1"/>
  <c r="CQ26" i="1"/>
  <c r="CR26" i="1"/>
  <c r="CP27" i="1"/>
  <c r="CN265" i="1"/>
  <c r="CN266" i="1" s="1"/>
  <c r="CN212" i="1"/>
  <c r="CN44" i="1"/>
  <c r="CN247" i="1"/>
  <c r="CN248" i="1" s="1"/>
  <c r="CN45" i="1"/>
  <c r="CN49" i="1"/>
  <c r="CN172" i="1"/>
  <c r="CM172" i="1"/>
  <c r="CN211" i="1"/>
  <c r="CR167" i="1"/>
  <c r="CR31" i="1"/>
  <c r="CR159" i="1"/>
  <c r="CR160" i="1"/>
  <c r="CR161" i="1"/>
  <c r="CR41" i="1"/>
  <c r="CR38" i="1" s="1"/>
  <c r="CR168" i="1"/>
  <c r="CQ41" i="1"/>
  <c r="CQ38" i="1" s="1"/>
  <c r="CQ161" i="1"/>
  <c r="CQ160" i="1"/>
  <c r="CQ167" i="1"/>
  <c r="CQ168" i="1"/>
  <c r="CQ159" i="1"/>
  <c r="CN46" i="1"/>
  <c r="CM45" i="1"/>
  <c r="CM247" i="1"/>
  <c r="CM248" i="1" s="1"/>
  <c r="CM44" i="1"/>
  <c r="CM49" i="1"/>
  <c r="CQ31" i="1"/>
  <c r="CK172" i="1"/>
  <c r="CK265" i="1"/>
  <c r="CK266" i="1" s="1"/>
  <c r="CS113" i="1"/>
  <c r="CS114" i="1" s="1"/>
  <c r="CS268" i="1"/>
  <c r="CM265" i="1"/>
  <c r="CM266" i="1" s="1"/>
  <c r="CK247" i="1"/>
  <c r="CK248" i="1" s="1"/>
  <c r="CK241" i="1"/>
  <c r="CN241" i="1"/>
  <c r="CR240" i="1"/>
  <c r="CP240" i="1"/>
  <c r="AB25" i="1"/>
  <c r="CO171" i="1"/>
  <c r="CS25" i="1"/>
  <c r="CS246" i="1"/>
  <c r="CO163" i="1"/>
  <c r="CM127" i="1"/>
  <c r="CN127" i="1"/>
  <c r="CM212" i="1"/>
  <c r="CP160" i="1"/>
  <c r="AB160" i="1" s="1"/>
  <c r="AB195" i="1" s="1"/>
  <c r="CP159" i="1"/>
  <c r="CP167" i="1"/>
  <c r="CP31" i="1"/>
  <c r="CP30" i="1" s="1"/>
  <c r="CP168" i="1"/>
  <c r="AB168" i="1" s="1"/>
  <c r="AB198" i="1" s="1"/>
  <c r="CP161" i="1"/>
  <c r="AB161" i="1" s="1"/>
  <c r="CP41" i="1"/>
  <c r="CP38" i="1" s="1"/>
  <c r="CT268" i="1"/>
  <c r="CO43" i="1"/>
  <c r="CO33" i="1"/>
  <c r="CO34" i="1"/>
  <c r="CM211" i="1"/>
  <c r="CQ240" i="1"/>
  <c r="CO30" i="1"/>
  <c r="CM241" i="1"/>
  <c r="CM46" i="1"/>
  <c r="CK213" i="1" l="1"/>
  <c r="CS26" i="1"/>
  <c r="CS27" i="1"/>
  <c r="CU268" i="1"/>
  <c r="CU246" i="1"/>
  <c r="CU25" i="1"/>
  <c r="CS240" i="1"/>
  <c r="CW268" i="1"/>
  <c r="CR163" i="1"/>
  <c r="CQ171" i="1"/>
  <c r="AB38" i="1"/>
  <c r="AB41" i="1" s="1"/>
  <c r="AB42" i="1" s="1"/>
  <c r="CN213" i="1"/>
  <c r="CR171" i="1"/>
  <c r="CR33" i="1"/>
  <c r="CR34" i="1"/>
  <c r="CR43" i="1"/>
  <c r="CR30" i="1"/>
  <c r="CV268" i="1"/>
  <c r="CV246" i="1"/>
  <c r="CV25" i="1"/>
  <c r="CQ30" i="1"/>
  <c r="CQ33" i="1"/>
  <c r="CQ43" i="1"/>
  <c r="CQ163" i="1"/>
  <c r="CO127" i="1"/>
  <c r="CO265" i="1"/>
  <c r="CO266" i="1" s="1"/>
  <c r="AB113" i="1"/>
  <c r="AB203" i="1"/>
  <c r="CQ34" i="1"/>
  <c r="AB30" i="1"/>
  <c r="AB31" i="1" s="1"/>
  <c r="CM213" i="1"/>
  <c r="CO172" i="1"/>
  <c r="CO211" i="1"/>
  <c r="CO241" i="1"/>
  <c r="AC23" i="1"/>
  <c r="AC268" i="1" s="1"/>
  <c r="CV113" i="1"/>
  <c r="CV114" i="1" s="1"/>
  <c r="AB26" i="1"/>
  <c r="AB73" i="1"/>
  <c r="AB159" i="1"/>
  <c r="CP163" i="1"/>
  <c r="CS159" i="1"/>
  <c r="CS31" i="1"/>
  <c r="CS30" i="1" s="1"/>
  <c r="CS167" i="1"/>
  <c r="CS160" i="1"/>
  <c r="CS168" i="1"/>
  <c r="CS161" i="1"/>
  <c r="CS41" i="1"/>
  <c r="CS38" i="1" s="1"/>
  <c r="CT113" i="1"/>
  <c r="CT114" i="1" s="1"/>
  <c r="CO212" i="1"/>
  <c r="CO45" i="1"/>
  <c r="CO247" i="1"/>
  <c r="CO248" i="1" s="1"/>
  <c r="CO49" i="1"/>
  <c r="CO46" i="1"/>
  <c r="CO44" i="1"/>
  <c r="CP33" i="1"/>
  <c r="CP43" i="1"/>
  <c r="CP34" i="1"/>
  <c r="CT246" i="1"/>
  <c r="CT25" i="1"/>
  <c r="AB167" i="1"/>
  <c r="AB171" i="1" s="1"/>
  <c r="CP171" i="1"/>
  <c r="CU113" i="1"/>
  <c r="CU114" i="1" s="1"/>
  <c r="CU27" i="1" l="1"/>
  <c r="CT26" i="1"/>
  <c r="CV26" i="1"/>
  <c r="CV27" i="1"/>
  <c r="CU26" i="1"/>
  <c r="CT27" i="1"/>
  <c r="CU159" i="1"/>
  <c r="CU41" i="1"/>
  <c r="CU38" i="1" s="1"/>
  <c r="CU31" i="1"/>
  <c r="CU167" i="1"/>
  <c r="CU160" i="1"/>
  <c r="CU168" i="1"/>
  <c r="CU161" i="1"/>
  <c r="CQ212" i="1"/>
  <c r="CV159" i="1"/>
  <c r="CV31" i="1"/>
  <c r="CV33" i="1" s="1"/>
  <c r="CV167" i="1"/>
  <c r="CR212" i="1"/>
  <c r="CR172" i="1"/>
  <c r="CR247" i="1"/>
  <c r="CR248" i="1" s="1"/>
  <c r="CR44" i="1"/>
  <c r="CR49" i="1"/>
  <c r="CR45" i="1"/>
  <c r="CV161" i="1"/>
  <c r="CV160" i="1"/>
  <c r="CV41" i="1"/>
  <c r="CV38" i="1" s="1"/>
  <c r="CV168" i="1"/>
  <c r="CQ49" i="1"/>
  <c r="CQ44" i="1"/>
  <c r="CQ45" i="1"/>
  <c r="CR46" i="1"/>
  <c r="CR265" i="1"/>
  <c r="CR266" i="1" s="1"/>
  <c r="CQ247" i="1"/>
  <c r="CQ248" i="1" s="1"/>
  <c r="CR211" i="1"/>
  <c r="CQ172" i="1"/>
  <c r="AB33" i="1"/>
  <c r="CP127" i="1"/>
  <c r="CP265" i="1"/>
  <c r="CP266" i="1" s="1"/>
  <c r="CQ265" i="1"/>
  <c r="CQ266" i="1" s="1"/>
  <c r="CS171" i="1"/>
  <c r="CS212" i="1" s="1"/>
  <c r="CV240" i="1"/>
  <c r="CP212" i="1"/>
  <c r="CP247" i="1"/>
  <c r="CP248" i="1" s="1"/>
  <c r="CP45" i="1"/>
  <c r="CP46" i="1"/>
  <c r="CP44" i="1"/>
  <c r="CP49" i="1"/>
  <c r="CT240" i="1"/>
  <c r="CP241" i="1"/>
  <c r="CU240" i="1"/>
  <c r="CR241" i="1"/>
  <c r="CQ241" i="1"/>
  <c r="CS43" i="1"/>
  <c r="CS265" i="1" s="1"/>
  <c r="CS266" i="1" s="1"/>
  <c r="CS33" i="1"/>
  <c r="CS34" i="1"/>
  <c r="AC25" i="1"/>
  <c r="CO213" i="1"/>
  <c r="CW246" i="1"/>
  <c r="CW25" i="1"/>
  <c r="CW27" i="1" s="1"/>
  <c r="CQ127" i="1"/>
  <c r="CW113" i="1"/>
  <c r="CW114" i="1" s="1"/>
  <c r="CS163" i="1"/>
  <c r="CT159" i="1"/>
  <c r="CT168" i="1"/>
  <c r="AC168" i="1" s="1"/>
  <c r="AC198" i="1" s="1"/>
  <c r="CT31" i="1"/>
  <c r="CT30" i="1" s="1"/>
  <c r="AC30" i="1" s="1"/>
  <c r="CT160" i="1"/>
  <c r="AC160" i="1" s="1"/>
  <c r="AC195" i="1" s="1"/>
  <c r="CT167" i="1"/>
  <c r="CT41" i="1"/>
  <c r="CT38" i="1" s="1"/>
  <c r="CT161" i="1"/>
  <c r="AC161" i="1" s="1"/>
  <c r="AB74" i="1"/>
  <c r="AB32" i="1"/>
  <c r="AB43" i="1"/>
  <c r="AB265" i="1" s="1"/>
  <c r="AB266" i="1" s="1"/>
  <c r="CQ46" i="1"/>
  <c r="CQ211" i="1"/>
  <c r="CP172" i="1"/>
  <c r="CP211" i="1"/>
  <c r="AB200" i="1"/>
  <c r="AB199" i="1" s="1"/>
  <c r="AB212" i="1"/>
  <c r="CR127" i="1"/>
  <c r="AB163" i="1"/>
  <c r="AB194" i="1"/>
  <c r="CW26" i="1" l="1"/>
  <c r="CU171" i="1"/>
  <c r="CU163" i="1"/>
  <c r="CY268" i="1"/>
  <c r="CY25" i="1"/>
  <c r="CY246" i="1"/>
  <c r="CU30" i="1"/>
  <c r="CU43" i="1"/>
  <c r="CU33" i="1"/>
  <c r="CW240" i="1"/>
  <c r="DA268" i="1"/>
  <c r="CQ213" i="1"/>
  <c r="AC38" i="1"/>
  <c r="AC41" i="1" s="1"/>
  <c r="AC42" i="1" s="1"/>
  <c r="CV163" i="1"/>
  <c r="CV30" i="1"/>
  <c r="CV34" i="1"/>
  <c r="CV171" i="1"/>
  <c r="CV43" i="1"/>
  <c r="CZ268" i="1"/>
  <c r="CZ246" i="1"/>
  <c r="CZ25" i="1"/>
  <c r="CR213" i="1"/>
  <c r="CX113" i="1"/>
  <c r="CX114" i="1" s="1"/>
  <c r="CX268" i="1"/>
  <c r="CP213" i="1"/>
  <c r="AC113" i="1"/>
  <c r="AC203" i="1"/>
  <c r="AB45" i="1"/>
  <c r="CT163" i="1"/>
  <c r="CT211" i="1" s="1"/>
  <c r="AC159" i="1"/>
  <c r="CS172" i="1"/>
  <c r="CS211" i="1"/>
  <c r="CS213" i="1" s="1"/>
  <c r="CY113" i="1"/>
  <c r="CY114" i="1" s="1"/>
  <c r="CS46" i="1"/>
  <c r="CS44" i="1"/>
  <c r="CS49" i="1"/>
  <c r="CS247" i="1"/>
  <c r="CS248" i="1" s="1"/>
  <c r="CS45" i="1"/>
  <c r="AB172" i="1"/>
  <c r="AB197" i="1"/>
  <c r="AB211" i="1"/>
  <c r="AB213" i="1" s="1"/>
  <c r="AB75" i="1"/>
  <c r="AB49" i="1"/>
  <c r="AB127" i="1"/>
  <c r="AB44" i="1"/>
  <c r="CW31" i="1"/>
  <c r="CW30" i="1" s="1"/>
  <c r="CW167" i="1"/>
  <c r="CW159" i="1"/>
  <c r="CW161" i="1"/>
  <c r="CW160" i="1"/>
  <c r="CW168" i="1"/>
  <c r="CW41" i="1"/>
  <c r="CW38" i="1" s="1"/>
  <c r="CT171" i="1"/>
  <c r="AC167" i="1"/>
  <c r="AC171" i="1" s="1"/>
  <c r="CS127" i="1"/>
  <c r="CK260" i="1"/>
  <c r="CK242" i="1"/>
  <c r="CK249" i="1"/>
  <c r="CS241" i="1"/>
  <c r="CT34" i="1"/>
  <c r="CT33" i="1"/>
  <c r="CT43" i="1"/>
  <c r="AC26" i="1"/>
  <c r="AC31" i="1"/>
  <c r="AC73" i="1"/>
  <c r="CX246" i="1"/>
  <c r="CX25" i="1"/>
  <c r="CZ113" i="1"/>
  <c r="CZ114" i="1" s="1"/>
  <c r="CU34" i="1"/>
  <c r="AD23" i="1"/>
  <c r="AD268" i="1" s="1"/>
  <c r="CY27" i="1" l="1"/>
  <c r="CX26" i="1"/>
  <c r="CZ168" i="1"/>
  <c r="CZ26" i="1"/>
  <c r="CZ27" i="1"/>
  <c r="CY26" i="1"/>
  <c r="CX27" i="1"/>
  <c r="CV211" i="1"/>
  <c r="CU172" i="1"/>
  <c r="CY168" i="1"/>
  <c r="CY161" i="1"/>
  <c r="CY159" i="1"/>
  <c r="CY160" i="1"/>
  <c r="CY167" i="1"/>
  <c r="CY41" i="1"/>
  <c r="CY38" i="1" s="1"/>
  <c r="CY31" i="1"/>
  <c r="CY30" i="1" s="1"/>
  <c r="CU49" i="1"/>
  <c r="CU45" i="1"/>
  <c r="CU247" i="1"/>
  <c r="CU248" i="1" s="1"/>
  <c r="CU44" i="1"/>
  <c r="CZ240" i="1"/>
  <c r="CV265" i="1"/>
  <c r="CV266" i="1" s="1"/>
  <c r="CV49" i="1"/>
  <c r="CV247" i="1"/>
  <c r="CV248" i="1" s="1"/>
  <c r="CV44" i="1"/>
  <c r="CV46" i="1"/>
  <c r="CV45" i="1"/>
  <c r="CZ41" i="1"/>
  <c r="CZ38" i="1" s="1"/>
  <c r="CZ159" i="1"/>
  <c r="CZ167" i="1"/>
  <c r="CZ171" i="1" s="1"/>
  <c r="CZ161" i="1"/>
  <c r="CZ160" i="1"/>
  <c r="CZ31" i="1"/>
  <c r="CV172" i="1"/>
  <c r="CV212" i="1"/>
  <c r="AC33" i="1"/>
  <c r="CU127" i="1"/>
  <c r="CT265" i="1"/>
  <c r="CT266" i="1" s="1"/>
  <c r="CU265" i="1"/>
  <c r="CU266" i="1" s="1"/>
  <c r="CW171" i="1"/>
  <c r="CW212" i="1" s="1"/>
  <c r="CX240" i="1"/>
  <c r="CY240" i="1"/>
  <c r="CU212" i="1"/>
  <c r="CT212" i="1"/>
  <c r="CT213" i="1" s="1"/>
  <c r="CK208" i="1"/>
  <c r="CK210" i="1" s="1"/>
  <c r="CK214" i="1" s="1"/>
  <c r="CK228" i="1" s="1"/>
  <c r="CK134" i="1"/>
  <c r="CV241" i="1"/>
  <c r="AC43" i="1"/>
  <c r="AC265" i="1" s="1"/>
  <c r="AC266" i="1" s="1"/>
  <c r="AC74" i="1"/>
  <c r="AC32" i="1"/>
  <c r="CW163" i="1"/>
  <c r="CT241" i="1"/>
  <c r="AC194" i="1"/>
  <c r="AC163" i="1"/>
  <c r="DA246" i="1"/>
  <c r="DA25" i="1"/>
  <c r="CT172" i="1"/>
  <c r="CU211" i="1"/>
  <c r="CX159" i="1"/>
  <c r="CX160" i="1"/>
  <c r="AD160" i="1" s="1"/>
  <c r="AD195" i="1" s="1"/>
  <c r="CX31" i="1"/>
  <c r="CX168" i="1"/>
  <c r="AD168" i="1" s="1"/>
  <c r="AD198" i="1" s="1"/>
  <c r="CX167" i="1"/>
  <c r="CX41" i="1"/>
  <c r="CX38" i="1" s="1"/>
  <c r="CX161" i="1"/>
  <c r="AD161" i="1" s="1"/>
  <c r="CT49" i="1"/>
  <c r="CT45" i="1"/>
  <c r="CT44" i="1"/>
  <c r="CT247" i="1"/>
  <c r="CT248" i="1" s="1"/>
  <c r="CT46" i="1"/>
  <c r="CW34" i="1"/>
  <c r="CW33" i="1"/>
  <c r="CW43" i="1"/>
  <c r="CU241" i="1"/>
  <c r="CU46" i="1"/>
  <c r="AD25" i="1"/>
  <c r="DA113" i="1"/>
  <c r="DA114" i="1" s="1"/>
  <c r="AC200" i="1"/>
  <c r="AC199" i="1" s="1"/>
  <c r="AC212" i="1"/>
  <c r="AB196" i="1"/>
  <c r="AB201" i="1"/>
  <c r="AB204" i="1" s="1"/>
  <c r="AB205" i="1" s="1"/>
  <c r="CT127" i="1"/>
  <c r="CV127" i="1"/>
  <c r="CY171" i="1" l="1"/>
  <c r="CZ212" i="1" s="1"/>
  <c r="DA240" i="1"/>
  <c r="DA26" i="1"/>
  <c r="DA27" i="1"/>
  <c r="CV213" i="1"/>
  <c r="CY163" i="1"/>
  <c r="CY172" i="1" s="1"/>
  <c r="CY43" i="1"/>
  <c r="CY247" i="1" s="1"/>
  <c r="CY248" i="1" s="1"/>
  <c r="CY33" i="1"/>
  <c r="CY34" i="1"/>
  <c r="AD38" i="1"/>
  <c r="AD41" i="1" s="1"/>
  <c r="AD42" i="1" s="1"/>
  <c r="CZ163" i="1"/>
  <c r="CZ30" i="1"/>
  <c r="CZ33" i="1"/>
  <c r="CZ43" i="1"/>
  <c r="CZ34" i="1"/>
  <c r="CW241" i="1"/>
  <c r="CW265" i="1"/>
  <c r="CW266" i="1" s="1"/>
  <c r="DB113" i="1"/>
  <c r="DB114" i="1" s="1"/>
  <c r="DB268" i="1"/>
  <c r="AD113" i="1"/>
  <c r="AD203" i="1"/>
  <c r="CU213" i="1"/>
  <c r="AC45" i="1"/>
  <c r="AD167" i="1"/>
  <c r="AD171" i="1" s="1"/>
  <c r="CX171" i="1"/>
  <c r="DA167" i="1"/>
  <c r="DA168" i="1"/>
  <c r="DA160" i="1"/>
  <c r="DA31" i="1"/>
  <c r="DA159" i="1"/>
  <c r="DA41" i="1"/>
  <c r="DA38" i="1" s="1"/>
  <c r="DA161" i="1"/>
  <c r="CK135" i="1"/>
  <c r="CL222" i="1" s="1"/>
  <c r="CL220" i="1" s="1"/>
  <c r="CX34" i="1"/>
  <c r="CX43" i="1"/>
  <c r="CX33" i="1"/>
  <c r="AC197" i="1"/>
  <c r="AC172" i="1"/>
  <c r="AC211" i="1"/>
  <c r="AC213" i="1" s="1"/>
  <c r="AC49" i="1"/>
  <c r="AC75" i="1"/>
  <c r="AC44" i="1"/>
  <c r="AC127" i="1"/>
  <c r="DB25" i="1"/>
  <c r="DB27" i="1" s="1"/>
  <c r="DB246" i="1"/>
  <c r="CW172" i="1"/>
  <c r="CW211" i="1"/>
  <c r="CW213" i="1" s="1"/>
  <c r="AD159" i="1"/>
  <c r="CX163" i="1"/>
  <c r="AD73" i="1"/>
  <c r="AD26" i="1"/>
  <c r="CW49" i="1"/>
  <c r="CW45" i="1"/>
  <c r="CW247" i="1"/>
  <c r="CW248" i="1" s="1"/>
  <c r="CW46" i="1"/>
  <c r="CW44" i="1"/>
  <c r="CW127" i="1"/>
  <c r="CX30" i="1"/>
  <c r="AD30" i="1" s="1"/>
  <c r="AD31" i="1" s="1"/>
  <c r="AE23" i="1"/>
  <c r="AE268" i="1" s="1"/>
  <c r="CY44" i="1" l="1"/>
  <c r="CY45" i="1"/>
  <c r="CY265" i="1"/>
  <c r="CY266" i="1" s="1"/>
  <c r="CY49" i="1"/>
  <c r="DB240" i="1"/>
  <c r="DB26" i="1"/>
  <c r="CK69" i="1"/>
  <c r="CK107" i="1"/>
  <c r="CZ211" i="1"/>
  <c r="CZ213" i="1" s="1"/>
  <c r="CZ172" i="1"/>
  <c r="CZ265" i="1"/>
  <c r="CZ266" i="1" s="1"/>
  <c r="CZ44" i="1"/>
  <c r="CZ247" i="1"/>
  <c r="CZ248" i="1" s="1"/>
  <c r="CZ46" i="1"/>
  <c r="CZ49" i="1"/>
  <c r="CZ45" i="1"/>
  <c r="AD33" i="1"/>
  <c r="CZ127" i="1"/>
  <c r="CX265" i="1"/>
  <c r="CX266" i="1" s="1"/>
  <c r="CY241" i="1"/>
  <c r="CY46" i="1"/>
  <c r="CZ241" i="1"/>
  <c r="CX241" i="1"/>
  <c r="CY127" i="1"/>
  <c r="CX127" i="1"/>
  <c r="DA163" i="1"/>
  <c r="DA211" i="1" s="1"/>
  <c r="AD32" i="1"/>
  <c r="AD74" i="1"/>
  <c r="AD43" i="1"/>
  <c r="AD265" i="1" s="1"/>
  <c r="AD266" i="1" s="1"/>
  <c r="CY211" i="1"/>
  <c r="CX172" i="1"/>
  <c r="CY212" i="1"/>
  <c r="CX212" i="1"/>
  <c r="AD200" i="1"/>
  <c r="AD199" i="1" s="1"/>
  <c r="AD212" i="1"/>
  <c r="CG104" i="1"/>
  <c r="DA34" i="1"/>
  <c r="DA33" i="1"/>
  <c r="DA43" i="1"/>
  <c r="DA265" i="1" s="1"/>
  <c r="DA266" i="1" s="1"/>
  <c r="CX211" i="1"/>
  <c r="CX49" i="1"/>
  <c r="CX45" i="1"/>
  <c r="CX44" i="1"/>
  <c r="CX247" i="1"/>
  <c r="CX248" i="1" s="1"/>
  <c r="CX46" i="1"/>
  <c r="AD194" i="1"/>
  <c r="AD163" i="1"/>
  <c r="CK222" i="1"/>
  <c r="CK220" i="1" s="1"/>
  <c r="CK225" i="1" s="1"/>
  <c r="CK144" i="1"/>
  <c r="CK70" i="1" s="1"/>
  <c r="AC196" i="1"/>
  <c r="AC201" i="1"/>
  <c r="AC204" i="1" s="1"/>
  <c r="AC205" i="1" s="1"/>
  <c r="DA30" i="1"/>
  <c r="DB160" i="1"/>
  <c r="AE160" i="1" s="1"/>
  <c r="AE195" i="1" s="1"/>
  <c r="DB31" i="1"/>
  <c r="DB30" i="1" s="1"/>
  <c r="DB159" i="1"/>
  <c r="DB41" i="1"/>
  <c r="DB38" i="1" s="1"/>
  <c r="DB168" i="1"/>
  <c r="AE168" i="1" s="1"/>
  <c r="AE198" i="1" s="1"/>
  <c r="DB161" i="1"/>
  <c r="AE161" i="1" s="1"/>
  <c r="DB167" i="1"/>
  <c r="AE25" i="1"/>
  <c r="DA171" i="1"/>
  <c r="CK111" i="1" l="1"/>
  <c r="CK110" i="1"/>
  <c r="CK109" i="1"/>
  <c r="AE38" i="1"/>
  <c r="AE41" i="1" s="1"/>
  <c r="AE42" i="1" s="1"/>
  <c r="AE113" i="1"/>
  <c r="AE203" i="1"/>
  <c r="AD45" i="1"/>
  <c r="DA172" i="1"/>
  <c r="CK175" i="1"/>
  <c r="CK176" i="1" s="1"/>
  <c r="CL224" i="1" s="1"/>
  <c r="CL225" i="1" s="1"/>
  <c r="CL226" i="1" s="1"/>
  <c r="DB34" i="1"/>
  <c r="DB43" i="1"/>
  <c r="DB265" i="1" s="1"/>
  <c r="DB266" i="1" s="1"/>
  <c r="DB33" i="1"/>
  <c r="CX213" i="1"/>
  <c r="CY213" i="1"/>
  <c r="AD172" i="1"/>
  <c r="AD197" i="1"/>
  <c r="AD211" i="1"/>
  <c r="AD213" i="1" s="1"/>
  <c r="DB163" i="1"/>
  <c r="AE159" i="1"/>
  <c r="DA49" i="1"/>
  <c r="DA44" i="1"/>
  <c r="DA45" i="1"/>
  <c r="DA46" i="1"/>
  <c r="DA247" i="1"/>
  <c r="DA248" i="1" s="1"/>
  <c r="AD49" i="1"/>
  <c r="AD44" i="1"/>
  <c r="AD127" i="1"/>
  <c r="AD75" i="1"/>
  <c r="AE26" i="1"/>
  <c r="AE73" i="1"/>
  <c r="AE30" i="1"/>
  <c r="AE31" i="1" s="1"/>
  <c r="AE33" i="1" s="1"/>
  <c r="DA127" i="1"/>
  <c r="DA241" i="1"/>
  <c r="AE167" i="1"/>
  <c r="AE171" i="1" s="1"/>
  <c r="DB171" i="1"/>
  <c r="DB212" i="1" s="1"/>
  <c r="DA212" i="1"/>
  <c r="DA213" i="1" s="1"/>
  <c r="CK226" i="1" l="1"/>
  <c r="CK263" i="1"/>
  <c r="CK259" i="1"/>
  <c r="CK261" i="1"/>
  <c r="AE43" i="1"/>
  <c r="AE32" i="1"/>
  <c r="AE74" i="1"/>
  <c r="DB49" i="1"/>
  <c r="DB46" i="1"/>
  <c r="DB247" i="1"/>
  <c r="DB248" i="1" s="1"/>
  <c r="DB44" i="1"/>
  <c r="DB45" i="1"/>
  <c r="DB127" i="1"/>
  <c r="AD201" i="1"/>
  <c r="AD204" i="1" s="1"/>
  <c r="AD205" i="1" s="1"/>
  <c r="AD196" i="1"/>
  <c r="AE163" i="1"/>
  <c r="AE194" i="1"/>
  <c r="CK180" i="1"/>
  <c r="CK183" i="1"/>
  <c r="DB172" i="1"/>
  <c r="DB211" i="1"/>
  <c r="DB213" i="1" s="1"/>
  <c r="AE200" i="1"/>
  <c r="AE199" i="1" s="1"/>
  <c r="AE212" i="1"/>
  <c r="DB241" i="1"/>
  <c r="CK124" i="1" l="1"/>
  <c r="CL52" i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AE45" i="1"/>
  <c r="AE265" i="1"/>
  <c r="AE266" i="1" s="1"/>
  <c r="CK181" i="1"/>
  <c r="AE172" i="1"/>
  <c r="AE197" i="1"/>
  <c r="AE211" i="1"/>
  <c r="AE213" i="1" s="1"/>
  <c r="AE49" i="1"/>
  <c r="AE44" i="1"/>
  <c r="AE75" i="1"/>
  <c r="AE127" i="1"/>
  <c r="CK126" i="1" l="1"/>
  <c r="CK129" i="1" s="1"/>
  <c r="CK125" i="1"/>
  <c r="CK128" i="1" s="1"/>
  <c r="AE201" i="1"/>
  <c r="AE204" i="1" s="1"/>
  <c r="AE205" i="1" s="1"/>
  <c r="AE196" i="1"/>
  <c r="CM102" i="1" l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H104" i="1"/>
  <c r="CM101" i="1" l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M224" i="1" l="1"/>
  <c r="AB224" i="1"/>
  <c r="CM51" i="1" l="1"/>
  <c r="CM267" i="1" s="1"/>
  <c r="CM53" i="1" l="1"/>
  <c r="CM54" i="1" l="1"/>
  <c r="CM56" i="1" l="1"/>
  <c r="CM58" i="1" l="1"/>
  <c r="CM59" i="1"/>
  <c r="CM249" i="1"/>
  <c r="CM63" i="1"/>
  <c r="CM57" i="1"/>
  <c r="CM260" i="1" s="1"/>
  <c r="CM242" i="1"/>
  <c r="CM208" i="1" l="1"/>
  <c r="CM210" i="1" s="1"/>
  <c r="CM214" i="1" s="1"/>
  <c r="CM228" i="1" s="1"/>
  <c r="CM81" i="1"/>
  <c r="CM134" i="1"/>
  <c r="CM135" i="1" l="1"/>
  <c r="CM84" i="1"/>
  <c r="CM85" i="1" l="1"/>
  <c r="CM93" i="1"/>
  <c r="CI104" i="1"/>
  <c r="CM94" i="1"/>
  <c r="CM144" i="1"/>
  <c r="CM70" i="1" s="1"/>
  <c r="CM107" i="1"/>
  <c r="CM222" i="1"/>
  <c r="CM220" i="1" s="1"/>
  <c r="CM225" i="1" s="1"/>
  <c r="CM69" i="1"/>
  <c r="CM175" i="1" l="1"/>
  <c r="CM176" i="1" s="1"/>
  <c r="CM123" i="1"/>
  <c r="CM122" i="1"/>
  <c r="CM226" i="1" l="1"/>
  <c r="CM263" i="1"/>
  <c r="CM261" i="1"/>
  <c r="CM259" i="1"/>
  <c r="CN224" i="1"/>
  <c r="CM180" i="1"/>
  <c r="CM183" i="1"/>
  <c r="CM181" i="1" l="1"/>
  <c r="CN51" i="1"/>
  <c r="CN267" i="1" s="1"/>
  <c r="CM124" i="1"/>
  <c r="CM125" i="1" l="1"/>
  <c r="CM128" i="1" s="1"/>
  <c r="CM126" i="1"/>
  <c r="CM129" i="1" s="1"/>
  <c r="CN53" i="1"/>
  <c r="CN54" i="1" l="1"/>
  <c r="CN56" i="1" s="1"/>
  <c r="CN58" i="1" l="1"/>
  <c r="CN59" i="1"/>
  <c r="CN63" i="1"/>
  <c r="CN249" i="1"/>
  <c r="CN57" i="1"/>
  <c r="CN260" i="1" s="1"/>
  <c r="CN242" i="1"/>
  <c r="CN81" i="1" l="1"/>
  <c r="CN208" i="1"/>
  <c r="CN210" i="1" s="1"/>
  <c r="CN214" i="1" s="1"/>
  <c r="CN228" i="1" s="1"/>
  <c r="CN134" i="1"/>
  <c r="CN84" i="1" l="1"/>
  <c r="CN135" i="1"/>
  <c r="CN85" i="1" l="1"/>
  <c r="CN144" i="1"/>
  <c r="CN70" i="1" s="1"/>
  <c r="CN222" i="1"/>
  <c r="CN220" i="1" s="1"/>
  <c r="CN225" i="1" s="1"/>
  <c r="CN107" i="1"/>
  <c r="CN69" i="1"/>
  <c r="CN93" i="1"/>
  <c r="CN94" i="1"/>
  <c r="CJ104" i="1"/>
  <c r="CN122" i="1" l="1"/>
  <c r="CN175" i="1"/>
  <c r="CN176" i="1" s="1"/>
  <c r="CN123" i="1"/>
  <c r="CN226" i="1" l="1"/>
  <c r="CN263" i="1"/>
  <c r="CN261" i="1"/>
  <c r="CN259" i="1"/>
  <c r="CN180" i="1"/>
  <c r="CN183" i="1"/>
  <c r="CO224" i="1"/>
  <c r="CN181" i="1" l="1"/>
  <c r="CO51" i="1"/>
  <c r="CO267" i="1" s="1"/>
  <c r="CN124" i="1"/>
  <c r="CO53" i="1" l="1"/>
  <c r="CN126" i="1"/>
  <c r="CN129" i="1" s="1"/>
  <c r="CN125" i="1"/>
  <c r="CN128" i="1" s="1"/>
  <c r="CO54" i="1" l="1"/>
  <c r="CO56" i="1" l="1"/>
  <c r="CO57" i="1" l="1"/>
  <c r="CO260" i="1" s="1"/>
  <c r="CO59" i="1"/>
  <c r="CO58" i="1"/>
  <c r="CO249" i="1"/>
  <c r="CO63" i="1"/>
  <c r="CO242" i="1"/>
  <c r="CO81" i="1" l="1"/>
  <c r="CO208" i="1"/>
  <c r="CO210" i="1" s="1"/>
  <c r="CO214" i="1" s="1"/>
  <c r="CO228" i="1" s="1"/>
  <c r="CO134" i="1"/>
  <c r="CO135" i="1" l="1"/>
  <c r="CO84" i="1"/>
  <c r="CK104" i="1" s="1"/>
  <c r="CO85" i="1" l="1"/>
  <c r="CO94" i="1"/>
  <c r="CO93" i="1"/>
  <c r="CO107" i="1"/>
  <c r="CO222" i="1"/>
  <c r="CO220" i="1" s="1"/>
  <c r="CO225" i="1" s="1"/>
  <c r="CO144" i="1"/>
  <c r="CO70" i="1" s="1"/>
  <c r="CO69" i="1"/>
  <c r="CO175" i="1" l="1"/>
  <c r="CO176" i="1" s="1"/>
  <c r="CO122" i="1"/>
  <c r="CO123" i="1"/>
  <c r="CO226" i="1" l="1"/>
  <c r="CO261" i="1"/>
  <c r="CO259" i="1"/>
  <c r="CO263" i="1"/>
  <c r="CO180" i="1"/>
  <c r="CO183" i="1"/>
  <c r="CP224" i="1"/>
  <c r="CP51" i="1" l="1"/>
  <c r="CP267" i="1" s="1"/>
  <c r="CO124" i="1"/>
  <c r="CO181" i="1"/>
  <c r="CO126" i="1" l="1"/>
  <c r="CO129" i="1" s="1"/>
  <c r="CO125" i="1"/>
  <c r="CO128" i="1" s="1"/>
  <c r="CP53" i="1"/>
  <c r="AB51" i="1"/>
  <c r="AB52" i="1" l="1"/>
  <c r="AB267" i="1"/>
  <c r="AB53" i="1"/>
  <c r="CP54" i="1"/>
  <c r="AB54" i="1" s="1"/>
  <c r="AB55" i="1" l="1"/>
  <c r="CP56" i="1"/>
  <c r="CP57" i="1" s="1"/>
  <c r="CP260" i="1" s="1"/>
  <c r="AB56" i="1"/>
  <c r="CP58" i="1" l="1"/>
  <c r="CP242" i="1"/>
  <c r="CP249" i="1"/>
  <c r="CP63" i="1"/>
  <c r="CP134" i="1" s="1"/>
  <c r="CP59" i="1"/>
  <c r="AB58" i="1"/>
  <c r="AB63" i="1"/>
  <c r="AB57" i="1"/>
  <c r="AB260" i="1" s="1"/>
  <c r="AB76" i="1"/>
  <c r="CP208" i="1" l="1"/>
  <c r="CP210" i="1" s="1"/>
  <c r="CP214" i="1" s="1"/>
  <c r="CP228" i="1" s="1"/>
  <c r="CP81" i="1"/>
  <c r="CP84" i="1" s="1"/>
  <c r="CL104" i="1" s="1"/>
  <c r="AB134" i="1"/>
  <c r="AB135" i="1" s="1"/>
  <c r="AB69" i="1" s="1"/>
  <c r="CP135" i="1"/>
  <c r="AB66" i="1"/>
  <c r="AB67" i="1" s="1"/>
  <c r="AB208" i="1"/>
  <c r="AB210" i="1" s="1"/>
  <c r="AB214" i="1" s="1"/>
  <c r="AB228" i="1" s="1"/>
  <c r="CP85" i="1" l="1"/>
  <c r="AB144" i="1"/>
  <c r="AB70" i="1" s="1"/>
  <c r="AB190" i="1"/>
  <c r="AB222" i="1"/>
  <c r="AB220" i="1" s="1"/>
  <c r="AB225" i="1" s="1"/>
  <c r="CP93" i="1"/>
  <c r="CP94" i="1"/>
  <c r="CP222" i="1"/>
  <c r="CP220" i="1" s="1"/>
  <c r="CP225" i="1" s="1"/>
  <c r="CP144" i="1"/>
  <c r="CP70" i="1" s="1"/>
  <c r="CP107" i="1"/>
  <c r="CP69" i="1"/>
  <c r="CP175" i="1" l="1"/>
  <c r="CP122" i="1"/>
  <c r="AB93" i="1"/>
  <c r="CP123" i="1"/>
  <c r="AB94" i="1"/>
  <c r="CP176" i="1" l="1"/>
  <c r="AB175" i="1"/>
  <c r="AB176" i="1" s="1"/>
  <c r="AB263" i="1" l="1"/>
  <c r="AB261" i="1"/>
  <c r="AB259" i="1"/>
  <c r="CP261" i="1"/>
  <c r="CP259" i="1"/>
  <c r="CP263" i="1"/>
  <c r="CP180" i="1"/>
  <c r="CQ224" i="1"/>
  <c r="CP183" i="1"/>
  <c r="CP226" i="1"/>
  <c r="AB183" i="1"/>
  <c r="AB124" i="1" s="1"/>
  <c r="AB180" i="1"/>
  <c r="AC224" i="1"/>
  <c r="AB226" i="1"/>
  <c r="AB181" i="1" l="1"/>
  <c r="CP124" i="1"/>
  <c r="CQ51" i="1"/>
  <c r="CQ267" i="1" s="1"/>
  <c r="CP181" i="1"/>
  <c r="CQ53" i="1" l="1"/>
  <c r="CP125" i="1"/>
  <c r="CP128" i="1" s="1"/>
  <c r="CP126" i="1"/>
  <c r="CP129" i="1" s="1"/>
  <c r="CQ54" i="1" l="1"/>
  <c r="CQ56" i="1" s="1"/>
  <c r="CQ63" i="1" l="1"/>
  <c r="CQ57" i="1"/>
  <c r="CQ260" i="1" s="1"/>
  <c r="CQ58" i="1"/>
  <c r="CQ59" i="1"/>
  <c r="CQ249" i="1"/>
  <c r="CQ242" i="1"/>
  <c r="CQ81" i="1" l="1"/>
  <c r="CQ208" i="1"/>
  <c r="CQ210" i="1" s="1"/>
  <c r="CQ214" i="1" s="1"/>
  <c r="CQ228" i="1" s="1"/>
  <c r="CQ134" i="1"/>
  <c r="CQ135" i="1" l="1"/>
  <c r="CQ84" i="1"/>
  <c r="CQ85" i="1" l="1"/>
  <c r="CQ94" i="1"/>
  <c r="CQ93" i="1"/>
  <c r="CQ144" i="1"/>
  <c r="CQ70" i="1" s="1"/>
  <c r="CQ222" i="1"/>
  <c r="CQ220" i="1" s="1"/>
  <c r="CQ225" i="1" s="1"/>
  <c r="CQ107" i="1"/>
  <c r="CQ69" i="1"/>
  <c r="CQ175" i="1" l="1"/>
  <c r="CQ176" i="1" s="1"/>
  <c r="CQ226" i="1" s="1"/>
  <c r="CQ122" i="1"/>
  <c r="CQ123" i="1"/>
  <c r="CQ263" i="1" l="1"/>
  <c r="CQ261" i="1"/>
  <c r="CQ259" i="1"/>
  <c r="CQ183" i="1"/>
  <c r="CR224" i="1"/>
  <c r="CQ180" i="1"/>
  <c r="CQ181" i="1" l="1"/>
  <c r="CQ124" i="1"/>
  <c r="CR51" i="1"/>
  <c r="CR267" i="1" s="1"/>
  <c r="CR53" i="1" l="1"/>
  <c r="CQ125" i="1"/>
  <c r="CQ128" i="1" s="1"/>
  <c r="CQ126" i="1"/>
  <c r="CQ129" i="1" s="1"/>
  <c r="CR54" i="1" l="1"/>
  <c r="CR56" i="1" s="1"/>
  <c r="CR249" i="1" l="1"/>
  <c r="CR57" i="1"/>
  <c r="CR260" i="1" s="1"/>
  <c r="CR63" i="1"/>
  <c r="CR58" i="1"/>
  <c r="CR59" i="1"/>
  <c r="CR242" i="1"/>
  <c r="CR81" i="1" l="1"/>
  <c r="CR208" i="1"/>
  <c r="CR210" i="1" s="1"/>
  <c r="CR214" i="1" s="1"/>
  <c r="CR228" i="1" s="1"/>
  <c r="CR134" i="1"/>
  <c r="CR135" i="1" l="1"/>
  <c r="CR84" i="1"/>
  <c r="CR85" i="1" l="1"/>
  <c r="CR93" i="1"/>
  <c r="CR94" i="1"/>
  <c r="CR144" i="1"/>
  <c r="CR70" i="1" s="1"/>
  <c r="CR222" i="1"/>
  <c r="CR220" i="1" s="1"/>
  <c r="CR225" i="1" s="1"/>
  <c r="CR107" i="1"/>
  <c r="CR69" i="1"/>
  <c r="CR175" i="1" l="1"/>
  <c r="CR176" i="1" s="1"/>
  <c r="CR123" i="1"/>
  <c r="CR122" i="1"/>
  <c r="CR263" i="1" l="1"/>
  <c r="CR261" i="1"/>
  <c r="CR259" i="1"/>
  <c r="CS224" i="1"/>
  <c r="CR183" i="1"/>
  <c r="CR180" i="1"/>
  <c r="CR226" i="1"/>
  <c r="CR181" i="1" l="1"/>
  <c r="CR124" i="1"/>
  <c r="CS51" i="1"/>
  <c r="CS267" i="1" s="1"/>
  <c r="CS53" i="1" l="1"/>
  <c r="CR125" i="1"/>
  <c r="CR128" i="1" s="1"/>
  <c r="CR126" i="1"/>
  <c r="CR129" i="1" s="1"/>
  <c r="CS54" i="1" l="1"/>
  <c r="CS56" i="1" l="1"/>
  <c r="CS63" i="1" l="1"/>
  <c r="CS59" i="1"/>
  <c r="CS249" i="1"/>
  <c r="CS58" i="1"/>
  <c r="CS57" i="1"/>
  <c r="CS260" i="1" s="1"/>
  <c r="CS242" i="1"/>
  <c r="CS81" i="1" l="1"/>
  <c r="CS208" i="1"/>
  <c r="CS210" i="1" s="1"/>
  <c r="CS214" i="1" s="1"/>
  <c r="CS228" i="1" s="1"/>
  <c r="CS134" i="1"/>
  <c r="CS135" i="1" l="1"/>
  <c r="CS84" i="1"/>
  <c r="CS85" i="1" l="1"/>
  <c r="CS93" i="1"/>
  <c r="CS94" i="1"/>
  <c r="CS144" i="1"/>
  <c r="CS70" i="1" s="1"/>
  <c r="CS107" i="1"/>
  <c r="CS222" i="1"/>
  <c r="CS220" i="1" s="1"/>
  <c r="CS225" i="1" s="1"/>
  <c r="CS69" i="1"/>
  <c r="CS175" i="1" l="1"/>
  <c r="CS176" i="1" s="1"/>
  <c r="CS123" i="1"/>
  <c r="CS122" i="1"/>
  <c r="CS261" i="1" l="1"/>
  <c r="CS263" i="1"/>
  <c r="CS259" i="1"/>
  <c r="CT224" i="1"/>
  <c r="CS180" i="1"/>
  <c r="CS183" i="1"/>
  <c r="CS226" i="1"/>
  <c r="CT51" i="1" l="1"/>
  <c r="CT267" i="1" s="1"/>
  <c r="CS124" i="1"/>
  <c r="CS181" i="1"/>
  <c r="CS126" i="1" l="1"/>
  <c r="CS129" i="1" s="1"/>
  <c r="CS125" i="1"/>
  <c r="CS128" i="1" s="1"/>
  <c r="CT53" i="1"/>
  <c r="AC51" i="1"/>
  <c r="AC52" i="1" l="1"/>
  <c r="AC267" i="1"/>
  <c r="AC53" i="1"/>
  <c r="CT54" i="1"/>
  <c r="AC54" i="1" s="1"/>
  <c r="AC55" i="1" l="1"/>
  <c r="CT56" i="1"/>
  <c r="CT59" i="1" s="1"/>
  <c r="AC56" i="1"/>
  <c r="CT58" i="1" l="1"/>
  <c r="CT63" i="1"/>
  <c r="CT249" i="1"/>
  <c r="CT242" i="1"/>
  <c r="CT57" i="1"/>
  <c r="CT260" i="1" s="1"/>
  <c r="AC58" i="1"/>
  <c r="AC57" i="1"/>
  <c r="AC260" i="1" s="1"/>
  <c r="AC76" i="1"/>
  <c r="AC63" i="1"/>
  <c r="CT134" i="1" l="1"/>
  <c r="CT81" i="1"/>
  <c r="CT84" i="1" s="1"/>
  <c r="CT208" i="1"/>
  <c r="CT210" i="1" s="1"/>
  <c r="CT214" i="1" s="1"/>
  <c r="CT228" i="1" s="1"/>
  <c r="AC66" i="1"/>
  <c r="AC67" i="1" s="1"/>
  <c r="AC208" i="1"/>
  <c r="AC210" i="1" s="1"/>
  <c r="AC214" i="1" s="1"/>
  <c r="AC228" i="1" s="1"/>
  <c r="CT135" i="1" l="1"/>
  <c r="AC134" i="1"/>
  <c r="AC135" i="1" s="1"/>
  <c r="AC144" i="1" s="1"/>
  <c r="AC70" i="1" s="1"/>
  <c r="CT85" i="1"/>
  <c r="CT93" i="1"/>
  <c r="CT94" i="1"/>
  <c r="CT144" i="1" l="1"/>
  <c r="CT70" i="1" s="1"/>
  <c r="CT107" i="1"/>
  <c r="CT222" i="1"/>
  <c r="CT220" i="1" s="1"/>
  <c r="CT225" i="1" s="1"/>
  <c r="CT175" i="1" s="1"/>
  <c r="CT69" i="1"/>
  <c r="AC69" i="1"/>
  <c r="AC222" i="1"/>
  <c r="AC220" i="1" s="1"/>
  <c r="AC225" i="1" s="1"/>
  <c r="AC190" i="1"/>
  <c r="CT122" i="1"/>
  <c r="AC93" i="1"/>
  <c r="CT123" i="1"/>
  <c r="AC94" i="1"/>
  <c r="CT176" i="1" l="1"/>
  <c r="AC175" i="1"/>
  <c r="AC176" i="1" s="1"/>
  <c r="CT261" i="1" l="1"/>
  <c r="CT263" i="1"/>
  <c r="CT259" i="1"/>
  <c r="AC263" i="1"/>
  <c r="AC261" i="1"/>
  <c r="AC259" i="1"/>
  <c r="CU224" i="1"/>
  <c r="CT180" i="1"/>
  <c r="CT183" i="1"/>
  <c r="CT226" i="1"/>
  <c r="AD224" i="1"/>
  <c r="AC183" i="1"/>
  <c r="AC124" i="1" s="1"/>
  <c r="AC180" i="1"/>
  <c r="AC226" i="1"/>
  <c r="AC181" i="1" l="1"/>
  <c r="CT181" i="1"/>
  <c r="CT124" i="1"/>
  <c r="CU51" i="1"/>
  <c r="CU267" i="1" s="1"/>
  <c r="CU53" i="1" l="1"/>
  <c r="CT125" i="1"/>
  <c r="CT128" i="1" s="1"/>
  <c r="CT126" i="1"/>
  <c r="CT129" i="1" s="1"/>
  <c r="CU54" i="1" l="1"/>
  <c r="CU56" i="1" s="1"/>
  <c r="CU57" i="1" l="1"/>
  <c r="CU260" i="1" s="1"/>
  <c r="CU58" i="1"/>
  <c r="CU59" i="1"/>
  <c r="CU63" i="1"/>
  <c r="CU249" i="1"/>
  <c r="CU242" i="1"/>
  <c r="CU208" i="1" l="1"/>
  <c r="CU210" i="1" s="1"/>
  <c r="CU214" i="1" s="1"/>
  <c r="CU228" i="1" s="1"/>
  <c r="CU81" i="1"/>
  <c r="CU134" i="1"/>
  <c r="CU135" i="1" l="1"/>
  <c r="CU84" i="1"/>
  <c r="CU85" i="1" l="1"/>
  <c r="CU94" i="1"/>
  <c r="CU93" i="1"/>
  <c r="CU144" i="1"/>
  <c r="CU70" i="1" s="1"/>
  <c r="CU222" i="1"/>
  <c r="CU220" i="1" s="1"/>
  <c r="CU225" i="1" s="1"/>
  <c r="CU107" i="1"/>
  <c r="CU69" i="1"/>
  <c r="CU175" i="1" l="1"/>
  <c r="CU176" i="1" s="1"/>
  <c r="CU122" i="1"/>
  <c r="CU123" i="1"/>
  <c r="CU263" i="1" l="1"/>
  <c r="CU259" i="1"/>
  <c r="CU261" i="1"/>
  <c r="CU180" i="1"/>
  <c r="CU183" i="1"/>
  <c r="CV224" i="1"/>
  <c r="CU226" i="1"/>
  <c r="CU181" i="1" l="1"/>
  <c r="CV51" i="1"/>
  <c r="CV267" i="1" s="1"/>
  <c r="CU124" i="1"/>
  <c r="CU125" i="1" l="1"/>
  <c r="CU128" i="1" s="1"/>
  <c r="CU126" i="1"/>
  <c r="CU129" i="1" s="1"/>
  <c r="CV53" i="1"/>
  <c r="CV54" i="1" l="1"/>
  <c r="CV56" i="1" l="1"/>
  <c r="CV63" i="1" l="1"/>
  <c r="CV249" i="1"/>
  <c r="CV57" i="1"/>
  <c r="CV260" i="1" s="1"/>
  <c r="CV59" i="1"/>
  <c r="CV58" i="1"/>
  <c r="CV242" i="1"/>
  <c r="CV208" i="1" l="1"/>
  <c r="CV210" i="1" s="1"/>
  <c r="CV214" i="1" s="1"/>
  <c r="CV228" i="1" s="1"/>
  <c r="CV81" i="1"/>
  <c r="CV134" i="1"/>
  <c r="CV135" i="1" l="1"/>
  <c r="CV84" i="1"/>
  <c r="CV85" i="1" l="1"/>
  <c r="CV93" i="1"/>
  <c r="CV94" i="1"/>
  <c r="CV107" i="1"/>
  <c r="CV144" i="1"/>
  <c r="CV70" i="1" s="1"/>
  <c r="CV222" i="1"/>
  <c r="CV220" i="1" s="1"/>
  <c r="CV225" i="1" s="1"/>
  <c r="CV69" i="1"/>
  <c r="CV175" i="1" l="1"/>
  <c r="CV176" i="1" s="1"/>
  <c r="CV123" i="1"/>
  <c r="CV122" i="1"/>
  <c r="CV261" i="1" l="1"/>
  <c r="CV259" i="1"/>
  <c r="CV263" i="1"/>
  <c r="CV183" i="1"/>
  <c r="CW224" i="1"/>
  <c r="CV180" i="1"/>
  <c r="CV226" i="1"/>
  <c r="CV181" i="1" l="1"/>
  <c r="CV124" i="1"/>
  <c r="CW51" i="1"/>
  <c r="CW267" i="1" s="1"/>
  <c r="CW53" i="1" l="1"/>
  <c r="CV126" i="1"/>
  <c r="CV129" i="1" s="1"/>
  <c r="CV125" i="1"/>
  <c r="CV128" i="1" s="1"/>
  <c r="CW54" i="1" l="1"/>
  <c r="CW56" i="1" l="1"/>
  <c r="CW57" i="1" l="1"/>
  <c r="CW260" i="1" s="1"/>
  <c r="CW59" i="1"/>
  <c r="CW63" i="1"/>
  <c r="CW58" i="1"/>
  <c r="CW249" i="1"/>
  <c r="CW242" i="1"/>
  <c r="CW208" i="1" l="1"/>
  <c r="CW210" i="1" s="1"/>
  <c r="CW214" i="1" s="1"/>
  <c r="CW228" i="1" s="1"/>
  <c r="CW81" i="1"/>
  <c r="CW134" i="1"/>
  <c r="CW135" i="1" l="1"/>
  <c r="CW84" i="1"/>
  <c r="CW85" i="1" l="1"/>
  <c r="CW94" i="1"/>
  <c r="CW93" i="1"/>
  <c r="CW222" i="1"/>
  <c r="CW220" i="1" s="1"/>
  <c r="CW225" i="1" s="1"/>
  <c r="CW144" i="1"/>
  <c r="CW70" i="1" s="1"/>
  <c r="CW107" i="1"/>
  <c r="CW69" i="1"/>
  <c r="CW175" i="1" l="1"/>
  <c r="CW176" i="1" s="1"/>
  <c r="CW122" i="1"/>
  <c r="CW123" i="1"/>
  <c r="CW261" i="1" l="1"/>
  <c r="CW259" i="1"/>
  <c r="CW263" i="1"/>
  <c r="CW180" i="1"/>
  <c r="CX224" i="1"/>
  <c r="CW183" i="1"/>
  <c r="CW226" i="1"/>
  <c r="CX51" i="1" l="1"/>
  <c r="CX267" i="1" s="1"/>
  <c r="CW124" i="1"/>
  <c r="CW181" i="1"/>
  <c r="CW125" i="1" l="1"/>
  <c r="CW128" i="1" s="1"/>
  <c r="CW126" i="1"/>
  <c r="CW129" i="1" s="1"/>
  <c r="CX53" i="1"/>
  <c r="AD51" i="1"/>
  <c r="AD52" i="1" l="1"/>
  <c r="AD267" i="1"/>
  <c r="AD53" i="1"/>
  <c r="CX54" i="1"/>
  <c r="AD54" i="1" s="1"/>
  <c r="AD55" i="1" l="1"/>
  <c r="CX56" i="1"/>
  <c r="CX242" i="1" s="1"/>
  <c r="AD56" i="1"/>
  <c r="CX59" i="1" l="1"/>
  <c r="CX249" i="1"/>
  <c r="CX63" i="1"/>
  <c r="CX57" i="1"/>
  <c r="CX260" i="1" s="1"/>
  <c r="CX58" i="1"/>
  <c r="AD58" i="1"/>
  <c r="AD76" i="1"/>
  <c r="AD63" i="1"/>
  <c r="AD57" i="1"/>
  <c r="AD260" i="1" s="1"/>
  <c r="CX81" i="1" l="1"/>
  <c r="CX84" i="1" s="1"/>
  <c r="CX208" i="1"/>
  <c r="CX210" i="1" s="1"/>
  <c r="CX214" i="1" s="1"/>
  <c r="CX228" i="1" s="1"/>
  <c r="CX134" i="1"/>
  <c r="AD66" i="1"/>
  <c r="AD67" i="1" s="1"/>
  <c r="AD208" i="1"/>
  <c r="AD210" i="1" s="1"/>
  <c r="AD214" i="1" s="1"/>
  <c r="AD228" i="1" s="1"/>
  <c r="AD134" i="1" l="1"/>
  <c r="AD135" i="1" s="1"/>
  <c r="CX135" i="1"/>
  <c r="CX222" i="1" s="1"/>
  <c r="CX220" i="1" s="1"/>
  <c r="CX225" i="1" s="1"/>
  <c r="CX85" i="1"/>
  <c r="CX93" i="1"/>
  <c r="CX94" i="1"/>
  <c r="AD190" i="1" l="1"/>
  <c r="AD144" i="1"/>
  <c r="AD70" i="1" s="1"/>
  <c r="AD69" i="1"/>
  <c r="AD222" i="1"/>
  <c r="AD220" i="1" s="1"/>
  <c r="AD225" i="1" s="1"/>
  <c r="CX144" i="1"/>
  <c r="CX70" i="1" s="1"/>
  <c r="CX107" i="1"/>
  <c r="CX69" i="1"/>
  <c r="CX175" i="1"/>
  <c r="CX123" i="1"/>
  <c r="AD94" i="1"/>
  <c r="CX122" i="1"/>
  <c r="AD93" i="1"/>
  <c r="CX176" i="1" l="1"/>
  <c r="AD175" i="1"/>
  <c r="AD176" i="1" s="1"/>
  <c r="AD263" i="1" l="1"/>
  <c r="AD261" i="1"/>
  <c r="AD259" i="1"/>
  <c r="CX263" i="1"/>
  <c r="CX261" i="1"/>
  <c r="CX259" i="1"/>
  <c r="AE224" i="1"/>
  <c r="AD180" i="1"/>
  <c r="AD183" i="1"/>
  <c r="AD124" i="1" s="1"/>
  <c r="AD226" i="1"/>
  <c r="CY224" i="1"/>
  <c r="CX180" i="1"/>
  <c r="CX183" i="1"/>
  <c r="CX226" i="1"/>
  <c r="AD181" i="1" l="1"/>
  <c r="CX124" i="1"/>
  <c r="CY51" i="1"/>
  <c r="CY267" i="1" s="1"/>
  <c r="CX181" i="1"/>
  <c r="CY53" i="1" l="1"/>
  <c r="CX125" i="1"/>
  <c r="CX128" i="1" s="1"/>
  <c r="CX126" i="1"/>
  <c r="CX129" i="1" s="1"/>
  <c r="CY54" i="1" l="1"/>
  <c r="CY56" i="1" l="1"/>
  <c r="CY57" i="1" l="1"/>
  <c r="CY260" i="1" s="1"/>
  <c r="CY249" i="1"/>
  <c r="CY58" i="1"/>
  <c r="CY59" i="1"/>
  <c r="CY63" i="1"/>
  <c r="CY242" i="1"/>
  <c r="CY81" i="1" l="1"/>
  <c r="CY208" i="1"/>
  <c r="CY210" i="1" s="1"/>
  <c r="CY214" i="1" s="1"/>
  <c r="CY228" i="1" s="1"/>
  <c r="CY134" i="1"/>
  <c r="CY135" i="1" l="1"/>
  <c r="CY84" i="1"/>
  <c r="CY85" i="1" s="1"/>
  <c r="CY93" i="1" l="1"/>
  <c r="CY94" i="1"/>
  <c r="CY107" i="1"/>
  <c r="CY144" i="1"/>
  <c r="CY70" i="1" s="1"/>
  <c r="CY222" i="1"/>
  <c r="CY220" i="1" s="1"/>
  <c r="CY225" i="1" s="1"/>
  <c r="CY69" i="1"/>
  <c r="CY175" i="1" l="1"/>
  <c r="CY176" i="1" s="1"/>
  <c r="CY123" i="1"/>
  <c r="CY122" i="1"/>
  <c r="CY226" i="1" l="1"/>
  <c r="CY263" i="1"/>
  <c r="CY261" i="1"/>
  <c r="CY259" i="1"/>
  <c r="CZ224" i="1"/>
  <c r="CY180" i="1"/>
  <c r="CY183" i="1"/>
  <c r="CY181" i="1" l="1"/>
  <c r="CZ51" i="1"/>
  <c r="CZ267" i="1" s="1"/>
  <c r="CY124" i="1"/>
  <c r="CY126" i="1" l="1"/>
  <c r="CY129" i="1" s="1"/>
  <c r="CY125" i="1"/>
  <c r="CY128" i="1" s="1"/>
  <c r="CZ53" i="1"/>
  <c r="CZ54" i="1" l="1"/>
  <c r="CZ56" i="1" l="1"/>
  <c r="CZ249" i="1" l="1"/>
  <c r="CZ58" i="1"/>
  <c r="CZ57" i="1"/>
  <c r="CZ260" i="1" s="1"/>
  <c r="CZ59" i="1"/>
  <c r="CZ63" i="1"/>
  <c r="CZ242" i="1"/>
  <c r="CZ208" i="1" l="1"/>
  <c r="CZ210" i="1" s="1"/>
  <c r="CZ214" i="1" s="1"/>
  <c r="CZ228" i="1" s="1"/>
  <c r="CZ81" i="1"/>
  <c r="CZ134" i="1"/>
  <c r="CZ135" i="1" l="1"/>
  <c r="CZ84" i="1"/>
  <c r="CZ85" i="1" s="1"/>
  <c r="CZ94" i="1" l="1"/>
  <c r="CZ93" i="1"/>
  <c r="CZ144" i="1"/>
  <c r="CZ70" i="1" s="1"/>
  <c r="CZ222" i="1"/>
  <c r="CZ220" i="1" s="1"/>
  <c r="CZ225" i="1" s="1"/>
  <c r="CZ107" i="1"/>
  <c r="CZ69" i="1"/>
  <c r="CZ175" i="1" l="1"/>
  <c r="CZ176" i="1" s="1"/>
  <c r="CZ122" i="1"/>
  <c r="CZ123" i="1"/>
  <c r="CZ261" i="1" l="1"/>
  <c r="CZ259" i="1"/>
  <c r="CZ263" i="1"/>
  <c r="CZ180" i="1"/>
  <c r="CZ183" i="1"/>
  <c r="DA224" i="1"/>
  <c r="CZ226" i="1"/>
  <c r="CZ124" i="1" l="1"/>
  <c r="DA51" i="1"/>
  <c r="DA267" i="1" s="1"/>
  <c r="CZ181" i="1"/>
  <c r="DA53" i="1" l="1"/>
  <c r="CZ125" i="1"/>
  <c r="CZ128" i="1" s="1"/>
  <c r="CZ126" i="1"/>
  <c r="CZ129" i="1" s="1"/>
  <c r="DA54" i="1" l="1"/>
  <c r="DA56" i="1" l="1"/>
  <c r="DA249" i="1" l="1"/>
  <c r="DA63" i="1"/>
  <c r="DA58" i="1"/>
  <c r="DA59" i="1"/>
  <c r="DA57" i="1"/>
  <c r="DA260" i="1" s="1"/>
  <c r="DA242" i="1"/>
  <c r="DA81" i="1" l="1"/>
  <c r="DA208" i="1"/>
  <c r="DA210" i="1" s="1"/>
  <c r="DA214" i="1" s="1"/>
  <c r="DA228" i="1" s="1"/>
  <c r="DA134" i="1"/>
  <c r="DA135" i="1" l="1"/>
  <c r="DA84" i="1"/>
  <c r="DA85" i="1" s="1"/>
  <c r="DA94" i="1" l="1"/>
  <c r="DA93" i="1"/>
  <c r="DA144" i="1"/>
  <c r="DA70" i="1" s="1"/>
  <c r="DA222" i="1"/>
  <c r="DA220" i="1" s="1"/>
  <c r="DA225" i="1" s="1"/>
  <c r="DA107" i="1"/>
  <c r="DA69" i="1"/>
  <c r="DA175" i="1" l="1"/>
  <c r="DA176" i="1" s="1"/>
  <c r="DA122" i="1"/>
  <c r="DA123" i="1"/>
  <c r="DA226" i="1" l="1"/>
  <c r="DA263" i="1"/>
  <c r="DA259" i="1"/>
  <c r="DA261" i="1"/>
  <c r="DA183" i="1"/>
  <c r="DB224" i="1"/>
  <c r="DA180" i="1"/>
  <c r="DA181" i="1" l="1"/>
  <c r="DA124" i="1"/>
  <c r="DB51" i="1"/>
  <c r="DB267" i="1" s="1"/>
  <c r="DA126" i="1" l="1"/>
  <c r="DA129" i="1" s="1"/>
  <c r="DA125" i="1"/>
  <c r="DA128" i="1" s="1"/>
  <c r="DB53" i="1"/>
  <c r="AE51" i="1"/>
  <c r="AE52" i="1" l="1"/>
  <c r="AE267" i="1"/>
  <c r="AE53" i="1"/>
  <c r="DB54" i="1"/>
  <c r="AE54" i="1" s="1"/>
  <c r="AE55" i="1" l="1"/>
  <c r="DB56" i="1"/>
  <c r="AE56" i="1"/>
  <c r="AE58" i="1" s="1"/>
  <c r="AE57" i="1" l="1"/>
  <c r="AE260" i="1" s="1"/>
  <c r="AE63" i="1"/>
  <c r="AE76" i="1"/>
  <c r="DB58" i="1"/>
  <c r="DB59" i="1"/>
  <c r="DB249" i="1"/>
  <c r="DB57" i="1"/>
  <c r="DB260" i="1" s="1"/>
  <c r="DB63" i="1"/>
  <c r="DB242" i="1"/>
  <c r="AE66" i="1" l="1"/>
  <c r="AE67" i="1" s="1"/>
  <c r="AE208" i="1"/>
  <c r="AE210" i="1" s="1"/>
  <c r="AE214" i="1" s="1"/>
  <c r="AE228" i="1" s="1"/>
  <c r="DB208" i="1"/>
  <c r="DB210" i="1" s="1"/>
  <c r="DB214" i="1" s="1"/>
  <c r="DB228" i="1" s="1"/>
  <c r="DB81" i="1"/>
  <c r="DB84" i="1" s="1"/>
  <c r="DB85" i="1" s="1"/>
  <c r="DB134" i="1"/>
  <c r="AE134" i="1" l="1"/>
  <c r="AE135" i="1" s="1"/>
  <c r="DB135" i="1"/>
  <c r="DB94" i="1"/>
  <c r="DB93" i="1"/>
  <c r="DB122" i="1" l="1"/>
  <c r="AE93" i="1"/>
  <c r="DB123" i="1"/>
  <c r="AE94" i="1"/>
  <c r="DB222" i="1"/>
  <c r="DB220" i="1" s="1"/>
  <c r="DB225" i="1" s="1"/>
  <c r="DB144" i="1"/>
  <c r="DB70" i="1" s="1"/>
  <c r="DB107" i="1"/>
  <c r="DB69" i="1"/>
  <c r="AE222" i="1"/>
  <c r="AE220" i="1" s="1"/>
  <c r="AE225" i="1" s="1"/>
  <c r="AE144" i="1"/>
  <c r="AE70" i="1" s="1"/>
  <c r="AE190" i="1"/>
  <c r="AE69" i="1"/>
  <c r="DB175" i="1" l="1"/>
  <c r="AE175" i="1" l="1"/>
  <c r="AE176" i="1" s="1"/>
  <c r="DB176" i="1"/>
  <c r="DB259" i="1" l="1"/>
  <c r="DB263" i="1"/>
  <c r="DB261" i="1"/>
  <c r="AE261" i="1"/>
  <c r="AE259" i="1"/>
  <c r="AE263" i="1"/>
  <c r="DB180" i="1"/>
  <c r="DB183" i="1"/>
  <c r="DB124" i="1" s="1"/>
  <c r="DB226" i="1"/>
  <c r="AE183" i="1"/>
  <c r="AE124" i="1" s="1"/>
  <c r="AE180" i="1"/>
  <c r="AE226" i="1"/>
  <c r="AE181" i="1" l="1"/>
  <c r="DB125" i="1"/>
  <c r="DB128" i="1" s="1"/>
  <c r="DB126" i="1"/>
  <c r="DB129" i="1" s="1"/>
  <c r="DB181" i="1"/>
  <c r="JZ16" i="4" l="1"/>
  <c r="JR16" i="4"/>
  <c r="KB14" i="4"/>
  <c r="KF14" i="4"/>
  <c r="JX9" i="4"/>
  <c r="KH9" i="4"/>
  <c r="HW9" i="4"/>
  <c r="HW21" i="4"/>
  <c r="HU16" i="4"/>
  <c r="HU21" i="4"/>
  <c r="AO92" i="1"/>
  <c r="KF19" i="4" l="1"/>
  <c r="JZ21" i="4"/>
  <c r="AQ92" i="1"/>
  <c r="KB19" i="4"/>
  <c r="JR21" i="4"/>
  <c r="CL92" i="1" s="1"/>
  <c r="AO117" i="1"/>
  <c r="AO109" i="1"/>
  <c r="AO100" i="1"/>
  <c r="AQ100" i="1"/>
  <c r="KH21" i="4"/>
  <c r="JX21" i="4"/>
  <c r="AQ117" i="1" l="1"/>
  <c r="AQ109" i="1"/>
  <c r="CL100" i="1"/>
  <c r="CM92" i="1"/>
  <c r="CL109" i="1"/>
  <c r="CL117" i="1"/>
  <c r="CN92" i="1" l="1"/>
  <c r="CM96" i="1"/>
  <c r="CM109" i="1"/>
  <c r="CM100" i="1"/>
  <c r="CM117" i="1"/>
  <c r="CM97" i="1"/>
  <c r="CN96" i="1" l="1"/>
  <c r="CN97" i="1"/>
  <c r="CO92" i="1"/>
  <c r="CN117" i="1"/>
  <c r="CN109" i="1"/>
  <c r="CN100" i="1"/>
  <c r="CO109" i="1" l="1"/>
  <c r="CO117" i="1"/>
  <c r="CO100" i="1"/>
  <c r="CO97" i="1"/>
  <c r="CO96" i="1"/>
  <c r="CP92" i="1"/>
  <c r="CP96" i="1" l="1"/>
  <c r="AB92" i="1"/>
  <c r="CQ92" i="1"/>
  <c r="CP117" i="1"/>
  <c r="CP100" i="1"/>
  <c r="CP109" i="1"/>
  <c r="CP97" i="1"/>
  <c r="AB97" i="1" l="1"/>
  <c r="AB96" i="1"/>
  <c r="CR92" i="1"/>
  <c r="CQ117" i="1"/>
  <c r="CQ100" i="1"/>
  <c r="CQ109" i="1"/>
  <c r="CQ96" i="1"/>
  <c r="CQ97" i="1"/>
  <c r="CS92" i="1" l="1"/>
  <c r="CR117" i="1"/>
  <c r="CR100" i="1"/>
  <c r="CR109" i="1"/>
  <c r="CR97" i="1"/>
  <c r="CR96" i="1"/>
  <c r="CT92" i="1" l="1"/>
  <c r="CS117" i="1"/>
  <c r="CS109" i="1"/>
  <c r="CS100" i="1"/>
  <c r="CS97" i="1"/>
  <c r="CS96" i="1"/>
  <c r="AC92" i="1" l="1"/>
  <c r="CU92" i="1"/>
  <c r="CT117" i="1"/>
  <c r="CT100" i="1"/>
  <c r="CT109" i="1"/>
  <c r="CT96" i="1"/>
  <c r="CT97" i="1"/>
  <c r="AC96" i="1" l="1"/>
  <c r="AC97" i="1"/>
  <c r="CU117" i="1"/>
  <c r="CV92" i="1"/>
  <c r="CU100" i="1"/>
  <c r="CU109" i="1"/>
  <c r="CU96" i="1"/>
  <c r="CU97" i="1"/>
  <c r="CW92" i="1" l="1"/>
  <c r="CV117" i="1"/>
  <c r="CV100" i="1"/>
  <c r="CV109" i="1"/>
  <c r="CV97" i="1"/>
  <c r="CV96" i="1"/>
  <c r="CX92" i="1" l="1"/>
  <c r="CW117" i="1"/>
  <c r="CW100" i="1"/>
  <c r="CW109" i="1"/>
  <c r="CW96" i="1"/>
  <c r="CW97" i="1"/>
  <c r="AD92" i="1" l="1"/>
  <c r="CX117" i="1"/>
  <c r="CX97" i="1"/>
  <c r="CX96" i="1"/>
  <c r="CY92" i="1"/>
  <c r="CX100" i="1"/>
  <c r="CX109" i="1"/>
  <c r="AD96" i="1" l="1"/>
  <c r="AD97" i="1"/>
  <c r="CY117" i="1"/>
  <c r="CY109" i="1"/>
  <c r="CY97" i="1"/>
  <c r="CZ92" i="1"/>
  <c r="CY100" i="1"/>
  <c r="CY96" i="1"/>
  <c r="CZ117" i="1" l="1"/>
  <c r="CZ100" i="1"/>
  <c r="CZ96" i="1"/>
  <c r="CZ97" i="1"/>
  <c r="DA92" i="1"/>
  <c r="CZ109" i="1"/>
  <c r="DA117" i="1" l="1"/>
  <c r="DA109" i="1"/>
  <c r="DA96" i="1"/>
  <c r="DB92" i="1"/>
  <c r="DA100" i="1"/>
  <c r="DA97" i="1"/>
  <c r="AE92" i="1" l="1"/>
  <c r="DB117" i="1"/>
  <c r="DB100" i="1"/>
  <c r="DB97" i="1"/>
  <c r="DB109" i="1"/>
  <c r="DB96" i="1"/>
  <c r="AE96" i="1" l="1"/>
  <c r="AE97" i="1"/>
  <c r="AB78" i="1" l="1"/>
  <c r="AA78" i="1"/>
  <c r="Z78" i="1"/>
  <c r="Y78" i="1"/>
  <c r="X78" i="1"/>
  <c r="W78" i="1"/>
  <c r="V78" i="1"/>
  <c r="U78" i="1"/>
  <c r="T78" i="1"/>
  <c r="S78" i="1"/>
  <c r="R78" i="1"/>
  <c r="R80" i="1"/>
  <c r="R107" i="1"/>
  <c r="R111" i="1"/>
  <c r="X80" i="1"/>
  <c r="X107" i="1"/>
  <c r="X109" i="1"/>
  <c r="S80" i="1"/>
  <c r="S114" i="1"/>
  <c r="S117" i="1"/>
  <c r="X111" i="1"/>
  <c r="Q78" i="1"/>
  <c r="P78" i="1"/>
  <c r="O78" i="1"/>
  <c r="N78" i="1"/>
  <c r="M78" i="1"/>
  <c r="L78" i="1"/>
  <c r="K78" i="1"/>
  <c r="J78" i="1"/>
  <c r="I78" i="1"/>
  <c r="I80" i="1"/>
  <c r="I81" i="1"/>
  <c r="I84" i="1"/>
  <c r="H104" i="1"/>
  <c r="H78" i="1"/>
  <c r="G78" i="1"/>
  <c r="G80" i="1"/>
  <c r="G123" i="1"/>
  <c r="G126" i="1"/>
  <c r="G129" i="1"/>
  <c r="Y80" i="1"/>
  <c r="Y123" i="1"/>
  <c r="Y126" i="1"/>
  <c r="Y129" i="1"/>
  <c r="G81" i="1"/>
  <c r="G84" i="1"/>
  <c r="G102" i="1"/>
  <c r="F78" i="1"/>
  <c r="F80" i="1"/>
  <c r="F107" i="1"/>
  <c r="F110" i="1"/>
  <c r="F109" i="1"/>
  <c r="Q80" i="1"/>
  <c r="Q81" i="1"/>
  <c r="Q84" i="1"/>
  <c r="Q102" i="1"/>
  <c r="K80" i="1"/>
  <c r="K81" i="1"/>
  <c r="K84" i="1"/>
  <c r="K102" i="1"/>
  <c r="Y114" i="1"/>
  <c r="Y118" i="1"/>
  <c r="U80" i="1"/>
  <c r="U81" i="1"/>
  <c r="K114" i="1"/>
  <c r="K119" i="1"/>
  <c r="O80" i="1"/>
  <c r="O107" i="1"/>
  <c r="X81" i="1"/>
  <c r="X84" i="1"/>
  <c r="X100" i="1"/>
  <c r="V80" i="1"/>
  <c r="V114" i="1"/>
  <c r="E78" i="1"/>
  <c r="E80" i="1"/>
  <c r="E123" i="1"/>
  <c r="E126" i="1"/>
  <c r="E129" i="1"/>
  <c r="N80" i="1"/>
  <c r="N123" i="1"/>
  <c r="N126" i="1"/>
  <c r="N129" i="1"/>
  <c r="N122" i="1"/>
  <c r="N125" i="1"/>
  <c r="N128" i="1"/>
  <c r="V107" i="1"/>
  <c r="V110" i="1"/>
  <c r="V109" i="1"/>
  <c r="V111" i="1"/>
  <c r="X102" i="1"/>
  <c r="G114" i="1"/>
  <c r="F114" i="1"/>
  <c r="F81" i="1"/>
  <c r="F84" i="1"/>
  <c r="F102" i="1"/>
  <c r="I114" i="1"/>
  <c r="I119" i="1"/>
  <c r="R122" i="1"/>
  <c r="R125" i="1"/>
  <c r="AC78" i="1"/>
  <c r="AC80" i="1"/>
  <c r="AC123" i="1"/>
  <c r="AC126" i="1"/>
  <c r="X123" i="1"/>
  <c r="X126" i="1"/>
  <c r="X129" i="1"/>
  <c r="Q114" i="1"/>
  <c r="P80" i="1"/>
  <c r="P114" i="1"/>
  <c r="P118" i="1"/>
  <c r="AC81" i="1"/>
  <c r="AC84" i="1"/>
  <c r="I123" i="1"/>
  <c r="E81" i="1"/>
  <c r="K101" i="1"/>
  <c r="I83" i="1"/>
  <c r="R110" i="1"/>
  <c r="J104" i="1"/>
  <c r="N107" i="1"/>
  <c r="P123" i="1"/>
  <c r="S119" i="1"/>
  <c r="W80" i="1"/>
  <c r="W114" i="1"/>
  <c r="W117" i="1"/>
  <c r="F104" i="1"/>
  <c r="Z80" i="1"/>
  <c r="Z81" i="1"/>
  <c r="Z84" i="1"/>
  <c r="Y104" i="1"/>
  <c r="AD78" i="1"/>
  <c r="AE78" i="1"/>
  <c r="AE80" i="1"/>
  <c r="AE123" i="1"/>
  <c r="AE126" i="1"/>
  <c r="AE129" i="1"/>
  <c r="W122" i="1"/>
  <c r="W125" i="1"/>
  <c r="W128" i="1"/>
  <c r="Z85" i="1"/>
  <c r="AB80" i="1"/>
  <c r="AB81" i="1"/>
  <c r="AB84" i="1"/>
  <c r="AB101" i="1"/>
  <c r="N110" i="1"/>
  <c r="Q107" i="1"/>
  <c r="T80" i="1"/>
  <c r="T81" i="1"/>
  <c r="T84" i="1"/>
  <c r="Y107" i="1"/>
  <c r="E122" i="1"/>
  <c r="AC100" i="1"/>
  <c r="Q85" i="1"/>
  <c r="P119" i="1"/>
  <c r="H80" i="1"/>
  <c r="AC122" i="1"/>
  <c r="G107" i="1"/>
  <c r="X101" i="1"/>
  <c r="U122" i="1"/>
  <c r="F119" i="1"/>
  <c r="AA79" i="1"/>
  <c r="AB79" i="1"/>
  <c r="Z79" i="1"/>
  <c r="Y79" i="1"/>
  <c r="X79" i="1"/>
  <c r="W79" i="1"/>
  <c r="V79" i="1"/>
  <c r="U79" i="1"/>
  <c r="T79" i="1"/>
  <c r="G117" i="1"/>
  <c r="Q117" i="1"/>
  <c r="G85" i="1"/>
  <c r="V119" i="1"/>
  <c r="K85" i="1"/>
  <c r="Y119" i="1"/>
  <c r="I100" i="1"/>
  <c r="F111" i="1"/>
  <c r="AC85" i="1"/>
  <c r="AC102" i="1"/>
  <c r="AC114" i="1"/>
  <c r="AC107" i="1"/>
  <c r="R114" i="1"/>
  <c r="AC119" i="1"/>
  <c r="F83" i="1"/>
  <c r="F101" i="1"/>
  <c r="Z122" i="1"/>
  <c r="L80" i="1"/>
  <c r="L122" i="1"/>
  <c r="L125" i="1"/>
  <c r="AD80" i="1"/>
  <c r="AD81" i="1"/>
  <c r="AD84" i="1"/>
  <c r="AC104" i="1"/>
  <c r="R81" i="1"/>
  <c r="R84" i="1"/>
  <c r="R85" i="1"/>
  <c r="AD85" i="1"/>
  <c r="Z125" i="1"/>
  <c r="Y117" i="1"/>
  <c r="O81" i="1"/>
  <c r="X110" i="1"/>
  <c r="O110" i="1"/>
  <c r="U107" i="1"/>
  <c r="V117" i="1"/>
  <c r="S107" i="1"/>
  <c r="K118" i="1"/>
  <c r="O111" i="1"/>
  <c r="K123" i="1"/>
  <c r="K117" i="1"/>
  <c r="K100" i="1"/>
  <c r="N81" i="1"/>
  <c r="X114" i="1"/>
  <c r="E107" i="1"/>
  <c r="W104" i="1"/>
  <c r="P104" i="1"/>
  <c r="I102" i="1"/>
  <c r="AD107" i="1"/>
  <c r="AD110" i="1"/>
  <c r="AD111" i="1"/>
  <c r="Q118" i="1"/>
  <c r="AE81" i="1"/>
  <c r="AE84" i="1"/>
  <c r="AE101" i="1"/>
  <c r="M80" i="1"/>
  <c r="M81" i="1"/>
  <c r="M84" i="1"/>
  <c r="L104" i="1"/>
  <c r="W123" i="1"/>
  <c r="W126" i="1"/>
  <c r="J80" i="1"/>
  <c r="J81" i="1"/>
  <c r="J84" i="1"/>
  <c r="J101" i="1"/>
  <c r="T85" i="1"/>
  <c r="AB114" i="1"/>
  <c r="M107" i="1"/>
  <c r="H81" i="1"/>
  <c r="Y109" i="1"/>
  <c r="S122" i="1"/>
  <c r="I122" i="1"/>
  <c r="G100" i="1"/>
  <c r="V118" i="1"/>
  <c r="M122" i="1"/>
  <c r="G122" i="1"/>
  <c r="P126" i="1"/>
  <c r="AC129" i="1"/>
  <c r="Q119" i="1"/>
  <c r="S79" i="1"/>
  <c r="R79" i="1"/>
  <c r="Q79" i="1"/>
  <c r="P79" i="1"/>
  <c r="O79" i="1"/>
  <c r="N79" i="1"/>
  <c r="M79" i="1"/>
  <c r="L79" i="1"/>
  <c r="K79" i="1"/>
  <c r="J79" i="1"/>
  <c r="I79" i="1"/>
  <c r="H79" i="1"/>
  <c r="AB85" i="1"/>
  <c r="H114" i="1"/>
  <c r="H119" i="1"/>
  <c r="G110" i="1"/>
  <c r="G109" i="1"/>
  <c r="G111" i="1"/>
  <c r="Z101" i="1"/>
  <c r="AC118" i="1"/>
  <c r="AD104" i="1"/>
  <c r="N83" i="1"/>
  <c r="Y110" i="1"/>
  <c r="L81" i="1"/>
  <c r="L84" i="1"/>
  <c r="L85" i="1"/>
  <c r="K104" i="1"/>
  <c r="H122" i="1"/>
  <c r="H125" i="1"/>
  <c r="H128" i="1"/>
  <c r="U110" i="1"/>
  <c r="P122" i="1"/>
  <c r="P125" i="1"/>
  <c r="P128" i="1"/>
  <c r="L100" i="1"/>
  <c r="AB118" i="1"/>
  <c r="AD114" i="1"/>
  <c r="V122" i="1"/>
  <c r="AB102" i="1"/>
  <c r="J100" i="1"/>
  <c r="W81" i="1"/>
  <c r="W84" i="1"/>
  <c r="W100" i="1"/>
  <c r="U111" i="1"/>
  <c r="L107" i="1"/>
  <c r="AE83" i="1"/>
  <c r="I117" i="1"/>
  <c r="H84" i="1"/>
  <c r="H100" i="1"/>
  <c r="S118" i="1"/>
  <c r="AD100" i="1"/>
  <c r="R101" i="1"/>
  <c r="G101" i="1"/>
  <c r="AE102" i="1"/>
  <c r="S104" i="1"/>
  <c r="E109" i="1"/>
  <c r="AC83" i="1"/>
  <c r="U114" i="1"/>
  <c r="AC110" i="1"/>
  <c r="U119" i="1"/>
  <c r="I104" i="1"/>
  <c r="R83" i="1"/>
  <c r="G83" i="1"/>
  <c r="M123" i="1"/>
  <c r="T101" i="1"/>
  <c r="M85" i="1"/>
  <c r="AB119" i="1"/>
  <c r="R118" i="1"/>
  <c r="K122" i="1"/>
  <c r="K125" i="1"/>
  <c r="K128" i="1"/>
  <c r="G119" i="1"/>
  <c r="Z123" i="1"/>
  <c r="V81" i="1"/>
  <c r="S81" i="1"/>
  <c r="O109" i="1"/>
  <c r="O123" i="1"/>
  <c r="S110" i="1"/>
  <c r="F123" i="1"/>
  <c r="Q122" i="1"/>
  <c r="Y111" i="1"/>
  <c r="F117" i="1"/>
  <c r="T107" i="1"/>
  <c r="T111" i="1"/>
  <c r="O122" i="1"/>
  <c r="V123" i="1"/>
  <c r="V126" i="1"/>
  <c r="V129" i="1"/>
  <c r="Q109" i="1"/>
  <c r="Y122" i="1"/>
  <c r="X117" i="1"/>
  <c r="E104" i="1"/>
  <c r="F118" i="1"/>
  <c r="N114" i="1"/>
  <c r="AC111" i="1"/>
  <c r="T102" i="1"/>
  <c r="O114" i="1"/>
  <c r="AA80" i="1"/>
  <c r="AA123" i="1"/>
  <c r="AA126" i="1"/>
  <c r="H107" i="1"/>
  <c r="R119" i="1"/>
  <c r="AE122" i="1"/>
  <c r="Q83" i="1"/>
  <c r="I85" i="1"/>
  <c r="Q111" i="1"/>
  <c r="AE100" i="1"/>
  <c r="AC101" i="1"/>
  <c r="AE114" i="1"/>
  <c r="AE117" i="1"/>
  <c r="J114" i="1"/>
  <c r="H102" i="1"/>
  <c r="J83" i="1"/>
  <c r="T123" i="1"/>
  <c r="H109" i="1"/>
  <c r="R117" i="1"/>
  <c r="AD102" i="1"/>
  <c r="R100" i="1"/>
  <c r="X122" i="1"/>
  <c r="X125" i="1"/>
  <c r="X128" i="1"/>
  <c r="I118" i="1"/>
  <c r="P81" i="1"/>
  <c r="P84" i="1"/>
  <c r="O104" i="1"/>
  <c r="U123" i="1"/>
  <c r="U126" i="1"/>
  <c r="U129" i="1"/>
  <c r="J123" i="1"/>
  <c r="U125" i="1"/>
  <c r="U128" i="1"/>
  <c r="AE118" i="1"/>
  <c r="Y81" i="1"/>
  <c r="Y84" i="1"/>
  <c r="Y100" i="1"/>
  <c r="X85" i="1"/>
  <c r="S123" i="1"/>
  <c r="S126" i="1"/>
  <c r="S129" i="1"/>
  <c r="I107" i="1"/>
  <c r="J107" i="1"/>
  <c r="M100" i="1"/>
  <c r="M114" i="1"/>
  <c r="P117" i="1"/>
  <c r="S84" i="1"/>
  <c r="F100" i="1"/>
  <c r="P129" i="1"/>
  <c r="F126" i="1"/>
  <c r="Q123" i="1"/>
  <c r="S101" i="1"/>
  <c r="AB123" i="1"/>
  <c r="U84" i="1"/>
  <c r="P102" i="1"/>
  <c r="Q104" i="1"/>
  <c r="U109" i="1"/>
  <c r="AD118" i="1"/>
  <c r="AC79" i="1"/>
  <c r="AD79" i="1"/>
  <c r="AE79" i="1"/>
  <c r="Y85" i="1"/>
  <c r="AA81" i="1"/>
  <c r="AA84" i="1"/>
  <c r="Z104" i="1"/>
  <c r="Y125" i="1"/>
  <c r="AA101" i="1"/>
  <c r="AA100" i="1"/>
  <c r="U85" i="1"/>
  <c r="Q110" i="1"/>
  <c r="AC125" i="1"/>
  <c r="S102" i="1"/>
  <c r="S125" i="1"/>
  <c r="Z128" i="1"/>
  <c r="U101" i="1"/>
  <c r="H110" i="1"/>
  <c r="S109" i="1"/>
  <c r="Z83" i="1"/>
  <c r="Z102" i="1"/>
  <c r="P85" i="1"/>
  <c r="P101" i="1"/>
  <c r="S100" i="1"/>
  <c r="U100" i="1"/>
  <c r="T110" i="1"/>
  <c r="L114" i="1"/>
  <c r="O125" i="1"/>
  <c r="M109" i="1"/>
  <c r="AC117" i="1"/>
  <c r="AB100" i="1"/>
  <c r="N109" i="1"/>
  <c r="J111" i="1"/>
  <c r="X83" i="1"/>
  <c r="AB122" i="1"/>
  <c r="AB125" i="1"/>
  <c r="AB128" i="1"/>
  <c r="Z114" i="1"/>
  <c r="H117" i="1"/>
  <c r="T100" i="1"/>
  <c r="H83" i="1"/>
  <c r="V84" i="1"/>
  <c r="V101" i="1"/>
  <c r="J85" i="1"/>
  <c r="W129" i="1"/>
  <c r="T122" i="1"/>
  <c r="T125" i="1"/>
  <c r="T128" i="1"/>
  <c r="W107" i="1"/>
  <c r="W109" i="1"/>
  <c r="N84" i="1"/>
  <c r="E111" i="1"/>
  <c r="AB104" i="1"/>
  <c r="N100" i="1"/>
  <c r="AE107" i="1"/>
  <c r="K126" i="1"/>
  <c r="F122" i="1"/>
  <c r="F125" i="1"/>
  <c r="F128" i="1"/>
  <c r="L123" i="1"/>
  <c r="T109" i="1"/>
  <c r="Q125" i="1"/>
  <c r="P100" i="1"/>
  <c r="AA107" i="1"/>
  <c r="AD123" i="1"/>
  <c r="X119" i="1"/>
  <c r="N119" i="1"/>
  <c r="L109" i="1"/>
  <c r="L83" i="1"/>
  <c r="I126" i="1"/>
  <c r="I125" i="1"/>
  <c r="K129" i="1"/>
  <c r="R123" i="1"/>
  <c r="R126" i="1"/>
  <c r="R129" i="1"/>
  <c r="AE85" i="1"/>
  <c r="F85" i="1"/>
  <c r="R109" i="1"/>
  <c r="AD109" i="1"/>
  <c r="T83" i="1"/>
  <c r="AB107" i="1"/>
  <c r="O84" i="1"/>
  <c r="K107" i="1"/>
  <c r="P107" i="1"/>
  <c r="J122" i="1"/>
  <c r="V100" i="1"/>
  <c r="Z117" i="1"/>
  <c r="X118" i="1"/>
  <c r="I101" i="1"/>
  <c r="O83" i="1"/>
  <c r="H111" i="1"/>
  <c r="AB109" i="1"/>
  <c r="N85" i="1"/>
  <c r="E83" i="1"/>
  <c r="W83" i="1"/>
  <c r="M101" i="1"/>
  <c r="Q100" i="1"/>
  <c r="T114" i="1"/>
  <c r="K83" i="1"/>
  <c r="O118" i="1"/>
  <c r="K111" i="1"/>
  <c r="T126" i="1"/>
  <c r="L128" i="1"/>
  <c r="Z107" i="1"/>
  <c r="Z111" i="1"/>
  <c r="M104" i="1"/>
  <c r="V102" i="1"/>
  <c r="S111" i="1"/>
  <c r="G118" i="1"/>
  <c r="AA104" i="1"/>
  <c r="E125" i="1"/>
  <c r="AA114" i="1"/>
  <c r="AA118" i="1"/>
  <c r="E84" i="1"/>
  <c r="M111" i="1"/>
  <c r="S83" i="1"/>
  <c r="E114" i="1"/>
  <c r="U83" i="1"/>
  <c r="M125" i="1"/>
  <c r="V85" i="1"/>
  <c r="Q101" i="1"/>
  <c r="AD101" i="1"/>
  <c r="O126" i="1"/>
  <c r="O129" i="1"/>
  <c r="Q126" i="1"/>
  <c r="M118" i="1"/>
  <c r="J119" i="1"/>
  <c r="AB111" i="1"/>
  <c r="AE109" i="1"/>
  <c r="E110" i="1"/>
  <c r="P109" i="1"/>
  <c r="AB126" i="1"/>
  <c r="L111" i="1"/>
  <c r="Y128" i="1"/>
  <c r="H123" i="1"/>
  <c r="H126" i="1"/>
  <c r="AA85" i="1"/>
  <c r="W102" i="1"/>
  <c r="U102" i="1"/>
  <c r="W101" i="1"/>
  <c r="L126" i="1"/>
  <c r="L129" i="1"/>
  <c r="AB83" i="1"/>
  <c r="T117" i="1"/>
  <c r="AC128" i="1"/>
  <c r="AD126" i="1"/>
  <c r="AD129" i="1"/>
  <c r="E128" i="1"/>
  <c r="W119" i="1"/>
  <c r="M126" i="1"/>
  <c r="R128" i="1"/>
  <c r="G125" i="1"/>
  <c r="Z100" i="1"/>
  <c r="J118" i="1"/>
  <c r="L102" i="1"/>
  <c r="Z119" i="1"/>
  <c r="AA122" i="1"/>
  <c r="AA125" i="1"/>
  <c r="AA128" i="1"/>
  <c r="T118" i="1"/>
  <c r="L101" i="1"/>
  <c r="J125" i="1"/>
  <c r="AD122" i="1"/>
  <c r="AE125" i="1"/>
  <c r="I110" i="1"/>
  <c r="Z126" i="1"/>
  <c r="J110" i="1"/>
  <c r="G79" i="1"/>
  <c r="O128" i="1"/>
  <c r="R102" i="1"/>
  <c r="O85" i="1"/>
  <c r="N102" i="1"/>
  <c r="Y83" i="1"/>
  <c r="E85" i="1"/>
  <c r="H118" i="1"/>
  <c r="D104" i="1"/>
  <c r="J126" i="1"/>
  <c r="J129" i="1"/>
  <c r="W118" i="1"/>
  <c r="M110" i="1"/>
  <c r="N111" i="1"/>
  <c r="L119" i="1"/>
  <c r="AB117" i="1"/>
  <c r="U104" i="1"/>
  <c r="N101" i="1"/>
  <c r="P111" i="1"/>
  <c r="E117" i="1"/>
  <c r="O100" i="1"/>
  <c r="Y102" i="1"/>
  <c r="Z118" i="1"/>
  <c r="AB129" i="1"/>
  <c r="M119" i="1"/>
  <c r="AA102" i="1"/>
  <c r="AD83" i="1"/>
  <c r="H129" i="1"/>
  <c r="H101" i="1"/>
  <c r="W85" i="1"/>
  <c r="N118" i="1"/>
  <c r="N117" i="1"/>
  <c r="S85" i="1"/>
  <c r="S128" i="1"/>
  <c r="M129" i="1"/>
  <c r="AD117" i="1"/>
  <c r="O101" i="1"/>
  <c r="O117" i="1"/>
  <c r="I109" i="1"/>
  <c r="M83" i="1"/>
  <c r="X104" i="1"/>
  <c r="O119" i="1"/>
  <c r="V83" i="1"/>
  <c r="M117" i="1"/>
  <c r="U118" i="1"/>
  <c r="AC109" i="1"/>
  <c r="M102" i="1"/>
  <c r="AA109" i="1"/>
  <c r="AE111" i="1"/>
  <c r="AE119" i="1"/>
  <c r="Q129" i="1"/>
  <c r="F129" i="1"/>
  <c r="AB110" i="1"/>
  <c r="T119" i="1"/>
  <c r="AD125" i="1"/>
  <c r="AD128" i="1"/>
  <c r="F79" i="1"/>
  <c r="E79" i="1"/>
  <c r="E119" i="1"/>
  <c r="J102" i="1"/>
  <c r="V125" i="1"/>
  <c r="V128" i="1"/>
  <c r="I111" i="1"/>
  <c r="G104" i="1"/>
  <c r="W111" i="1"/>
  <c r="H85" i="1"/>
  <c r="W110" i="1"/>
  <c r="O102" i="1"/>
  <c r="Y101" i="1"/>
  <c r="I129" i="1"/>
  <c r="L110" i="1"/>
  <c r="U117" i="1"/>
  <c r="P83" i="1"/>
  <c r="J117" i="1"/>
  <c r="Q128" i="1"/>
  <c r="J109" i="1"/>
  <c r="AA117" i="1"/>
  <c r="V104" i="1"/>
  <c r="AA83" i="1"/>
  <c r="T104" i="1"/>
  <c r="J128" i="1"/>
  <c r="M128" i="1"/>
  <c r="Z129" i="1"/>
  <c r="E102" i="1"/>
  <c r="L118" i="1"/>
  <c r="N104" i="1"/>
  <c r="I128" i="1"/>
  <c r="R104" i="1"/>
  <c r="Z109" i="1"/>
  <c r="AA119" i="1"/>
  <c r="AA129" i="1"/>
  <c r="AD119" i="1"/>
  <c r="L117" i="1"/>
  <c r="K110" i="1"/>
  <c r="AA110" i="1"/>
  <c r="AA111" i="1"/>
  <c r="E100" i="1"/>
  <c r="E118" i="1"/>
  <c r="P110" i="1"/>
  <c r="G128" i="1"/>
  <c r="E101" i="1"/>
  <c r="Z110" i="1"/>
  <c r="T129" i="1"/>
  <c r="AE110" i="1"/>
  <c r="K109" i="1"/>
  <c r="AE1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L12" authorId="0" shapeId="0" xr:uid="{BA04FA60-D806-464A-94DA-A0A3B42D5C93}">
      <text>
        <r>
          <rPr>
            <b/>
            <sz val="9"/>
            <color indexed="81"/>
            <rFont val="Tahoma"/>
            <family val="2"/>
          </rPr>
          <t xml:space="preserve">Includes other income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<sst xmlns="http://schemas.openxmlformats.org/spreadsheetml/2006/main" count="677" uniqueCount="535">
  <si>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</si>
  <si>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</si>
  <si>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</si>
  <si>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</si>
  <si>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</si>
  <si>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</si>
  <si>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</si>
  <si>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</si>
  <si>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</si>
  <si>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</si>
  <si>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</si>
  <si>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</si>
  <si>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</si>
  <si>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</si>
  <si>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</si>
  <si>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</si>
  <si>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</si>
  <si>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</si>
  <si>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</si>
  <si>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</si>
  <si>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</si>
  <si>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</si>
  <si>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</si>
  <si>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</si>
  <si>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</si>
  <si>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</si>
  <si>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</si>
  <si>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</si>
  <si>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</si>
  <si>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</si>
  <si>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</si>
  <si>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</si>
  <si>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</si>
  <si>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</si>
  <si>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</si>
  <si>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</si>
  <si>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</si>
  <si>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</si>
  <si>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</si>
  <si>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</si>
  <si>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</si>
  <si>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</si>
  <si>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</si>
  <si>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</si>
  <si>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</si>
  <si>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</si>
  <si>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</si>
  <si>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</si>
  <si>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</si>
  <si>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</si>
  <si>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</si>
  <si>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</si>
  <si>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</si>
  <si>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</si>
  <si>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</si>
  <si>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</si>
  <si>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</si>
  <si>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</si>
  <si>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</si>
  <si>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</si>
  <si>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</si>
  <si>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</si>
  <si>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</si>
  <si>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</si>
  <si>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</si>
  <si>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</si>
  <si>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</si>
  <si>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</si>
  <si>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</si>
  <si>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</si>
  <si>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</si>
  <si>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</si>
  <si>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</si>
  <si>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</si>
  <si>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</si>
  <si>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</si>
  <si>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</si>
  <si>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</si>
  <si>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</si>
  <si>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</si>
  <si>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</si>
  <si>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</si>
  <si>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</si>
  <si>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</si>
  <si>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</si>
  <si>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</si>
  <si>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</si>
  <si>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</si>
  <si>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</si>
  <si>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</si>
  <si>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</si>
  <si>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</si>
  <si>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</si>
  <si>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</si>
  <si>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</si>
  <si>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</si>
  <si>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</si>
  <si>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</si>
  <si>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</si>
  <si>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</si>
  <si>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</si>
  <si>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</si>
  <si>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</si>
  <si>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</si>
  <si>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</si>
  <si>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</si>
  <si>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</si>
  <si>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</si>
  <si>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</si>
  <si>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</si>
  <si>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</si>
  <si>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</si>
  <si>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</si>
  <si>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</si>
  <si>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</si>
  <si>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</si>
  <si>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</si>
  <si>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</si>
  <si>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</si>
  <si>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</si>
  <si>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</si>
  <si>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</si>
  <si>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</si>
  <si>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</si>
  <si>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</si>
  <si>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</si>
  <si>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</si>
  <si>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</si>
  <si>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</si>
  <si>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</si>
  <si>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</si>
  <si>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</si>
  <si>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</si>
  <si>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</si>
  <si>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</si>
  <si>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</si>
  <si>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</si>
  <si>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</si>
  <si>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</si>
  <si>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</si>
  <si>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</si>
  <si>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</si>
  <si>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</si>
  <si>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</si>
  <si>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</si>
  <si>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</si>
  <si>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</si>
  <si>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</si>
  <si>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</si>
  <si>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</si>
  <si>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</si>
  <si>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</si>
  <si>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</si>
  <si>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</si>
  <si>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</si>
  <si>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</si>
  <si>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</si>
  <si>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</si>
  <si>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</si>
  <si>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</si>
  <si>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</si>
  <si>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</si>
  <si>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</si>
  <si>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</si>
  <si>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</si>
  <si>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</si>
  <si>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</si>
  <si>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</si>
  <si>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</si>
  <si>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</si>
  <si>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</si>
  <si>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</si>
  <si>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</si>
  <si>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</si>
  <si>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</si>
  <si>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</si>
  <si>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</si>
  <si>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</si>
  <si>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</si>
  <si>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</si>
  <si>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</si>
  <si>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</si>
  <si>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</si>
  <si>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</si>
  <si>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</si>
  <si>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</si>
  <si>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</si>
  <si>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</si>
  <si>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</si>
  <si>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</si>
  <si>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</si>
  <si>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</si>
  <si>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</si>
  <si>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</si>
  <si>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</si>
  <si>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</si>
  <si>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</si>
  <si>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</si>
  <si>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</si>
  <si>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</si>
  <si>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</si>
  <si>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</si>
  <si>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</si>
  <si>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</si>
  <si>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</si>
  <si>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</si>
  <si>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</si>
  <si>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</si>
  <si>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</si>
  <si>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</si>
  <si>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</si>
  <si>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</si>
  <si>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</si>
  <si>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</si>
  <si>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</si>
  <si>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</si>
  <si>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</si>
  <si>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</si>
  <si>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</si>
  <si>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</si>
  <si>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</si>
  <si>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</si>
  <si>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</si>
  <si>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</si>
  <si>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</si>
  <si>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</si>
  <si>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</si>
  <si>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</si>
  <si>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</si>
  <si>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</si>
  <si>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</si>
  <si>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</si>
  <si>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</si>
  <si>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</si>
  <si>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</si>
  <si>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</si>
  <si>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</si>
  <si>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</si>
  <si>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</si>
  <si>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</si>
  <si>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</si>
  <si>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</si>
  <si>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</si>
  <si>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</si>
  <si>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</si>
  <si>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</si>
  <si>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</si>
  <si>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</si>
  <si>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</si>
  <si>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</si>
  <si>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</si>
  <si>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</si>
  <si>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</si>
  <si>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</si>
  <si>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</si>
  <si>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</si>
  <si>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</si>
  <si>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</si>
  <si>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</si>
  <si>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</si>
  <si>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</si>
  <si>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</si>
  <si>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</si>
  <si>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</si>
  <si>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</si>
  <si>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</si>
  <si>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</si>
  <si>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</si>
  <si>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</si>
  <si>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</si>
  <si>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</si>
  <si>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</si>
  <si>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</si>
  <si>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</si>
  <si>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</si>
  <si>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</si>
  <si>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</si>
  <si>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</si>
  <si>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</si>
  <si>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</si>
  <si>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</si>
  <si>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</si>
  <si>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</si>
  <si>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</si>
  <si>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</si>
  <si>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</si>
  <si>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</si>
  <si>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</si>
  <si>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</si>
  <si>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</si>
  <si>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</si>
  <si>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</si>
  <si>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</si>
  <si>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</si>
  <si>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</si>
  <si>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</si>
  <si>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</si>
  <si>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</si>
  <si>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</si>
  <si>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</si>
  <si>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</si>
  <si>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</si>
  <si>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</si>
  <si>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</si>
  <si>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</si>
  <si>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</si>
  <si>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</si>
  <si>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</si>
  <si>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</si>
  <si>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</si>
  <si>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</si>
  <si>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</si>
  <si>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</si>
  <si>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</si>
  <si>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</si>
  <si>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</si>
  <si>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</si>
  <si>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</si>
  <si>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</si>
  <si>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</si>
  <si>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</si>
  <si>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</si>
  <si>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</si>
  <si>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</si>
  <si>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</si>
  <si>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</si>
  <si>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</si>
  <si>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</si>
  <si>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</si>
  <si>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</si>
  <si>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</si>
  <si>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</si>
  <si>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</si>
  <si>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</si>
  <si>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</si>
  <si>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</si>
  <si>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</si>
  <si>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</si>
  <si>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</si>
  <si>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</si>
  <si>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</si>
  <si>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</si>
  <si>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</si>
  <si>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</si>
  <si>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</si>
  <si>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</si>
  <si>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</si>
  <si>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</si>
  <si>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</si>
  <si>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</si>
  <si>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</si>
  <si>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</si>
  <si>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</si>
  <si>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</si>
  <si>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</si>
  <si>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</si>
  <si>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</si>
  <si>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</si>
  <si>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</si>
  <si>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</si>
  <si>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</si>
  <si>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</si>
  <si>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</si>
  <si>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</si>
  <si>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</si>
  <si>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</si>
  <si>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</si>
  <si>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</si>
  <si>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</si>
  <si>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</si>
  <si>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</si>
  <si>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</si>
  <si>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</si>
  <si>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</si>
  <si>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</si>
  <si>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</si>
  <si>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</si>
  <si>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</si>
  <si>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</si>
  <si>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</si>
  <si>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</si>
  <si>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</si>
  <si>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</si>
  <si>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</si>
  <si>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</si>
  <si>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</si>
  <si>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</si>
  <si>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</si>
  <si>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</si>
  <si>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</si>
  <si>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</si>
  <si>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</si>
  <si>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</si>
  <si>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</si>
  <si>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</si>
  <si>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</si>
  <si>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</si>
  <si>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</si>
  <si>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</si>
  <si>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</si>
  <si>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</si>
  <si>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</si>
  <si>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</si>
  <si>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</si>
  <si>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</si>
  <si>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</si>
  <si>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</si>
  <si>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</si>
  <si>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</si>
  <si>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</si>
  <si>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</si>
  <si>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</si>
  <si>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</si>
  <si>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</si>
  <si>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</si>
  <si>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</si>
  <si>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</si>
  <si>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</si>
  <si>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</si>
  <si>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</si>
  <si>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</si>
  <si>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</si>
  <si>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</si>
  <si>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</si>
  <si>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</si>
  <si>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</si>
  <si>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</si>
  <si>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</si>
  <si>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</si>
  <si>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</si>
  <si>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</si>
  <si>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</si>
  <si>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</si>
  <si>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</si>
  <si>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</si>
  <si>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</si>
  <si>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</si>
  <si>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</si>
  <si>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</si>
  <si>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</si>
  <si>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</si>
  <si>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</si>
  <si>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</si>
  <si>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</si>
  <si>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</si>
  <si>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</si>
  <si>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</si>
  <si>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</si>
  <si>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</si>
  <si>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</si>
  <si>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</si>
  <si>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</si>
  <si>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</si>
  <si>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</si>
  <si>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</si>
  <si>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</si>
  <si>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</si>
  <si>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</si>
  <si>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</si>
  <si>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</si>
  <si>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</si>
  <si>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</si>
  <si>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</si>
  <si>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</si>
  <si>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</si>
  <si>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</si>
  <si>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</si>
  <si>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</si>
  <si>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</si>
  <si>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</si>
  <si>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</si>
  <si>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</si>
  <si>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</si>
  <si>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</si>
  <si>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</si>
  <si>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</si>
  <si>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</si>
  <si>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</si>
  <si>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</si>
  <si>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</si>
  <si>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</si>
  <si>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</si>
  <si>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</si>
  <si>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</si>
  <si>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</si>
  <si>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</si>
  <si>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</si>
  <si>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</si>
  <si>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</si>
  <si>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</si>
  <si>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</si>
  <si>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</si>
  <si>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</si>
  <si>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</si>
  <si>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</si>
  <si>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</si>
  <si>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</si>
  <si>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</si>
  <si>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</si>
  <si>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</si>
  <si>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</si>
  <si>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</si>
  <si>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</si>
  <si>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</si>
  <si>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</si>
  <si>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</si>
  <si>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</si>
  <si>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</si>
  <si>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</si>
  <si>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</si>
  <si>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</si>
  <si>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</si>
  <si>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</si>
  <si>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</si>
  <si>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</si>
  <si>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Avantel Ltd.</t>
  </si>
  <si>
    <t>DATE</t>
  </si>
  <si>
    <t>ADJCLOSE</t>
  </si>
  <si>
    <t>ADJHIGH</t>
  </si>
  <si>
    <t>ADJLOW</t>
  </si>
  <si>
    <t>ADJOPEN</t>
  </si>
  <si>
    <t>CLOSE</t>
  </si>
  <si>
    <t>VOLUME</t>
  </si>
  <si>
    <t>Order Book</t>
  </si>
  <si>
    <t>Opening</t>
  </si>
  <si>
    <t>Addition</t>
  </si>
  <si>
    <t>Exceution</t>
  </si>
  <si>
    <t>Closing</t>
  </si>
  <si>
    <t>Revenue Breakup - Segment Wise</t>
  </si>
  <si>
    <t>Communication &amp; Signal processing products</t>
  </si>
  <si>
    <t xml:space="preserve">Health care </t>
  </si>
  <si>
    <t>Total</t>
  </si>
  <si>
    <t>Revenue Growth %</t>
  </si>
  <si>
    <t>Checksum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</si>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</sst>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9" fontId="9" fillId="7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9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2" sqref="DF22:DF269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70" width="0" style="2" hidden="1" customWidth="1"/>
    <col min="71" max="74" width="11.140625" style="2" customWidth="1"/>
    <col min="75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Avantel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hidden="1" x14ac:dyDescent="0.2">
      <c r="A4" s="151" t="s">
        <v>523</v>
      </c>
    </row>
    <row r="5" spans="1:110" s="109" customFormat="1" hidden="1" x14ac:dyDescent="0.2">
      <c r="A5" s="185" t="s">
        <v>524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8"/>
      <c r="AC5" s="108"/>
      <c r="AD5" s="108"/>
      <c r="AE5" s="108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>
        <f>BV8</f>
        <v>240</v>
      </c>
      <c r="BX5" s="107"/>
      <c r="BY5" s="107"/>
      <c r="BZ5" s="107"/>
      <c r="CA5" s="107">
        <f>BZ8</f>
        <v>188</v>
      </c>
      <c r="CB5" s="107"/>
      <c r="CC5" s="107"/>
      <c r="CD5" s="107"/>
      <c r="CE5" s="107"/>
      <c r="CF5" s="107"/>
      <c r="CG5" s="107"/>
      <c r="CH5" s="107"/>
      <c r="CI5" s="107">
        <f>CH8</f>
        <v>210</v>
      </c>
      <c r="CJ5" s="107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E5" s="117"/>
    </row>
    <row r="6" spans="1:110" s="158" customFormat="1" hidden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7"/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hidden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>
        <f t="shared" ref="BV7:BZ7" si="34">BV23</f>
        <v>46.709000000000003</v>
      </c>
      <c r="BW7" s="156">
        <f t="shared" si="34"/>
        <v>26.989000000000001</v>
      </c>
      <c r="BX7" s="156">
        <f t="shared" si="34"/>
        <v>36.225000000000001</v>
      </c>
      <c r="BY7" s="156">
        <f t="shared" si="34"/>
        <v>38.704999999999998</v>
      </c>
      <c r="BZ7" s="156">
        <f t="shared" si="34"/>
        <v>52.530999999999999</v>
      </c>
      <c r="CA7" s="156">
        <f>CA23</f>
        <v>68.947999999999993</v>
      </c>
      <c r="CB7" s="156">
        <f t="shared" ref="CB7:CJ7" si="35">CB23</f>
        <v>54.332999999999998</v>
      </c>
      <c r="CC7" s="156">
        <f t="shared" si="35"/>
        <v>59.325000000000003</v>
      </c>
      <c r="CD7" s="156">
        <f t="shared" si="35"/>
        <v>41.761000000000003</v>
      </c>
      <c r="CE7" s="156">
        <f t="shared" si="35"/>
        <v>51.764000000000003</v>
      </c>
      <c r="CF7" s="156">
        <f t="shared" si="35"/>
        <v>77.42</v>
      </c>
      <c r="CG7" s="156">
        <f t="shared" si="35"/>
        <v>70.680999999999997</v>
      </c>
      <c r="CH7" s="156">
        <f t="shared" si="35"/>
        <v>49.261000000000003</v>
      </c>
      <c r="CI7" s="156">
        <f t="shared" si="35"/>
        <v>51.912999999999997</v>
      </c>
      <c r="CJ7" s="156">
        <f t="shared" si="35"/>
        <v>55.417999999999999</v>
      </c>
      <c r="CK7" s="157"/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09" customFormat="1" hidden="1" x14ac:dyDescent="0.2">
      <c r="A8" s="185" t="s">
        <v>527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>
        <v>240</v>
      </c>
      <c r="BW8" s="107"/>
      <c r="BX8" s="107"/>
      <c r="BY8" s="107"/>
      <c r="BZ8" s="107">
        <v>188</v>
      </c>
      <c r="CA8" s="107"/>
      <c r="CB8" s="107"/>
      <c r="CC8" s="107"/>
      <c r="CD8" s="107">
        <v>287</v>
      </c>
      <c r="CE8" s="107"/>
      <c r="CF8" s="107"/>
      <c r="CG8" s="107"/>
      <c r="CH8" s="107">
        <v>210</v>
      </c>
      <c r="CI8" s="107"/>
      <c r="CJ8" s="107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E8" s="117"/>
    </row>
    <row r="9" spans="1:110" s="158" customFormat="1" hidden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hidden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1" customFormat="1" x14ac:dyDescent="0.2">
      <c r="A11" s="151" t="s">
        <v>528</v>
      </c>
    </row>
    <row r="12" spans="1:110" s="158" customFormat="1" x14ac:dyDescent="0.2">
      <c r="A12" s="155" t="s">
        <v>529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>
        <f>SUM(BS12:BV12)</f>
        <v>106.3108</v>
      </c>
      <c r="X12" s="156">
        <f>SUM(BW12:BZ12)</f>
        <v>154.8158</v>
      </c>
      <c r="Y12" s="156">
        <f>SUM(CA12:CD12)</f>
        <v>225.21849999999998</v>
      </c>
      <c r="Z12" s="156">
        <f>SUM(CE12:CH12)</f>
        <v>250.24299999999999</v>
      </c>
      <c r="AA12" s="157">
        <f>SUM(CI12:CL12)</f>
        <v>223.72480000000002</v>
      </c>
      <c r="AB12" s="157">
        <f>SUM(CM12:CP12)</f>
        <v>257.28351999999995</v>
      </c>
      <c r="AC12" s="157">
        <f>SUM(CQ12:CT12)</f>
        <v>295.87604799999997</v>
      </c>
      <c r="AD12" s="157">
        <f>SUM(CU12:CX12)</f>
        <v>340.25745519999987</v>
      </c>
      <c r="AE12" s="157">
        <f>SUM(CY12:DB12)</f>
        <v>391.29607347999985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>
        <v>14.0418</v>
      </c>
      <c r="BT12" s="156">
        <v>15.8497</v>
      </c>
      <c r="BU12" s="156">
        <v>29.197900000000001</v>
      </c>
      <c r="BV12" s="156">
        <v>47.221400000000003</v>
      </c>
      <c r="BW12" s="156">
        <v>27.1068</v>
      </c>
      <c r="BX12" s="156">
        <v>36.282600000000002</v>
      </c>
      <c r="BY12" s="156">
        <v>38.962200000000003</v>
      </c>
      <c r="BZ12" s="156">
        <v>52.464199999999998</v>
      </c>
      <c r="CA12" s="156">
        <v>69.032499999999999</v>
      </c>
      <c r="CB12" s="156">
        <v>54.570700000000002</v>
      </c>
      <c r="CC12" s="156">
        <v>59.4435</v>
      </c>
      <c r="CD12" s="156">
        <v>42.171799999999998</v>
      </c>
      <c r="CE12" s="156">
        <v>51.950899999999997</v>
      </c>
      <c r="CF12" s="156">
        <v>77.740799999999993</v>
      </c>
      <c r="CG12" s="156">
        <v>70.932400000000001</v>
      </c>
      <c r="CH12" s="156">
        <v>49.618899999999996</v>
      </c>
      <c r="CI12" s="156">
        <v>51.881599999999999</v>
      </c>
      <c r="CJ12" s="156">
        <v>56.0336</v>
      </c>
      <c r="CK12" s="156">
        <v>51.6584</v>
      </c>
      <c r="CL12" s="156">
        <v>64.151200000000003</v>
      </c>
      <c r="CM12" s="157">
        <f t="shared" ref="CM12:DB12" si="36">CI12*(1+CM18)</f>
        <v>59.663839999999993</v>
      </c>
      <c r="CN12" s="157">
        <f t="shared" si="36"/>
        <v>64.438639999999992</v>
      </c>
      <c r="CO12" s="157">
        <f t="shared" si="36"/>
        <v>59.407159999999998</v>
      </c>
      <c r="CP12" s="157">
        <f t="shared" si="36"/>
        <v>73.773879999999991</v>
      </c>
      <c r="CQ12" s="157">
        <f t="shared" si="36"/>
        <v>68.613415999999987</v>
      </c>
      <c r="CR12" s="157">
        <f t="shared" si="36"/>
        <v>74.104435999999978</v>
      </c>
      <c r="CS12" s="157">
        <f t="shared" si="36"/>
        <v>68.31823399999999</v>
      </c>
      <c r="CT12" s="157">
        <f t="shared" si="36"/>
        <v>84.839961999999986</v>
      </c>
      <c r="CU12" s="157">
        <f t="shared" si="36"/>
        <v>78.905428399999977</v>
      </c>
      <c r="CV12" s="157">
        <f t="shared" si="36"/>
        <v>85.220101399999962</v>
      </c>
      <c r="CW12" s="157">
        <f t="shared" si="36"/>
        <v>78.565969099999975</v>
      </c>
      <c r="CX12" s="157">
        <f t="shared" si="36"/>
        <v>97.565956299999982</v>
      </c>
      <c r="CY12" s="157">
        <f t="shared" si="36"/>
        <v>90.741242659999969</v>
      </c>
      <c r="CZ12" s="157">
        <f t="shared" si="36"/>
        <v>98.00311660999995</v>
      </c>
      <c r="DA12" s="157">
        <f t="shared" si="36"/>
        <v>90.350864464999958</v>
      </c>
      <c r="DB12" s="157">
        <f t="shared" si="36"/>
        <v>112.20084974499997</v>
      </c>
      <c r="DE12" s="159"/>
    </row>
    <row r="13" spans="1:110" s="158" customFormat="1" x14ac:dyDescent="0.2">
      <c r="A13" s="155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>
        <f>SUM(BS13:BV13)</f>
        <v>1.3100000000000001E-2</v>
      </c>
      <c r="X13" s="156">
        <f>SUM(BW13:BZ13)</f>
        <v>0.18869999999999998</v>
      </c>
      <c r="Y13" s="156">
        <f>SUM(CA13:CD13)</f>
        <v>0.57010000000000005</v>
      </c>
      <c r="Z13" s="156">
        <f>SUM(CE13:CH13)</f>
        <v>0.66860000000000008</v>
      </c>
      <c r="AA13" s="157">
        <f t="shared" ref="AA13" si="37">SUM(CI13:CL13)</f>
        <v>1.6215999999999999</v>
      </c>
      <c r="AB13" s="157">
        <f>SUM(CM13:CP13)</f>
        <v>1.7837600000000002</v>
      </c>
      <c r="AC13" s="157">
        <f>SUM(CQ13:CT13)</f>
        <v>1.9621360000000005</v>
      </c>
      <c r="AD13" s="157">
        <f>SUM(CU13:CX13)</f>
        <v>2.1583496000000002</v>
      </c>
      <c r="AE13" s="157">
        <f>SUM(CY13:DB13)</f>
        <v>2.3741845600000007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>
        <v>0</v>
      </c>
      <c r="BT13" s="156">
        <v>0</v>
      </c>
      <c r="BU13" s="156">
        <v>0</v>
      </c>
      <c r="BV13" s="156">
        <v>1.3100000000000001E-2</v>
      </c>
      <c r="BW13" s="156">
        <v>2.0000000000000001E-4</v>
      </c>
      <c r="BX13" s="156">
        <v>4.8999999999999998E-3</v>
      </c>
      <c r="BY13" s="156">
        <v>2.7799999999999998E-2</v>
      </c>
      <c r="BZ13" s="156">
        <v>0.15579999999999999</v>
      </c>
      <c r="CA13" s="156">
        <v>0.1217</v>
      </c>
      <c r="CB13" s="156">
        <v>0.15809999999999999</v>
      </c>
      <c r="CC13" s="156">
        <v>0.24030000000000001</v>
      </c>
      <c r="CD13" s="156">
        <v>0.05</v>
      </c>
      <c r="CE13" s="156">
        <v>0.112</v>
      </c>
      <c r="CF13" s="156">
        <v>0.16950000000000001</v>
      </c>
      <c r="CG13" s="156">
        <v>0.26250000000000001</v>
      </c>
      <c r="CH13" s="156">
        <v>0.1246</v>
      </c>
      <c r="CI13" s="156">
        <v>7.46E-2</v>
      </c>
      <c r="CJ13" s="156">
        <v>0.29430000000000001</v>
      </c>
      <c r="CK13" s="156">
        <v>0.47070000000000001</v>
      </c>
      <c r="CL13" s="156">
        <v>0.78200000000000003</v>
      </c>
      <c r="CM13" s="157">
        <f t="shared" ref="CM13:DB13" si="38">CI13*(1+CM19)</f>
        <v>8.2060000000000008E-2</v>
      </c>
      <c r="CN13" s="157">
        <f t="shared" si="38"/>
        <v>0.32373000000000002</v>
      </c>
      <c r="CO13" s="157">
        <f t="shared" si="38"/>
        <v>0.51777000000000006</v>
      </c>
      <c r="CP13" s="157">
        <f t="shared" si="38"/>
        <v>0.86020000000000008</v>
      </c>
      <c r="CQ13" s="157">
        <f t="shared" si="38"/>
        <v>9.0266000000000013E-2</v>
      </c>
      <c r="CR13" s="157">
        <f t="shared" si="38"/>
        <v>0.35610300000000006</v>
      </c>
      <c r="CS13" s="157">
        <f t="shared" si="38"/>
        <v>0.56954700000000014</v>
      </c>
      <c r="CT13" s="157">
        <f t="shared" si="38"/>
        <v>0.94622000000000017</v>
      </c>
      <c r="CU13" s="157">
        <f t="shared" si="38"/>
        <v>9.9292600000000023E-2</v>
      </c>
      <c r="CV13" s="157">
        <f t="shared" si="38"/>
        <v>0.3917133000000001</v>
      </c>
      <c r="CW13" s="157">
        <f t="shared" si="38"/>
        <v>0.62650170000000016</v>
      </c>
      <c r="CX13" s="157">
        <f t="shared" si="38"/>
        <v>1.0408420000000003</v>
      </c>
      <c r="CY13" s="157">
        <f t="shared" si="38"/>
        <v>0.10922186000000003</v>
      </c>
      <c r="CZ13" s="157">
        <f t="shared" si="38"/>
        <v>0.43088463000000016</v>
      </c>
      <c r="DA13" s="157">
        <f t="shared" si="38"/>
        <v>0.68915187000000022</v>
      </c>
      <c r="DB13" s="157">
        <f t="shared" si="38"/>
        <v>1.1449262000000004</v>
      </c>
      <c r="DE13" s="159"/>
    </row>
    <row r="14" spans="1:110" s="109" customFormat="1" x14ac:dyDescent="0.2">
      <c r="A14" s="185" t="s">
        <v>531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>
        <f t="shared" ref="W14" si="39">SUM(W12:W13)</f>
        <v>106.32389999999999</v>
      </c>
      <c r="X14" s="107">
        <f t="shared" ref="X14" si="40">SUM(X12:X13)</f>
        <v>155.00450000000001</v>
      </c>
      <c r="Y14" s="107">
        <f t="shared" ref="Y14" si="41">SUM(Y12:Y13)</f>
        <v>225.78859999999997</v>
      </c>
      <c r="Z14" s="107">
        <f t="shared" ref="Z14:AE14" si="42">SUM(Z12:Z13)</f>
        <v>250.91159999999999</v>
      </c>
      <c r="AA14" s="108">
        <f>SUM(AA12:AA13)</f>
        <v>225.34640000000002</v>
      </c>
      <c r="AB14" s="108">
        <f t="shared" si="42"/>
        <v>259.06727999999993</v>
      </c>
      <c r="AC14" s="108">
        <f t="shared" si="42"/>
        <v>297.83818399999996</v>
      </c>
      <c r="AD14" s="108">
        <f t="shared" si="42"/>
        <v>342.41580479999988</v>
      </c>
      <c r="AE14" s="108">
        <f t="shared" si="42"/>
        <v>393.67025803999985</v>
      </c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>
        <f t="shared" ref="BS14:BV14" si="43">SUM(BS12:BS13)</f>
        <v>14.0418</v>
      </c>
      <c r="BT14" s="107">
        <f t="shared" si="43"/>
        <v>15.8497</v>
      </c>
      <c r="BU14" s="107">
        <f t="shared" si="43"/>
        <v>29.197900000000001</v>
      </c>
      <c r="BV14" s="107">
        <f t="shared" si="43"/>
        <v>47.234500000000004</v>
      </c>
      <c r="BW14" s="107">
        <f>SUM(BW12:BW13)</f>
        <v>27.106999999999999</v>
      </c>
      <c r="BX14" s="107">
        <f t="shared" ref="BX14:CJ14" si="44">SUM(BX12:BX13)</f>
        <v>36.287500000000001</v>
      </c>
      <c r="BY14" s="107">
        <f t="shared" si="44"/>
        <v>38.99</v>
      </c>
      <c r="BZ14" s="107">
        <f t="shared" si="44"/>
        <v>52.62</v>
      </c>
      <c r="CA14" s="107">
        <f t="shared" si="44"/>
        <v>69.154200000000003</v>
      </c>
      <c r="CB14" s="107">
        <f t="shared" si="44"/>
        <v>54.7288</v>
      </c>
      <c r="CC14" s="107">
        <f t="shared" si="44"/>
        <v>59.683799999999998</v>
      </c>
      <c r="CD14" s="107">
        <f t="shared" si="44"/>
        <v>42.221799999999995</v>
      </c>
      <c r="CE14" s="107">
        <f t="shared" si="44"/>
        <v>52.062899999999999</v>
      </c>
      <c r="CF14" s="107">
        <f t="shared" si="44"/>
        <v>77.910299999999992</v>
      </c>
      <c r="CG14" s="107">
        <f t="shared" si="44"/>
        <v>71.194900000000004</v>
      </c>
      <c r="CH14" s="107">
        <f t="shared" si="44"/>
        <v>49.743499999999997</v>
      </c>
      <c r="CI14" s="107">
        <f t="shared" si="44"/>
        <v>51.956199999999995</v>
      </c>
      <c r="CJ14" s="107">
        <f t="shared" si="44"/>
        <v>56.3279</v>
      </c>
      <c r="CK14" s="107">
        <f>SUM(CK12:CK13)</f>
        <v>52.129100000000001</v>
      </c>
      <c r="CL14" s="107">
        <f t="shared" ref="CL14:DB14" si="45">SUM(CL12:CL13)</f>
        <v>64.933199999999999</v>
      </c>
      <c r="CM14" s="108">
        <f t="shared" si="45"/>
        <v>59.745899999999992</v>
      </c>
      <c r="CN14" s="108">
        <f t="shared" si="45"/>
        <v>64.76236999999999</v>
      </c>
      <c r="CO14" s="108">
        <f t="shared" si="45"/>
        <v>59.924929999999996</v>
      </c>
      <c r="CP14" s="108">
        <f t="shared" si="45"/>
        <v>74.634079999999997</v>
      </c>
      <c r="CQ14" s="108">
        <f t="shared" si="45"/>
        <v>68.703681999999986</v>
      </c>
      <c r="CR14" s="108">
        <f t="shared" si="45"/>
        <v>74.460538999999983</v>
      </c>
      <c r="CS14" s="108">
        <f t="shared" si="45"/>
        <v>68.88778099999999</v>
      </c>
      <c r="CT14" s="108">
        <f t="shared" si="45"/>
        <v>85.786181999999982</v>
      </c>
      <c r="CU14" s="108">
        <f t="shared" si="45"/>
        <v>79.004720999999975</v>
      </c>
      <c r="CV14" s="108">
        <f t="shared" si="45"/>
        <v>85.611814699999968</v>
      </c>
      <c r="CW14" s="108">
        <f t="shared" si="45"/>
        <v>79.192470799999981</v>
      </c>
      <c r="CX14" s="108">
        <f t="shared" si="45"/>
        <v>98.60679829999998</v>
      </c>
      <c r="CY14" s="108">
        <f t="shared" si="45"/>
        <v>90.850464519999974</v>
      </c>
      <c r="CZ14" s="108">
        <f t="shared" si="45"/>
        <v>98.434001239999944</v>
      </c>
      <c r="DA14" s="108">
        <f t="shared" si="45"/>
        <v>91.040016334999962</v>
      </c>
      <c r="DB14" s="108">
        <f t="shared" si="45"/>
        <v>113.34577594499997</v>
      </c>
      <c r="DE14" s="117"/>
    </row>
    <row r="15" spans="1:110" s="158" customFormat="1" x14ac:dyDescent="0.2">
      <c r="A15" s="155" t="s">
        <v>533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>
        <f>(W14-W50)-W23</f>
        <v>-9.93780000000001</v>
      </c>
      <c r="X15" s="156">
        <f>(X14-X50)-X23</f>
        <v>-17.962199999999996</v>
      </c>
      <c r="Y15" s="156">
        <f>(Y14-Y50)-Y23</f>
        <v>-26.758800000000036</v>
      </c>
      <c r="Z15" s="156">
        <f>(Z14-Z50)-Z23</f>
        <v>-26.903700000000015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>
        <f t="shared" ref="BS15:CL15" si="46">(BS14-BS50)-BS23</f>
        <v>-1.9999999999953388E-4</v>
      </c>
      <c r="BT15" s="156">
        <f t="shared" si="46"/>
        <v>7.0000000000014495E-4</v>
      </c>
      <c r="BU15" s="156">
        <f t="shared" si="46"/>
        <v>-9.9999999999766942E-5</v>
      </c>
      <c r="BV15" s="156">
        <f t="shared" si="46"/>
        <v>-5.0000000000238742E-4</v>
      </c>
      <c r="BW15" s="156">
        <f t="shared" si="46"/>
        <v>0</v>
      </c>
      <c r="BX15" s="156">
        <f t="shared" si="46"/>
        <v>5.0000000000238742E-4</v>
      </c>
      <c r="BY15" s="156">
        <f t="shared" si="46"/>
        <v>0</v>
      </c>
      <c r="BZ15" s="156">
        <f t="shared" si="46"/>
        <v>0</v>
      </c>
      <c r="CA15" s="156">
        <f t="shared" si="46"/>
        <v>2.0000000000663931E-4</v>
      </c>
      <c r="CB15" s="156">
        <f t="shared" si="46"/>
        <v>-1.9999999999953388E-4</v>
      </c>
      <c r="CC15" s="156">
        <f t="shared" si="46"/>
        <v>-2.0000000000663931E-4</v>
      </c>
      <c r="CD15" s="156">
        <f t="shared" si="46"/>
        <v>-2.0000000000663931E-4</v>
      </c>
      <c r="CE15" s="156">
        <f t="shared" si="46"/>
        <v>-1.0000000000331966E-4</v>
      </c>
      <c r="CF15" s="156">
        <f t="shared" si="46"/>
        <v>-2.7000000000043656E-3</v>
      </c>
      <c r="CG15" s="156">
        <f t="shared" si="46"/>
        <v>-9.9999999989108801E-5</v>
      </c>
      <c r="CH15" s="156">
        <f t="shared" si="46"/>
        <v>4.99999999995282E-4</v>
      </c>
      <c r="CI15" s="156">
        <f t="shared" si="46"/>
        <v>-1.8000000000029104E-3</v>
      </c>
      <c r="CJ15" s="156">
        <f t="shared" si="46"/>
        <v>-9.9999999996214228E-5</v>
      </c>
      <c r="CK15" s="156">
        <f t="shared" si="46"/>
        <v>1.0000000000331966E-4</v>
      </c>
      <c r="CL15" s="156">
        <f t="shared" si="46"/>
        <v>3.1999999999996476E-3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1" customFormat="1" x14ac:dyDescent="0.2">
      <c r="A17" s="151" t="s">
        <v>532</v>
      </c>
    </row>
    <row r="18" spans="1:110" s="158" customFormat="1" x14ac:dyDescent="0.2">
      <c r="A18" s="155" t="s">
        <v>529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86">
        <f>X12/W12-1</f>
        <v>0.45625656095147438</v>
      </c>
      <c r="Y18" s="186">
        <f t="shared" ref="Y18:Z18" si="47">Y12/X12-1</f>
        <v>0.45475138842417873</v>
      </c>
      <c r="Z18" s="186">
        <f t="shared" si="47"/>
        <v>0.11111209780724063</v>
      </c>
      <c r="AA18" s="188">
        <f>AA12/Z12-1</f>
        <v>-0.10596979735696899</v>
      </c>
      <c r="AB18" s="188">
        <f t="shared" ref="AB18:AB19" si="48">AB12/AA12-1</f>
        <v>0.14999999999999969</v>
      </c>
      <c r="AC18" s="188">
        <f t="shared" ref="AC18:AC19" si="49">AC12/AB12-1</f>
        <v>0.15000000000000013</v>
      </c>
      <c r="AD18" s="188">
        <f t="shared" ref="AD18:AD19" si="50">AD12/AC12-1</f>
        <v>0.14999999999999969</v>
      </c>
      <c r="AE18" s="188">
        <f t="shared" ref="AE18:AE19" si="51">AE12/AD12-1</f>
        <v>0.14999999999999991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86">
        <f>BW12/BS12-1</f>
        <v>0.93043626885442032</v>
      </c>
      <c r="BX18" s="186">
        <f t="shared" ref="BX18:CL18" si="52">BX12/BT12-1</f>
        <v>1.2891663564610059</v>
      </c>
      <c r="BY18" s="186">
        <f t="shared" si="52"/>
        <v>0.33441788621784441</v>
      </c>
      <c r="BZ18" s="186">
        <f t="shared" si="52"/>
        <v>0.11102593315742437</v>
      </c>
      <c r="CA18" s="186">
        <f t="shared" si="52"/>
        <v>1.5466857024805583</v>
      </c>
      <c r="CB18" s="186">
        <f t="shared" si="52"/>
        <v>0.50404601654787684</v>
      </c>
      <c r="CC18" s="186">
        <f t="shared" si="52"/>
        <v>0.52567103500315682</v>
      </c>
      <c r="CD18" s="186">
        <f t="shared" si="52"/>
        <v>-0.19617949001414303</v>
      </c>
      <c r="CE18" s="186">
        <f t="shared" si="52"/>
        <v>-0.24744287111143304</v>
      </c>
      <c r="CF18" s="186">
        <f t="shared" si="52"/>
        <v>0.42458865288515613</v>
      </c>
      <c r="CG18" s="186">
        <f t="shared" si="52"/>
        <v>0.19327428566622085</v>
      </c>
      <c r="CH18" s="186">
        <f t="shared" si="52"/>
        <v>0.17658956933306147</v>
      </c>
      <c r="CI18" s="186">
        <f t="shared" si="52"/>
        <v>-1.3339518660888672E-3</v>
      </c>
      <c r="CJ18" s="186">
        <f t="shared" si="52"/>
        <v>-0.27922532312505144</v>
      </c>
      <c r="CK18" s="186">
        <f t="shared" si="52"/>
        <v>-0.27172350012124225</v>
      </c>
      <c r="CL18" s="186">
        <f t="shared" si="52"/>
        <v>0.29287831854394208</v>
      </c>
      <c r="CM18" s="187">
        <v>0.15</v>
      </c>
      <c r="CN18" s="187">
        <v>0.15</v>
      </c>
      <c r="CO18" s="187">
        <v>0.15</v>
      </c>
      <c r="CP18" s="187">
        <v>0.15</v>
      </c>
      <c r="CQ18" s="187">
        <v>0.15</v>
      </c>
      <c r="CR18" s="187">
        <v>0.15</v>
      </c>
      <c r="CS18" s="187">
        <v>0.15</v>
      </c>
      <c r="CT18" s="187">
        <v>0.15</v>
      </c>
      <c r="CU18" s="187">
        <v>0.15</v>
      </c>
      <c r="CV18" s="187">
        <v>0.15</v>
      </c>
      <c r="CW18" s="187">
        <v>0.15</v>
      </c>
      <c r="CX18" s="187">
        <v>0.15</v>
      </c>
      <c r="CY18" s="187">
        <v>0.15</v>
      </c>
      <c r="CZ18" s="187">
        <v>0.15</v>
      </c>
      <c r="DA18" s="187">
        <v>0.15</v>
      </c>
      <c r="DB18" s="187">
        <v>0.15</v>
      </c>
      <c r="DE18" s="159"/>
    </row>
    <row r="19" spans="1:110" s="158" customFormat="1" x14ac:dyDescent="0.2">
      <c r="A19" s="155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86">
        <f t="shared" ref="X19:Z19" si="53">X13/W13-1</f>
        <v>13.404580152671754</v>
      </c>
      <c r="Y19" s="186">
        <f t="shared" si="53"/>
        <v>2.0211976682564923</v>
      </c>
      <c r="Z19" s="186">
        <f t="shared" si="53"/>
        <v>0.17277670584108051</v>
      </c>
      <c r="AA19" s="188">
        <f t="shared" ref="AA19" si="54">AA13/Z13-1</f>
        <v>1.4253664373317374</v>
      </c>
      <c r="AB19" s="188">
        <f t="shared" si="48"/>
        <v>0.10000000000000009</v>
      </c>
      <c r="AC19" s="188">
        <f t="shared" si="49"/>
        <v>0.10000000000000009</v>
      </c>
      <c r="AD19" s="188">
        <f t="shared" si="50"/>
        <v>9.9999999999999867E-2</v>
      </c>
      <c r="AE19" s="188">
        <f t="shared" si="51"/>
        <v>0.10000000000000031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86" t="e">
        <f>BW13/BS13-1</f>
        <v>#DIV/0!</v>
      </c>
      <c r="BX19" s="186" t="e">
        <f t="shared" ref="BX19:CL19" si="55">BX13/BT13-1</f>
        <v>#DIV/0!</v>
      </c>
      <c r="BY19" s="186" t="e">
        <f t="shared" si="55"/>
        <v>#DIV/0!</v>
      </c>
      <c r="BZ19" s="186">
        <f t="shared" si="55"/>
        <v>10.893129770992365</v>
      </c>
      <c r="CA19" s="186">
        <f>CA13/BW13-1</f>
        <v>607.5</v>
      </c>
      <c r="CB19" s="186">
        <f t="shared" si="55"/>
        <v>31.265306122448976</v>
      </c>
      <c r="CC19" s="186">
        <f>CC13/BY13-1</f>
        <v>7.6438848920863318</v>
      </c>
      <c r="CD19" s="186">
        <f t="shared" si="55"/>
        <v>-0.67907573812580235</v>
      </c>
      <c r="CE19" s="186">
        <f t="shared" si="55"/>
        <v>-7.9704190632703398E-2</v>
      </c>
      <c r="CF19" s="186">
        <f t="shared" si="55"/>
        <v>7.2106261859582688E-2</v>
      </c>
      <c r="CG19" s="186">
        <f t="shared" si="55"/>
        <v>9.2384519350811489E-2</v>
      </c>
      <c r="CH19" s="186">
        <f t="shared" si="55"/>
        <v>1.492</v>
      </c>
      <c r="CI19" s="186">
        <f t="shared" si="55"/>
        <v>-0.33392857142857146</v>
      </c>
      <c r="CJ19" s="186">
        <f t="shared" si="55"/>
        <v>0.73628318584070795</v>
      </c>
      <c r="CK19" s="186">
        <f t="shared" si="55"/>
        <v>0.79314285714285715</v>
      </c>
      <c r="CL19" s="186">
        <f t="shared" si="55"/>
        <v>5.2760834670947032</v>
      </c>
      <c r="CM19" s="187">
        <v>0.1</v>
      </c>
      <c r="CN19" s="187">
        <v>0.1</v>
      </c>
      <c r="CO19" s="187">
        <v>0.1</v>
      </c>
      <c r="CP19" s="187">
        <v>0.1</v>
      </c>
      <c r="CQ19" s="187">
        <v>0.1</v>
      </c>
      <c r="CR19" s="187">
        <v>0.1</v>
      </c>
      <c r="CS19" s="187">
        <v>0.1</v>
      </c>
      <c r="CT19" s="187">
        <v>0.1</v>
      </c>
      <c r="CU19" s="187">
        <v>0.1</v>
      </c>
      <c r="CV19" s="187">
        <v>0.1</v>
      </c>
      <c r="CW19" s="187">
        <v>0.1</v>
      </c>
      <c r="CX19" s="187">
        <v>0.1</v>
      </c>
      <c r="CY19" s="187">
        <v>0.1</v>
      </c>
      <c r="CZ19" s="187">
        <v>0.1</v>
      </c>
      <c r="DA19" s="187">
        <v>0.1</v>
      </c>
      <c r="DB19" s="187">
        <v>0.1</v>
      </c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06" customFormat="1" x14ac:dyDescent="0.2">
      <c r="A21" s="151" t="s">
        <v>500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5"/>
      <c r="AB21" s="105"/>
      <c r="AC21" s="105"/>
      <c r="AD21" s="105"/>
      <c r="AE21" s="105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0" s="106" customFormat="1" x14ac:dyDescent="0.2">
      <c r="A22" s="151" t="s">
        <v>485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05"/>
      <c r="AC22" s="105"/>
      <c r="AD22" s="105"/>
      <c r="AE22" s="105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60"/>
      <c r="CK22" s="160"/>
      <c r="CL22" s="160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25" customFormat="1" outlineLevel="1" x14ac:dyDescent="0.2">
      <c r="A23" s="25" t="s">
        <v>430</v>
      </c>
      <c r="B23" s="25">
        <f>'Annual Raw'!C6</f>
        <v>18.299236799999999</v>
      </c>
      <c r="C23" s="25">
        <f>'Annual Raw'!D6</f>
        <v>7.7180276000000001</v>
      </c>
      <c r="D23" s="25">
        <f>'Annual Raw'!E6</f>
        <v>6.6204983000000004</v>
      </c>
      <c r="E23" s="25">
        <f>'Annual Raw'!F6</f>
        <v>9.8397860000000001</v>
      </c>
      <c r="F23" s="25">
        <f>'Annual Raw'!G6</f>
        <v>13.2090307</v>
      </c>
      <c r="G23" s="25">
        <f>'Annual Raw'!H6</f>
        <v>16.4950191</v>
      </c>
      <c r="H23" s="25">
        <f>'Annual Raw'!I6</f>
        <v>26.119254900000001</v>
      </c>
      <c r="I23" s="25">
        <f>'Annual Raw'!J6</f>
        <v>26.7658679</v>
      </c>
      <c r="J23" s="25">
        <f>'Annual Raw'!K6</f>
        <v>27.279905299999999</v>
      </c>
      <c r="K23" s="25">
        <f>'Annual Raw'!L6</f>
        <v>22.690498300000002</v>
      </c>
      <c r="L23" s="25">
        <f>'Annual Raw'!M6</f>
        <v>24.067049399999998</v>
      </c>
      <c r="M23" s="25">
        <f>'Annual Raw'!N6</f>
        <v>26.846307599999999</v>
      </c>
      <c r="N23" s="25">
        <f>'Annual Raw'!O6</f>
        <v>46.997975799999999</v>
      </c>
      <c r="O23" s="25">
        <f>'Annual Raw'!P6</f>
        <v>13.6706076</v>
      </c>
      <c r="P23" s="25">
        <f>'Annual Raw'!Q6</f>
        <v>26.1181932</v>
      </c>
      <c r="Q23" s="25">
        <f>'Annual Raw'!R6</f>
        <v>27.102640000000001</v>
      </c>
      <c r="R23" s="25">
        <f>'Annual Raw'!S6</f>
        <v>35.204327300000003</v>
      </c>
      <c r="S23" s="25">
        <f>'Annual Raw'!T6</f>
        <v>61.678060600000002</v>
      </c>
      <c r="T23" s="25">
        <f>'Annual Raw'!U6</f>
        <v>58.7487499</v>
      </c>
      <c r="U23" s="25">
        <f>'Annual Raw'!V6</f>
        <v>58.893212300000002</v>
      </c>
      <c r="V23" s="25">
        <f>'Annual Raw'!W6</f>
        <v>85.671000000000006</v>
      </c>
      <c r="W23" s="25">
        <f>'Annual Raw'!X6</f>
        <v>114.8913</v>
      </c>
      <c r="X23" s="25">
        <f>'Annual Raw'!Y6</f>
        <v>172.4881</v>
      </c>
      <c r="Y23" s="25">
        <f>'Annual Raw'!Z6</f>
        <v>251.1259</v>
      </c>
      <c r="Z23" s="25">
        <f>'Annual Raw'!AA6</f>
        <v>276.02719999999999</v>
      </c>
      <c r="AA23" s="25">
        <f>'Annual Raw'!AB6</f>
        <v>257.13119999999998</v>
      </c>
      <c r="AB23" s="17">
        <f>+SUM(CM23:CP23)</f>
        <v>259.06727999999998</v>
      </c>
      <c r="AC23" s="17">
        <f>+SUM(CQ23:CT23)</f>
        <v>297.83818399999996</v>
      </c>
      <c r="AD23" s="17">
        <f>+SUM(CU23:CX23)</f>
        <v>342.41580479999988</v>
      </c>
      <c r="AE23" s="17">
        <f>+SUM(CY23:DB23)</f>
        <v>393.67025803999985</v>
      </c>
      <c r="AI23" s="25">
        <f>'QTR Raw'!C6+'QTR Raw'!C8</f>
        <v>4.5250000000000004</v>
      </c>
      <c r="AJ23" s="25">
        <f>'QTR Raw'!D6+'QTR Raw'!D8</f>
        <v>2.7490000000000001</v>
      </c>
      <c r="AK23" s="25">
        <f>'QTR Raw'!E6+'QTR Raw'!E8</f>
        <v>9.9740000000000002</v>
      </c>
      <c r="AL23" s="25">
        <f>'QTR Raw'!F6+'QTR Raw'!F8</f>
        <v>25.699000000000002</v>
      </c>
      <c r="AM23" s="25">
        <f>'QTR Raw'!G6+'QTR Raw'!G8</f>
        <v>2.0009999999999999</v>
      </c>
      <c r="AN23" s="25">
        <f>'QTR Raw'!H6+'QTR Raw'!H8</f>
        <v>3.024</v>
      </c>
      <c r="AO23" s="25">
        <f>'QTR Raw'!I6+'QTR Raw'!I8</f>
        <v>4.8659999999999997</v>
      </c>
      <c r="AP23" s="25">
        <f>'QTR Raw'!J6+'QTR Raw'!J8</f>
        <v>3.1139999999999999</v>
      </c>
      <c r="AQ23" s="25">
        <f>'QTR Raw'!K6+'QTR Raw'!K8</f>
        <v>4.282</v>
      </c>
      <c r="AR23" s="25">
        <f>'QTR Raw'!L6+'QTR Raw'!L8</f>
        <v>10.315</v>
      </c>
      <c r="AS23" s="25">
        <f>'QTR Raw'!M6+'QTR Raw'!M8</f>
        <v>6.4320000000000004</v>
      </c>
      <c r="AT23" s="25">
        <f>'QTR Raw'!N6+'QTR Raw'!N8</f>
        <v>4.226</v>
      </c>
      <c r="AU23" s="25">
        <f>'QTR Raw'!O6+'QTR Raw'!O8</f>
        <v>3.7189999999999999</v>
      </c>
      <c r="AV23" s="25">
        <f>'QTR Raw'!P6+'QTR Raw'!P8</f>
        <v>3.8450000000000002</v>
      </c>
      <c r="AW23" s="25">
        <f>'QTR Raw'!Q6+'QTR Raw'!Q8</f>
        <v>3.8210000000000002</v>
      </c>
      <c r="AX23" s="25">
        <f>'QTR Raw'!R6+'QTR Raw'!R8</f>
        <v>13.212999999999999</v>
      </c>
      <c r="AY23" s="25">
        <f>'QTR Raw'!S6+'QTR Raw'!S8</f>
        <v>8.3680000000000003</v>
      </c>
      <c r="AZ23" s="25">
        <f>'QTR Raw'!T6+'QTR Raw'!T8</f>
        <v>7.8150000000000004</v>
      </c>
      <c r="BA23" s="25">
        <f>'QTR Raw'!U6+'QTR Raw'!U8</f>
        <v>8.4749999999999996</v>
      </c>
      <c r="BB23" s="25">
        <f>'QTR Raw'!V6+'QTR Raw'!V8</f>
        <v>10.318</v>
      </c>
      <c r="BC23" s="25">
        <f>'QTR Raw'!W6+'QTR Raw'!W8</f>
        <v>9.7629999999999999</v>
      </c>
      <c r="BD23" s="25">
        <f>'QTR Raw'!X6+'QTR Raw'!X8</f>
        <v>11.673999999999999</v>
      </c>
      <c r="BE23" s="25">
        <f>'QTR Raw'!Y6+'QTR Raw'!Y8</f>
        <v>16.385999999999999</v>
      </c>
      <c r="BF23" s="25">
        <f>'QTR Raw'!Z6+'QTR Raw'!Z8</f>
        <v>14.257999999999999</v>
      </c>
      <c r="BG23" s="25">
        <f>'QTR Raw'!AA6+'QTR Raw'!AA8</f>
        <v>12.182</v>
      </c>
      <c r="BH23" s="25">
        <f>'QTR Raw'!AB6+'QTR Raw'!AB8</f>
        <v>10.076000000000001</v>
      </c>
      <c r="BI23" s="25">
        <f>'QTR Raw'!AC6+'QTR Raw'!AC8</f>
        <v>14.045999999999999</v>
      </c>
      <c r="BJ23" s="25">
        <f>'QTR Raw'!AD6+'QTR Raw'!AD8</f>
        <v>14.476000000000001</v>
      </c>
      <c r="BK23" s="25">
        <f>'QTR Raw'!AE6+'QTR Raw'!AE8</f>
        <v>8.6850000000000005</v>
      </c>
      <c r="BL23" s="25">
        <f>'QTR Raw'!AF6+'QTR Raw'!AF8</f>
        <v>8.0609999999999999</v>
      </c>
      <c r="BM23" s="25">
        <f>'QTR Raw'!AG6+'QTR Raw'!AG8</f>
        <v>13.48</v>
      </c>
      <c r="BN23" s="25">
        <f>'QTR Raw'!AH6+'QTR Raw'!AH8</f>
        <v>21.693999999999999</v>
      </c>
      <c r="BO23" s="25">
        <f>'QTR Raw'!AI6+'QTR Raw'!AI8</f>
        <v>11.13</v>
      </c>
      <c r="BP23" s="25">
        <f>'QTR Raw'!AJ6+'QTR Raw'!AJ8</f>
        <v>12.515000000000001</v>
      </c>
      <c r="BQ23" s="25">
        <f>'QTR Raw'!AK6+'QTR Raw'!AK8</f>
        <v>24.986999999999998</v>
      </c>
      <c r="BR23" s="25">
        <f>'QTR Raw'!AL6+'QTR Raw'!AL8</f>
        <v>29.062999999999999</v>
      </c>
      <c r="BS23" s="25">
        <f>'QTR Raw'!AM6+'QTR Raw'!AM8</f>
        <v>13.715999999999999</v>
      </c>
      <c r="BT23" s="25">
        <f>'QTR Raw'!AN6+'QTR Raw'!AN8</f>
        <v>15.436</v>
      </c>
      <c r="BU23" s="25">
        <f>'QTR Raw'!AO6+'QTR Raw'!AO8</f>
        <v>29.093</v>
      </c>
      <c r="BV23" s="25">
        <f>'QTR Raw'!AP6+'QTR Raw'!AP8</f>
        <v>46.709000000000003</v>
      </c>
      <c r="BW23" s="25">
        <f>'QTR Raw'!AQ6+'QTR Raw'!AQ8</f>
        <v>26.989000000000001</v>
      </c>
      <c r="BX23" s="25">
        <f>'QTR Raw'!AR6+'QTR Raw'!AR8</f>
        <v>36.225000000000001</v>
      </c>
      <c r="BY23" s="25">
        <f>'QTR Raw'!AS6+'QTR Raw'!AS8</f>
        <v>38.704999999999998</v>
      </c>
      <c r="BZ23" s="25">
        <f>'QTR Raw'!AT6+'QTR Raw'!AT8</f>
        <v>52.530999999999999</v>
      </c>
      <c r="CA23" s="25">
        <f>'QTR Raw'!AU6+'QTR Raw'!AU8</f>
        <v>68.947999999999993</v>
      </c>
      <c r="CB23" s="25">
        <f>'QTR Raw'!AV6+'QTR Raw'!AV8</f>
        <v>54.332999999999998</v>
      </c>
      <c r="CC23" s="25">
        <f>'QTR Raw'!AW6+'QTR Raw'!AW8</f>
        <v>59.325000000000003</v>
      </c>
      <c r="CD23" s="25">
        <f>'QTR Raw'!AX6+'QTR Raw'!AX8</f>
        <v>41.761000000000003</v>
      </c>
      <c r="CE23" s="25">
        <f>'QTR Raw'!AY6+'QTR Raw'!AY8</f>
        <v>51.764000000000003</v>
      </c>
      <c r="CF23" s="25">
        <f>'QTR Raw'!AZ6+'QTR Raw'!AZ8</f>
        <v>77.42</v>
      </c>
      <c r="CG23" s="25">
        <f>'QTR Raw'!BA6+'QTR Raw'!BA8</f>
        <v>70.680999999999997</v>
      </c>
      <c r="CH23" s="25">
        <f>'QTR Raw'!BB6+'QTR Raw'!BB8</f>
        <v>49.261000000000003</v>
      </c>
      <c r="CI23" s="25">
        <f>'QTR Raw'!BC6+'QTR Raw'!BC8</f>
        <v>51.912999999999997</v>
      </c>
      <c r="CJ23" s="25">
        <f>'QTR Raw'!BD6+'QTR Raw'!BD8</f>
        <v>55.417999999999999</v>
      </c>
      <c r="CK23" s="25">
        <f>'QTR Raw'!BE6+'QTR Raw'!BE8</f>
        <v>51.716000000000001</v>
      </c>
      <c r="CL23" s="25">
        <f>'QTR Raw'!BF6+'QTR Raw'!BF8</f>
        <v>63.826000000000001</v>
      </c>
      <c r="CM23" s="17">
        <f t="shared" ref="CM23:DB23" si="56">CM14</f>
        <v>59.745899999999992</v>
      </c>
      <c r="CN23" s="17">
        <f t="shared" si="56"/>
        <v>64.76236999999999</v>
      </c>
      <c r="CO23" s="17">
        <f t="shared" si="56"/>
        <v>59.924929999999996</v>
      </c>
      <c r="CP23" s="17">
        <f t="shared" si="56"/>
        <v>74.634079999999997</v>
      </c>
      <c r="CQ23" s="17">
        <f t="shared" si="56"/>
        <v>68.703681999999986</v>
      </c>
      <c r="CR23" s="17">
        <f t="shared" si="56"/>
        <v>74.460538999999983</v>
      </c>
      <c r="CS23" s="17">
        <f t="shared" si="56"/>
        <v>68.88778099999999</v>
      </c>
      <c r="CT23" s="17">
        <f t="shared" si="56"/>
        <v>85.786181999999982</v>
      </c>
      <c r="CU23" s="17">
        <f t="shared" si="56"/>
        <v>79.004720999999975</v>
      </c>
      <c r="CV23" s="17">
        <f t="shared" si="56"/>
        <v>85.611814699999968</v>
      </c>
      <c r="CW23" s="17">
        <f t="shared" si="56"/>
        <v>79.192470799999981</v>
      </c>
      <c r="CX23" s="17">
        <f t="shared" si="56"/>
        <v>98.60679829999998</v>
      </c>
      <c r="CY23" s="17">
        <f t="shared" si="56"/>
        <v>90.850464519999974</v>
      </c>
      <c r="CZ23" s="17">
        <f t="shared" si="56"/>
        <v>98.434001239999944</v>
      </c>
      <c r="DA23" s="17">
        <f t="shared" si="56"/>
        <v>91.040016334999962</v>
      </c>
      <c r="DB23" s="17">
        <f t="shared" si="56"/>
        <v>113.34577594499997</v>
      </c>
      <c r="DE23" s="119"/>
      <c r="DF23" s="25">
        <v>222.87299999999999</v>
      </c>
    </row>
    <row r="24" spans="1:110" s="92" customFormat="1" outlineLevel="1" x14ac:dyDescent="0.2">
      <c r="A24" s="92" t="s">
        <v>109</v>
      </c>
      <c r="B24" s="92">
        <f>'Annual Raw'!C7+'Annual Raw'!C8+'Annual Raw'!C9</f>
        <v>2.6435151000000001</v>
      </c>
      <c r="C24" s="92">
        <f>'Annual Raw'!D7+'Annual Raw'!D8+'Annual Raw'!D9</f>
        <v>0.83077849999999998</v>
      </c>
      <c r="D24" s="92">
        <f>'Annual Raw'!E7+'Annual Raw'!E8+'Annual Raw'!E9</f>
        <v>0.73669910000000005</v>
      </c>
      <c r="E24" s="92">
        <f>'Annual Raw'!F7+'Annual Raw'!F8+'Annual Raw'!F9</f>
        <v>0.52498840000000002</v>
      </c>
      <c r="F24" s="92">
        <f>'Annual Raw'!G7+'Annual Raw'!G8+'Annual Raw'!G9</f>
        <v>1.4214415</v>
      </c>
      <c r="G24" s="92">
        <f>'Annual Raw'!H7+'Annual Raw'!H8+'Annual Raw'!H9</f>
        <v>0.3748225</v>
      </c>
      <c r="H24" s="92">
        <f>'Annual Raw'!I7+'Annual Raw'!I8+'Annual Raw'!I9</f>
        <v>3.4731337999999998</v>
      </c>
      <c r="I24" s="92">
        <f>'Annual Raw'!J7+'Annual Raw'!J8+'Annual Raw'!J9</f>
        <v>2.7262873999999999</v>
      </c>
      <c r="J24" s="92">
        <f>'Annual Raw'!K7+'Annual Raw'!K8+'Annual Raw'!K9</f>
        <v>1.5344947</v>
      </c>
      <c r="K24" s="92">
        <f>'Annual Raw'!L7+'Annual Raw'!L8+'Annual Raw'!L9</f>
        <v>1.1464650999999999</v>
      </c>
      <c r="L24" s="92">
        <f>'Annual Raw'!M7+'Annual Raw'!M8+'Annual Raw'!M9</f>
        <v>1.8058126999999999</v>
      </c>
      <c r="M24" s="92">
        <f>'Annual Raw'!N7+'Annual Raw'!N8+'Annual Raw'!N9</f>
        <v>0.83247819999999995</v>
      </c>
      <c r="N24" s="92">
        <f>'Annual Raw'!O7+'Annual Raw'!O8+'Annual Raw'!O9</f>
        <v>4.0519683999999998</v>
      </c>
      <c r="O24" s="92">
        <f>'Annual Raw'!P7+'Annual Raw'!P8+'Annual Raw'!P9</f>
        <v>0.66522729999999997</v>
      </c>
      <c r="P24" s="92">
        <f>'Annual Raw'!Q7+'Annual Raw'!Q8+'Annual Raw'!Q9</f>
        <v>0.83559340000000004</v>
      </c>
      <c r="Q24" s="92">
        <f>'Annual Raw'!R7+'Annual Raw'!R8+'Annual Raw'!R9</f>
        <v>2.4716832000000002</v>
      </c>
      <c r="R24" s="92">
        <f>'Annual Raw'!S7+'Annual Raw'!S8+'Annual Raw'!S9</f>
        <v>1.6166444</v>
      </c>
      <c r="S24" s="92">
        <f>'Annual Raw'!T7+'Annual Raw'!T8+'Annual Raw'!T9</f>
        <v>9.9839493000000008</v>
      </c>
      <c r="T24" s="92">
        <f>'Annual Raw'!U7+'Annual Raw'!U8+'Annual Raw'!U9</f>
        <v>8.2375275999999999</v>
      </c>
      <c r="U24" s="92">
        <f>'Annual Raw'!V7+'Annual Raw'!V8+'Annual Raw'!V9</f>
        <v>6.9739069999999996</v>
      </c>
      <c r="V24" s="92">
        <f>'Annual Raw'!W7+'Annual Raw'!W8+'Annual Raw'!W9</f>
        <v>7.9749999999999996</v>
      </c>
      <c r="W24" s="92">
        <f>'Annual Raw'!X7+'Annual Raw'!X8+'Annual Raw'!X9</f>
        <v>9.9377999999999993</v>
      </c>
      <c r="X24" s="92">
        <f>'Annual Raw'!Y7+'Annual Raw'!Y8+'Annual Raw'!Y9</f>
        <v>18.036999999999999</v>
      </c>
      <c r="Y24" s="92">
        <f>'Annual Raw'!Z7+'Annual Raw'!Z8+'Annual Raw'!Z9</f>
        <v>26.758900000000001</v>
      </c>
      <c r="Z24" s="92">
        <f>'Annual Raw'!AA7+'Annual Raw'!AA8+'Annual Raw'!AA9</f>
        <v>26.901</v>
      </c>
      <c r="AA24" s="92">
        <f>'Annual Raw'!AB7+'Annual Raw'!AB8+'Annual Raw'!AB9</f>
        <v>34.258800000000001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92">
        <f>+'QTR Raw'!C20+'QTR Raw'!C19+'QTR Raw'!C13+'QTR Raw'!C7</f>
        <v>0</v>
      </c>
      <c r="AJ24" s="92">
        <f>+'QTR Raw'!D20+'QTR Raw'!D19+'QTR Raw'!D13+'QTR Raw'!D7</f>
        <v>0</v>
      </c>
      <c r="AK24" s="92">
        <f>+'QTR Raw'!E20+'QTR Raw'!E19+'QTR Raw'!E13+'QTR Raw'!E7</f>
        <v>0</v>
      </c>
      <c r="AL24" s="92">
        <f>+'QTR Raw'!F20+'QTR Raw'!F19+'QTR Raw'!F13+'QTR Raw'!F7</f>
        <v>0</v>
      </c>
      <c r="AM24" s="92">
        <f>+'QTR Raw'!G20+'QTR Raw'!G19+'QTR Raw'!G13+'QTR Raw'!G7</f>
        <v>0</v>
      </c>
      <c r="AN24" s="92">
        <f>+'QTR Raw'!H20+'QTR Raw'!H19+'QTR Raw'!H13+'QTR Raw'!H7</f>
        <v>0</v>
      </c>
      <c r="AO24" s="92">
        <f>+'QTR Raw'!I20+'QTR Raw'!I19+'QTR Raw'!I13+'QTR Raw'!I7</f>
        <v>0</v>
      </c>
      <c r="AP24" s="92">
        <f>+'QTR Raw'!J20+'QTR Raw'!J19+'QTR Raw'!J13+'QTR Raw'!J7</f>
        <v>0</v>
      </c>
      <c r="AQ24" s="92">
        <f>+'QTR Raw'!K20+'QTR Raw'!K19+'QTR Raw'!K13+'QTR Raw'!K7</f>
        <v>0</v>
      </c>
      <c r="AR24" s="92">
        <f>+'QTR Raw'!L20+'QTR Raw'!L19+'QTR Raw'!L13+'QTR Raw'!L7</f>
        <v>0</v>
      </c>
      <c r="AS24" s="92">
        <f>+'QTR Raw'!M20+'QTR Raw'!M19+'QTR Raw'!M13+'QTR Raw'!M7</f>
        <v>0</v>
      </c>
      <c r="AT24" s="92">
        <f>+'QTR Raw'!N20+'QTR Raw'!N19+'QTR Raw'!N13+'QTR Raw'!N7</f>
        <v>0</v>
      </c>
      <c r="AU24" s="92">
        <f>+'QTR Raw'!O20+'QTR Raw'!O19+'QTR Raw'!O13+'QTR Raw'!O7</f>
        <v>0</v>
      </c>
      <c r="AV24" s="92">
        <f>+'QTR Raw'!P20+'QTR Raw'!P19+'QTR Raw'!P13+'QTR Raw'!P7</f>
        <v>0</v>
      </c>
      <c r="AW24" s="92">
        <f>+'QTR Raw'!Q20+'QTR Raw'!Q19+'QTR Raw'!Q13+'QTR Raw'!Q7</f>
        <v>0</v>
      </c>
      <c r="AX24" s="92">
        <f>+'QTR Raw'!R20+'QTR Raw'!R19+'QTR Raw'!R13+'QTR Raw'!R7</f>
        <v>0</v>
      </c>
      <c r="AY24" s="92">
        <f>+'QTR Raw'!S20+'QTR Raw'!S19+'QTR Raw'!S13+'QTR Raw'!S7</f>
        <v>0.49</v>
      </c>
      <c r="AZ24" s="92">
        <f>+'QTR Raw'!T20+'QTR Raw'!T19+'QTR Raw'!T13+'QTR Raw'!T7</f>
        <v>0.44500000000000001</v>
      </c>
      <c r="BA24" s="92">
        <f>+'QTR Raw'!U20+'QTR Raw'!U19+'QTR Raw'!U13+'QTR Raw'!U7</f>
        <v>0.17599999999999999</v>
      </c>
      <c r="BB24" s="92">
        <f>+'QTR Raw'!V20+'QTR Raw'!V19+'QTR Raw'!V13+'QTR Raw'!V7</f>
        <v>0.27700000000000002</v>
      </c>
      <c r="BC24" s="92">
        <f>+'QTR Raw'!W20+'QTR Raw'!W19+'QTR Raw'!W13+'QTR Raw'!W7</f>
        <v>0.27800000000000002</v>
      </c>
      <c r="BD24" s="92">
        <f>+'QTR Raw'!X20+'QTR Raw'!X19+'QTR Raw'!X13+'QTR Raw'!X7</f>
        <v>0</v>
      </c>
      <c r="BE24" s="92">
        <f>+'QTR Raw'!Y20+'QTR Raw'!Y19+'QTR Raw'!Y13+'QTR Raw'!Y7</f>
        <v>0</v>
      </c>
      <c r="BF24" s="92">
        <f>+'QTR Raw'!Z20+'QTR Raw'!Z19+'QTR Raw'!Z13+'QTR Raw'!Z7</f>
        <v>0</v>
      </c>
      <c r="BG24" s="92">
        <f>+'QTR Raw'!AA20+'QTR Raw'!AA19+'QTR Raw'!AA13+'QTR Raw'!AA7</f>
        <v>0</v>
      </c>
      <c r="BH24" s="92">
        <f>+'QTR Raw'!AB20+'QTR Raw'!AB19+'QTR Raw'!AB13+'QTR Raw'!AB7</f>
        <v>0</v>
      </c>
      <c r="BI24" s="92">
        <f>+'QTR Raw'!AC20+'QTR Raw'!AC19+'QTR Raw'!AC13+'QTR Raw'!AC7</f>
        <v>0</v>
      </c>
      <c r="BJ24" s="92">
        <f>+'QTR Raw'!AD20+'QTR Raw'!AD19+'QTR Raw'!AD13+'QTR Raw'!AD7</f>
        <v>0</v>
      </c>
      <c r="BK24" s="92">
        <f>+'QTR Raw'!AE20+'QTR Raw'!AE19+'QTR Raw'!AE13+'QTR Raw'!AE7</f>
        <v>0</v>
      </c>
      <c r="BL24" s="92">
        <f>+'QTR Raw'!AF20+'QTR Raw'!AF19+'QTR Raw'!AF13+'QTR Raw'!AF7</f>
        <v>0</v>
      </c>
      <c r="BM24" s="92">
        <f>+'QTR Raw'!AG20+'QTR Raw'!AG19+'QTR Raw'!AG13+'QTR Raw'!AG7</f>
        <v>0</v>
      </c>
      <c r="BN24" s="92">
        <f>+'QTR Raw'!AH20+'QTR Raw'!AH19+'QTR Raw'!AH13+'QTR Raw'!AH7</f>
        <v>0</v>
      </c>
      <c r="BO24" s="92">
        <f>+'QTR Raw'!AI20+'QTR Raw'!AI19+'QTR Raw'!AI13+'QTR Raw'!AI7</f>
        <v>0</v>
      </c>
      <c r="BP24" s="92">
        <f>+'QTR Raw'!AJ20+'QTR Raw'!AJ19+'QTR Raw'!AJ13+'QTR Raw'!AJ7</f>
        <v>0</v>
      </c>
      <c r="BQ24" s="92">
        <f>+'QTR Raw'!AK20+'QTR Raw'!AK19+'QTR Raw'!AK13+'QTR Raw'!AK7</f>
        <v>0</v>
      </c>
      <c r="BR24" s="92">
        <f>+'QTR Raw'!AL20+'QTR Raw'!AL19+'QTR Raw'!AL13+'QTR Raw'!AL7</f>
        <v>0</v>
      </c>
      <c r="BS24" s="92">
        <f>+'QTR Raw'!AM20+'QTR Raw'!AM19+'QTR Raw'!AM13+'QTR Raw'!AM7</f>
        <v>0</v>
      </c>
      <c r="BT24" s="92">
        <f>+'QTR Raw'!AN20+'QTR Raw'!AN19+'QTR Raw'!AN13+'QTR Raw'!AN7</f>
        <v>0</v>
      </c>
      <c r="BU24" s="92">
        <f>+'QTR Raw'!AO20+'QTR Raw'!AO19+'QTR Raw'!AO13+'QTR Raw'!AO7</f>
        <v>0</v>
      </c>
      <c r="BV24" s="92">
        <f>+'QTR Raw'!AP20+'QTR Raw'!AP19+'QTR Raw'!AP13+'QTR Raw'!AP7</f>
        <v>0</v>
      </c>
      <c r="BW24" s="92">
        <f>+'QTR Raw'!AQ20+'QTR Raw'!AQ19+'QTR Raw'!AQ13+'QTR Raw'!AQ7</f>
        <v>0</v>
      </c>
      <c r="BX24" s="92">
        <f>+'QTR Raw'!AR20+'QTR Raw'!AR19+'QTR Raw'!AR13+'QTR Raw'!AR7</f>
        <v>0</v>
      </c>
      <c r="BY24" s="92">
        <f>+'QTR Raw'!AS20+'QTR Raw'!AS19+'QTR Raw'!AS13+'QTR Raw'!AS7</f>
        <v>0</v>
      </c>
      <c r="BZ24" s="92">
        <f>+'QTR Raw'!AT20+'QTR Raw'!AT19+'QTR Raw'!AT13+'QTR Raw'!AT7</f>
        <v>0</v>
      </c>
      <c r="CA24" s="92">
        <f>+'QTR Raw'!AU20+'QTR Raw'!AU19+'QTR Raw'!AU13+'QTR Raw'!AU7</f>
        <v>0</v>
      </c>
      <c r="CB24" s="92">
        <f>+'QTR Raw'!AV20+'QTR Raw'!AV19+'QTR Raw'!AV13+'QTR Raw'!AV7</f>
        <v>0</v>
      </c>
      <c r="CC24" s="92">
        <f>+'QTR Raw'!AW20+'QTR Raw'!AW19+'QTR Raw'!AW13+'QTR Raw'!AW7</f>
        <v>0</v>
      </c>
      <c r="CD24" s="92">
        <f>+'QTR Raw'!AX20+'QTR Raw'!AX19+'QTR Raw'!AX13+'QTR Raw'!AX7</f>
        <v>0</v>
      </c>
      <c r="CE24" s="92">
        <f>+'QTR Raw'!AY20+'QTR Raw'!AY19+'QTR Raw'!AY13+'QTR Raw'!AY7</f>
        <v>0</v>
      </c>
      <c r="CF24" s="92">
        <f>+'QTR Raw'!AZ20+'QTR Raw'!AZ19+'QTR Raw'!AZ13+'QTR Raw'!AZ7</f>
        <v>0</v>
      </c>
      <c r="CG24" s="92">
        <f>+'QTR Raw'!BA20+'QTR Raw'!BA19+'QTR Raw'!BA13+'QTR Raw'!BA7</f>
        <v>0</v>
      </c>
      <c r="CH24" s="92">
        <f>+'QTR Raw'!BB20+'QTR Raw'!BB19+'QTR Raw'!BB13+'QTR Raw'!BB7</f>
        <v>0</v>
      </c>
      <c r="CI24" s="92">
        <f>+'QTR Raw'!BC20+'QTR Raw'!BC19+'QTR Raw'!BC13+'QTR Raw'!BC7</f>
        <v>0</v>
      </c>
      <c r="CJ24" s="92">
        <f>+'QTR Raw'!BD20+'QTR Raw'!BD19+'QTR Raw'!BD13+'QTR Raw'!BD7</f>
        <v>0</v>
      </c>
      <c r="CK24" s="92">
        <f>+'QTR Raw'!BE20+'QTR Raw'!BE19+'QTR Raw'!BE13+'QTR Raw'!BE7</f>
        <v>0</v>
      </c>
      <c r="CL24" s="92">
        <f>+'QTR Raw'!BF20+'QTR Raw'!BF19+'QTR Raw'!BF13+'QTR Raw'!BF7</f>
        <v>0</v>
      </c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E24" s="120"/>
      <c r="DF24" s="92">
        <v>0</v>
      </c>
    </row>
    <row r="25" spans="1:110" s="26" customFormat="1" x14ac:dyDescent="0.2">
      <c r="A25" s="26" t="s">
        <v>431</v>
      </c>
      <c r="B25" s="26">
        <f>+B23-B24</f>
        <v>15.655721699999999</v>
      </c>
      <c r="C25" s="26">
        <f>+C23-C24</f>
        <v>6.8872491</v>
      </c>
      <c r="D25" s="26">
        <f t="shared" ref="D25:U25" si="57">+D23-D24</f>
        <v>5.8837992000000003</v>
      </c>
      <c r="E25" s="26">
        <f t="shared" si="57"/>
        <v>9.3147976000000003</v>
      </c>
      <c r="F25" s="26">
        <f t="shared" si="57"/>
        <v>11.787589199999999</v>
      </c>
      <c r="G25" s="26">
        <f t="shared" si="57"/>
        <v>16.1201966</v>
      </c>
      <c r="H25" s="26">
        <f t="shared" si="57"/>
        <v>22.646121100000002</v>
      </c>
      <c r="I25" s="26">
        <f t="shared" si="57"/>
        <v>24.0395805</v>
      </c>
      <c r="J25" s="26">
        <f t="shared" si="57"/>
        <v>25.7454106</v>
      </c>
      <c r="K25" s="26">
        <f t="shared" si="57"/>
        <v>21.544033200000001</v>
      </c>
      <c r="L25" s="26">
        <f t="shared" si="57"/>
        <v>22.261236699999998</v>
      </c>
      <c r="M25" s="26">
        <f t="shared" si="57"/>
        <v>26.013829399999999</v>
      </c>
      <c r="N25" s="26">
        <f t="shared" si="57"/>
        <v>42.946007399999999</v>
      </c>
      <c r="O25" s="26">
        <f t="shared" si="57"/>
        <v>13.005380300000001</v>
      </c>
      <c r="P25" s="26">
        <f t="shared" si="57"/>
        <v>25.2825998</v>
      </c>
      <c r="Q25" s="26">
        <f t="shared" si="57"/>
        <v>24.6309568</v>
      </c>
      <c r="R25" s="26">
        <f t="shared" si="57"/>
        <v>33.587682900000004</v>
      </c>
      <c r="S25" s="26">
        <f t="shared" si="57"/>
        <v>51.694111300000003</v>
      </c>
      <c r="T25" s="26">
        <f t="shared" si="57"/>
        <v>50.5112223</v>
      </c>
      <c r="U25" s="26">
        <f t="shared" si="57"/>
        <v>51.919305300000005</v>
      </c>
      <c r="V25" s="26">
        <f t="shared" ref="V25:AA25" si="58">+V23-V24</f>
        <v>77.696000000000012</v>
      </c>
      <c r="W25" s="26">
        <f t="shared" si="58"/>
        <v>104.95350000000001</v>
      </c>
      <c r="X25" s="26">
        <f t="shared" si="58"/>
        <v>154.4511</v>
      </c>
      <c r="Y25" s="26">
        <f t="shared" si="58"/>
        <v>224.36699999999999</v>
      </c>
      <c r="Z25" s="26">
        <f t="shared" si="58"/>
        <v>249.12619999999998</v>
      </c>
      <c r="AA25" s="26">
        <f t="shared" si="58"/>
        <v>222.87239999999997</v>
      </c>
      <c r="AB25" s="27">
        <f t="shared" ref="AB25:AD25" si="59">+AB23-AB24</f>
        <v>259.06727999999998</v>
      </c>
      <c r="AC25" s="27">
        <f t="shared" si="59"/>
        <v>297.83818399999996</v>
      </c>
      <c r="AD25" s="27">
        <f t="shared" si="59"/>
        <v>342.41580479999988</v>
      </c>
      <c r="AE25" s="27">
        <f t="shared" ref="AE25" si="60">+AE23-AE24</f>
        <v>393.67025803999985</v>
      </c>
      <c r="AI25" s="26">
        <f t="shared" ref="AI25" si="61">+AI23-AI24</f>
        <v>4.5250000000000004</v>
      </c>
      <c r="AJ25" s="26">
        <f t="shared" ref="AJ25" si="62">+AJ23-AJ24</f>
        <v>2.7490000000000001</v>
      </c>
      <c r="AK25" s="26">
        <f t="shared" ref="AK25:AM25" si="63">+AK23-AK24</f>
        <v>9.9740000000000002</v>
      </c>
      <c r="AL25" s="26">
        <f t="shared" si="63"/>
        <v>25.699000000000002</v>
      </c>
      <c r="AM25" s="26">
        <f t="shared" si="63"/>
        <v>2.0009999999999999</v>
      </c>
      <c r="AN25" s="26">
        <f t="shared" ref="AN25:AO25" si="64">+AN23-AN24</f>
        <v>3.024</v>
      </c>
      <c r="AO25" s="26">
        <f t="shared" si="64"/>
        <v>4.8659999999999997</v>
      </c>
      <c r="AP25" s="26">
        <f t="shared" ref="AP25:AW25" si="65">+AP23-AP24</f>
        <v>3.1139999999999999</v>
      </c>
      <c r="AQ25" s="26">
        <f t="shared" si="65"/>
        <v>4.282</v>
      </c>
      <c r="AR25" s="26">
        <f t="shared" si="65"/>
        <v>10.315</v>
      </c>
      <c r="AS25" s="26">
        <f t="shared" si="65"/>
        <v>6.4320000000000004</v>
      </c>
      <c r="AT25" s="26">
        <f t="shared" si="65"/>
        <v>4.226</v>
      </c>
      <c r="AU25" s="26">
        <f t="shared" si="65"/>
        <v>3.7189999999999999</v>
      </c>
      <c r="AV25" s="26">
        <f t="shared" si="65"/>
        <v>3.8450000000000002</v>
      </c>
      <c r="AW25" s="26">
        <f t="shared" si="65"/>
        <v>3.8210000000000002</v>
      </c>
      <c r="AX25" s="26">
        <f t="shared" ref="AX25:CF25" si="66">+AX23-AX24</f>
        <v>13.212999999999999</v>
      </c>
      <c r="AY25" s="26">
        <f t="shared" si="66"/>
        <v>7.8780000000000001</v>
      </c>
      <c r="AZ25" s="26">
        <f t="shared" si="66"/>
        <v>7.37</v>
      </c>
      <c r="BA25" s="26">
        <f t="shared" si="66"/>
        <v>8.2989999999999995</v>
      </c>
      <c r="BB25" s="26">
        <f t="shared" si="66"/>
        <v>10.041</v>
      </c>
      <c r="BC25" s="26">
        <f t="shared" si="66"/>
        <v>9.4849999999999994</v>
      </c>
      <c r="BD25" s="26">
        <f t="shared" si="66"/>
        <v>11.673999999999999</v>
      </c>
      <c r="BE25" s="26">
        <f t="shared" si="66"/>
        <v>16.385999999999999</v>
      </c>
      <c r="BF25" s="26">
        <f t="shared" si="66"/>
        <v>14.257999999999999</v>
      </c>
      <c r="BG25" s="26">
        <f t="shared" si="66"/>
        <v>12.182</v>
      </c>
      <c r="BH25" s="26">
        <f t="shared" si="66"/>
        <v>10.076000000000001</v>
      </c>
      <c r="BI25" s="26">
        <f t="shared" si="66"/>
        <v>14.045999999999999</v>
      </c>
      <c r="BJ25" s="26">
        <f t="shared" si="66"/>
        <v>14.476000000000001</v>
      </c>
      <c r="BK25" s="26">
        <f t="shared" si="66"/>
        <v>8.6850000000000005</v>
      </c>
      <c r="BL25" s="26">
        <f t="shared" si="66"/>
        <v>8.0609999999999999</v>
      </c>
      <c r="BM25" s="26">
        <f t="shared" si="66"/>
        <v>13.48</v>
      </c>
      <c r="BN25" s="26">
        <f t="shared" si="66"/>
        <v>21.693999999999999</v>
      </c>
      <c r="BO25" s="26">
        <f t="shared" si="66"/>
        <v>11.13</v>
      </c>
      <c r="BP25" s="26">
        <f t="shared" si="66"/>
        <v>12.515000000000001</v>
      </c>
      <c r="BQ25" s="26">
        <f t="shared" si="66"/>
        <v>24.986999999999998</v>
      </c>
      <c r="BR25" s="26">
        <f t="shared" si="66"/>
        <v>29.062999999999999</v>
      </c>
      <c r="BS25" s="26">
        <f t="shared" si="66"/>
        <v>13.715999999999999</v>
      </c>
      <c r="BT25" s="26">
        <f t="shared" si="66"/>
        <v>15.436</v>
      </c>
      <c r="BU25" s="26">
        <f t="shared" si="66"/>
        <v>29.093</v>
      </c>
      <c r="BV25" s="26">
        <f t="shared" si="66"/>
        <v>46.709000000000003</v>
      </c>
      <c r="BW25" s="26">
        <f t="shared" si="66"/>
        <v>26.989000000000001</v>
      </c>
      <c r="BX25" s="26">
        <f t="shared" si="66"/>
        <v>36.225000000000001</v>
      </c>
      <c r="BY25" s="26">
        <f t="shared" si="66"/>
        <v>38.704999999999998</v>
      </c>
      <c r="BZ25" s="26">
        <f t="shared" si="66"/>
        <v>52.530999999999999</v>
      </c>
      <c r="CA25" s="26">
        <f t="shared" si="66"/>
        <v>68.947999999999993</v>
      </c>
      <c r="CB25" s="26">
        <f t="shared" si="66"/>
        <v>54.332999999999998</v>
      </c>
      <c r="CC25" s="26">
        <f t="shared" si="66"/>
        <v>59.325000000000003</v>
      </c>
      <c r="CD25" s="26">
        <f t="shared" si="66"/>
        <v>41.761000000000003</v>
      </c>
      <c r="CE25" s="26">
        <f t="shared" si="66"/>
        <v>51.764000000000003</v>
      </c>
      <c r="CF25" s="26">
        <f t="shared" si="66"/>
        <v>77.42</v>
      </c>
      <c r="CG25" s="26">
        <f t="shared" ref="CG25:CH25" si="67">+CG23-CG24</f>
        <v>70.680999999999997</v>
      </c>
      <c r="CH25" s="26">
        <f t="shared" si="67"/>
        <v>49.261000000000003</v>
      </c>
      <c r="CI25" s="26">
        <f t="shared" ref="CI25:CJ25" si="68">+CI23-CI24</f>
        <v>51.912999999999997</v>
      </c>
      <c r="CJ25" s="26">
        <f t="shared" si="68"/>
        <v>55.417999999999999</v>
      </c>
      <c r="CK25" s="26">
        <f t="shared" ref="CK25:CL25" si="69">+CK23-CK24</f>
        <v>51.716000000000001</v>
      </c>
      <c r="CL25" s="26">
        <f t="shared" si="69"/>
        <v>63.826000000000001</v>
      </c>
      <c r="CM25" s="27">
        <f t="shared" ref="CM25:DB25" si="70">+CM23-CM24</f>
        <v>59.745899999999992</v>
      </c>
      <c r="CN25" s="27">
        <f t="shared" si="70"/>
        <v>64.76236999999999</v>
      </c>
      <c r="CO25" s="27">
        <f t="shared" si="70"/>
        <v>59.924929999999996</v>
      </c>
      <c r="CP25" s="27">
        <f t="shared" si="70"/>
        <v>74.634079999999997</v>
      </c>
      <c r="CQ25" s="27">
        <f t="shared" si="70"/>
        <v>68.703681999999986</v>
      </c>
      <c r="CR25" s="27">
        <f t="shared" si="70"/>
        <v>74.460538999999983</v>
      </c>
      <c r="CS25" s="27">
        <f t="shared" si="70"/>
        <v>68.88778099999999</v>
      </c>
      <c r="CT25" s="27">
        <f t="shared" si="70"/>
        <v>85.786181999999982</v>
      </c>
      <c r="CU25" s="27">
        <f t="shared" si="70"/>
        <v>79.004720999999975</v>
      </c>
      <c r="CV25" s="27">
        <f t="shared" si="70"/>
        <v>85.611814699999968</v>
      </c>
      <c r="CW25" s="27">
        <f t="shared" si="70"/>
        <v>79.192470799999981</v>
      </c>
      <c r="CX25" s="27">
        <f t="shared" si="70"/>
        <v>98.60679829999998</v>
      </c>
      <c r="CY25" s="27">
        <f t="shared" si="70"/>
        <v>90.850464519999974</v>
      </c>
      <c r="CZ25" s="27">
        <f t="shared" si="70"/>
        <v>98.434001239999944</v>
      </c>
      <c r="DA25" s="27">
        <f t="shared" si="70"/>
        <v>91.040016334999962</v>
      </c>
      <c r="DB25" s="27">
        <f t="shared" si="70"/>
        <v>113.34577594499997</v>
      </c>
      <c r="DE25" s="121"/>
      <c r="DF25" s="26">
        <v>222.87299999999999</v>
      </c>
    </row>
    <row r="26" spans="1:110" s="39" customFormat="1" x14ac:dyDescent="0.2">
      <c r="A26" s="39" t="s">
        <v>484</v>
      </c>
      <c r="C26" s="39">
        <f t="shared" ref="C26" si="71">C25/B25-1</f>
        <v>-0.56008102136869231</v>
      </c>
      <c r="D26" s="39">
        <f t="shared" ref="D26" si="72">D25/C25-1</f>
        <v>-0.14569676302255419</v>
      </c>
      <c r="E26" s="39">
        <f t="shared" ref="E26" si="73">E25/D25-1</f>
        <v>0.5831263582210624</v>
      </c>
      <c r="F26" s="39">
        <f t="shared" ref="F26:R26" si="74">F25/E25-1</f>
        <v>0.26546917133228942</v>
      </c>
      <c r="G26" s="39">
        <f t="shared" si="74"/>
        <v>0.3675567010767562</v>
      </c>
      <c r="H26" s="39">
        <f t="shared" si="74"/>
        <v>0.40482908874696988</v>
      </c>
      <c r="I26" s="39">
        <f t="shared" si="74"/>
        <v>6.153192389313844E-2</v>
      </c>
      <c r="J26" s="39">
        <f t="shared" si="74"/>
        <v>7.0959229093036758E-2</v>
      </c>
      <c r="K26" s="39">
        <f>K25/J25-1</f>
        <v>-0.16318937247790477</v>
      </c>
      <c r="L26" s="39">
        <f t="shared" si="74"/>
        <v>3.3290122297063407E-2</v>
      </c>
      <c r="M26" s="39">
        <f t="shared" si="74"/>
        <v>0.16857072006246621</v>
      </c>
      <c r="N26" s="39">
        <f t="shared" si="74"/>
        <v>0.65089140624563346</v>
      </c>
      <c r="O26" s="39">
        <f t="shared" si="74"/>
        <v>-0.69716904812902347</v>
      </c>
      <c r="P26" s="39">
        <f t="shared" si="74"/>
        <v>0.94401080297513484</v>
      </c>
      <c r="Q26" s="39">
        <f t="shared" si="74"/>
        <v>-2.5774366764291345E-2</v>
      </c>
      <c r="R26" s="39">
        <f t="shared" si="74"/>
        <v>0.36363695380278549</v>
      </c>
      <c r="S26" s="39">
        <f t="shared" ref="S26:AA26" si="75">S25/R25-1</f>
        <v>0.53907941354299238</v>
      </c>
      <c r="T26" s="39">
        <f t="shared" si="75"/>
        <v>-2.2882470947904743E-2</v>
      </c>
      <c r="U26" s="39">
        <f t="shared" si="75"/>
        <v>2.7876636832049106E-2</v>
      </c>
      <c r="V26" s="39">
        <f t="shared" si="75"/>
        <v>0.4964761094366954</v>
      </c>
      <c r="W26" s="39">
        <f t="shared" si="75"/>
        <v>0.35082243616144959</v>
      </c>
      <c r="X26" s="39">
        <f t="shared" si="75"/>
        <v>0.47161457216767411</v>
      </c>
      <c r="Y26" s="39">
        <f t="shared" si="75"/>
        <v>0.45267337040655575</v>
      </c>
      <c r="Z26" s="39">
        <f t="shared" si="75"/>
        <v>0.11035134400335167</v>
      </c>
      <c r="AA26" s="39">
        <f t="shared" si="75"/>
        <v>-0.1053835365369038</v>
      </c>
      <c r="AB26" s="40">
        <f t="shared" ref="AB26" si="76">AB25/AA25-1</f>
        <v>0.16240180479951771</v>
      </c>
      <c r="AC26" s="40">
        <f t="shared" ref="AC26" si="77">AC25/AB25-1</f>
        <v>0.14965573421699552</v>
      </c>
      <c r="AD26" s="40">
        <f t="shared" ref="AD26" si="78">AD25/AC25-1</f>
        <v>0.14967060368592611</v>
      </c>
      <c r="AE26" s="40">
        <f t="shared" ref="AE26" si="79">AE25/AD25-1</f>
        <v>0.14968483499158847</v>
      </c>
      <c r="AM26" s="39">
        <f t="shared" ref="AM26:CI26" si="80">+IF(AI25&lt;0,1-AM25/AI25,AM25/AI25-1)</f>
        <v>-0.5577900552486188</v>
      </c>
      <c r="AN26" s="39">
        <f t="shared" si="80"/>
        <v>0.10003637686431421</v>
      </c>
      <c r="AO26" s="39">
        <f t="shared" si="80"/>
        <v>-0.51213154200922406</v>
      </c>
      <c r="AP26" s="39">
        <f t="shared" si="80"/>
        <v>-0.87882796995992063</v>
      </c>
      <c r="AQ26" s="39">
        <f t="shared" si="80"/>
        <v>1.139930034982509</v>
      </c>
      <c r="AR26" s="39">
        <f t="shared" si="80"/>
        <v>2.4110449735449735</v>
      </c>
      <c r="AS26" s="39">
        <f t="shared" si="80"/>
        <v>0.32182490752157844</v>
      </c>
      <c r="AT26" s="39">
        <f t="shared" si="80"/>
        <v>0.35709698137443802</v>
      </c>
      <c r="AU26" s="39">
        <f t="shared" si="80"/>
        <v>-0.13148061653432974</v>
      </c>
      <c r="AV26" s="39">
        <f t="shared" si="80"/>
        <v>-0.62724188075618026</v>
      </c>
      <c r="AW26" s="39">
        <f t="shared" si="80"/>
        <v>-0.40593905472636815</v>
      </c>
      <c r="AX26" s="39">
        <f t="shared" si="80"/>
        <v>2.1265972550875532</v>
      </c>
      <c r="AY26" s="39">
        <f t="shared" si="80"/>
        <v>1.1183113740252759</v>
      </c>
      <c r="AZ26" s="39">
        <f t="shared" si="80"/>
        <v>0.91677503250975279</v>
      </c>
      <c r="BA26" s="39">
        <f t="shared" si="80"/>
        <v>1.171944517142109</v>
      </c>
      <c r="BB26" s="39">
        <f t="shared" si="80"/>
        <v>-0.24006660107469913</v>
      </c>
      <c r="BC26" s="39">
        <f t="shared" si="80"/>
        <v>0.20398578319370397</v>
      </c>
      <c r="BD26" s="39">
        <f t="shared" si="80"/>
        <v>0.58398914518317491</v>
      </c>
      <c r="BE26" s="39">
        <f t="shared" si="80"/>
        <v>0.97445475358476918</v>
      </c>
      <c r="BF26" s="39">
        <f t="shared" si="80"/>
        <v>0.41997808983168983</v>
      </c>
      <c r="BG26" s="39">
        <f t="shared" si="80"/>
        <v>0.28434370057986302</v>
      </c>
      <c r="BH26" s="39">
        <f t="shared" si="80"/>
        <v>-0.13688538632859337</v>
      </c>
      <c r="BI26" s="39">
        <f t="shared" si="80"/>
        <v>-0.14280483339436101</v>
      </c>
      <c r="BJ26" s="39">
        <f t="shared" si="80"/>
        <v>1.5289661944171806E-2</v>
      </c>
      <c r="BK26" s="39">
        <f t="shared" si="80"/>
        <v>-0.28706287965851252</v>
      </c>
      <c r="BL26" s="39">
        <f t="shared" si="80"/>
        <v>-0.19998015085351339</v>
      </c>
      <c r="BM26" s="39">
        <f t="shared" si="80"/>
        <v>-4.0296169728036402E-2</v>
      </c>
      <c r="BN26" s="39">
        <f t="shared" si="80"/>
        <v>0.49861840287372194</v>
      </c>
      <c r="BO26" s="39">
        <f t="shared" si="80"/>
        <v>0.28151986183074262</v>
      </c>
      <c r="BP26" s="39">
        <f t="shared" si="80"/>
        <v>0.55253690609105588</v>
      </c>
      <c r="BQ26" s="39">
        <f t="shared" si="80"/>
        <v>0.85363501483679505</v>
      </c>
      <c r="BR26" s="39">
        <f t="shared" si="80"/>
        <v>0.33967917396515168</v>
      </c>
      <c r="BS26" s="39">
        <f t="shared" si="80"/>
        <v>0.2323450134770888</v>
      </c>
      <c r="BT26" s="39">
        <f t="shared" si="80"/>
        <v>0.23339992009588495</v>
      </c>
      <c r="BU26" s="39">
        <f t="shared" si="80"/>
        <v>0.16432544923360148</v>
      </c>
      <c r="BV26" s="39">
        <f t="shared" si="80"/>
        <v>0.60716374772046944</v>
      </c>
      <c r="BW26" s="39">
        <f t="shared" si="80"/>
        <v>0.96770195392242653</v>
      </c>
      <c r="BX26" s="39">
        <f t="shared" si="80"/>
        <v>1.346786732314071</v>
      </c>
      <c r="BY26" s="39">
        <f t="shared" si="80"/>
        <v>0.33038875330835582</v>
      </c>
      <c r="BZ26" s="39">
        <f t="shared" si="80"/>
        <v>0.1246440728767475</v>
      </c>
      <c r="CA26" s="39">
        <f t="shared" si="80"/>
        <v>1.5546704212827445</v>
      </c>
      <c r="CB26" s="39">
        <f t="shared" si="80"/>
        <v>0.49987577639751546</v>
      </c>
      <c r="CC26" s="39">
        <f t="shared" si="80"/>
        <v>0.53274770701459784</v>
      </c>
      <c r="CD26" s="39">
        <f t="shared" si="80"/>
        <v>-0.20502179665340459</v>
      </c>
      <c r="CE26" s="39">
        <f t="shared" si="80"/>
        <v>-0.24923130475140676</v>
      </c>
      <c r="CF26" s="39">
        <f t="shared" si="80"/>
        <v>0.4249167172804742</v>
      </c>
      <c r="CG26" s="39">
        <f t="shared" si="80"/>
        <v>0.19142014327855028</v>
      </c>
      <c r="CH26" s="39">
        <f t="shared" si="80"/>
        <v>0.17959340054117479</v>
      </c>
      <c r="CI26" s="39">
        <f t="shared" si="80"/>
        <v>2.8784483424773022E-3</v>
      </c>
      <c r="CJ26" s="39">
        <f>+IF(CF25&lt;0,1-CJ25/CF25,CJ25/CF25-1)</f>
        <v>-0.28419013174890206</v>
      </c>
      <c r="CK26" s="39">
        <f>+IF(CG25&lt;0,1-CK25/CG25,CK25/CG25-1)</f>
        <v>-0.26831821847455462</v>
      </c>
      <c r="CL26" s="39">
        <f>+IF(CH25&lt;0,1-CL25/CH25,CL25/CH25-1)</f>
        <v>0.29567000263900445</v>
      </c>
      <c r="CM26" s="40">
        <f t="shared" ref="CM26:DB26" si="81">+IF(CI25&lt;0,1-CM25/CI25,CM25/CI25-1)</f>
        <v>0.15088513474466891</v>
      </c>
      <c r="CN26" s="40">
        <f t="shared" si="81"/>
        <v>0.16861615359630422</v>
      </c>
      <c r="CO26" s="40">
        <f t="shared" si="81"/>
        <v>0.15873095367004408</v>
      </c>
      <c r="CP26" s="40">
        <f t="shared" si="81"/>
        <v>0.16933663397361576</v>
      </c>
      <c r="CQ26" s="40">
        <f t="shared" si="81"/>
        <v>0.14993132583156332</v>
      </c>
      <c r="CR26" s="40">
        <f t="shared" si="81"/>
        <v>0.14975006319256057</v>
      </c>
      <c r="CS26" s="40">
        <f t="shared" si="81"/>
        <v>0.1495679844765776</v>
      </c>
      <c r="CT26" s="40">
        <f t="shared" si="81"/>
        <v>0.14942372170997476</v>
      </c>
      <c r="CU26" s="40">
        <f t="shared" si="81"/>
        <v>0.14993430774205074</v>
      </c>
      <c r="CV26" s="40">
        <f t="shared" si="81"/>
        <v>0.1497608780403803</v>
      </c>
      <c r="CW26" s="40">
        <f t="shared" si="81"/>
        <v>0.14958661246469807</v>
      </c>
      <c r="CX26" s="40">
        <f t="shared" si="81"/>
        <v>0.1494485009252422</v>
      </c>
      <c r="CY26" s="40">
        <f t="shared" si="81"/>
        <v>0.14993716033754501</v>
      </c>
      <c r="CZ26" s="40">
        <f t="shared" si="81"/>
        <v>0.14977122707807733</v>
      </c>
      <c r="DA26" s="40">
        <f t="shared" si="81"/>
        <v>0.1496044436461752</v>
      </c>
      <c r="DB26" s="40">
        <f t="shared" si="81"/>
        <v>0.14947222604427668</v>
      </c>
      <c r="DE26" s="122"/>
      <c r="DF26" s="39">
        <v>-0.10538112811900147</v>
      </c>
    </row>
    <row r="27" spans="1:110" s="39" customFormat="1" x14ac:dyDescent="0.2">
      <c r="A27" s="39" t="s">
        <v>446</v>
      </c>
      <c r="AB27" s="40"/>
      <c r="AC27" s="40"/>
      <c r="AD27" s="40"/>
      <c r="AE27" s="40"/>
      <c r="AJ27" s="39">
        <f t="shared" ref="AJ27:AL27" si="82">+IF(AI25&lt;0,1-AJ25/AI25,AJ25/AI25-1)</f>
        <v>-0.39248618784530387</v>
      </c>
      <c r="AK27" s="39">
        <f t="shared" si="82"/>
        <v>2.6282284467078938</v>
      </c>
      <c r="AL27" s="39">
        <f t="shared" si="82"/>
        <v>1.5765991578103069</v>
      </c>
      <c r="AM27" s="39">
        <f t="shared" ref="AM27:CI27" si="83">+IF(AL25&lt;0,1-AM25/AL25,AM25/AL25-1)</f>
        <v>-0.92213704813416864</v>
      </c>
      <c r="AN27" s="39">
        <f t="shared" si="83"/>
        <v>0.51124437781109444</v>
      </c>
      <c r="AO27" s="39">
        <f t="shared" si="83"/>
        <v>0.60912698412698396</v>
      </c>
      <c r="AP27" s="39">
        <f t="shared" si="83"/>
        <v>-0.36004932182490745</v>
      </c>
      <c r="AQ27" s="39">
        <f t="shared" si="83"/>
        <v>0.37508028259473347</v>
      </c>
      <c r="AR27" s="39">
        <f t="shared" si="83"/>
        <v>1.4089210649229331</v>
      </c>
      <c r="AS27" s="39">
        <f t="shared" si="83"/>
        <v>-0.37644207464856994</v>
      </c>
      <c r="AT27" s="39">
        <f t="shared" si="83"/>
        <v>-0.3429726368159205</v>
      </c>
      <c r="AU27" s="39">
        <f t="shared" si="83"/>
        <v>-0.11997160435399912</v>
      </c>
      <c r="AV27" s="39">
        <f t="shared" si="83"/>
        <v>3.3880075289056233E-2</v>
      </c>
      <c r="AW27" s="39">
        <f t="shared" si="83"/>
        <v>-6.2418725617685578E-3</v>
      </c>
      <c r="AX27" s="39">
        <f t="shared" si="83"/>
        <v>2.4579952891913108</v>
      </c>
      <c r="AY27" s="39">
        <f t="shared" si="83"/>
        <v>-0.40376901536365695</v>
      </c>
      <c r="AZ27" s="39">
        <f t="shared" si="83"/>
        <v>-6.4483371414064461E-2</v>
      </c>
      <c r="BA27" s="39">
        <f t="shared" si="83"/>
        <v>0.1260515603799186</v>
      </c>
      <c r="BB27" s="39">
        <f t="shared" si="83"/>
        <v>0.20990480780816978</v>
      </c>
      <c r="BC27" s="39">
        <f t="shared" si="83"/>
        <v>-5.5372970819639544E-2</v>
      </c>
      <c r="BD27" s="39">
        <f t="shared" si="83"/>
        <v>0.23078545071165002</v>
      </c>
      <c r="BE27" s="39">
        <f t="shared" si="83"/>
        <v>0.4036320027411342</v>
      </c>
      <c r="BF27" s="39">
        <f t="shared" si="83"/>
        <v>-0.12986695959965822</v>
      </c>
      <c r="BG27" s="39">
        <f t="shared" si="83"/>
        <v>-0.14560246878945149</v>
      </c>
      <c r="BH27" s="39">
        <f t="shared" si="83"/>
        <v>-0.17287801674601866</v>
      </c>
      <c r="BI27" s="39">
        <f t="shared" si="83"/>
        <v>0.3940055577610162</v>
      </c>
      <c r="BJ27" s="39">
        <f t="shared" si="83"/>
        <v>3.061369784992185E-2</v>
      </c>
      <c r="BK27" s="39">
        <f t="shared" si="83"/>
        <v>-0.40004144791378837</v>
      </c>
      <c r="BL27" s="39">
        <f t="shared" si="83"/>
        <v>-7.1848013816925849E-2</v>
      </c>
      <c r="BM27" s="39">
        <f t="shared" si="83"/>
        <v>0.67224910060786502</v>
      </c>
      <c r="BN27" s="39">
        <f t="shared" si="83"/>
        <v>0.60934718100890195</v>
      </c>
      <c r="BO27" s="39">
        <f t="shared" si="83"/>
        <v>-0.48695491841062044</v>
      </c>
      <c r="BP27" s="39">
        <f t="shared" si="83"/>
        <v>0.12443845462713377</v>
      </c>
      <c r="BQ27" s="39">
        <f t="shared" si="83"/>
        <v>0.99656412305233699</v>
      </c>
      <c r="BR27" s="39">
        <f t="shared" si="83"/>
        <v>0.16312482490895275</v>
      </c>
      <c r="BS27" s="39">
        <f t="shared" si="83"/>
        <v>-0.52805973230568082</v>
      </c>
      <c r="BT27" s="39">
        <f t="shared" si="83"/>
        <v>0.12540099154272388</v>
      </c>
      <c r="BU27" s="39">
        <f t="shared" si="83"/>
        <v>0.88474993521637724</v>
      </c>
      <c r="BV27" s="39">
        <f t="shared" si="83"/>
        <v>0.60550647922180612</v>
      </c>
      <c r="BW27" s="39">
        <f t="shared" si="83"/>
        <v>-0.42218844334068384</v>
      </c>
      <c r="BX27" s="39">
        <f t="shared" si="83"/>
        <v>0.34221349438660198</v>
      </c>
      <c r="BY27" s="39">
        <f t="shared" si="83"/>
        <v>6.8461007591442247E-2</v>
      </c>
      <c r="BZ27" s="39">
        <f t="shared" si="83"/>
        <v>0.35721483012530686</v>
      </c>
      <c r="CA27" s="39">
        <f t="shared" si="83"/>
        <v>0.31252022615217667</v>
      </c>
      <c r="CB27" s="39">
        <f t="shared" si="83"/>
        <v>-0.21197134072054291</v>
      </c>
      <c r="CC27" s="39">
        <f t="shared" si="83"/>
        <v>9.1877864281376009E-2</v>
      </c>
      <c r="CD27" s="39">
        <f t="shared" si="83"/>
        <v>-0.29606405394016011</v>
      </c>
      <c r="CE27" s="39">
        <f t="shared" si="83"/>
        <v>0.23952970474844948</v>
      </c>
      <c r="CF27" s="39">
        <f t="shared" si="83"/>
        <v>0.49563403137315509</v>
      </c>
      <c r="CG27" s="39">
        <f t="shared" si="83"/>
        <v>-8.7044691294239307E-2</v>
      </c>
      <c r="CH27" s="39">
        <f t="shared" si="83"/>
        <v>-0.30305173950566622</v>
      </c>
      <c r="CI27" s="39">
        <f t="shared" si="83"/>
        <v>5.3835691520675466E-2</v>
      </c>
      <c r="CJ27" s="39">
        <f>+IF(CI25&lt;0,1-CJ25/CI25,CJ25/CI25-1)</f>
        <v>6.7516806965500109E-2</v>
      </c>
      <c r="CK27" s="39">
        <f>+IF(CJ25&lt;0,1-CK25/CJ25,CK25/CJ25-1)</f>
        <v>-6.6801400267061162E-2</v>
      </c>
      <c r="CL27" s="39">
        <f>+IF(CK25&lt;0,1-CL25/CK25,CL25/CK25-1)</f>
        <v>0.23416350839198707</v>
      </c>
      <c r="CM27" s="40">
        <f>+IF(CL25&lt;0,1-CM25/CL25,CM25/CL25-1)</f>
        <v>-6.3925359571334717E-2</v>
      </c>
      <c r="CN27" s="40">
        <f t="shared" ref="CN27:DB27" si="84">+IF(CM25&lt;0,1-CN25/CM25,CN25/CM25-1)</f>
        <v>8.3963418410300861E-2</v>
      </c>
      <c r="CO27" s="40">
        <f t="shared" si="84"/>
        <v>-7.4695228108545009E-2</v>
      </c>
      <c r="CP27" s="40">
        <f t="shared" si="84"/>
        <v>0.24545961088314994</v>
      </c>
      <c r="CQ27" s="40">
        <f t="shared" si="84"/>
        <v>-7.9459651676553222E-2</v>
      </c>
      <c r="CR27" s="40">
        <f t="shared" si="84"/>
        <v>8.3792554233119487E-2</v>
      </c>
      <c r="CS27" s="40">
        <f t="shared" si="84"/>
        <v>-7.4841762829570668E-2</v>
      </c>
      <c r="CT27" s="40">
        <f t="shared" si="84"/>
        <v>0.24530331438604458</v>
      </c>
      <c r="CU27" s="40">
        <f t="shared" si="84"/>
        <v>-7.9050738031446688E-2</v>
      </c>
      <c r="CV27" s="40">
        <f t="shared" si="84"/>
        <v>8.3629099835692111E-2</v>
      </c>
      <c r="CW27" s="40">
        <f t="shared" si="84"/>
        <v>-7.498198610197182E-2</v>
      </c>
      <c r="CX27" s="40">
        <f t="shared" si="84"/>
        <v>0.24515370342504839</v>
      </c>
      <c r="CY27" s="40">
        <f t="shared" si="84"/>
        <v>-7.8659219381631673E-2</v>
      </c>
      <c r="CZ27" s="40">
        <f t="shared" si="84"/>
        <v>8.3472734675236859E-2</v>
      </c>
      <c r="DA27" s="40">
        <f t="shared" si="84"/>
        <v>-7.5116167298453163E-2</v>
      </c>
      <c r="DB27" s="40">
        <f t="shared" si="84"/>
        <v>0.245010496570228</v>
      </c>
      <c r="DE27" s="122"/>
    </row>
    <row r="28" spans="1:110" s="23" customFormat="1" outlineLevel="1" x14ac:dyDescent="0.2">
      <c r="A28" s="23" t="s">
        <v>2</v>
      </c>
      <c r="B28" s="23">
        <f>'Annual Raw'!C11</f>
        <v>-2.9007698</v>
      </c>
      <c r="C28" s="23">
        <f>'Annual Raw'!D11</f>
        <v>1.1651066000000001</v>
      </c>
      <c r="D28" s="23">
        <f>'Annual Raw'!E11</f>
        <v>0.14626919999999999</v>
      </c>
      <c r="E28" s="23">
        <f>'Annual Raw'!F11</f>
        <v>0.25174400000000002</v>
      </c>
      <c r="F28" s="23">
        <f>'Annual Raw'!G11</f>
        <v>0.30007270000000003</v>
      </c>
      <c r="G28" s="23">
        <f>'Annual Raw'!H11</f>
        <v>-0.1346977</v>
      </c>
      <c r="H28" s="23">
        <f>'Annual Raw'!I11</f>
        <v>0.79669999999999996</v>
      </c>
      <c r="I28" s="23">
        <f>'Annual Raw'!J11</f>
        <v>-1.0825</v>
      </c>
      <c r="J28" s="23">
        <f>'Annual Raw'!K11</f>
        <v>1.0647500000000001</v>
      </c>
      <c r="K28" s="23">
        <f>'Annual Raw'!L11</f>
        <v>9.6570000000000003E-2</v>
      </c>
      <c r="L28" s="23">
        <f>'Annual Raw'!M11</f>
        <v>-0.83616820000000003</v>
      </c>
      <c r="M28" s="23">
        <f>'Annual Raw'!N11</f>
        <v>-0.49147259999999998</v>
      </c>
      <c r="N28" s="23">
        <f>'Annual Raw'!O11</f>
        <v>2.5058938999999998</v>
      </c>
      <c r="O28" s="23">
        <f>'Annual Raw'!P11</f>
        <v>-10.8942137</v>
      </c>
      <c r="P28" s="23">
        <f>'Annual Raw'!Q11</f>
        <v>2.1203512</v>
      </c>
      <c r="Q28" s="23">
        <f>'Annual Raw'!R11</f>
        <v>-1.4517888999999999</v>
      </c>
      <c r="R28" s="23">
        <f>'Annual Raw'!S11</f>
        <v>4.7657797000000004</v>
      </c>
      <c r="S28" s="23">
        <f>'Annual Raw'!T11</f>
        <v>2.4239909000000002</v>
      </c>
      <c r="T28" s="23">
        <f>'Annual Raw'!U11</f>
        <v>2.9863076999999998</v>
      </c>
      <c r="U28" s="23">
        <f>'Annual Raw'!V11</f>
        <v>-0.58551699999999995</v>
      </c>
      <c r="V28" s="23">
        <f>'Annual Raw'!W11</f>
        <v>0.41810000000000003</v>
      </c>
      <c r="W28" s="23">
        <f>'Annual Raw'!X11</f>
        <v>-4.0000999999999998</v>
      </c>
      <c r="X28" s="23">
        <f>'Annual Raw'!Y11</f>
        <v>-13.817399999999999</v>
      </c>
      <c r="Y28" s="23">
        <f>'Annual Raw'!Z11</f>
        <v>-0.77610000000000001</v>
      </c>
      <c r="Z28" s="23">
        <f>'Annual Raw'!AA11</f>
        <v>-19.8062</v>
      </c>
      <c r="AA28" s="23">
        <f>'Annual Raw'!AB11</f>
        <v>-13.319699999999999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>
        <f>'QTR Raw'!C10</f>
        <v>-2.71</v>
      </c>
      <c r="AJ28" s="23">
        <f>'QTR Raw'!D10</f>
        <v>-4.4379999999999997</v>
      </c>
      <c r="AK28" s="23">
        <f>'QTR Raw'!E10</f>
        <v>-3.2959999999999998</v>
      </c>
      <c r="AL28" s="23">
        <f>'QTR Raw'!F10</f>
        <v>12.949</v>
      </c>
      <c r="AM28" s="23">
        <f>'QTR Raw'!G10</f>
        <v>-1.869</v>
      </c>
      <c r="AN28" s="23">
        <f>'QTR Raw'!H10</f>
        <v>-1.4570000000000001</v>
      </c>
      <c r="AO28" s="23">
        <f>'QTR Raw'!I10</f>
        <v>-2.2290000000000001</v>
      </c>
      <c r="AP28" s="23">
        <f>'QTR Raw'!J10</f>
        <v>-5.34</v>
      </c>
      <c r="AQ28" s="23">
        <f>'QTR Raw'!K10</f>
        <v>0.97699999999999998</v>
      </c>
      <c r="AR28" s="23">
        <f>'QTR Raw'!L10</f>
        <v>2.657</v>
      </c>
      <c r="AS28" s="23">
        <f>'QTR Raw'!M10</f>
        <v>0.46300000000000002</v>
      </c>
      <c r="AT28" s="23">
        <f>'QTR Raw'!N10</f>
        <v>-1.9770000000000001</v>
      </c>
      <c r="AU28" s="23">
        <f>'QTR Raw'!O10</f>
        <v>-2.5019999999999998</v>
      </c>
      <c r="AV28" s="23">
        <f>'QTR Raw'!P10</f>
        <v>-1.9710000000000001</v>
      </c>
      <c r="AW28" s="23">
        <f>'QTR Raw'!Q10</f>
        <v>-2.1150000000000002</v>
      </c>
      <c r="AX28" s="23">
        <f>'QTR Raw'!R10</f>
        <v>5.1360000000000001</v>
      </c>
      <c r="AY28" s="23">
        <f>'QTR Raw'!S10</f>
        <v>1.845</v>
      </c>
      <c r="AZ28" s="23">
        <f>'QTR Raw'!T10</f>
        <v>1.792</v>
      </c>
      <c r="BA28" s="23">
        <f>'QTR Raw'!U10</f>
        <v>1.9910000000000001</v>
      </c>
      <c r="BB28" s="23">
        <f>'QTR Raw'!V10</f>
        <v>-0.86199999999999999</v>
      </c>
      <c r="BC28" s="23">
        <f>'QTR Raw'!W10</f>
        <v>1.6819999999999999</v>
      </c>
      <c r="BD28" s="23">
        <f>'QTR Raw'!X10</f>
        <v>0.53300000000000003</v>
      </c>
      <c r="BE28" s="23">
        <f>'QTR Raw'!Y10</f>
        <v>4.5999999999999999E-2</v>
      </c>
      <c r="BF28" s="23">
        <f>'QTR Raw'!Z10</f>
        <v>0.16300000000000001</v>
      </c>
      <c r="BG28" s="23">
        <f>'QTR Raw'!AA10</f>
        <v>1.2350000000000001</v>
      </c>
      <c r="BH28" s="23">
        <f>'QTR Raw'!AB10</f>
        <v>1.3740000000000001</v>
      </c>
      <c r="BI28" s="23">
        <f>'QTR Raw'!AC10</f>
        <v>-1.2010000000000001</v>
      </c>
      <c r="BJ28" s="23">
        <f>'QTR Raw'!AD10</f>
        <v>1.5780000000000001</v>
      </c>
      <c r="BK28" s="23">
        <f>'QTR Raw'!AE10</f>
        <v>1.7000000000000001E-2</v>
      </c>
      <c r="BL28" s="23">
        <f>'QTR Raw'!AF10</f>
        <v>-2.6709999999999998</v>
      </c>
      <c r="BM28" s="23">
        <f>'QTR Raw'!AG10</f>
        <v>-0.29799999999999999</v>
      </c>
      <c r="BN28" s="23">
        <f>'QTR Raw'!AH10</f>
        <v>2.3660000000000001</v>
      </c>
      <c r="BO28" s="23">
        <f>'QTR Raw'!AI10</f>
        <v>0.64500000000000002</v>
      </c>
      <c r="BP28" s="23">
        <f>'QTR Raw'!AJ10</f>
        <v>-11.048</v>
      </c>
      <c r="BQ28" s="23">
        <f>'QTR Raw'!AK10</f>
        <v>3.7719999999999998</v>
      </c>
      <c r="BR28" s="23">
        <f>'QTR Raw'!AL10</f>
        <v>7.0490000000000004</v>
      </c>
      <c r="BS28" s="23">
        <f>'QTR Raw'!AM10</f>
        <v>0.378</v>
      </c>
      <c r="BT28" s="23">
        <f>'QTR Raw'!AN10</f>
        <v>-4.8920000000000003</v>
      </c>
      <c r="BU28" s="23">
        <f>'QTR Raw'!AO10</f>
        <v>-3.8980000000000001</v>
      </c>
      <c r="BV28" s="23">
        <f>'QTR Raw'!AP10</f>
        <v>4.4119999999999999</v>
      </c>
      <c r="BW28" s="23">
        <f>'QTR Raw'!AQ10</f>
        <v>-6.1740000000000004</v>
      </c>
      <c r="BX28" s="23">
        <f>'QTR Raw'!AR10</f>
        <v>-1.585</v>
      </c>
      <c r="BY28" s="23">
        <f>'QTR Raw'!AS10</f>
        <v>-4.5880000000000001</v>
      </c>
      <c r="BZ28" s="23">
        <f>'QTR Raw'!AT10</f>
        <v>-1.4710000000000001</v>
      </c>
      <c r="CA28" s="23">
        <f>'QTR Raw'!AU10</f>
        <v>15.57</v>
      </c>
      <c r="CB28" s="23">
        <f>'QTR Raw'!AV10</f>
        <v>-0.34599999999999997</v>
      </c>
      <c r="CC28" s="23">
        <f>'QTR Raw'!AW10</f>
        <v>1.5109999999999999</v>
      </c>
      <c r="CD28" s="23">
        <f>'QTR Raw'!AX10</f>
        <v>-17.510000000000002</v>
      </c>
      <c r="CE28" s="23">
        <f>'QTR Raw'!AY10</f>
        <v>1.66</v>
      </c>
      <c r="CF28" s="23">
        <f>'QTR Raw'!AZ10</f>
        <v>-8.9209999999999994</v>
      </c>
      <c r="CG28" s="23">
        <f>'QTR Raw'!BA10</f>
        <v>-13.429</v>
      </c>
      <c r="CH28" s="23">
        <f>'QTR Raw'!BB10</f>
        <v>0.88400000000000001</v>
      </c>
      <c r="CI28" s="23">
        <f>'QTR Raw'!BC10</f>
        <v>12.384</v>
      </c>
      <c r="CJ28" s="23">
        <f>'QTR Raw'!BD10</f>
        <v>-4.9169999999999998</v>
      </c>
      <c r="CK28" s="23">
        <f>'QTR Raw'!BE10</f>
        <v>-12.741</v>
      </c>
      <c r="CL28" s="23">
        <f>'QTR Raw'!BF10</f>
        <v>-8.06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-13.334</v>
      </c>
    </row>
    <row r="29" spans="1:110" s="23" customFormat="1" outlineLevel="1" x14ac:dyDescent="0.2">
      <c r="A29" s="23" t="s">
        <v>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Raw'!C12</f>
        <v>0</v>
      </c>
      <c r="AJ29" s="23">
        <f>'QTR Raw'!D12</f>
        <v>0</v>
      </c>
      <c r="AK29" s="23">
        <f>'QTR Raw'!E12</f>
        <v>0</v>
      </c>
      <c r="AL29" s="23">
        <f>'QTR Raw'!F12</f>
        <v>0</v>
      </c>
      <c r="AM29" s="23">
        <f>'QTR Raw'!G12</f>
        <v>0</v>
      </c>
      <c r="AN29" s="23">
        <f>'QTR Raw'!H12</f>
        <v>0</v>
      </c>
      <c r="AO29" s="23">
        <f>'QTR Raw'!I12</f>
        <v>0</v>
      </c>
      <c r="AP29" s="23">
        <f>'QTR Raw'!J12</f>
        <v>0</v>
      </c>
      <c r="AQ29" s="23">
        <f>'QTR Raw'!K12</f>
        <v>0</v>
      </c>
      <c r="AR29" s="23">
        <f>'QTR Raw'!L12</f>
        <v>0</v>
      </c>
      <c r="AS29" s="23">
        <f>'QTR Raw'!M12</f>
        <v>0</v>
      </c>
      <c r="AT29" s="23">
        <f>'QTR Raw'!N12</f>
        <v>0</v>
      </c>
      <c r="AU29" s="23">
        <f>'QTR Raw'!O12</f>
        <v>0</v>
      </c>
      <c r="AV29" s="23">
        <f>'QTR Raw'!P12</f>
        <v>0</v>
      </c>
      <c r="AW29" s="23">
        <f>'QTR Raw'!Q12</f>
        <v>0</v>
      </c>
      <c r="AX29" s="23">
        <f>'QTR Raw'!R12</f>
        <v>0</v>
      </c>
      <c r="AY29" s="23">
        <f>'QTR Raw'!S12</f>
        <v>0</v>
      </c>
      <c r="AZ29" s="23">
        <f>'QTR Raw'!T12</f>
        <v>0</v>
      </c>
      <c r="BA29" s="23">
        <f>'QTR Raw'!U12</f>
        <v>0</v>
      </c>
      <c r="BB29" s="23">
        <f>'QTR Raw'!V12</f>
        <v>0</v>
      </c>
      <c r="BC29" s="23">
        <f>'QTR Raw'!W12</f>
        <v>0</v>
      </c>
      <c r="BD29" s="23">
        <f>'QTR Raw'!X12</f>
        <v>0</v>
      </c>
      <c r="BE29" s="23">
        <f>'QTR Raw'!Y12</f>
        <v>0</v>
      </c>
      <c r="BF29" s="23">
        <f>'QTR Raw'!Z12</f>
        <v>0</v>
      </c>
      <c r="BG29" s="23">
        <f>'QTR Raw'!AA12</f>
        <v>0</v>
      </c>
      <c r="BH29" s="23">
        <f>'QTR Raw'!AB12</f>
        <v>0</v>
      </c>
      <c r="BI29" s="23">
        <f>'QTR Raw'!AC12</f>
        <v>0</v>
      </c>
      <c r="BJ29" s="23">
        <f>'QTR Raw'!AD12</f>
        <v>0</v>
      </c>
      <c r="BK29" s="23">
        <f>'QTR Raw'!AE12</f>
        <v>0</v>
      </c>
      <c r="BL29" s="23">
        <f>'QTR Raw'!AF12</f>
        <v>0</v>
      </c>
      <c r="BM29" s="23">
        <f>'QTR Raw'!AG12</f>
        <v>0</v>
      </c>
      <c r="BN29" s="23">
        <f>'QTR Raw'!AH12</f>
        <v>0</v>
      </c>
      <c r="BO29" s="23">
        <f>'QTR Raw'!AI12</f>
        <v>0</v>
      </c>
      <c r="BP29" s="23">
        <f>'QTR Raw'!AJ12</f>
        <v>0</v>
      </c>
      <c r="BQ29" s="23">
        <f>'QTR Raw'!AK12</f>
        <v>0</v>
      </c>
      <c r="BR29" s="23">
        <f>'QTR Raw'!AL12</f>
        <v>0</v>
      </c>
      <c r="BS29" s="23">
        <f>'QTR Raw'!AM12</f>
        <v>0</v>
      </c>
      <c r="BT29" s="23">
        <f>'QTR Raw'!AN12</f>
        <v>0</v>
      </c>
      <c r="BU29" s="23">
        <f>'QTR Raw'!AO12</f>
        <v>0</v>
      </c>
      <c r="BV29" s="23">
        <f>'QTR Raw'!AP12</f>
        <v>0</v>
      </c>
      <c r="BW29" s="23">
        <f>'QTR Raw'!AQ12</f>
        <v>0</v>
      </c>
      <c r="BX29" s="23">
        <f>'QTR Raw'!AR12</f>
        <v>0</v>
      </c>
      <c r="BY29" s="23">
        <f>'QTR Raw'!AS12</f>
        <v>0</v>
      </c>
      <c r="BZ29" s="23">
        <f>'QTR Raw'!AT12</f>
        <v>0</v>
      </c>
      <c r="CA29" s="23">
        <f>'QTR Raw'!AU12</f>
        <v>0</v>
      </c>
      <c r="CB29" s="23">
        <f>'QTR Raw'!AV12</f>
        <v>0</v>
      </c>
      <c r="CC29" s="23">
        <f>'QTR Raw'!AW12</f>
        <v>0</v>
      </c>
      <c r="CD29" s="23">
        <f>'QTR Raw'!AX12</f>
        <v>0</v>
      </c>
      <c r="CE29" s="23">
        <f>'QTR Raw'!AY12</f>
        <v>0</v>
      </c>
      <c r="CF29" s="23">
        <f>'QTR Raw'!AZ12</f>
        <v>0</v>
      </c>
      <c r="CG29" s="23">
        <f>'QTR Raw'!BA12</f>
        <v>0</v>
      </c>
      <c r="CH29" s="23">
        <f>'QTR Raw'!BB12</f>
        <v>0</v>
      </c>
      <c r="CI29" s="23">
        <f>'QTR Raw'!BC12</f>
        <v>0</v>
      </c>
      <c r="CJ29" s="23">
        <f>'QTR Raw'!BD12</f>
        <v>0</v>
      </c>
      <c r="CK29" s="23">
        <f>'QTR Raw'!BE12</f>
        <v>0</v>
      </c>
      <c r="CL29" s="23">
        <f>'QTR Raw'!BF12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4</v>
      </c>
      <c r="B30" s="23">
        <f>'Annual Raw'!C12</f>
        <v>11.531491000000001</v>
      </c>
      <c r="C30" s="23">
        <f>'Annual Raw'!D12</f>
        <v>3.2351773000000001</v>
      </c>
      <c r="D30" s="23">
        <f>'Annual Raw'!E12</f>
        <v>1.9119843999999999</v>
      </c>
      <c r="E30" s="23">
        <f>'Annual Raw'!F12</f>
        <v>3.1145469000000001</v>
      </c>
      <c r="F30" s="23">
        <f>'Annual Raw'!G12</f>
        <v>4.1382070999999998</v>
      </c>
      <c r="G30" s="23">
        <f>'Annual Raw'!H12</f>
        <v>9.2868735000000004</v>
      </c>
      <c r="H30" s="23">
        <f>'Annual Raw'!I12</f>
        <v>10.4756117</v>
      </c>
      <c r="I30" s="23">
        <f>'Annual Raw'!J12</f>
        <v>10.0934724</v>
      </c>
      <c r="J30" s="23">
        <f>'Annual Raw'!K12</f>
        <v>11.616111800000001</v>
      </c>
      <c r="K30" s="23">
        <f>'Annual Raw'!L12</f>
        <v>9.4828428000000002</v>
      </c>
      <c r="L30" s="23">
        <f>'Annual Raw'!M12</f>
        <v>9.0803755000000006</v>
      </c>
      <c r="M30" s="23">
        <f>'Annual Raw'!N12</f>
        <v>7.9786856999999998</v>
      </c>
      <c r="N30" s="23">
        <f>'Annual Raw'!O12</f>
        <v>16.9104575</v>
      </c>
      <c r="O30" s="23">
        <f>'Annual Raw'!P12</f>
        <v>9.7122665999999995</v>
      </c>
      <c r="P30" s="23">
        <f>'Annual Raw'!Q12</f>
        <v>8.1914517</v>
      </c>
      <c r="Q30" s="23">
        <f>'Annual Raw'!R12</f>
        <v>10.7290993</v>
      </c>
      <c r="R30" s="23">
        <f>'Annual Raw'!S12</f>
        <v>10.0206883</v>
      </c>
      <c r="S30" s="23">
        <f>'Annual Raw'!T12</f>
        <v>17.499437199999999</v>
      </c>
      <c r="T30" s="23">
        <f>'Annual Raw'!U12</f>
        <v>11.3012488</v>
      </c>
      <c r="U30" s="23">
        <f>'Annual Raw'!V12</f>
        <v>13.9483063</v>
      </c>
      <c r="V30" s="23">
        <f>'Annual Raw'!W12</f>
        <v>26.570799999999998</v>
      </c>
      <c r="W30" s="23">
        <f>'Annual Raw'!X12</f>
        <v>50.894199999999998</v>
      </c>
      <c r="X30" s="23">
        <f>'Annual Raw'!Y12</f>
        <v>76.997600000000006</v>
      </c>
      <c r="Y30" s="23">
        <f>'Annual Raw'!Z12</f>
        <v>77.849800000000002</v>
      </c>
      <c r="Z30" s="23">
        <f>'Annual Raw'!AA12</f>
        <v>83.736400000000003</v>
      </c>
      <c r="AA30" s="23">
        <f>'Annual Raw'!AB12</f>
        <v>78.7333</v>
      </c>
      <c r="AB30" s="24">
        <f>+SUM(CM30:CP30)</f>
        <v>71.511524457953982</v>
      </c>
      <c r="AC30" s="24">
        <f>+SUM(CQ30:CT30)</f>
        <v>81.537388277910779</v>
      </c>
      <c r="AD30" s="24">
        <f>+SUM(CU30:CX30)</f>
        <v>93.677299552482566</v>
      </c>
      <c r="AE30" s="24">
        <f>+SUM(CY30:DB30)</f>
        <v>107.70337886033964</v>
      </c>
      <c r="AI30" s="23">
        <f>'QTR Raw'!C11</f>
        <v>2.2109999999999999</v>
      </c>
      <c r="AJ30" s="23">
        <f>'QTR Raw'!D11</f>
        <v>3.2869999999999999</v>
      </c>
      <c r="AK30" s="23">
        <f>'QTR Raw'!E11</f>
        <v>6.3220000000000001</v>
      </c>
      <c r="AL30" s="23">
        <f>'QTR Raw'!F11</f>
        <v>3.5840000000000001</v>
      </c>
      <c r="AM30" s="23">
        <f>'QTR Raw'!G11</f>
        <v>1.1140000000000001</v>
      </c>
      <c r="AN30" s="23">
        <f>'QTR Raw'!H11</f>
        <v>1.655</v>
      </c>
      <c r="AO30" s="23">
        <f>'QTR Raw'!I11</f>
        <v>2.3109999999999999</v>
      </c>
      <c r="AP30" s="23">
        <f>'QTR Raw'!J11</f>
        <v>2.524</v>
      </c>
      <c r="AQ30" s="23">
        <f>'QTR Raw'!K11</f>
        <v>1.4910000000000001</v>
      </c>
      <c r="AR30" s="23">
        <f>'QTR Raw'!L11</f>
        <v>1.4870000000000001</v>
      </c>
      <c r="AS30" s="23">
        <f>'QTR Raw'!M11</f>
        <v>2.1059999999999999</v>
      </c>
      <c r="AT30" s="23">
        <f>'QTR Raw'!N11</f>
        <v>1.216</v>
      </c>
      <c r="AU30" s="23">
        <f>'QTR Raw'!O11</f>
        <v>2.9529999999999998</v>
      </c>
      <c r="AV30" s="23">
        <f>'QTR Raw'!P11</f>
        <v>1.952</v>
      </c>
      <c r="AW30" s="23">
        <f>'QTR Raw'!Q11</f>
        <v>1.5089999999999999</v>
      </c>
      <c r="AX30" s="23">
        <f>'QTR Raw'!R11</f>
        <v>3.2719999999999998</v>
      </c>
      <c r="AY30" s="23">
        <f>'QTR Raw'!S11</f>
        <v>2.1709999999999998</v>
      </c>
      <c r="AZ30" s="23">
        <f>'QTR Raw'!T11</f>
        <v>1.577</v>
      </c>
      <c r="BA30" s="23">
        <f>'QTR Raw'!U11</f>
        <v>1.542</v>
      </c>
      <c r="BB30" s="23">
        <f>'QTR Raw'!V11</f>
        <v>4.7300000000000004</v>
      </c>
      <c r="BC30" s="23">
        <f>'QTR Raw'!W11</f>
        <v>2.0139999999999998</v>
      </c>
      <c r="BD30" s="23">
        <f>'QTR Raw'!X11</f>
        <v>2.79</v>
      </c>
      <c r="BE30" s="23">
        <f>'QTR Raw'!Y11</f>
        <v>6.9059999999999997</v>
      </c>
      <c r="BF30" s="23">
        <f>'QTR Raw'!Z11</f>
        <v>5.7910000000000004</v>
      </c>
      <c r="BG30" s="23">
        <f>'QTR Raw'!AA11</f>
        <v>2.5110000000000001</v>
      </c>
      <c r="BH30" s="23">
        <f>'QTR Raw'!AB11</f>
        <v>2.0419999999999998</v>
      </c>
      <c r="BI30" s="23">
        <f>'QTR Raw'!AC11</f>
        <v>4.3630000000000004</v>
      </c>
      <c r="BJ30" s="23">
        <f>'QTR Raw'!AD11</f>
        <v>2.3849999999999998</v>
      </c>
      <c r="BK30" s="23">
        <f>'QTR Raw'!AE11</f>
        <v>2.2250000000000001</v>
      </c>
      <c r="BL30" s="23">
        <f>'QTR Raw'!AF11</f>
        <v>1.6279999999999999</v>
      </c>
      <c r="BM30" s="23">
        <f>'QTR Raw'!AG11</f>
        <v>3.1869999999999998</v>
      </c>
      <c r="BN30" s="23">
        <f>'QTR Raw'!AH11</f>
        <v>6.9080000000000004</v>
      </c>
      <c r="BO30" s="23">
        <f>'QTR Raw'!AI11</f>
        <v>3.2010000000000001</v>
      </c>
      <c r="BP30" s="23">
        <f>'QTR Raw'!AJ11</f>
        <v>11.239000000000001</v>
      </c>
      <c r="BQ30" s="23">
        <f>'QTR Raw'!AK11</f>
        <v>5.7389999999999999</v>
      </c>
      <c r="BR30" s="23">
        <f>'QTR Raw'!AL11</f>
        <v>6.3929999999999998</v>
      </c>
      <c r="BS30" s="23">
        <f>'QTR Raw'!AM11</f>
        <v>2.944</v>
      </c>
      <c r="BT30" s="23">
        <f>'QTR Raw'!AN11</f>
        <v>9.0269999999999992</v>
      </c>
      <c r="BU30" s="23">
        <f>'QTR Raw'!AO11</f>
        <v>15.688000000000001</v>
      </c>
      <c r="BV30" s="23">
        <f>'QTR Raw'!AP11</f>
        <v>23.236000000000001</v>
      </c>
      <c r="BW30" s="23">
        <f>'QTR Raw'!AQ11</f>
        <v>16.995000000000001</v>
      </c>
      <c r="BX30" s="23">
        <f>'QTR Raw'!AR11</f>
        <v>17.074000000000002</v>
      </c>
      <c r="BY30" s="23">
        <f>'QTR Raw'!AS11</f>
        <v>20.92</v>
      </c>
      <c r="BZ30" s="23">
        <f>'QTR Raw'!AT11</f>
        <v>22.009</v>
      </c>
      <c r="CA30" s="23">
        <f>'QTR Raw'!AU11</f>
        <v>28.375</v>
      </c>
      <c r="CB30" s="23">
        <f>'QTR Raw'!AV11</f>
        <v>14.135999999999999</v>
      </c>
      <c r="CC30" s="23">
        <f>'QTR Raw'!AW11</f>
        <v>16.210999999999999</v>
      </c>
      <c r="CD30" s="23">
        <f>'QTR Raw'!AX11</f>
        <v>19.125</v>
      </c>
      <c r="CE30" s="23">
        <f>'QTR Raw'!AY11</f>
        <v>17.169</v>
      </c>
      <c r="CF30" s="23">
        <f>'QTR Raw'!AZ11</f>
        <v>25.771999999999998</v>
      </c>
      <c r="CG30" s="23">
        <f>'QTR Raw'!BA11</f>
        <v>28.481000000000002</v>
      </c>
      <c r="CH30" s="23">
        <f>'QTR Raw'!BB11</f>
        <v>12.313000000000001</v>
      </c>
      <c r="CI30" s="23">
        <f>'QTR Raw'!BC11</f>
        <v>8.2850000000000001</v>
      </c>
      <c r="CJ30" s="23">
        <f>'QTR Raw'!BD11</f>
        <v>20.562000000000001</v>
      </c>
      <c r="CK30" s="23">
        <f>'QTR Raw'!BE11</f>
        <v>23.382000000000001</v>
      </c>
      <c r="CL30" s="23">
        <f>'QTR Raw'!BF11</f>
        <v>26.504999999999999</v>
      </c>
      <c r="CM30" s="24">
        <f t="shared" ref="CM30:DB30" si="85">+CM25-CM31</f>
        <v>17.55339146443503</v>
      </c>
      <c r="CN30" s="24">
        <f t="shared" si="85"/>
        <v>17.337808563709764</v>
      </c>
      <c r="CO30" s="24">
        <f t="shared" si="85"/>
        <v>15.824109525627684</v>
      </c>
      <c r="CP30" s="24">
        <f t="shared" si="85"/>
        <v>20.796214904181511</v>
      </c>
      <c r="CQ30" s="24">
        <f t="shared" si="85"/>
        <v>18.966044756377713</v>
      </c>
      <c r="CR30" s="24">
        <f t="shared" si="85"/>
        <v>20.224931677072533</v>
      </c>
      <c r="CS30" s="24">
        <f t="shared" si="85"/>
        <v>18.77851771461583</v>
      </c>
      <c r="CT30" s="24">
        <f t="shared" si="85"/>
        <v>23.567894129844703</v>
      </c>
      <c r="CU30" s="24">
        <f t="shared" si="85"/>
        <v>21.627528243298251</v>
      </c>
      <c r="CV30" s="24">
        <f t="shared" si="85"/>
        <v>23.386865804907508</v>
      </c>
      <c r="CW30" s="24">
        <f t="shared" si="85"/>
        <v>21.664036083868211</v>
      </c>
      <c r="CX30" s="24">
        <f t="shared" si="85"/>
        <v>26.998869420408596</v>
      </c>
      <c r="CY30" s="24">
        <f t="shared" si="85"/>
        <v>24.854150287940328</v>
      </c>
      <c r="CZ30" s="24">
        <f t="shared" si="85"/>
        <v>26.924420167140298</v>
      </c>
      <c r="DA30" s="24">
        <f t="shared" si="85"/>
        <v>24.910024695908831</v>
      </c>
      <c r="DB30" s="24">
        <f t="shared" si="85"/>
        <v>31.014783709350183</v>
      </c>
      <c r="DE30" s="123"/>
      <c r="DF30" s="23">
        <v>78.733999999999995</v>
      </c>
    </row>
    <row r="31" spans="1:110" s="31" customFormat="1" x14ac:dyDescent="0.2">
      <c r="A31" s="31" t="s">
        <v>5</v>
      </c>
      <c r="B31" s="31">
        <f t="shared" ref="B31:T31" si="86">B25-B28-B30-B29</f>
        <v>7.0250004999999991</v>
      </c>
      <c r="C31" s="31">
        <f t="shared" si="86"/>
        <v>2.4869652000000002</v>
      </c>
      <c r="D31" s="31">
        <f t="shared" si="86"/>
        <v>3.8255456000000008</v>
      </c>
      <c r="E31" s="31">
        <f t="shared" si="86"/>
        <v>5.9485066999999994</v>
      </c>
      <c r="F31" s="31">
        <f t="shared" si="86"/>
        <v>7.3493094000000001</v>
      </c>
      <c r="G31" s="31">
        <f t="shared" si="86"/>
        <v>6.9680207999999997</v>
      </c>
      <c r="H31" s="31">
        <f t="shared" si="86"/>
        <v>11.373809400000001</v>
      </c>
      <c r="I31" s="31">
        <f t="shared" si="86"/>
        <v>15.0286081</v>
      </c>
      <c r="J31" s="31">
        <f t="shared" si="86"/>
        <v>13.064548799999999</v>
      </c>
      <c r="K31" s="31">
        <f t="shared" si="86"/>
        <v>11.964620400000001</v>
      </c>
      <c r="L31" s="31">
        <f t="shared" si="86"/>
        <v>14.017029399999997</v>
      </c>
      <c r="M31" s="31">
        <f t="shared" si="86"/>
        <v>18.526616300000001</v>
      </c>
      <c r="N31" s="31">
        <f t="shared" si="86"/>
        <v>23.529656000000003</v>
      </c>
      <c r="O31" s="31">
        <f t="shared" si="86"/>
        <v>14.187327400000001</v>
      </c>
      <c r="P31" s="31">
        <f t="shared" si="86"/>
        <v>14.970796899999998</v>
      </c>
      <c r="Q31" s="31">
        <f t="shared" si="86"/>
        <v>15.353646400000001</v>
      </c>
      <c r="R31" s="31">
        <f t="shared" si="86"/>
        <v>18.801214900000005</v>
      </c>
      <c r="S31" s="31">
        <f t="shared" si="86"/>
        <v>31.770683200000004</v>
      </c>
      <c r="T31" s="31">
        <f t="shared" si="86"/>
        <v>36.223665800000006</v>
      </c>
      <c r="U31" s="31">
        <f t="shared" ref="U31:Z31" si="87">U25-U28-U30-U29</f>
        <v>38.556516000000009</v>
      </c>
      <c r="V31" s="31">
        <f t="shared" si="87"/>
        <v>50.707100000000018</v>
      </c>
      <c r="W31" s="31">
        <f t="shared" si="87"/>
        <v>58.059400000000011</v>
      </c>
      <c r="X31" s="31">
        <f t="shared" si="87"/>
        <v>91.270899999999983</v>
      </c>
      <c r="Y31" s="31">
        <f t="shared" si="87"/>
        <v>147.29329999999999</v>
      </c>
      <c r="Z31" s="31">
        <f t="shared" si="87"/>
        <v>185.19599999999997</v>
      </c>
      <c r="AA31" s="31">
        <f t="shared" ref="AA31" si="88">AA25-AA28-AA30-AA29</f>
        <v>157.4588</v>
      </c>
      <c r="AB31" s="32">
        <f t="shared" ref="AB31:AD31" si="89">AB25-AB28-AB30-AB29</f>
        <v>187.555755542046</v>
      </c>
      <c r="AC31" s="32">
        <f t="shared" si="89"/>
        <v>216.30079572208916</v>
      </c>
      <c r="AD31" s="32">
        <f t="shared" si="89"/>
        <v>248.73850524751731</v>
      </c>
      <c r="AE31" s="32">
        <f t="shared" ref="AE31" si="90">AE25-AE28-AE30-AE29</f>
        <v>285.96687917966022</v>
      </c>
      <c r="AI31" s="31">
        <f t="shared" ref="AI31" si="91">AI25-AI28-AI30-AI29</f>
        <v>5.0240000000000009</v>
      </c>
      <c r="AJ31" s="31">
        <f t="shared" ref="AJ31" si="92">AJ25-AJ28-AJ30-AJ29</f>
        <v>3.8999999999999995</v>
      </c>
      <c r="AK31" s="31">
        <f t="shared" ref="AK31:AM31" si="93">AK25-AK28-AK30-AK29</f>
        <v>6.9479999999999995</v>
      </c>
      <c r="AL31" s="31">
        <f t="shared" si="93"/>
        <v>9.1660000000000021</v>
      </c>
      <c r="AM31" s="31">
        <f t="shared" si="93"/>
        <v>2.7560000000000002</v>
      </c>
      <c r="AN31" s="31">
        <f t="shared" ref="AN31:AO31" si="94">AN25-AN28-AN30-AN29</f>
        <v>2.8259999999999996</v>
      </c>
      <c r="AO31" s="31">
        <f t="shared" si="94"/>
        <v>4.7839999999999998</v>
      </c>
      <c r="AP31" s="31">
        <f t="shared" ref="AP31:CD31" si="95">AP25-AP28-AP30-AP29</f>
        <v>5.9300000000000006</v>
      </c>
      <c r="AQ31" s="31">
        <f t="shared" si="95"/>
        <v>1.8140000000000001</v>
      </c>
      <c r="AR31" s="31">
        <f t="shared" si="95"/>
        <v>6.1709999999999994</v>
      </c>
      <c r="AS31" s="31">
        <f t="shared" si="95"/>
        <v>3.8630000000000004</v>
      </c>
      <c r="AT31" s="31">
        <f t="shared" si="95"/>
        <v>4.9870000000000001</v>
      </c>
      <c r="AU31" s="31">
        <f t="shared" si="95"/>
        <v>3.2680000000000002</v>
      </c>
      <c r="AV31" s="31">
        <f t="shared" si="95"/>
        <v>3.8640000000000008</v>
      </c>
      <c r="AW31" s="31">
        <f t="shared" si="95"/>
        <v>4.4269999999999996</v>
      </c>
      <c r="AX31" s="31">
        <f t="shared" si="95"/>
        <v>4.8049999999999979</v>
      </c>
      <c r="AY31" s="31">
        <f t="shared" si="95"/>
        <v>3.8620000000000005</v>
      </c>
      <c r="AZ31" s="31">
        <f t="shared" si="95"/>
        <v>4.0010000000000003</v>
      </c>
      <c r="BA31" s="31">
        <f t="shared" si="95"/>
        <v>4.766</v>
      </c>
      <c r="BB31" s="31">
        <f t="shared" si="95"/>
        <v>6.173</v>
      </c>
      <c r="BC31" s="31">
        <f t="shared" si="95"/>
        <v>5.7889999999999997</v>
      </c>
      <c r="BD31" s="31">
        <f t="shared" si="95"/>
        <v>8.3509999999999991</v>
      </c>
      <c r="BE31" s="31">
        <f t="shared" si="95"/>
        <v>9.4340000000000011</v>
      </c>
      <c r="BF31" s="31">
        <f t="shared" si="95"/>
        <v>8.3039999999999985</v>
      </c>
      <c r="BG31" s="31">
        <f t="shared" si="95"/>
        <v>8.4359999999999999</v>
      </c>
      <c r="BH31" s="31">
        <f t="shared" si="95"/>
        <v>6.66</v>
      </c>
      <c r="BI31" s="31">
        <f t="shared" si="95"/>
        <v>10.884</v>
      </c>
      <c r="BJ31" s="31">
        <f t="shared" si="95"/>
        <v>10.513000000000002</v>
      </c>
      <c r="BK31" s="31">
        <f t="shared" si="95"/>
        <v>6.4430000000000014</v>
      </c>
      <c r="BL31" s="31">
        <f t="shared" si="95"/>
        <v>9.1039999999999992</v>
      </c>
      <c r="BM31" s="31">
        <f t="shared" si="95"/>
        <v>10.591000000000001</v>
      </c>
      <c r="BN31" s="31">
        <f t="shared" si="95"/>
        <v>12.419999999999998</v>
      </c>
      <c r="BO31" s="31">
        <f t="shared" si="95"/>
        <v>7.2840000000000007</v>
      </c>
      <c r="BP31" s="31">
        <f t="shared" si="95"/>
        <v>12.324000000000002</v>
      </c>
      <c r="BQ31" s="31">
        <f t="shared" si="95"/>
        <v>15.475999999999999</v>
      </c>
      <c r="BR31" s="31">
        <f t="shared" si="95"/>
        <v>15.620999999999999</v>
      </c>
      <c r="BS31" s="31">
        <f t="shared" si="95"/>
        <v>10.393999999999998</v>
      </c>
      <c r="BT31" s="31">
        <f t="shared" si="95"/>
        <v>11.301</v>
      </c>
      <c r="BU31" s="31">
        <f t="shared" si="95"/>
        <v>17.302999999999997</v>
      </c>
      <c r="BV31" s="31">
        <f t="shared" si="95"/>
        <v>19.061000000000003</v>
      </c>
      <c r="BW31" s="31">
        <f t="shared" si="95"/>
        <v>16.168000000000003</v>
      </c>
      <c r="BX31" s="31">
        <f t="shared" si="95"/>
        <v>20.736000000000001</v>
      </c>
      <c r="BY31" s="31">
        <f t="shared" si="95"/>
        <v>22.372999999999998</v>
      </c>
      <c r="BZ31" s="31">
        <f t="shared" si="95"/>
        <v>31.992999999999995</v>
      </c>
      <c r="CA31" s="31">
        <f t="shared" si="95"/>
        <v>25.002999999999993</v>
      </c>
      <c r="CB31" s="31">
        <f t="shared" si="95"/>
        <v>40.542999999999992</v>
      </c>
      <c r="CC31" s="31">
        <f t="shared" si="95"/>
        <v>41.603000000000002</v>
      </c>
      <c r="CD31" s="31">
        <f t="shared" si="95"/>
        <v>40.146000000000001</v>
      </c>
      <c r="CE31" s="31">
        <f t="shared" ref="CE31:CF31" si="96">CE25-CE28-CE30-CE29</f>
        <v>32.935000000000002</v>
      </c>
      <c r="CF31" s="31">
        <f t="shared" si="96"/>
        <v>60.56900000000001</v>
      </c>
      <c r="CG31" s="31">
        <f t="shared" ref="CG31:CH31" si="97">CG25-CG28-CG30-CG29</f>
        <v>55.628999999999998</v>
      </c>
      <c r="CH31" s="31">
        <f t="shared" si="97"/>
        <v>36.064</v>
      </c>
      <c r="CI31" s="31">
        <f t="shared" ref="CI31:CJ31" si="98">CI25-CI28-CI30-CI29</f>
        <v>31.243999999999996</v>
      </c>
      <c r="CJ31" s="31">
        <f t="shared" si="98"/>
        <v>39.772999999999996</v>
      </c>
      <c r="CK31" s="31">
        <f t="shared" ref="CK31:CL31" si="99">CK25-CK28-CK30-CK29</f>
        <v>41.074999999999989</v>
      </c>
      <c r="CL31" s="31">
        <f t="shared" si="99"/>
        <v>45.381</v>
      </c>
      <c r="CM31" s="32">
        <f t="shared" ref="CM31:DB31" si="100">+CM32*CM25</f>
        <v>42.192508535564961</v>
      </c>
      <c r="CN31" s="32">
        <f t="shared" si="100"/>
        <v>47.424561436290226</v>
      </c>
      <c r="CO31" s="32">
        <f t="shared" si="100"/>
        <v>44.100820474372313</v>
      </c>
      <c r="CP31" s="32">
        <f t="shared" si="100"/>
        <v>53.837865095818486</v>
      </c>
      <c r="CQ31" s="32">
        <f t="shared" si="100"/>
        <v>49.737637243622274</v>
      </c>
      <c r="CR31" s="32">
        <f t="shared" si="100"/>
        <v>54.23560732292745</v>
      </c>
      <c r="CS31" s="32">
        <f t="shared" si="100"/>
        <v>50.109263285384159</v>
      </c>
      <c r="CT31" s="32">
        <f t="shared" si="100"/>
        <v>62.21828787015528</v>
      </c>
      <c r="CU31" s="32">
        <f t="shared" si="100"/>
        <v>57.377192756701724</v>
      </c>
      <c r="CV31" s="32">
        <f t="shared" si="100"/>
        <v>62.22494889509246</v>
      </c>
      <c r="CW31" s="32">
        <f t="shared" si="100"/>
        <v>57.52843471613177</v>
      </c>
      <c r="CX31" s="32">
        <f t="shared" si="100"/>
        <v>71.607928879591384</v>
      </c>
      <c r="CY31" s="32">
        <f t="shared" si="100"/>
        <v>65.996314232059646</v>
      </c>
      <c r="CZ31" s="32">
        <f t="shared" si="100"/>
        <v>71.509581072859646</v>
      </c>
      <c r="DA31" s="32">
        <f t="shared" si="100"/>
        <v>66.129991639091131</v>
      </c>
      <c r="DB31" s="32">
        <f t="shared" si="100"/>
        <v>82.330992235649788</v>
      </c>
      <c r="DE31" s="124"/>
      <c r="DF31" s="31">
        <v>157.47300000000001</v>
      </c>
    </row>
    <row r="32" spans="1:110" s="41" customFormat="1" x14ac:dyDescent="0.2">
      <c r="A32" s="41" t="s">
        <v>6</v>
      </c>
      <c r="B32" s="41">
        <f>B31/B25</f>
        <v>0.44871776814990261</v>
      </c>
      <c r="C32" s="41">
        <f t="shared" ref="C32:U32" si="101">C31/C25</f>
        <v>0.36109703074337768</v>
      </c>
      <c r="D32" s="41">
        <f t="shared" si="101"/>
        <v>0.65018289543259744</v>
      </c>
      <c r="E32" s="41">
        <f t="shared" si="101"/>
        <v>0.63860826133248449</v>
      </c>
      <c r="F32" s="41">
        <f t="shared" si="101"/>
        <v>0.62347858203270268</v>
      </c>
      <c r="G32" s="41">
        <f t="shared" si="101"/>
        <v>0.43225408305504165</v>
      </c>
      <c r="H32" s="41">
        <f t="shared" si="101"/>
        <v>0.5022409511004513</v>
      </c>
      <c r="I32" s="41">
        <f t="shared" si="101"/>
        <v>0.62516099646580769</v>
      </c>
      <c r="J32" s="41">
        <f t="shared" si="101"/>
        <v>0.50745156109493161</v>
      </c>
      <c r="K32" s="41">
        <f t="shared" si="101"/>
        <v>0.55535657083929857</v>
      </c>
      <c r="L32" s="41">
        <f t="shared" si="101"/>
        <v>0.62966085797021321</v>
      </c>
      <c r="M32" s="41">
        <f t="shared" si="101"/>
        <v>0.71218335505806007</v>
      </c>
      <c r="N32" s="41">
        <f t="shared" si="101"/>
        <v>0.54788925500906993</v>
      </c>
      <c r="O32" s="41">
        <f t="shared" si="101"/>
        <v>1.0908813946794005</v>
      </c>
      <c r="P32" s="41">
        <f t="shared" si="101"/>
        <v>0.59213834884179906</v>
      </c>
      <c r="Q32" s="41">
        <f t="shared" si="101"/>
        <v>0.62334754287742489</v>
      </c>
      <c r="R32" s="41">
        <f t="shared" si="101"/>
        <v>0.5597651661764379</v>
      </c>
      <c r="S32" s="41">
        <f t="shared" si="101"/>
        <v>0.6145899871577829</v>
      </c>
      <c r="T32" s="41">
        <f t="shared" si="101"/>
        <v>0.71714094711186605</v>
      </c>
      <c r="U32" s="41">
        <f t="shared" si="101"/>
        <v>0.74262388098632759</v>
      </c>
      <c r="V32" s="41">
        <f t="shared" ref="V32:AA32" si="102">V31/V25</f>
        <v>0.65263462726523902</v>
      </c>
      <c r="W32" s="41">
        <f t="shared" si="102"/>
        <v>0.55319165154092054</v>
      </c>
      <c r="X32" s="41">
        <f t="shared" si="102"/>
        <v>0.5909371963035549</v>
      </c>
      <c r="Y32" s="41">
        <f t="shared" si="102"/>
        <v>0.65648379663676026</v>
      </c>
      <c r="Z32" s="41">
        <f t="shared" si="102"/>
        <v>0.74338226970908716</v>
      </c>
      <c r="AA32" s="41">
        <f t="shared" si="102"/>
        <v>0.70649752952810674</v>
      </c>
      <c r="AB32" s="42">
        <f t="shared" ref="AB32:AD32" si="103">AB31/AB25</f>
        <v>0.72396543300275518</v>
      </c>
      <c r="AC32" s="42">
        <f t="shared" si="103"/>
        <v>0.72623594737634178</v>
      </c>
      <c r="AD32" s="42">
        <f t="shared" si="103"/>
        <v>0.72642238401583681</v>
      </c>
      <c r="AE32" s="42">
        <f t="shared" ref="AE32" si="104">AE31/AE25</f>
        <v>0.72641220244432037</v>
      </c>
      <c r="AI32" s="41">
        <f t="shared" ref="AI32" si="105">AI31/AI25</f>
        <v>1.1102762430939228</v>
      </c>
      <c r="AJ32" s="41">
        <f t="shared" ref="AJ32" si="106">AJ31/AJ25</f>
        <v>1.418697708257548</v>
      </c>
      <c r="AK32" s="41">
        <f t="shared" ref="AK32:AM32" si="107">AK31/AK25</f>
        <v>0.69661118909163822</v>
      </c>
      <c r="AL32" s="41">
        <f t="shared" si="107"/>
        <v>0.35666757461379828</v>
      </c>
      <c r="AM32" s="41">
        <f t="shared" si="107"/>
        <v>1.3773113443278362</v>
      </c>
      <c r="AN32" s="41">
        <f t="shared" ref="AN32:AO32" si="108">AN31/AN25</f>
        <v>0.93452380952380942</v>
      </c>
      <c r="AO32" s="41">
        <f t="shared" si="108"/>
        <v>0.98314837648993014</v>
      </c>
      <c r="AP32" s="41">
        <f t="shared" ref="AP32:CD32" si="109">AP31/AP25</f>
        <v>1.9043031470777139</v>
      </c>
      <c r="AQ32" s="41">
        <f t="shared" si="109"/>
        <v>0.42363381597384403</v>
      </c>
      <c r="AR32" s="41">
        <f t="shared" si="109"/>
        <v>0.59825496849248661</v>
      </c>
      <c r="AS32" s="41">
        <f t="shared" si="109"/>
        <v>0.60059079601990051</v>
      </c>
      <c r="AT32" s="41">
        <f t="shared" si="109"/>
        <v>1.1800757217226692</v>
      </c>
      <c r="AU32" s="41">
        <f t="shared" si="109"/>
        <v>0.87873084162409254</v>
      </c>
      <c r="AV32" s="41">
        <f t="shared" si="109"/>
        <v>1.0049414824447336</v>
      </c>
      <c r="AW32" s="41">
        <f t="shared" si="109"/>
        <v>1.1585972258571053</v>
      </c>
      <c r="AX32" s="41">
        <f t="shared" si="109"/>
        <v>0.36365700446529919</v>
      </c>
      <c r="AY32" s="41">
        <f t="shared" si="109"/>
        <v>0.4902259456714903</v>
      </c>
      <c r="AZ32" s="41">
        <f t="shared" si="109"/>
        <v>0.54287652645861606</v>
      </c>
      <c r="BA32" s="41">
        <f t="shared" si="109"/>
        <v>0.57428605856127246</v>
      </c>
      <c r="BB32" s="41">
        <f t="shared" si="109"/>
        <v>0.61477940444178869</v>
      </c>
      <c r="BC32" s="41">
        <f t="shared" si="109"/>
        <v>0.61033210332103327</v>
      </c>
      <c r="BD32" s="41">
        <f t="shared" si="109"/>
        <v>0.71535035120781221</v>
      </c>
      <c r="BE32" s="41">
        <f t="shared" si="109"/>
        <v>0.57573538386427447</v>
      </c>
      <c r="BF32" s="41">
        <f t="shared" si="109"/>
        <v>0.58240987515780607</v>
      </c>
      <c r="BG32" s="41">
        <f t="shared" si="109"/>
        <v>0.69249712690855358</v>
      </c>
      <c r="BH32" s="41">
        <f t="shared" si="109"/>
        <v>0.66097657800714571</v>
      </c>
      <c r="BI32" s="41">
        <f t="shared" si="109"/>
        <v>0.7748825288338318</v>
      </c>
      <c r="BJ32" s="41">
        <f t="shared" si="109"/>
        <v>0.72623652942801886</v>
      </c>
      <c r="BK32" s="41">
        <f t="shared" si="109"/>
        <v>0.74185377086931503</v>
      </c>
      <c r="BL32" s="41">
        <f t="shared" si="109"/>
        <v>1.1293884133482197</v>
      </c>
      <c r="BM32" s="41">
        <f t="shared" si="109"/>
        <v>0.78568249258160239</v>
      </c>
      <c r="BN32" s="41">
        <f t="shared" si="109"/>
        <v>0.57250852770351246</v>
      </c>
      <c r="BO32" s="41">
        <f t="shared" si="109"/>
        <v>0.65444743935309979</v>
      </c>
      <c r="BP32" s="41">
        <f t="shared" si="109"/>
        <v>0.98473831402317225</v>
      </c>
      <c r="BQ32" s="41">
        <f t="shared" si="109"/>
        <v>0.61936206827550322</v>
      </c>
      <c r="BR32" s="41">
        <f t="shared" si="109"/>
        <v>0.53748752709630798</v>
      </c>
      <c r="BS32" s="41">
        <f t="shared" si="109"/>
        <v>0.75780110819480895</v>
      </c>
      <c r="BT32" s="41">
        <f t="shared" si="109"/>
        <v>0.73211972013474991</v>
      </c>
      <c r="BU32" s="41">
        <f t="shared" si="109"/>
        <v>0.59474787749630487</v>
      </c>
      <c r="BV32" s="41">
        <f t="shared" si="109"/>
        <v>0.40807981331220966</v>
      </c>
      <c r="BW32" s="41">
        <f t="shared" si="109"/>
        <v>0.59905887583830453</v>
      </c>
      <c r="BX32" s="41">
        <f t="shared" si="109"/>
        <v>0.57242236024844717</v>
      </c>
      <c r="BY32" s="41">
        <f t="shared" si="109"/>
        <v>0.5780390130474099</v>
      </c>
      <c r="BZ32" s="41">
        <f t="shared" si="109"/>
        <v>0.60903085796957979</v>
      </c>
      <c r="CA32" s="41">
        <f t="shared" si="109"/>
        <v>0.36263560944479889</v>
      </c>
      <c r="CB32" s="41">
        <f t="shared" si="109"/>
        <v>0.74619476193105472</v>
      </c>
      <c r="CC32" s="41">
        <f t="shared" si="109"/>
        <v>0.70127265065318167</v>
      </c>
      <c r="CD32" s="41">
        <f t="shared" si="109"/>
        <v>0.96132755441680029</v>
      </c>
      <c r="CE32" s="41">
        <f t="shared" ref="CE32:CF32" si="110">CE31/CE25</f>
        <v>0.63625299435901395</v>
      </c>
      <c r="CF32" s="41">
        <f t="shared" si="110"/>
        <v>0.78234306380780172</v>
      </c>
      <c r="CG32" s="41">
        <f t="shared" ref="CG32:CH32" si="111">CG31/CG25</f>
        <v>0.78704319406912748</v>
      </c>
      <c r="CH32" s="41">
        <f t="shared" si="111"/>
        <v>0.73210044457075574</v>
      </c>
      <c r="CI32" s="41">
        <f t="shared" ref="CI32:CJ32" si="112">CI31/CI25</f>
        <v>0.60185310037948103</v>
      </c>
      <c r="CJ32" s="41">
        <f t="shared" si="112"/>
        <v>0.71769100292323784</v>
      </c>
      <c r="CK32" s="41">
        <f t="shared" ref="CK32:CL32" si="113">CK31/CK25</f>
        <v>0.79424162734936943</v>
      </c>
      <c r="CL32" s="41">
        <f t="shared" si="113"/>
        <v>0.71101118666374208</v>
      </c>
      <c r="CM32" s="42">
        <f t="shared" ref="CM32:DB32" si="114">AVERAGE(CI32:CL32)</f>
        <v>0.70619922932895762</v>
      </c>
      <c r="CN32" s="42">
        <f t="shared" si="114"/>
        <v>0.73228576156632674</v>
      </c>
      <c r="CO32" s="42">
        <f t="shared" si="114"/>
        <v>0.73593445122709888</v>
      </c>
      <c r="CP32" s="42">
        <f t="shared" si="114"/>
        <v>0.72135765719653122</v>
      </c>
      <c r="CQ32" s="42">
        <f t="shared" si="114"/>
        <v>0.72394427482972867</v>
      </c>
      <c r="CR32" s="42">
        <f t="shared" si="114"/>
        <v>0.72838053620492138</v>
      </c>
      <c r="CS32" s="42">
        <f t="shared" si="114"/>
        <v>0.7274042298645701</v>
      </c>
      <c r="CT32" s="42">
        <f t="shared" si="114"/>
        <v>0.72527167452393781</v>
      </c>
      <c r="CU32" s="42">
        <f t="shared" si="114"/>
        <v>0.72625017885578946</v>
      </c>
      <c r="CV32" s="42">
        <f t="shared" si="114"/>
        <v>0.72682665486230469</v>
      </c>
      <c r="CW32" s="42">
        <f t="shared" si="114"/>
        <v>0.72643818452665054</v>
      </c>
      <c r="CX32" s="42">
        <f t="shared" si="114"/>
        <v>0.72619667319217074</v>
      </c>
      <c r="CY32" s="42">
        <f t="shared" si="114"/>
        <v>0.72642792285922886</v>
      </c>
      <c r="CZ32" s="42">
        <f t="shared" si="114"/>
        <v>0.72647235886008865</v>
      </c>
      <c r="DA32" s="42">
        <f t="shared" si="114"/>
        <v>0.7263837848595347</v>
      </c>
      <c r="DB32" s="42">
        <f t="shared" si="114"/>
        <v>0.72637018494275574</v>
      </c>
      <c r="DE32" s="125"/>
      <c r="DF32" s="41">
        <v>0.70655934096996953</v>
      </c>
    </row>
    <row r="33" spans="1:110" s="39" customFormat="1" x14ac:dyDescent="0.2">
      <c r="A33" s="39" t="s">
        <v>447</v>
      </c>
      <c r="C33" s="39">
        <f t="shared" ref="C33:AE33" si="115">+IF(B31&lt;0,1-C31/B31,C31/B31-1)</f>
        <v>-0.64598362662038245</v>
      </c>
      <c r="D33" s="39">
        <f t="shared" si="115"/>
        <v>0.53823849244050548</v>
      </c>
      <c r="E33" s="39">
        <f t="shared" si="115"/>
        <v>0.55494335239396908</v>
      </c>
      <c r="F33" s="39">
        <f t="shared" si="115"/>
        <v>0.23548812679323383</v>
      </c>
      <c r="G33" s="39">
        <f t="shared" si="115"/>
        <v>-5.1880874684633649E-2</v>
      </c>
      <c r="H33" s="39">
        <f t="shared" si="115"/>
        <v>0.63228694724906687</v>
      </c>
      <c r="I33" s="39">
        <f t="shared" si="115"/>
        <v>0.32133461810956665</v>
      </c>
      <c r="J33" s="39">
        <f t="shared" si="115"/>
        <v>-0.13068803757015934</v>
      </c>
      <c r="K33" s="39">
        <f t="shared" si="115"/>
        <v>-8.4191839828406279E-2</v>
      </c>
      <c r="L33" s="39">
        <f t="shared" si="115"/>
        <v>0.17153983422658325</v>
      </c>
      <c r="M33" s="39">
        <f t="shared" si="115"/>
        <v>0.32172201194070449</v>
      </c>
      <c r="N33" s="39">
        <f t="shared" si="115"/>
        <v>0.27004605800574621</v>
      </c>
      <c r="O33" s="39">
        <f t="shared" si="115"/>
        <v>-0.39704484417451746</v>
      </c>
      <c r="P33" s="39">
        <f t="shared" si="115"/>
        <v>5.5223191649189429E-2</v>
      </c>
      <c r="Q33" s="39">
        <f t="shared" si="115"/>
        <v>2.5573087562225982E-2</v>
      </c>
      <c r="R33" s="39">
        <f t="shared" si="115"/>
        <v>0.22454395589050447</v>
      </c>
      <c r="S33" s="39">
        <f t="shared" si="115"/>
        <v>0.68982075727457359</v>
      </c>
      <c r="T33" s="39">
        <f t="shared" si="115"/>
        <v>0.14016011465563949</v>
      </c>
      <c r="U33" s="39">
        <f t="shared" si="115"/>
        <v>6.4401273269256043E-2</v>
      </c>
      <c r="V33" s="39">
        <f t="shared" si="115"/>
        <v>0.31513697970013688</v>
      </c>
      <c r="W33" s="39">
        <f t="shared" si="115"/>
        <v>0.1449954740065984</v>
      </c>
      <c r="X33" s="39">
        <f t="shared" si="115"/>
        <v>0.572026235200501</v>
      </c>
      <c r="Y33" s="39">
        <f t="shared" si="115"/>
        <v>0.61380352335739019</v>
      </c>
      <c r="Z33" s="39">
        <f t="shared" si="115"/>
        <v>0.25732806583870405</v>
      </c>
      <c r="AA33" s="39">
        <f t="shared" si="115"/>
        <v>-0.14977213330741468</v>
      </c>
      <c r="AB33" s="40">
        <f t="shared" si="115"/>
        <v>0.19114178148217831</v>
      </c>
      <c r="AC33" s="40">
        <f t="shared" si="115"/>
        <v>0.15326130673499461</v>
      </c>
      <c r="AD33" s="40">
        <f t="shared" si="115"/>
        <v>0.14996574292359632</v>
      </c>
      <c r="AE33" s="40">
        <f t="shared" si="115"/>
        <v>0.14966872095294348</v>
      </c>
      <c r="AM33" s="39">
        <f>+IF(AI31&lt;0,1-AM31/AI31,AM31/AI31-1)</f>
        <v>-0.45143312101910837</v>
      </c>
      <c r="AN33" s="39">
        <f t="shared" ref="AN33" si="116">+IF(AJ31&lt;0,1-AN31/AJ31,AN31/AJ31-1)</f>
        <v>-0.27538461538461534</v>
      </c>
      <c r="AO33" s="39">
        <f t="shared" ref="AO33" si="117">+IF(AK31&lt;0,1-AO31/AK31,AO31/AK31-1)</f>
        <v>-0.31145653425446174</v>
      </c>
      <c r="AP33" s="39">
        <f t="shared" ref="AP33" si="118">+IF(AL31&lt;0,1-AP31/AL31,AP31/AL31-1)</f>
        <v>-0.35304385773510805</v>
      </c>
      <c r="AQ33" s="39">
        <f t="shared" ref="AQ33" si="119">+IF(AM31&lt;0,1-AQ31/AM31,AQ31/AM31-1)</f>
        <v>-0.34179970972423801</v>
      </c>
      <c r="AR33" s="39">
        <f t="shared" ref="AR33" si="120">+IF(AN31&lt;0,1-AR31/AN31,AR31/AN31-1)</f>
        <v>1.1836518046709128</v>
      </c>
      <c r="AS33" s="39">
        <f t="shared" ref="AS33" si="121">+IF(AO31&lt;0,1-AS31/AO31,AS31/AO31-1)</f>
        <v>-0.19251672240802664</v>
      </c>
      <c r="AT33" s="39">
        <f t="shared" ref="AT33" si="122">+IF(AP31&lt;0,1-AT31/AP31,AT31/AP31-1)</f>
        <v>-0.15902192242833058</v>
      </c>
      <c r="AU33" s="39">
        <f t="shared" ref="AU33" si="123">+IF(AQ31&lt;0,1-AU31/AQ31,AU31/AQ31-1)</f>
        <v>0.80154355016538048</v>
      </c>
      <c r="AV33" s="39">
        <f t="shared" ref="AV33" si="124">+IF(AR31&lt;0,1-AV31/AR31,AV31/AR31-1)</f>
        <v>-0.37384540593096727</v>
      </c>
      <c r="AW33" s="39">
        <f t="shared" ref="AW33" si="125">+IF(AS31&lt;0,1-AW31/AS31,AW31/AS31-1)</f>
        <v>0.14600051773233225</v>
      </c>
      <c r="AX33" s="39">
        <f t="shared" ref="AX33" si="126">+IF(AT31&lt;0,1-AX31/AT31,AX31/AT31-1)</f>
        <v>-3.6494886705434548E-2</v>
      </c>
      <c r="AY33" s="39">
        <f t="shared" ref="AY33" si="127">+IF(AU31&lt;0,1-AY31/AU31,AY31/AU31-1)</f>
        <v>0.18176254589963281</v>
      </c>
      <c r="AZ33" s="39">
        <f t="shared" ref="AZ33" si="128">+IF(AV31&lt;0,1-AZ31/AV31,AZ31/AV31-1)</f>
        <v>3.5455486542443015E-2</v>
      </c>
      <c r="BA33" s="39">
        <f t="shared" ref="BA33" si="129">+IF(AW31&lt;0,1-BA31/AW31,BA31/AW31-1)</f>
        <v>7.6575559069347321E-2</v>
      </c>
      <c r="BB33" s="39">
        <f t="shared" ref="BB33" si="130">+IF(AX31&lt;0,1-BB31/AX31,BB31/AX31-1)</f>
        <v>0.28470343392299746</v>
      </c>
      <c r="BC33" s="39">
        <f t="shared" ref="BC33" si="131">+IF(AY31&lt;0,1-BC31/AY31,BC31/AY31-1)</f>
        <v>0.49896426721905729</v>
      </c>
      <c r="BD33" s="39">
        <f t="shared" ref="BD33" si="132">+IF(AZ31&lt;0,1-BD31/AZ31,BD31/AZ31-1)</f>
        <v>1.0872281929517618</v>
      </c>
      <c r="BE33" s="39">
        <f t="shared" ref="BE33" si="133">+IF(BA31&lt;0,1-BE31/BA31,BE31/BA31-1)</f>
        <v>0.97943768359211103</v>
      </c>
      <c r="BF33" s="39">
        <f t="shared" ref="BF33" si="134">+IF(BB31&lt;0,1-BF31/BB31,BF31/BB31-1)</f>
        <v>0.34521302446136382</v>
      </c>
      <c r="BG33" s="39">
        <f t="shared" ref="BG33" si="135">+IF(BC31&lt;0,1-BG31/BC31,BG31/BC31-1)</f>
        <v>0.45724650198652617</v>
      </c>
      <c r="BH33" s="39">
        <f t="shared" ref="BH33" si="136">+IF(BD31&lt;0,1-BH31/BD31,BH31/BD31-1)</f>
        <v>-0.20249071967429044</v>
      </c>
      <c r="BI33" s="39">
        <f t="shared" ref="BI33" si="137">+IF(BE31&lt;0,1-BI31/BE31,BI31/BE31-1)</f>
        <v>0.15369938520245907</v>
      </c>
      <c r="BJ33" s="39">
        <f t="shared" ref="BJ33" si="138">+IF(BF31&lt;0,1-BJ31/BF31,BJ31/BF31-1)</f>
        <v>0.26601637764932606</v>
      </c>
      <c r="BK33" s="39">
        <f t="shared" ref="BK33" si="139">+IF(BG31&lt;0,1-BK31/BG31,BK31/BG31-1)</f>
        <v>-0.23624940730203869</v>
      </c>
      <c r="BL33" s="39">
        <f t="shared" ref="BL33" si="140">+IF(BH31&lt;0,1-BL31/BH31,BL31/BH31-1)</f>
        <v>0.36696696696696685</v>
      </c>
      <c r="BM33" s="39">
        <f t="shared" ref="BM33" si="141">+IF(BI31&lt;0,1-BM31/BI31,BM31/BI31-1)</f>
        <v>-2.6920249908121918E-2</v>
      </c>
      <c r="BN33" s="39">
        <f t="shared" ref="BN33" si="142">+IF(BJ31&lt;0,1-BN31/BJ31,BN31/BJ31-1)</f>
        <v>0.1813944639969558</v>
      </c>
      <c r="BO33" s="39">
        <f t="shared" ref="BO33" si="143">+IF(BK31&lt;0,1-BO31/BK31,BO31/BK31-1)</f>
        <v>0.13052925655750403</v>
      </c>
      <c r="BP33" s="39">
        <f t="shared" ref="BP33" si="144">+IF(BL31&lt;0,1-BP31/BL31,BP31/BL31-1)</f>
        <v>0.35369068541300552</v>
      </c>
      <c r="BQ33" s="39">
        <f t="shared" ref="BQ33" si="145">+IF(BM31&lt;0,1-BQ31/BM31,BQ31/BM31-1)</f>
        <v>0.46124067604569885</v>
      </c>
      <c r="BR33" s="39">
        <f t="shared" ref="BR33" si="146">+IF(BN31&lt;0,1-BR31/BN31,BR31/BN31-1)</f>
        <v>0.2577294685990339</v>
      </c>
      <c r="BS33" s="39">
        <f t="shared" ref="BS33" si="147">+IF(BO31&lt;0,1-BS31/BO31,BS31/BO31-1)</f>
        <v>0.42696320702910451</v>
      </c>
      <c r="BT33" s="39">
        <f t="shared" ref="BT33" si="148">+IF(BP31&lt;0,1-BT31/BP31,BT31/BP31-1)</f>
        <v>-8.3008763388510376E-2</v>
      </c>
      <c r="BU33" s="39">
        <f t="shared" ref="BU33" si="149">+IF(BQ31&lt;0,1-BU31/BQ31,BU31/BQ31-1)</f>
        <v>0.11805376066166962</v>
      </c>
      <c r="BV33" s="39">
        <f t="shared" ref="BV33" si="150">+IF(BR31&lt;0,1-BV31/BR31,BV31/BR31-1)</f>
        <v>0.2202163753921007</v>
      </c>
      <c r="BW33" s="39">
        <f t="shared" ref="BW33" si="151">+IF(BS31&lt;0,1-BW31/BS31,BW31/BS31-1)</f>
        <v>0.55551279584375646</v>
      </c>
      <c r="BX33" s="39">
        <f t="shared" ref="BX33" si="152">+IF(BT31&lt;0,1-BX31/BT31,BX31/BT31-1)</f>
        <v>0.83488186886116278</v>
      </c>
      <c r="BY33" s="39">
        <f t="shared" ref="BY33" si="153">+IF(BU31&lt;0,1-BY31/BU31,BY31/BU31-1)</f>
        <v>0.29301277235161538</v>
      </c>
      <c r="BZ33" s="39">
        <f t="shared" ref="BZ33" si="154">+IF(BV31&lt;0,1-BZ31/BV31,BZ31/BV31-1)</f>
        <v>0.67845338649598608</v>
      </c>
      <c r="CA33" s="39">
        <f t="shared" ref="CA33" si="155">+IF(BW31&lt;0,1-CA31/BW31,CA31/BW31-1)</f>
        <v>0.54644977733795086</v>
      </c>
      <c r="CB33" s="39">
        <f t="shared" ref="CB33" si="156">+IF(BX31&lt;0,1-CB31/BX31,CB31/BX31-1)</f>
        <v>0.95519868827160459</v>
      </c>
      <c r="CC33" s="39">
        <f t="shared" ref="CC33" si="157">+IF(BY31&lt;0,1-CC31/BY31,CC31/BY31-1)</f>
        <v>0.85951816922183011</v>
      </c>
      <c r="CD33" s="39">
        <f t="shared" ref="CD33" si="158">+IF(BZ31&lt;0,1-CD31/BZ31,CD31/BZ31-1)</f>
        <v>0.25483699559278605</v>
      </c>
      <c r="CE33" s="39">
        <f t="shared" ref="CE33" si="159">+IF(CA31&lt;0,1-CE31/CA31,CE31/CA31-1)</f>
        <v>0.31724193096828435</v>
      </c>
      <c r="CF33" s="39">
        <f t="shared" ref="CF33" si="160">+IF(CB31&lt;0,1-CF31/CB31,CF31/CB31-1)</f>
        <v>0.49394470068815877</v>
      </c>
      <c r="CG33" s="39">
        <f t="shared" ref="CG33" si="161">+IF(CC31&lt;0,1-CG31/CC31,CG31/CC31-1)</f>
        <v>0.33713914861908978</v>
      </c>
      <c r="CH33" s="39">
        <f t="shared" ref="CH33:CL33" si="162">+IF(CD31&lt;0,1-CH31/CD31,CH31/CD31-1)</f>
        <v>-0.10167887211677384</v>
      </c>
      <c r="CI33" s="39">
        <f t="shared" si="162"/>
        <v>-5.1343555488082782E-2</v>
      </c>
      <c r="CJ33" s="39">
        <f t="shared" si="162"/>
        <v>-0.34334395482837776</v>
      </c>
      <c r="CK33" s="39">
        <f t="shared" si="162"/>
        <v>-0.26162613025580206</v>
      </c>
      <c r="CL33" s="39">
        <f t="shared" si="162"/>
        <v>0.2583462732919255</v>
      </c>
      <c r="CM33" s="40">
        <f t="shared" ref="CM33" si="163">+CM31/CI31-1</f>
        <v>0.35041955369238798</v>
      </c>
      <c r="CN33" s="40">
        <f t="shared" ref="CN33" si="164">+CN31/CJ31-1</f>
        <v>0.19238079692983256</v>
      </c>
      <c r="CO33" s="40">
        <f t="shared" ref="CO33" si="165">+CO31/CK31-1</f>
        <v>7.366574496341638E-2</v>
      </c>
      <c r="CP33" s="40">
        <f t="shared" ref="CP33" si="166">+CP31/CL31-1</f>
        <v>0.18635255053477184</v>
      </c>
      <c r="CQ33" s="40">
        <f t="shared" ref="CQ33" si="167">+CQ31/CM31-1</f>
        <v>0.17882626489717635</v>
      </c>
      <c r="CR33" s="40">
        <f t="shared" ref="CR33" si="168">+CR31/CN31-1</f>
        <v>0.14361853184002826</v>
      </c>
      <c r="CS33" s="40">
        <f t="shared" ref="CS33" si="169">+CS31/CO31-1</f>
        <v>0.13624333394213028</v>
      </c>
      <c r="CT33" s="40">
        <f t="shared" ref="CT33" si="170">+CT31/CP31-1</f>
        <v>0.15566038436742713</v>
      </c>
      <c r="CU33" s="40">
        <f t="shared" ref="CU33" si="171">+CU31/CQ31-1</f>
        <v>0.15359707329199779</v>
      </c>
      <c r="CV33" s="40">
        <f t="shared" ref="CV33" si="172">+CV31/CR31-1</f>
        <v>0.1473080503108446</v>
      </c>
      <c r="CW33" s="40">
        <f t="shared" ref="CW33" si="173">+CW31/CS31-1</f>
        <v>0.14805987843991364</v>
      </c>
      <c r="CX33" s="40">
        <f t="shared" ref="CX33" si="174">+CX31/CT31-1</f>
        <v>0.15091448721687017</v>
      </c>
      <c r="CY33" s="40">
        <f t="shared" ref="CY33" si="175">+CY31/CU31-1</f>
        <v>0.15021859838814078</v>
      </c>
      <c r="CZ33" s="40">
        <f t="shared" ref="CZ33" si="176">+CZ31/CV31-1</f>
        <v>0.1492107642132503</v>
      </c>
      <c r="DA33" s="40">
        <f t="shared" ref="DA33" si="177">+DA31/CW31-1</f>
        <v>0.14951835497355126</v>
      </c>
      <c r="DB33" s="40">
        <f t="shared" ref="DB33" si="178">+DB31/CX31-1</f>
        <v>0.14974687194331815</v>
      </c>
      <c r="DE33" s="122"/>
      <c r="DF33" s="39">
        <v>-0.14969545778526516</v>
      </c>
    </row>
    <row r="34" spans="1:110" s="39" customFormat="1" x14ac:dyDescent="0.2">
      <c r="A34" s="39" t="s">
        <v>448</v>
      </c>
      <c r="AB34" s="40"/>
      <c r="AC34" s="40"/>
      <c r="AD34" s="40"/>
      <c r="AE34" s="40"/>
      <c r="AJ34" s="39">
        <f>+IF(AI31&lt;0,1-AJ31/AI31,AJ31/AI31-1)</f>
        <v>-0.22372611464968173</v>
      </c>
      <c r="AK34" s="39">
        <f t="shared" ref="AK34" si="179">+IF(AJ31&lt;0,1-AK31/AJ31,AK31/AJ31-1)</f>
        <v>0.78153846153846174</v>
      </c>
      <c r="AL34" s="39">
        <f t="shared" ref="AL34" si="180">+IF(AK31&lt;0,1-AL31/AK31,AL31/AK31-1)</f>
        <v>0.31922855497985081</v>
      </c>
      <c r="AM34" s="39">
        <f t="shared" ref="AM34" si="181">+IF(AL31&lt;0,1-AM31/AL31,AM31/AL31-1)</f>
        <v>-0.69932358716997611</v>
      </c>
      <c r="AN34" s="39">
        <f t="shared" ref="AN34" si="182">+IF(AM31&lt;0,1-AN31/AM31,AN31/AM31-1)</f>
        <v>2.5399129172713808E-2</v>
      </c>
      <c r="AO34" s="39">
        <f t="shared" ref="AO34" si="183">+IF(AN31&lt;0,1-AO31/AN31,AO31/AN31-1)</f>
        <v>0.6928520877565465</v>
      </c>
      <c r="AP34" s="39">
        <f t="shared" ref="AP34" si="184">+IF(AO31&lt;0,1-AP31/AO31,AP31/AO31-1)</f>
        <v>0.23954849498327779</v>
      </c>
      <c r="AQ34" s="39">
        <f t="shared" ref="AQ34" si="185">+IF(AP31&lt;0,1-AQ31/AP31,AQ31/AP31-1)</f>
        <v>-0.6940978077571669</v>
      </c>
      <c r="AR34" s="39">
        <f t="shared" ref="AR34" si="186">+IF(AQ31&lt;0,1-AR31/AQ31,AR31/AQ31-1)</f>
        <v>2.4018743109151042</v>
      </c>
      <c r="AS34" s="39">
        <f t="shared" ref="AS34" si="187">+IF(AR31&lt;0,1-AS31/AR31,AS31/AR31-1)</f>
        <v>-0.37400745422135784</v>
      </c>
      <c r="AT34" s="39">
        <f t="shared" ref="AT34" si="188">+IF(AS31&lt;0,1-AT31/AS31,AT31/AS31-1)</f>
        <v>0.29096557079989638</v>
      </c>
      <c r="AU34" s="39">
        <f t="shared" ref="AU34" si="189">+IF(AT31&lt;0,1-AU31/AT31,AU31/AT31-1)</f>
        <v>-0.34469621014638052</v>
      </c>
      <c r="AV34" s="39">
        <f t="shared" ref="AV34" si="190">+IF(AU31&lt;0,1-AV31/AU31,AV31/AU31-1)</f>
        <v>0.18237454100367212</v>
      </c>
      <c r="AW34" s="39">
        <f t="shared" ref="AW34" si="191">+IF(AV31&lt;0,1-AW31/AV31,AW31/AV31-1)</f>
        <v>0.14570393374741175</v>
      </c>
      <c r="AX34" s="39">
        <f t="shared" ref="AX34" si="192">+IF(AW31&lt;0,1-AX31/AW31,AX31/AW31-1)</f>
        <v>8.5385136661395578E-2</v>
      </c>
      <c r="AY34" s="39">
        <f t="shared" ref="AY34" si="193">+IF(AX31&lt;0,1-AY31/AX31,AY31/AX31-1)</f>
        <v>-0.19625390218522332</v>
      </c>
      <c r="AZ34" s="39">
        <f t="shared" ref="AZ34" si="194">+IF(AY31&lt;0,1-AZ31/AY31,AZ31/AY31-1)</f>
        <v>3.5991714137752373E-2</v>
      </c>
      <c r="BA34" s="39">
        <f t="shared" ref="BA34" si="195">+IF(AZ31&lt;0,1-BA31/AZ31,BA31/AZ31-1)</f>
        <v>0.19120219945013739</v>
      </c>
      <c r="BB34" s="39">
        <f t="shared" ref="BB34" si="196">+IF(BA31&lt;0,1-BB31/BA31,BB31/BA31-1)</f>
        <v>0.29521611414183813</v>
      </c>
      <c r="BC34" s="39">
        <f t="shared" ref="BC34" si="197">+IF(BB31&lt;0,1-BC31/BB31,BC31/BB31-1)</f>
        <v>-6.2206382634051538E-2</v>
      </c>
      <c r="BD34" s="39">
        <f t="shared" ref="BD34" si="198">+IF(BC31&lt;0,1-BD31/BC31,BD31/BC31-1)</f>
        <v>0.44256348246674726</v>
      </c>
      <c r="BE34" s="39">
        <f t="shared" ref="BE34" si="199">+IF(BD31&lt;0,1-BE31/BD31,BE31/BD31-1)</f>
        <v>0.1296850676565684</v>
      </c>
      <c r="BF34" s="39">
        <f t="shared" ref="BF34" si="200">+IF(BE31&lt;0,1-BF31/BE31,BF31/BE31-1)</f>
        <v>-0.11977952088191668</v>
      </c>
      <c r="BG34" s="39">
        <f t="shared" ref="BG34" si="201">+IF(BF31&lt;0,1-BG31/BF31,BG31/BF31-1)</f>
        <v>1.5895953757225634E-2</v>
      </c>
      <c r="BH34" s="39">
        <f t="shared" ref="BH34" si="202">+IF(BG31&lt;0,1-BH31/BG31,BH31/BG31-1)</f>
        <v>-0.21052631578947367</v>
      </c>
      <c r="BI34" s="39">
        <f t="shared" ref="BI34" si="203">+IF(BH31&lt;0,1-BI31/BH31,BI31/BH31-1)</f>
        <v>0.6342342342342342</v>
      </c>
      <c r="BJ34" s="39">
        <f t="shared" ref="BJ34" si="204">+IF(BI31&lt;0,1-BJ31/BI31,BJ31/BI31-1)</f>
        <v>-3.4086732818816468E-2</v>
      </c>
      <c r="BK34" s="39">
        <f t="shared" ref="BK34" si="205">+IF(BJ31&lt;0,1-BK31/BJ31,BK31/BJ31-1)</f>
        <v>-0.38713973176067717</v>
      </c>
      <c r="BL34" s="39">
        <f t="shared" ref="BL34" si="206">+IF(BK31&lt;0,1-BL31/BK31,BL31/BK31-1)</f>
        <v>0.41300636349526565</v>
      </c>
      <c r="BM34" s="39">
        <f t="shared" ref="BM34" si="207">+IF(BL31&lt;0,1-BM31/BL31,BM31/BL31-1)</f>
        <v>0.16333479789103711</v>
      </c>
      <c r="BN34" s="39">
        <f t="shared" ref="BN34" si="208">+IF(BM31&lt;0,1-BN31/BM31,BN31/BM31-1)</f>
        <v>0.17269379661977124</v>
      </c>
      <c r="BO34" s="39">
        <f t="shared" ref="BO34" si="209">+IF(BN31&lt;0,1-BO31/BN31,BO31/BN31-1)</f>
        <v>-0.41352657004830906</v>
      </c>
      <c r="BP34" s="39">
        <f t="shared" ref="BP34" si="210">+IF(BO31&lt;0,1-BP31/BO31,BP31/BO31-1)</f>
        <v>0.6919275123558486</v>
      </c>
      <c r="BQ34" s="39">
        <f t="shared" ref="BQ34" si="211">+IF(BP31&lt;0,1-BQ31/BP31,BQ31/BP31-1)</f>
        <v>0.25576111652060995</v>
      </c>
      <c r="BR34" s="39">
        <f t="shared" ref="BR34" si="212">+IF(BQ31&lt;0,1-BR31/BQ31,BR31/BQ31-1)</f>
        <v>9.3693460842594334E-3</v>
      </c>
      <c r="BS34" s="39">
        <f t="shared" ref="BS34" si="213">+IF(BR31&lt;0,1-BS31/BR31,BS31/BR31-1)</f>
        <v>-0.33461366109724089</v>
      </c>
      <c r="BT34" s="39">
        <f t="shared" ref="BT34" si="214">+IF(BS31&lt;0,1-BT31/BS31,BT31/BS31-1)</f>
        <v>8.7261881854916457E-2</v>
      </c>
      <c r="BU34" s="39">
        <f t="shared" ref="BU34" si="215">+IF(BT31&lt;0,1-BU31/BT31,BU31/BT31-1)</f>
        <v>0.53110344217325878</v>
      </c>
      <c r="BV34" s="39">
        <f t="shared" ref="BV34" si="216">+IF(BU31&lt;0,1-BV31/BU31,BV31/BU31-1)</f>
        <v>0.10160087846038302</v>
      </c>
      <c r="BW34" s="39">
        <f t="shared" ref="BW34" si="217">+IF(BV31&lt;0,1-BW31/BV31,BW31/BV31-1)</f>
        <v>-0.15177587744609411</v>
      </c>
      <c r="BX34" s="39">
        <f t="shared" ref="BX34" si="218">+IF(BW31&lt;0,1-BX31/BW31,BX31/BW31-1)</f>
        <v>0.28253339930727339</v>
      </c>
      <c r="BY34" s="39">
        <f t="shared" ref="BY34" si="219">+IF(BX31&lt;0,1-BY31/BX31,BY31/BX31-1)</f>
        <v>7.8944830246913344E-2</v>
      </c>
      <c r="BZ34" s="39">
        <f t="shared" ref="BZ34" si="220">+IF(BY31&lt;0,1-BZ31/BY31,BZ31/BY31-1)</f>
        <v>0.42998256827425907</v>
      </c>
      <c r="CA34" s="39">
        <f t="shared" ref="CA34" si="221">+IF(BZ31&lt;0,1-CA31/BZ31,CA31/BZ31-1)</f>
        <v>-0.21848529365798774</v>
      </c>
      <c r="CB34" s="39">
        <f t="shared" ref="CB34" si="222">+IF(CA31&lt;0,1-CB31/CA31,CB31/CA31-1)</f>
        <v>0.62152541694996621</v>
      </c>
      <c r="CC34" s="39">
        <f t="shared" ref="CC34" si="223">+IF(CB31&lt;0,1-CC31/CB31,CC31/CB31-1)</f>
        <v>2.6145080531781328E-2</v>
      </c>
      <c r="CD34" s="39">
        <f t="shared" ref="CD34" si="224">+IF(CC31&lt;0,1-CD31/CC31,CD31/CC31-1)</f>
        <v>-3.5021512871667881E-2</v>
      </c>
      <c r="CE34" s="39">
        <f t="shared" ref="CE34" si="225">+IF(CD31&lt;0,1-CE31/CD31,CE31/CD31-1)</f>
        <v>-0.17961938922931298</v>
      </c>
      <c r="CF34" s="39">
        <f t="shared" ref="CF34" si="226">+IF(CE31&lt;0,1-CF31/CE31,CF31/CE31-1)</f>
        <v>0.83904660695308952</v>
      </c>
      <c r="CG34" s="39">
        <f t="shared" ref="CG34" si="227">+IF(CF31&lt;0,1-CG31/CF31,CG31/CF31-1)</f>
        <v>-8.1559873862867338E-2</v>
      </c>
      <c r="CH34" s="39">
        <f t="shared" ref="CH34:CL34" si="228">+IF(CG31&lt;0,1-CH31/CG31,CH31/CG31-1)</f>
        <v>-0.35170504592928142</v>
      </c>
      <c r="CI34" s="39">
        <f t="shared" si="228"/>
        <v>-0.13365128660159731</v>
      </c>
      <c r="CJ34" s="39">
        <f t="shared" si="228"/>
        <v>0.27298041223914993</v>
      </c>
      <c r="CK34" s="39">
        <f t="shared" si="228"/>
        <v>3.27357755261104E-2</v>
      </c>
      <c r="CL34" s="39">
        <f t="shared" si="228"/>
        <v>0.10483262325015241</v>
      </c>
      <c r="CM34" s="40">
        <f t="shared" ref="CM34" si="229">+CM31/CL31-1</f>
        <v>-7.0260493696371551E-2</v>
      </c>
      <c r="CN34" s="40">
        <f t="shared" ref="CN34" si="230">+CN31/CM31-1</f>
        <v>0.12400430982469457</v>
      </c>
      <c r="CO34" s="40">
        <f t="shared" ref="CO34" si="231">+CO31/CN31-1</f>
        <v>-7.0084801234967631E-2</v>
      </c>
      <c r="CP34" s="40">
        <f t="shared" ref="CP34" si="232">+CP31/CO31-1</f>
        <v>0.22079055484023313</v>
      </c>
      <c r="CQ34" s="40">
        <f t="shared" ref="CQ34" si="233">+CQ31/CP31-1</f>
        <v>-7.6158812109261564E-2</v>
      </c>
      <c r="CR34" s="40">
        <f t="shared" ref="CR34" si="234">+CR31/CQ31-1</f>
        <v>9.0433931496855413E-2</v>
      </c>
      <c r="CS34" s="40">
        <f t="shared" ref="CS34" si="235">+CS31/CR31-1</f>
        <v>-7.6081825966737737E-2</v>
      </c>
      <c r="CT34" s="40">
        <f t="shared" ref="CT34" si="236">+CT31/CS31-1</f>
        <v>0.24165241695547079</v>
      </c>
      <c r="CU34" s="40">
        <f t="shared" ref="CU34" si="237">+CU31/CT31-1</f>
        <v>-7.7808234189223335E-2</v>
      </c>
      <c r="CV34" s="40">
        <f t="shared" ref="CV34" si="238">+CV31/CU31-1</f>
        <v>8.4489252706154927E-2</v>
      </c>
      <c r="CW34" s="40">
        <f t="shared" ref="CW34" si="239">+CW31/CV31-1</f>
        <v>-7.5476384671343544E-2</v>
      </c>
      <c r="CX34" s="40">
        <f t="shared" ref="CX34" si="240">+CX31/CW31-1</f>
        <v>0.24473974014647637</v>
      </c>
      <c r="CY34" s="40">
        <f t="shared" ref="CY34" si="241">+CY31/CX31-1</f>
        <v>-7.8365828132910487E-2</v>
      </c>
      <c r="CZ34" s="40">
        <f t="shared" ref="CZ34" si="242">+CZ31/CY31-1</f>
        <v>8.3539011306206667E-2</v>
      </c>
      <c r="DA34" s="40">
        <f t="shared" ref="DA34" si="243">+DA31/CZ31-1</f>
        <v>-7.5228932306111052E-2</v>
      </c>
      <c r="DB34" s="40">
        <f t="shared" ref="DB34" si="244">+DB31/DA31-1</f>
        <v>0.24498718652463625</v>
      </c>
      <c r="DE34" s="122"/>
    </row>
    <row r="35" spans="1:110" s="23" customFormat="1" outlineLevel="1" x14ac:dyDescent="0.2">
      <c r="A35" s="23" t="s">
        <v>8</v>
      </c>
      <c r="B35" s="23">
        <f>'Annual Raw'!C14</f>
        <v>1.6868951999999999</v>
      </c>
      <c r="C35" s="23">
        <f>'Annual Raw'!D14</f>
        <v>1.4504334999999999</v>
      </c>
      <c r="D35" s="23">
        <f>'Annual Raw'!E14</f>
        <v>0.82994210000000002</v>
      </c>
      <c r="E35" s="23">
        <f>'Annual Raw'!F14</f>
        <v>1.9424493</v>
      </c>
      <c r="F35" s="23">
        <f>'Annual Raw'!G14</f>
        <v>2.6026172999999999</v>
      </c>
      <c r="G35" s="23">
        <f>'Annual Raw'!H14</f>
        <v>2.3729569000000001</v>
      </c>
      <c r="H35" s="23">
        <f>'Annual Raw'!I14</f>
        <v>2.8263584000000002</v>
      </c>
      <c r="I35" s="23">
        <f>'Annual Raw'!J14</f>
        <v>2.6687514999999999</v>
      </c>
      <c r="J35" s="23">
        <f>'Annual Raw'!K14</f>
        <v>4.2889502999999998</v>
      </c>
      <c r="K35" s="23">
        <f>'Annual Raw'!L14</f>
        <v>2.8708090999999998</v>
      </c>
      <c r="L35" s="23">
        <f>'Annual Raw'!M14</f>
        <v>3.1598937</v>
      </c>
      <c r="M35" s="23">
        <f>'Annual Raw'!N14</f>
        <v>3.636107</v>
      </c>
      <c r="N35" s="23">
        <f>'Annual Raw'!O14</f>
        <v>4.4441550000000003</v>
      </c>
      <c r="O35" s="23">
        <f>'Annual Raw'!P14</f>
        <v>4.5982441999999999</v>
      </c>
      <c r="P35" s="23">
        <f>'Annual Raw'!Q14</f>
        <v>3.8597144999999999</v>
      </c>
      <c r="Q35" s="23">
        <f>'Annual Raw'!R14</f>
        <v>3.7923849000000001</v>
      </c>
      <c r="R35" s="23">
        <f>'Annual Raw'!S14</f>
        <v>4.4539685999999996</v>
      </c>
      <c r="S35" s="23">
        <f>'Annual Raw'!T14</f>
        <v>6.5585465999999997</v>
      </c>
      <c r="T35" s="23">
        <f>'Annual Raw'!U14</f>
        <v>7.2356930999999998</v>
      </c>
      <c r="U35" s="23">
        <f>'Annual Raw'!V14</f>
        <v>8.7857892</v>
      </c>
      <c r="V35" s="23">
        <f>'Annual Raw'!W14</f>
        <v>8.5274000000000001</v>
      </c>
      <c r="W35" s="23">
        <f>'Annual Raw'!X14</f>
        <v>10.691000000000001</v>
      </c>
      <c r="X35" s="23">
        <f>'Annual Raw'!Y14</f>
        <v>14.167</v>
      </c>
      <c r="Y35" s="23">
        <f>'Annual Raw'!Z14</f>
        <v>29.806699999999999</v>
      </c>
      <c r="Z35" s="23">
        <f>'Annual Raw'!AA14</f>
        <v>45.550899999999999</v>
      </c>
      <c r="AA35" s="23">
        <f>'Annual Raw'!AB14</f>
        <v>47.273600000000002</v>
      </c>
      <c r="AB35" s="76">
        <f t="shared" ref="AB35:AB40" si="245">+SUM(CM35:CP35)</f>
        <v>54.298220000000001</v>
      </c>
      <c r="AC35" s="76">
        <f t="shared" ref="AC35:AC40" si="246">+SUM(CQ35:CT35)</f>
        <v>58.09909540000001</v>
      </c>
      <c r="AD35" s="76">
        <f t="shared" ref="AD35:AD40" si="247">+SUM(CU35:CX35)</f>
        <v>62.166032078000015</v>
      </c>
      <c r="AE35" s="76">
        <f t="shared" ref="AE35:AE40" si="248">+SUM(CY35:DB35)</f>
        <v>66.517654323460022</v>
      </c>
      <c r="AI35" s="23">
        <f>'QTR Raw'!C16</f>
        <v>1.0389999999999999</v>
      </c>
      <c r="AJ35" s="23">
        <f>'QTR Raw'!D16</f>
        <v>1.194</v>
      </c>
      <c r="AK35" s="23">
        <f>'QTR Raw'!E16</f>
        <v>1.1850000000000001</v>
      </c>
      <c r="AL35" s="23">
        <f>'QTR Raw'!F16</f>
        <v>1.206</v>
      </c>
      <c r="AM35" s="23">
        <f>'QTR Raw'!G16</f>
        <v>1.0820000000000001</v>
      </c>
      <c r="AN35" s="23">
        <f>'QTR Raw'!H16</f>
        <v>1.3380000000000001</v>
      </c>
      <c r="AO35" s="23">
        <f>'QTR Raw'!I16</f>
        <v>1.165</v>
      </c>
      <c r="AP35" s="23">
        <f>'QTR Raw'!J16</f>
        <v>1.3660000000000001</v>
      </c>
      <c r="AQ35" s="23">
        <f>'QTR Raw'!K16</f>
        <v>1.0880000000000001</v>
      </c>
      <c r="AR35" s="23">
        <f>'QTR Raw'!L16</f>
        <v>1.014</v>
      </c>
      <c r="AS35" s="23">
        <f>'QTR Raw'!M16</f>
        <v>0.89600000000000002</v>
      </c>
      <c r="AT35" s="23">
        <f>'QTR Raw'!N16</f>
        <v>1.165</v>
      </c>
      <c r="AU35" s="23">
        <f>'QTR Raw'!O16</f>
        <v>0.85799999999999998</v>
      </c>
      <c r="AV35" s="23">
        <f>'QTR Raw'!P16</f>
        <v>0.86899999999999999</v>
      </c>
      <c r="AW35" s="23">
        <f>'QTR Raw'!Q16</f>
        <v>1.022</v>
      </c>
      <c r="AX35" s="23">
        <f>'QTR Raw'!R16</f>
        <v>1.371</v>
      </c>
      <c r="AY35" s="23">
        <f>'QTR Raw'!S16</f>
        <v>1.036</v>
      </c>
      <c r="AZ35" s="23">
        <f>'QTR Raw'!T16</f>
        <v>1.103</v>
      </c>
      <c r="BA35" s="23">
        <f>'QTR Raw'!U16</f>
        <v>1.226</v>
      </c>
      <c r="BB35" s="23">
        <f>'QTR Raw'!V16</f>
        <v>1.444</v>
      </c>
      <c r="BC35" s="23">
        <f>'QTR Raw'!W16</f>
        <v>1.5649999999999999</v>
      </c>
      <c r="BD35" s="23">
        <f>'QTR Raw'!X16</f>
        <v>1.544</v>
      </c>
      <c r="BE35" s="23">
        <f>'QTR Raw'!Y16</f>
        <v>1.6910000000000001</v>
      </c>
      <c r="BF35" s="23">
        <f>'QTR Raw'!Z16</f>
        <v>2.9809999999999999</v>
      </c>
      <c r="BG35" s="23">
        <f>'QTR Raw'!AA16</f>
        <v>1.73</v>
      </c>
      <c r="BH35" s="23">
        <f>'QTR Raw'!AB16</f>
        <v>1.871</v>
      </c>
      <c r="BI35" s="23">
        <f>'QTR Raw'!AC16</f>
        <v>2.105</v>
      </c>
      <c r="BJ35" s="23">
        <f>'QTR Raw'!AD16</f>
        <v>2.8980000000000001</v>
      </c>
      <c r="BK35" s="23">
        <f>'QTR Raw'!AE16</f>
        <v>1.804</v>
      </c>
      <c r="BL35" s="23">
        <f>'QTR Raw'!AF16</f>
        <v>2.5219999999999998</v>
      </c>
      <c r="BM35" s="23">
        <f>'QTR Raw'!AG16</f>
        <v>3.343</v>
      </c>
      <c r="BN35" s="23">
        <f>'QTR Raw'!AH16</f>
        <v>2.5920000000000001</v>
      </c>
      <c r="BO35" s="23">
        <f>'QTR Raw'!AI16</f>
        <v>2.0339999999999998</v>
      </c>
      <c r="BP35" s="23">
        <f>'QTR Raw'!AJ16</f>
        <v>2.613</v>
      </c>
      <c r="BQ35" s="23">
        <f>'QTR Raw'!AK16</f>
        <v>3.1440000000000001</v>
      </c>
      <c r="BR35" s="23">
        <f>'QTR Raw'!AL16</f>
        <v>2.5649999999999999</v>
      </c>
      <c r="BS35" s="23">
        <f>'QTR Raw'!AM16</f>
        <v>2.71</v>
      </c>
      <c r="BT35" s="23">
        <f>'QTR Raw'!AN16</f>
        <v>2.98</v>
      </c>
      <c r="BU35" s="23">
        <f>'QTR Raw'!AO16</f>
        <v>3.8639999999999999</v>
      </c>
      <c r="BV35" s="23">
        <f>'QTR Raw'!AP16</f>
        <v>3.714</v>
      </c>
      <c r="BW35" s="23">
        <f>'QTR Raw'!AQ16</f>
        <v>3.5209999999999999</v>
      </c>
      <c r="BX35" s="23">
        <f>'QTR Raw'!AR16</f>
        <v>4.8179999999999996</v>
      </c>
      <c r="BY35" s="23">
        <f>'QTR Raw'!AS16</f>
        <v>4.4169999999999998</v>
      </c>
      <c r="BZ35" s="23">
        <f>'QTR Raw'!AT16</f>
        <v>5.016</v>
      </c>
      <c r="CA35" s="23">
        <f>'QTR Raw'!AU16</f>
        <v>5.3319999999999999</v>
      </c>
      <c r="CB35" s="23">
        <f>'QTR Raw'!AV16</f>
        <v>8.8219999999999992</v>
      </c>
      <c r="CC35" s="23">
        <f>'QTR Raw'!AW16</f>
        <v>9.0619999999999994</v>
      </c>
      <c r="CD35" s="23">
        <f>'QTR Raw'!AX16</f>
        <v>12.409000000000001</v>
      </c>
      <c r="CE35" s="23">
        <f>'QTR Raw'!AY16</f>
        <v>10.484999999999999</v>
      </c>
      <c r="CF35" s="23">
        <f>'QTR Raw'!AZ16</f>
        <v>16.084</v>
      </c>
      <c r="CG35" s="23">
        <f>'QTR Raw'!BA16</f>
        <v>14.071</v>
      </c>
      <c r="CH35" s="23">
        <f>'QTR Raw'!BB16</f>
        <v>13.315</v>
      </c>
      <c r="CI35" s="23">
        <f>'QTR Raw'!BC16</f>
        <v>10.093999999999999</v>
      </c>
      <c r="CJ35" s="23">
        <f>'QTR Raw'!BD16</f>
        <v>12.538</v>
      </c>
      <c r="CK35" s="23">
        <f>'QTR Raw'!BE16</f>
        <v>13.504</v>
      </c>
      <c r="CL35" s="23">
        <f>'QTR Raw'!BF16</f>
        <v>14.61</v>
      </c>
      <c r="CM35" s="24">
        <f t="shared" ref="CM35:DB35" si="249">CI35*107%</f>
        <v>10.80058</v>
      </c>
      <c r="CN35" s="24">
        <f t="shared" si="249"/>
        <v>13.415660000000001</v>
      </c>
      <c r="CO35" s="24">
        <f t="shared" si="249"/>
        <v>14.44928</v>
      </c>
      <c r="CP35" s="24">
        <f t="shared" si="249"/>
        <v>15.6327</v>
      </c>
      <c r="CQ35" s="24">
        <f t="shared" si="249"/>
        <v>11.5566206</v>
      </c>
      <c r="CR35" s="24">
        <f t="shared" si="249"/>
        <v>14.354756200000002</v>
      </c>
      <c r="CS35" s="24">
        <f t="shared" si="249"/>
        <v>15.460729600000001</v>
      </c>
      <c r="CT35" s="24">
        <f t="shared" si="249"/>
        <v>16.726989</v>
      </c>
      <c r="CU35" s="24">
        <f t="shared" si="249"/>
        <v>12.365584042000002</v>
      </c>
      <c r="CV35" s="24">
        <f t="shared" si="249"/>
        <v>15.359589134000004</v>
      </c>
      <c r="CW35" s="24">
        <f t="shared" si="249"/>
        <v>16.542980672000002</v>
      </c>
      <c r="CX35" s="24">
        <f t="shared" si="249"/>
        <v>17.89787823</v>
      </c>
      <c r="CY35" s="24">
        <f t="shared" si="249"/>
        <v>13.231174924940003</v>
      </c>
      <c r="CZ35" s="24">
        <f t="shared" si="249"/>
        <v>16.434760373380005</v>
      </c>
      <c r="DA35" s="24">
        <f t="shared" si="249"/>
        <v>17.700989319040005</v>
      </c>
      <c r="DB35" s="24">
        <f t="shared" si="249"/>
        <v>19.150729706100002</v>
      </c>
      <c r="DE35" s="123"/>
      <c r="DF35" s="23">
        <v>50.745999999999995</v>
      </c>
    </row>
    <row r="36" spans="1:110" s="23" customFormat="1" outlineLevel="1" x14ac:dyDescent="0.2">
      <c r="A36" s="23" t="s">
        <v>10</v>
      </c>
      <c r="B36" s="23">
        <f>'Annual Raw'!C17</f>
        <v>1.4358641999999999</v>
      </c>
      <c r="C36" s="23">
        <f>'Annual Raw'!D17</f>
        <v>1.0162433</v>
      </c>
      <c r="D36" s="23">
        <f>'Annual Raw'!E17</f>
        <v>0.62148749999999997</v>
      </c>
      <c r="E36" s="23">
        <f>'Annual Raw'!F17</f>
        <v>0.90997039999999996</v>
      </c>
      <c r="F36" s="23">
        <f>'Annual Raw'!G17</f>
        <v>0.99331360000000002</v>
      </c>
      <c r="G36" s="23">
        <f>'Annual Raw'!H17</f>
        <v>0.9204601</v>
      </c>
      <c r="H36" s="23">
        <f>'Annual Raw'!I17</f>
        <v>0.96510530000000005</v>
      </c>
      <c r="I36" s="23">
        <f>'Annual Raw'!J17</f>
        <v>1.0105816999999999</v>
      </c>
      <c r="J36" s="23">
        <f>'Annual Raw'!K17</f>
        <v>1.1298237</v>
      </c>
      <c r="K36" s="23">
        <f>'Annual Raw'!L17</f>
        <v>1.3121327</v>
      </c>
      <c r="L36" s="23">
        <f>'Annual Raw'!M17</f>
        <v>1.2020928</v>
      </c>
      <c r="M36" s="23">
        <f>'Annual Raw'!N17</f>
        <v>1.5696308000000001</v>
      </c>
      <c r="N36" s="23">
        <f>'Annual Raw'!O17</f>
        <v>1.7852568</v>
      </c>
      <c r="O36" s="23">
        <f>'Annual Raw'!P17</f>
        <v>1.4220883</v>
      </c>
      <c r="P36" s="23">
        <f>'Annual Raw'!Q17</f>
        <v>1.7349733000000001</v>
      </c>
      <c r="Q36" s="23">
        <f>'Annual Raw'!R17</f>
        <v>1.7149637</v>
      </c>
      <c r="R36" s="23">
        <f>'Annual Raw'!S17</f>
        <v>2.0485693</v>
      </c>
      <c r="S36" s="23">
        <f>'Annual Raw'!T17</f>
        <v>3.8482709000000002</v>
      </c>
      <c r="T36" s="23">
        <f>'Annual Raw'!U17</f>
        <v>3.0252910000000002</v>
      </c>
      <c r="U36" s="23">
        <f>'Annual Raw'!V17</f>
        <v>3.3359478999999999</v>
      </c>
      <c r="V36" s="23">
        <f>'Annual Raw'!W17</f>
        <v>3.3929999999999998</v>
      </c>
      <c r="W36" s="23">
        <f>'Annual Raw'!X17</f>
        <v>5.2563000000000004</v>
      </c>
      <c r="X36" s="23">
        <f>'Annual Raw'!Y17</f>
        <v>7.1021999999999998</v>
      </c>
      <c r="Y36" s="23">
        <f>'Annual Raw'!Z17</f>
        <v>10.94</v>
      </c>
      <c r="Z36" s="23">
        <f>'Annual Raw'!AA17</f>
        <v>15.8438</v>
      </c>
      <c r="AA36" s="23">
        <f>'Annual Raw'!AB17</f>
        <v>16.246400000000001</v>
      </c>
      <c r="AB36" s="76">
        <f t="shared" si="245"/>
        <v>0</v>
      </c>
      <c r="AC36" s="76">
        <f t="shared" si="246"/>
        <v>0</v>
      </c>
      <c r="AD36" s="76">
        <f t="shared" si="247"/>
        <v>0</v>
      </c>
      <c r="AE36" s="76">
        <f t="shared" si="248"/>
        <v>0</v>
      </c>
      <c r="AI36" s="23">
        <f>'QTR Raw'!C17</f>
        <v>0.37</v>
      </c>
      <c r="AJ36" s="23">
        <f>'QTR Raw'!D17</f>
        <v>0.39500000000000002</v>
      </c>
      <c r="AK36" s="23">
        <f>'QTR Raw'!E17</f>
        <v>0.42199999999999999</v>
      </c>
      <c r="AL36" s="23">
        <f>'QTR Raw'!F17</f>
        <v>0.70299999999999996</v>
      </c>
      <c r="AM36" s="23">
        <f>'QTR Raw'!G17</f>
        <v>0.58599999999999997</v>
      </c>
      <c r="AN36" s="23">
        <f>'QTR Raw'!H17</f>
        <v>0.39700000000000002</v>
      </c>
      <c r="AO36" s="23">
        <f>'QTR Raw'!I17</f>
        <v>0.47499999999999998</v>
      </c>
      <c r="AP36" s="23">
        <f>'QTR Raw'!J17</f>
        <v>0.44500000000000001</v>
      </c>
      <c r="AQ36" s="23">
        <f>'QTR Raw'!K17</f>
        <v>0.41899999999999998</v>
      </c>
      <c r="AR36" s="23">
        <f>'QTR Raw'!L17</f>
        <v>0.50600000000000001</v>
      </c>
      <c r="AS36" s="23">
        <f>'QTR Raw'!M17</f>
        <v>0.54700000000000004</v>
      </c>
      <c r="AT36" s="23">
        <f>'QTR Raw'!N17</f>
        <v>0.72899999999999998</v>
      </c>
      <c r="AU36" s="23">
        <f>'QTR Raw'!O17</f>
        <v>0.36199999999999999</v>
      </c>
      <c r="AV36" s="23">
        <f>'QTR Raw'!P17</f>
        <v>0.46800000000000003</v>
      </c>
      <c r="AW36" s="23">
        <f>'QTR Raw'!Q17</f>
        <v>0.55800000000000005</v>
      </c>
      <c r="AX36" s="23">
        <f>'QTR Raw'!R17</f>
        <v>0</v>
      </c>
      <c r="AY36" s="23">
        <f>'QTR Raw'!S17</f>
        <v>0</v>
      </c>
      <c r="AZ36" s="23">
        <f>'QTR Raw'!T17</f>
        <v>0</v>
      </c>
      <c r="BA36" s="23">
        <f>'QTR Raw'!U17</f>
        <v>0</v>
      </c>
      <c r="BB36" s="23">
        <f>'QTR Raw'!V17</f>
        <v>0</v>
      </c>
      <c r="BC36" s="23">
        <f>'QTR Raw'!W17</f>
        <v>0</v>
      </c>
      <c r="BD36" s="23">
        <f>'QTR Raw'!X17</f>
        <v>0</v>
      </c>
      <c r="BE36" s="23">
        <f>'QTR Raw'!Y17</f>
        <v>0</v>
      </c>
      <c r="BF36" s="23">
        <f>'QTR Raw'!Z17</f>
        <v>0</v>
      </c>
      <c r="BG36" s="23">
        <f>'QTR Raw'!AA17</f>
        <v>0</v>
      </c>
      <c r="BH36" s="23">
        <f>'QTR Raw'!AB17</f>
        <v>0</v>
      </c>
      <c r="BI36" s="23">
        <f>'QTR Raw'!AC17</f>
        <v>0</v>
      </c>
      <c r="BJ36" s="23">
        <f>'QTR Raw'!AD17</f>
        <v>0</v>
      </c>
      <c r="BK36" s="23">
        <f>'QTR Raw'!AE17</f>
        <v>0</v>
      </c>
      <c r="BL36" s="23">
        <f>'QTR Raw'!AF17</f>
        <v>0</v>
      </c>
      <c r="BM36" s="23">
        <f>'QTR Raw'!AG17</f>
        <v>0</v>
      </c>
      <c r="BN36" s="23">
        <f>'QTR Raw'!AH17</f>
        <v>0</v>
      </c>
      <c r="BO36" s="23">
        <f>'QTR Raw'!AI17</f>
        <v>0</v>
      </c>
      <c r="BP36" s="23">
        <f>'QTR Raw'!AJ17</f>
        <v>0</v>
      </c>
      <c r="BQ36" s="23">
        <f>'QTR Raw'!AK17</f>
        <v>0</v>
      </c>
      <c r="BR36" s="23">
        <f>'QTR Raw'!AL17</f>
        <v>0</v>
      </c>
      <c r="BS36" s="23">
        <f>'QTR Raw'!AM17</f>
        <v>0</v>
      </c>
      <c r="BT36" s="23">
        <f>'QTR Raw'!AN17</f>
        <v>0</v>
      </c>
      <c r="BU36" s="23">
        <f>'QTR Raw'!AO17</f>
        <v>0</v>
      </c>
      <c r="BV36" s="23">
        <f>'QTR Raw'!AP17</f>
        <v>0</v>
      </c>
      <c r="BW36" s="23">
        <f>'QTR Raw'!AQ17</f>
        <v>0</v>
      </c>
      <c r="BX36" s="23">
        <f>'QTR Raw'!AR17</f>
        <v>0</v>
      </c>
      <c r="BY36" s="23">
        <f>'QTR Raw'!AS17</f>
        <v>0</v>
      </c>
      <c r="BZ36" s="23">
        <f>'QTR Raw'!AT17</f>
        <v>0</v>
      </c>
      <c r="CA36" s="23">
        <f>'QTR Raw'!AU17</f>
        <v>0</v>
      </c>
      <c r="CB36" s="23">
        <f>'QTR Raw'!AV17</f>
        <v>0</v>
      </c>
      <c r="CC36" s="23">
        <f>'QTR Raw'!AW17</f>
        <v>0</v>
      </c>
      <c r="CD36" s="23">
        <f>'QTR Raw'!AX17</f>
        <v>0</v>
      </c>
      <c r="CE36" s="23">
        <f>'QTR Raw'!AY17</f>
        <v>0</v>
      </c>
      <c r="CF36" s="23">
        <f>'QTR Raw'!AZ17</f>
        <v>0</v>
      </c>
      <c r="CG36" s="23">
        <f>'QTR Raw'!BA17</f>
        <v>0</v>
      </c>
      <c r="CH36" s="23">
        <f>'QTR Raw'!BB17</f>
        <v>0</v>
      </c>
      <c r="CI36" s="23">
        <f>'QTR Raw'!BC17</f>
        <v>0</v>
      </c>
      <c r="CJ36" s="23">
        <f>'QTR Raw'!BD17</f>
        <v>0</v>
      </c>
      <c r="CK36" s="23">
        <f>'QTR Raw'!BE17</f>
        <v>0</v>
      </c>
      <c r="CL36" s="23">
        <f>'QTR Raw'!BF17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3" customFormat="1" outlineLevel="1" x14ac:dyDescent="0.2">
      <c r="A37" s="23" t="s">
        <v>12</v>
      </c>
      <c r="B37" s="23">
        <f>'Annual Raw'!C19-'Annual Raw'!C20</f>
        <v>0.59685149999999998</v>
      </c>
      <c r="C37" s="23">
        <f>'Annual Raw'!D19-'Annual Raw'!D20</f>
        <v>0.51204910000000003</v>
      </c>
      <c r="D37" s="23">
        <f>'Annual Raw'!E19-'Annual Raw'!E20</f>
        <v>0.67300720000000003</v>
      </c>
      <c r="E37" s="23">
        <f>'Annual Raw'!F19-'Annual Raw'!F20</f>
        <v>0.38333889999999998</v>
      </c>
      <c r="F37" s="23">
        <f>'Annual Raw'!G19-'Annual Raw'!G20</f>
        <v>4.0996199999999997E-2</v>
      </c>
      <c r="G37" s="23">
        <f>'Annual Raw'!H19-'Annual Raw'!H20</f>
        <v>2.7100699999999998E-2</v>
      </c>
      <c r="H37" s="23">
        <f>'Annual Raw'!I19-'Annual Raw'!I20</f>
        <v>4.3175199999999997E-2</v>
      </c>
      <c r="I37" s="23">
        <f>'Annual Raw'!J19-'Annual Raw'!J20</f>
        <v>6.7000000000000004E-2</v>
      </c>
      <c r="J37" s="23">
        <f>'Annual Raw'!K19-'Annual Raw'!K20</f>
        <v>0.1528186</v>
      </c>
      <c r="K37" s="23">
        <f>'Annual Raw'!L19-'Annual Raw'!L20</f>
        <v>3.9228899999999997E-2</v>
      </c>
      <c r="L37" s="23">
        <f>'Annual Raw'!M19-'Annual Raw'!M20</f>
        <v>0.22767019999999999</v>
      </c>
      <c r="M37" s="23">
        <f>'Annual Raw'!N19-'Annual Raw'!N20</f>
        <v>0.71363310000000002</v>
      </c>
      <c r="N37" s="23">
        <f>'Annual Raw'!O19-'Annual Raw'!O20</f>
        <v>0.26440459999999999</v>
      </c>
      <c r="O37" s="23">
        <f>'Annual Raw'!P19-'Annual Raw'!P20</f>
        <v>0.44517190000000001</v>
      </c>
      <c r="P37" s="23">
        <f>'Annual Raw'!Q19-'Annual Raw'!Q20</f>
        <v>0.3694615</v>
      </c>
      <c r="Q37" s="23">
        <f>'Annual Raw'!R19-'Annual Raw'!R20</f>
        <v>0.16980509999999999</v>
      </c>
      <c r="R37" s="23">
        <f>'Annual Raw'!S19-'Annual Raw'!S20</f>
        <v>0.1434849</v>
      </c>
      <c r="S37" s="23">
        <f>'Annual Raw'!T19-'Annual Raw'!T20</f>
        <v>0.53420570000000001</v>
      </c>
      <c r="T37" s="23">
        <f>'Annual Raw'!U19-'Annual Raw'!U20</f>
        <v>0.14014650000000001</v>
      </c>
      <c r="U37" s="23">
        <f>'Annual Raw'!V19-'Annual Raw'!V20</f>
        <v>0.30428379999999999</v>
      </c>
      <c r="V37" s="23">
        <f>'Annual Raw'!W19-'Annual Raw'!W20</f>
        <v>0.2792</v>
      </c>
      <c r="W37" s="23">
        <f>'Annual Raw'!X19-'Annual Raw'!X20</f>
        <v>0.3921</v>
      </c>
      <c r="X37" s="23">
        <f>'Annual Raw'!Y19-'Annual Raw'!Y20</f>
        <v>0.89229999999999998</v>
      </c>
      <c r="Y37" s="23">
        <f>'Annual Raw'!Z19-'Annual Raw'!Z20</f>
        <v>2.2707999999999999</v>
      </c>
      <c r="Z37" s="23">
        <f>'Annual Raw'!AA19-'Annual Raw'!AA20</f>
        <v>2.4388999999999998</v>
      </c>
      <c r="AA37" s="23">
        <f>'Annual Raw'!AB19-'Annual Raw'!AB20</f>
        <v>2.6230000000000002</v>
      </c>
      <c r="AB37" s="76">
        <f t="shared" si="245"/>
        <v>0</v>
      </c>
      <c r="AC37" s="76">
        <f t="shared" si="246"/>
        <v>0</v>
      </c>
      <c r="AD37" s="76">
        <f t="shared" si="247"/>
        <v>0</v>
      </c>
      <c r="AE37" s="76">
        <f t="shared" si="248"/>
        <v>0</v>
      </c>
      <c r="AI37" s="23">
        <f>+'QTR Raw'!C21</f>
        <v>0</v>
      </c>
      <c r="AJ37" s="23">
        <f>+'QTR Raw'!D21</f>
        <v>0</v>
      </c>
      <c r="AK37" s="23">
        <f>+'QTR Raw'!E21</f>
        <v>0</v>
      </c>
      <c r="AL37" s="23">
        <f>+'QTR Raw'!F21</f>
        <v>0</v>
      </c>
      <c r="AM37" s="23">
        <f>+'QTR Raw'!G21</f>
        <v>0</v>
      </c>
      <c r="AN37" s="23">
        <f>+'QTR Raw'!H21</f>
        <v>0</v>
      </c>
      <c r="AO37" s="23">
        <f>+'QTR Raw'!I21</f>
        <v>0</v>
      </c>
      <c r="AP37" s="23">
        <f>+'QTR Raw'!J21</f>
        <v>0</v>
      </c>
      <c r="AQ37" s="23">
        <f>+'QTR Raw'!K21</f>
        <v>0</v>
      </c>
      <c r="AR37" s="23">
        <f>+'QTR Raw'!L21</f>
        <v>0</v>
      </c>
      <c r="AS37" s="23">
        <f>+'QTR Raw'!M21</f>
        <v>0</v>
      </c>
      <c r="AT37" s="23">
        <f>+'QTR Raw'!N21</f>
        <v>0</v>
      </c>
      <c r="AU37" s="23">
        <f>+'QTR Raw'!O21</f>
        <v>0</v>
      </c>
      <c r="AV37" s="23">
        <f>+'QTR Raw'!P21</f>
        <v>0</v>
      </c>
      <c r="AW37" s="23">
        <f>+'QTR Raw'!Q21</f>
        <v>0</v>
      </c>
      <c r="AX37" s="23">
        <f>+'QTR Raw'!R21</f>
        <v>0</v>
      </c>
      <c r="AY37" s="23">
        <f>+'QTR Raw'!S21</f>
        <v>0</v>
      </c>
      <c r="AZ37" s="23">
        <f>+'QTR Raw'!T21</f>
        <v>0</v>
      </c>
      <c r="BA37" s="23">
        <f>+'QTR Raw'!U21</f>
        <v>0</v>
      </c>
      <c r="BB37" s="23">
        <f>+'QTR Raw'!V21</f>
        <v>0</v>
      </c>
      <c r="BC37" s="23">
        <f>+'QTR Raw'!W21</f>
        <v>0</v>
      </c>
      <c r="BD37" s="23">
        <f>+'QTR Raw'!X21</f>
        <v>0</v>
      </c>
      <c r="BE37" s="23">
        <f>+'QTR Raw'!Y21</f>
        <v>0</v>
      </c>
      <c r="BF37" s="23">
        <f>+'QTR Raw'!Z21</f>
        <v>0</v>
      </c>
      <c r="BG37" s="23">
        <f>+'QTR Raw'!AA21</f>
        <v>0</v>
      </c>
      <c r="BH37" s="23">
        <f>+'QTR Raw'!AB21</f>
        <v>0</v>
      </c>
      <c r="BI37" s="23">
        <f>+'QTR Raw'!AC21</f>
        <v>0</v>
      </c>
      <c r="BJ37" s="23">
        <f>+'QTR Raw'!AD21</f>
        <v>0</v>
      </c>
      <c r="BK37" s="23">
        <f>+'QTR Raw'!AE21</f>
        <v>0</v>
      </c>
      <c r="BL37" s="23">
        <f>+'QTR Raw'!AF21</f>
        <v>0</v>
      </c>
      <c r="BM37" s="23">
        <f>+'QTR Raw'!AG21</f>
        <v>0</v>
      </c>
      <c r="BN37" s="23">
        <f>+'QTR Raw'!AH21</f>
        <v>0</v>
      </c>
      <c r="BO37" s="23">
        <f>+'QTR Raw'!AI21</f>
        <v>0</v>
      </c>
      <c r="BP37" s="23">
        <f>+'QTR Raw'!AJ21</f>
        <v>0</v>
      </c>
      <c r="BQ37" s="23">
        <f>+'QTR Raw'!AK21</f>
        <v>0</v>
      </c>
      <c r="BR37" s="23">
        <f>+'QTR Raw'!AL21</f>
        <v>0</v>
      </c>
      <c r="BS37" s="23">
        <f>+'QTR Raw'!AM21</f>
        <v>0</v>
      </c>
      <c r="BT37" s="23">
        <f>+'QTR Raw'!AN21</f>
        <v>0</v>
      </c>
      <c r="BU37" s="23">
        <f>+'QTR Raw'!AO21</f>
        <v>0</v>
      </c>
      <c r="BV37" s="23">
        <f>+'QTR Raw'!AP21</f>
        <v>0</v>
      </c>
      <c r="BW37" s="23">
        <f>+'QTR Raw'!AQ21</f>
        <v>0</v>
      </c>
      <c r="BX37" s="23">
        <f>+'QTR Raw'!AR21</f>
        <v>0</v>
      </c>
      <c r="BY37" s="23">
        <f>+'QTR Raw'!AS21</f>
        <v>0</v>
      </c>
      <c r="BZ37" s="23">
        <f>+'QTR Raw'!AT21</f>
        <v>0</v>
      </c>
      <c r="CA37" s="23">
        <f>+'QTR Raw'!AU21</f>
        <v>0</v>
      </c>
      <c r="CB37" s="23">
        <f>+'QTR Raw'!AV21</f>
        <v>0</v>
      </c>
      <c r="CC37" s="23">
        <f>+'QTR Raw'!AW21</f>
        <v>0</v>
      </c>
      <c r="CD37" s="23">
        <f>+'QTR Raw'!AX21</f>
        <v>0</v>
      </c>
      <c r="CE37" s="23">
        <f>+'QTR Raw'!AY21</f>
        <v>0</v>
      </c>
      <c r="CF37" s="23">
        <f>+'QTR Raw'!AZ21</f>
        <v>0</v>
      </c>
      <c r="CG37" s="23">
        <f>+'QTR Raw'!BA21</f>
        <v>0</v>
      </c>
      <c r="CH37" s="23">
        <f>+'QTR Raw'!BB21</f>
        <v>0</v>
      </c>
      <c r="CI37" s="23">
        <f>+'QTR Raw'!BC21</f>
        <v>0</v>
      </c>
      <c r="CJ37" s="23">
        <f>+'QTR Raw'!BD21</f>
        <v>0</v>
      </c>
      <c r="CK37" s="23">
        <f>+'QTR Raw'!BE21</f>
        <v>0</v>
      </c>
      <c r="CL37" s="23">
        <f>+'QTR Raw'!BF21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9</v>
      </c>
      <c r="B38" s="23">
        <f>'Annual Raw'!C15+'Annual Raw'!C16</f>
        <v>1.1590495000000001</v>
      </c>
      <c r="C38" s="23">
        <f>'Annual Raw'!D15+'Annual Raw'!D16</f>
        <v>0.46729110000000001</v>
      </c>
      <c r="D38" s="23">
        <f>'Annual Raw'!E15+'Annual Raw'!E16</f>
        <v>0.31485669999999999</v>
      </c>
      <c r="E38" s="23">
        <f>'Annual Raw'!F15+'Annual Raw'!F16</f>
        <v>0.60791899999999999</v>
      </c>
      <c r="F38" s="23">
        <f>'Annual Raw'!G15+'Annual Raw'!G16</f>
        <v>1.4569547</v>
      </c>
      <c r="G38" s="23">
        <f>'Annual Raw'!H15+'Annual Raw'!H16</f>
        <v>1.426515</v>
      </c>
      <c r="H38" s="23">
        <f>'Annual Raw'!I15+'Annual Raw'!I16</f>
        <v>2.1730518999999999</v>
      </c>
      <c r="I38" s="23">
        <f>'Annual Raw'!J15+'Annual Raw'!J16</f>
        <v>3.8075280999999999</v>
      </c>
      <c r="J38" s="23">
        <f>'Annual Raw'!K15+'Annual Raw'!K16</f>
        <v>2.5073045</v>
      </c>
      <c r="K38" s="23">
        <f>'Annual Raw'!L15+'Annual Raw'!L16</f>
        <v>4.7070498000000001</v>
      </c>
      <c r="L38" s="23">
        <f>'Annual Raw'!M15+'Annual Raw'!M16</f>
        <v>3.8521076000000001</v>
      </c>
      <c r="M38" s="23">
        <f>'Annual Raw'!N15+'Annual Raw'!N16</f>
        <v>5.0955897999999999</v>
      </c>
      <c r="N38" s="23">
        <f>'Annual Raw'!O15+'Annual Raw'!O16</f>
        <v>5.7162587</v>
      </c>
      <c r="O38" s="23">
        <f>'Annual Raw'!P15+'Annual Raw'!P16</f>
        <v>5.0894067999999999</v>
      </c>
      <c r="P38" s="23">
        <f>'Annual Raw'!Q15+'Annual Raw'!Q16</f>
        <v>4.1378747000000002</v>
      </c>
      <c r="Q38" s="23">
        <f>'Annual Raw'!R15+'Annual Raw'!R16</f>
        <v>4.5550483000000002</v>
      </c>
      <c r="R38" s="23">
        <f>'Annual Raw'!S15+'Annual Raw'!S16</f>
        <v>6.5507961000000003</v>
      </c>
      <c r="S38" s="23">
        <f>'Annual Raw'!T15+'Annual Raw'!T16</f>
        <v>7.6230190000000002</v>
      </c>
      <c r="T38" s="23">
        <f>'Annual Raw'!U15+'Annual Raw'!U16</f>
        <v>9.0361881999999998</v>
      </c>
      <c r="U38" s="23">
        <f>'Annual Raw'!V15+'Annual Raw'!V16</f>
        <v>9.1301570999999999</v>
      </c>
      <c r="V38" s="23">
        <f>'Annual Raw'!W15+'Annual Raw'!W16</f>
        <v>14.728300000000001</v>
      </c>
      <c r="W38" s="23">
        <f>'Annual Raw'!X15+'Annual Raw'!X16</f>
        <v>13.4139</v>
      </c>
      <c r="X38" s="23">
        <f>'Annual Raw'!Y15+'Annual Raw'!Y16</f>
        <v>19.588899999999999</v>
      </c>
      <c r="Y38" s="23">
        <f>'Annual Raw'!Z15+'Annual Raw'!Z16</f>
        <v>17.972999999999999</v>
      </c>
      <c r="Z38" s="23">
        <f>'Annual Raw'!AA15+'Annual Raw'!AA16</f>
        <v>24.2852</v>
      </c>
      <c r="AA38" s="23">
        <f>'Annual Raw'!AB15+'Annual Raw'!AB16</f>
        <v>36.435600000000001</v>
      </c>
      <c r="AB38" s="76">
        <f t="shared" si="245"/>
        <v>76.697091267799777</v>
      </c>
      <c r="AC38" s="76">
        <f t="shared" si="246"/>
        <v>93.026773293371605</v>
      </c>
      <c r="AD38" s="76">
        <f t="shared" si="247"/>
        <v>111.62746581165221</v>
      </c>
      <c r="AE38" s="76">
        <f t="shared" si="248"/>
        <v>133.28698716962293</v>
      </c>
      <c r="AI38" s="23">
        <f>'QTR Raw'!C14</f>
        <v>1.4510000000000001</v>
      </c>
      <c r="AJ38" s="23">
        <f>'QTR Raw'!D14</f>
        <v>1.4059999999999999</v>
      </c>
      <c r="AK38" s="23">
        <f>'QTR Raw'!E14</f>
        <v>2.2240000000000002</v>
      </c>
      <c r="AL38" s="23">
        <f>'QTR Raw'!F14</f>
        <v>1.9730000000000001</v>
      </c>
      <c r="AM38" s="23">
        <f>'QTR Raw'!G14</f>
        <v>1.72</v>
      </c>
      <c r="AN38" s="23">
        <f>'QTR Raw'!H14</f>
        <v>1.413</v>
      </c>
      <c r="AO38" s="23">
        <f>'QTR Raw'!I14</f>
        <v>1.7929999999999999</v>
      </c>
      <c r="AP38" s="23">
        <f>'QTR Raw'!J14</f>
        <v>2.0550000000000002</v>
      </c>
      <c r="AQ38" s="23">
        <f>'QTR Raw'!K14</f>
        <v>0.99299999999999999</v>
      </c>
      <c r="AR38" s="23">
        <f>'QTR Raw'!L14</f>
        <v>1.179</v>
      </c>
      <c r="AS38" s="23">
        <f>'QTR Raw'!M14</f>
        <v>1.2889999999999999</v>
      </c>
      <c r="AT38" s="23">
        <f>'QTR Raw'!N14</f>
        <v>2.2749999999999999</v>
      </c>
      <c r="AU38" s="23">
        <f>'QTR Raw'!O14</f>
        <v>1.0229999999999999</v>
      </c>
      <c r="AV38" s="23">
        <f>'QTR Raw'!P14</f>
        <v>1.3149999999999999</v>
      </c>
      <c r="AW38" s="23">
        <f>'QTR Raw'!Q14</f>
        <v>1.5429999999999999</v>
      </c>
      <c r="AX38" s="23">
        <f>'QTR Raw'!R14</f>
        <v>2.423</v>
      </c>
      <c r="AY38" s="23">
        <f>'QTR Raw'!S14</f>
        <v>1.776</v>
      </c>
      <c r="AZ38" s="23">
        <f>'QTR Raw'!T14</f>
        <v>1.95</v>
      </c>
      <c r="BA38" s="23">
        <f>'QTR Raw'!U14</f>
        <v>2.512</v>
      </c>
      <c r="BB38" s="23">
        <f>'QTR Raw'!V14</f>
        <v>3.9009999999999998</v>
      </c>
      <c r="BC38" s="23">
        <f>'QTR Raw'!W14</f>
        <v>2.85</v>
      </c>
      <c r="BD38" s="23">
        <f>'QTR Raw'!X14</f>
        <v>2.3029999999999999</v>
      </c>
      <c r="BE38" s="23">
        <f>'QTR Raw'!Y14</f>
        <v>3.1360000000000001</v>
      </c>
      <c r="BF38" s="23">
        <f>'QTR Raw'!Z14</f>
        <v>4.5529999999999999</v>
      </c>
      <c r="BG38" s="23">
        <f>'QTR Raw'!AA14</f>
        <v>3.0720000000000001</v>
      </c>
      <c r="BH38" s="23">
        <f>'QTR Raw'!AB14</f>
        <v>3.2490000000000001</v>
      </c>
      <c r="BI38" s="23">
        <f>'QTR Raw'!AC14</f>
        <v>3.976</v>
      </c>
      <c r="BJ38" s="23">
        <f>'QTR Raw'!AD14</f>
        <v>3.3769999999999998</v>
      </c>
      <c r="BK38" s="23">
        <f>'QTR Raw'!AE14</f>
        <v>2.6419999999999999</v>
      </c>
      <c r="BL38" s="23">
        <f>'QTR Raw'!AF14</f>
        <v>3.4420000000000002</v>
      </c>
      <c r="BM38" s="23">
        <f>'QTR Raw'!AG14</f>
        <v>3.093</v>
      </c>
      <c r="BN38" s="23">
        <f>'QTR Raw'!AH14</f>
        <v>3.9710000000000001</v>
      </c>
      <c r="BO38" s="23">
        <f>'QTR Raw'!AI14</f>
        <v>2.6230000000000002</v>
      </c>
      <c r="BP38" s="23">
        <f>'QTR Raw'!AJ14</f>
        <v>4.7249999999999996</v>
      </c>
      <c r="BQ38" s="23">
        <f>'QTR Raw'!AK14</f>
        <v>5.2480000000000002</v>
      </c>
      <c r="BR38" s="23">
        <f>'QTR Raw'!AL14</f>
        <v>5.6040000000000001</v>
      </c>
      <c r="BS38" s="23">
        <f>'QTR Raw'!AM14</f>
        <v>3.024</v>
      </c>
      <c r="BT38" s="23">
        <f>'QTR Raw'!AN14</f>
        <v>3.2679999999999998</v>
      </c>
      <c r="BU38" s="23">
        <f>'QTR Raw'!AO14</f>
        <v>5.5570000000000004</v>
      </c>
      <c r="BV38" s="23">
        <f>'QTR Raw'!AP14</f>
        <v>6.3040000000000003</v>
      </c>
      <c r="BW38" s="23">
        <f>'QTR Raw'!AQ14</f>
        <v>5.2779999999999996</v>
      </c>
      <c r="BX38" s="23">
        <f>'QTR Raw'!AR14</f>
        <v>5.88</v>
      </c>
      <c r="BY38" s="23">
        <f>'QTR Raw'!AS14</f>
        <v>6.7539999999999996</v>
      </c>
      <c r="BZ38" s="23">
        <f>'QTR Raw'!AT14</f>
        <v>8.84</v>
      </c>
      <c r="CA38" s="23">
        <f>'QTR Raw'!AU14</f>
        <v>5.42</v>
      </c>
      <c r="CB38" s="23">
        <f>'QTR Raw'!AV14</f>
        <v>6.7649999999999997</v>
      </c>
      <c r="CC38" s="23">
        <f>'QTR Raw'!AW14</f>
        <v>8.0980000000000008</v>
      </c>
      <c r="CD38" s="23">
        <f>'QTR Raw'!AX14</f>
        <v>9.5879999999999992</v>
      </c>
      <c r="CE38" s="23">
        <f>'QTR Raw'!AY14</f>
        <v>8.2870000000000008</v>
      </c>
      <c r="CF38" s="23">
        <f>'QTR Raw'!AZ14</f>
        <v>9.798</v>
      </c>
      <c r="CG38" s="23">
        <f>'QTR Raw'!BA14</f>
        <v>9.5109999999999992</v>
      </c>
      <c r="CH38" s="23">
        <f>'QTR Raw'!BB14</f>
        <v>11.145</v>
      </c>
      <c r="CI38" s="23">
        <f>'QTR Raw'!BC14</f>
        <v>10.695</v>
      </c>
      <c r="CJ38" s="23">
        <f>'QTR Raw'!BD14</f>
        <v>15.919</v>
      </c>
      <c r="CK38" s="23">
        <f>'QTR Raw'!BE14</f>
        <v>15.032</v>
      </c>
      <c r="CL38" s="23">
        <f>'QTR Raw'!BF14</f>
        <v>17.184000000000001</v>
      </c>
      <c r="CM38" s="24">
        <f t="shared" ref="CM38:DB38" si="250">CM41-CM35-CM36-CM37-CM39-CM40</f>
        <v>18.532778620774668</v>
      </c>
      <c r="CN38" s="24">
        <f t="shared" si="250"/>
        <v>19.846039876597828</v>
      </c>
      <c r="CO38" s="24">
        <f t="shared" si="250"/>
        <v>16.329407789954935</v>
      </c>
      <c r="CP38" s="24">
        <f t="shared" si="250"/>
        <v>21.988864980472357</v>
      </c>
      <c r="CQ38" s="24">
        <f t="shared" si="250"/>
        <v>23.177653355678792</v>
      </c>
      <c r="CR38" s="24">
        <f t="shared" si="250"/>
        <v>23.561732218821916</v>
      </c>
      <c r="CS38" s="24">
        <f t="shared" si="250"/>
        <v>19.542586174745153</v>
      </c>
      <c r="CT38" s="24">
        <f t="shared" si="250"/>
        <v>26.744801544125746</v>
      </c>
      <c r="CU38" s="24">
        <f t="shared" si="250"/>
        <v>27.722378044083101</v>
      </c>
      <c r="CV38" s="24">
        <f t="shared" si="250"/>
        <v>28.12039922110008</v>
      </c>
      <c r="CW38" s="24">
        <f t="shared" si="250"/>
        <v>23.650219117585454</v>
      </c>
      <c r="CX38" s="24">
        <f t="shared" si="250"/>
        <v>32.134469428883577</v>
      </c>
      <c r="CY38" s="24">
        <f t="shared" si="250"/>
        <v>32.880354229018664</v>
      </c>
      <c r="CZ38" s="24">
        <f t="shared" si="250"/>
        <v>33.529316216248262</v>
      </c>
      <c r="DA38" s="24">
        <f t="shared" si="250"/>
        <v>28.503511708752576</v>
      </c>
      <c r="DB38" s="24">
        <f t="shared" si="250"/>
        <v>38.37380501560343</v>
      </c>
      <c r="DE38" s="123"/>
      <c r="DF38" s="23">
        <v>58.83</v>
      </c>
    </row>
    <row r="39" spans="1:110" s="23" customFormat="1" outlineLevel="1" x14ac:dyDescent="0.2">
      <c r="A39" s="23" t="s">
        <v>7</v>
      </c>
      <c r="B39" s="23">
        <f>'Annual Raw'!C13</f>
        <v>9.7385200000000005E-2</v>
      </c>
      <c r="C39" s="23">
        <f>'Annual Raw'!D13</f>
        <v>8.2254900000000006E-2</v>
      </c>
      <c r="D39" s="23">
        <f>'Annual Raw'!E13</f>
        <v>6.9714899999999996E-2</v>
      </c>
      <c r="E39" s="23">
        <f>'Annual Raw'!F13</f>
        <v>7.6823199999999994E-2</v>
      </c>
      <c r="F39" s="23">
        <f>'Annual Raw'!G13</f>
        <v>8.5101899999999994E-2</v>
      </c>
      <c r="G39" s="23">
        <f>'Annual Raw'!H13</f>
        <v>8.5185399999999994E-2</v>
      </c>
      <c r="H39" s="23">
        <f>'Annual Raw'!I13</f>
        <v>0.1161523</v>
      </c>
      <c r="I39" s="23">
        <f>'Annual Raw'!J13</f>
        <v>0.125115</v>
      </c>
      <c r="J39" s="23">
        <f>'Annual Raw'!K13</f>
        <v>0.129109</v>
      </c>
      <c r="K39" s="23">
        <f>'Annual Raw'!L13</f>
        <v>0.15622</v>
      </c>
      <c r="L39" s="23">
        <f>'Annual Raw'!M13</f>
        <v>0.17792559999999999</v>
      </c>
      <c r="M39" s="23">
        <f>'Annual Raw'!N13</f>
        <v>0.21663489999999999</v>
      </c>
      <c r="N39" s="23">
        <f>'Annual Raw'!O13</f>
        <v>0.31574069999999999</v>
      </c>
      <c r="O39" s="23">
        <f>'Annual Raw'!P13</f>
        <v>0.37934659999999998</v>
      </c>
      <c r="P39" s="23">
        <f>'Annual Raw'!Q13</f>
        <v>0.3269147</v>
      </c>
      <c r="Q39" s="23">
        <f>'Annual Raw'!R13</f>
        <v>0.32015470000000001</v>
      </c>
      <c r="R39" s="23">
        <f>'Annual Raw'!S13</f>
        <v>0.31490449999999998</v>
      </c>
      <c r="S39" s="23">
        <f>'Annual Raw'!T13</f>
        <v>0.42952489999999999</v>
      </c>
      <c r="T39" s="23">
        <f>'Annual Raw'!U13</f>
        <v>0.46803899999999998</v>
      </c>
      <c r="U39" s="23">
        <f>'Annual Raw'!V13</f>
        <v>0.43107329999999999</v>
      </c>
      <c r="V39" s="23">
        <f>'Annual Raw'!W13</f>
        <v>0.51539999999999997</v>
      </c>
      <c r="W39" s="23">
        <f>'Annual Raw'!X13</f>
        <v>0.60509999999999997</v>
      </c>
      <c r="X39" s="23">
        <f>'Annual Raw'!Y13</f>
        <v>0.90959999999999996</v>
      </c>
      <c r="Y39" s="23">
        <f>'Annual Raw'!Z13</f>
        <v>1.6004</v>
      </c>
      <c r="Z39" s="23">
        <f>'Annual Raw'!AA13</f>
        <v>2.3641999999999999</v>
      </c>
      <c r="AA39" s="23">
        <f>'Annual Raw'!AB13</f>
        <v>3.3555000000000001</v>
      </c>
      <c r="AB39" s="76">
        <f t="shared" si="245"/>
        <v>0</v>
      </c>
      <c r="AC39" s="76">
        <f t="shared" si="246"/>
        <v>0</v>
      </c>
      <c r="AD39" s="76">
        <f t="shared" si="247"/>
        <v>0</v>
      </c>
      <c r="AE39" s="76">
        <f t="shared" si="248"/>
        <v>0</v>
      </c>
      <c r="AI39" s="23">
        <f>'QTR Raw'!C15</f>
        <v>0</v>
      </c>
      <c r="AJ39" s="23">
        <f>'QTR Raw'!D15</f>
        <v>0</v>
      </c>
      <c r="AK39" s="23">
        <f>'QTR Raw'!E15</f>
        <v>0</v>
      </c>
      <c r="AL39" s="23">
        <f>'QTR Raw'!F15</f>
        <v>0</v>
      </c>
      <c r="AM39" s="23">
        <f>'QTR Raw'!G15</f>
        <v>0</v>
      </c>
      <c r="AN39" s="23">
        <f>'QTR Raw'!H15</f>
        <v>0</v>
      </c>
      <c r="AO39" s="23">
        <f>'QTR Raw'!I15</f>
        <v>0</v>
      </c>
      <c r="AP39" s="23">
        <f>'QTR Raw'!J15</f>
        <v>0</v>
      </c>
      <c r="AQ39" s="23">
        <f>'QTR Raw'!K15</f>
        <v>0</v>
      </c>
      <c r="AR39" s="23">
        <f>'QTR Raw'!L15</f>
        <v>0</v>
      </c>
      <c r="AS39" s="23">
        <f>'QTR Raw'!M15</f>
        <v>0</v>
      </c>
      <c r="AT39" s="23">
        <f>'QTR Raw'!N15</f>
        <v>0</v>
      </c>
      <c r="AU39" s="23">
        <f>'QTR Raw'!O15</f>
        <v>0</v>
      </c>
      <c r="AV39" s="23">
        <f>'QTR Raw'!P15</f>
        <v>0</v>
      </c>
      <c r="AW39" s="23">
        <f>'QTR Raw'!Q15</f>
        <v>0</v>
      </c>
      <c r="AX39" s="23">
        <f>'QTR Raw'!R15</f>
        <v>0</v>
      </c>
      <c r="AY39" s="23">
        <f>'QTR Raw'!S15</f>
        <v>0</v>
      </c>
      <c r="AZ39" s="23">
        <f>'QTR Raw'!T15</f>
        <v>0</v>
      </c>
      <c r="BA39" s="23">
        <f>'QTR Raw'!U15</f>
        <v>0</v>
      </c>
      <c r="BB39" s="23">
        <f>'QTR Raw'!V15</f>
        <v>0</v>
      </c>
      <c r="BC39" s="23">
        <f>'QTR Raw'!W15</f>
        <v>0</v>
      </c>
      <c r="BD39" s="23">
        <f>'QTR Raw'!X15</f>
        <v>0</v>
      </c>
      <c r="BE39" s="23">
        <f>'QTR Raw'!Y15</f>
        <v>0</v>
      </c>
      <c r="BF39" s="23">
        <f>'QTR Raw'!Z15</f>
        <v>0</v>
      </c>
      <c r="BG39" s="23">
        <f>'QTR Raw'!AA15</f>
        <v>0</v>
      </c>
      <c r="BH39" s="23">
        <f>'QTR Raw'!AB15</f>
        <v>0</v>
      </c>
      <c r="BI39" s="23">
        <f>'QTR Raw'!AC15</f>
        <v>0</v>
      </c>
      <c r="BJ39" s="23">
        <f>'QTR Raw'!AD15</f>
        <v>0</v>
      </c>
      <c r="BK39" s="23">
        <f>'QTR Raw'!AE15</f>
        <v>0</v>
      </c>
      <c r="BL39" s="23">
        <f>'QTR Raw'!AF15</f>
        <v>0</v>
      </c>
      <c r="BM39" s="23">
        <f>'QTR Raw'!AG15</f>
        <v>0</v>
      </c>
      <c r="BN39" s="23">
        <f>'QTR Raw'!AH15</f>
        <v>0</v>
      </c>
      <c r="BO39" s="23">
        <f>'QTR Raw'!AI15</f>
        <v>0</v>
      </c>
      <c r="BP39" s="23">
        <f>'QTR Raw'!AJ15</f>
        <v>0</v>
      </c>
      <c r="BQ39" s="23">
        <f>'QTR Raw'!AK15</f>
        <v>0</v>
      </c>
      <c r="BR39" s="23">
        <f>'QTR Raw'!AL15</f>
        <v>0</v>
      </c>
      <c r="BS39" s="23">
        <f>'QTR Raw'!AM15</f>
        <v>0</v>
      </c>
      <c r="BT39" s="23">
        <f>'QTR Raw'!AN15</f>
        <v>0</v>
      </c>
      <c r="BU39" s="23">
        <f>'QTR Raw'!AO15</f>
        <v>0</v>
      </c>
      <c r="BV39" s="23">
        <f>'QTR Raw'!AP15</f>
        <v>0</v>
      </c>
      <c r="BW39" s="23">
        <f>'QTR Raw'!AQ15</f>
        <v>0</v>
      </c>
      <c r="BX39" s="23">
        <f>'QTR Raw'!AR15</f>
        <v>0</v>
      </c>
      <c r="BY39" s="23">
        <f>'QTR Raw'!AS15</f>
        <v>0</v>
      </c>
      <c r="BZ39" s="23">
        <f>'QTR Raw'!AT15</f>
        <v>0</v>
      </c>
      <c r="CA39" s="23">
        <f>'QTR Raw'!AU15</f>
        <v>0</v>
      </c>
      <c r="CB39" s="23">
        <f>'QTR Raw'!AV15</f>
        <v>0</v>
      </c>
      <c r="CC39" s="23">
        <f>'QTR Raw'!AW15</f>
        <v>0</v>
      </c>
      <c r="CD39" s="23">
        <f>'QTR Raw'!AX15</f>
        <v>0</v>
      </c>
      <c r="CE39" s="23">
        <f>'QTR Raw'!AY15</f>
        <v>0</v>
      </c>
      <c r="CF39" s="23">
        <f>'QTR Raw'!AZ15</f>
        <v>0</v>
      </c>
      <c r="CG39" s="23">
        <f>'QTR Raw'!BA15</f>
        <v>0</v>
      </c>
      <c r="CH39" s="23">
        <f>'QTR Raw'!BB15</f>
        <v>0</v>
      </c>
      <c r="CI39" s="23">
        <f>'QTR Raw'!BC15</f>
        <v>0</v>
      </c>
      <c r="CJ39" s="23">
        <f>'QTR Raw'!BD15</f>
        <v>0</v>
      </c>
      <c r="CK39" s="23">
        <f>'QTR Raw'!BE15</f>
        <v>0</v>
      </c>
      <c r="CL39" s="23">
        <f>'QTR Raw'!BF15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3" customFormat="1" outlineLevel="1" x14ac:dyDescent="0.2">
      <c r="A40" s="23" t="s">
        <v>11</v>
      </c>
      <c r="B40" s="23">
        <f>'Annual Raw'!C18</f>
        <v>0.2433391</v>
      </c>
      <c r="C40" s="23">
        <f>'Annual Raw'!D18</f>
        <v>7.94604E-2</v>
      </c>
      <c r="D40" s="23">
        <f>'Annual Raw'!E18</f>
        <v>4.0738499999999997E-2</v>
      </c>
      <c r="E40" s="23">
        <f>'Annual Raw'!F18</f>
        <v>9.0562799999999999E-2</v>
      </c>
      <c r="F40" s="23">
        <f>'Annual Raw'!G18</f>
        <v>0.33143119999999998</v>
      </c>
      <c r="G40" s="23">
        <f>'Annual Raw'!H18</f>
        <v>0.13343050000000001</v>
      </c>
      <c r="H40" s="23">
        <f>'Annual Raw'!I18</f>
        <v>0.34086240000000001</v>
      </c>
      <c r="I40" s="23">
        <f>'Annual Raw'!J18</f>
        <v>0.4275118</v>
      </c>
      <c r="J40" s="23">
        <f>'Annual Raw'!K18</f>
        <v>0.42315849999999999</v>
      </c>
      <c r="K40" s="23">
        <f>'Annual Raw'!L18</f>
        <v>0.30434729999999999</v>
      </c>
      <c r="L40" s="23">
        <f>'Annual Raw'!M18</f>
        <v>0.79957809999999996</v>
      </c>
      <c r="M40" s="23">
        <f>'Annual Raw'!N18</f>
        <v>1.0270155000000001</v>
      </c>
      <c r="N40" s="23">
        <f>'Annual Raw'!O18</f>
        <v>0.76407499999999995</v>
      </c>
      <c r="O40" s="23">
        <f>'Annual Raw'!P18</f>
        <v>0.4761725</v>
      </c>
      <c r="P40" s="23">
        <f>'Annual Raw'!Q18</f>
        <v>0.47265249999999998</v>
      </c>
      <c r="Q40" s="23">
        <f>'Annual Raw'!R18</f>
        <v>0.86862240000000002</v>
      </c>
      <c r="R40" s="23">
        <f>'Annual Raw'!S18</f>
        <v>1.4332001999999999</v>
      </c>
      <c r="S40" s="23">
        <f>'Annual Raw'!T18</f>
        <v>1.5225959</v>
      </c>
      <c r="T40" s="23">
        <f>'Annual Raw'!U18</f>
        <v>2.1022729999999998</v>
      </c>
      <c r="U40" s="23">
        <f>'Annual Raw'!V18</f>
        <v>1.1886794000000001</v>
      </c>
      <c r="V40" s="23">
        <f>'Annual Raw'!W18</f>
        <v>1.0883</v>
      </c>
      <c r="W40" s="23">
        <f>'Annual Raw'!X18</f>
        <v>1.0621</v>
      </c>
      <c r="X40" s="23">
        <f>'Annual Raw'!Y18</f>
        <v>1.7907</v>
      </c>
      <c r="Y40" s="23">
        <f>'Annual Raw'!Z18</f>
        <v>2.9056000000000002</v>
      </c>
      <c r="Z40" s="23">
        <f>'Annual Raw'!AA18</f>
        <v>2.2118000000000002</v>
      </c>
      <c r="AA40" s="23">
        <f>'Annual Raw'!AB18</f>
        <v>3.6448999999999998</v>
      </c>
      <c r="AB40" s="76">
        <f t="shared" si="245"/>
        <v>0</v>
      </c>
      <c r="AC40" s="76">
        <f t="shared" si="246"/>
        <v>0</v>
      </c>
      <c r="AD40" s="76">
        <f t="shared" si="247"/>
        <v>0</v>
      </c>
      <c r="AE40" s="76">
        <f t="shared" si="248"/>
        <v>0</v>
      </c>
      <c r="AI40" s="23">
        <f>'QTR Raw'!C18</f>
        <v>0.157</v>
      </c>
      <c r="AJ40" s="23">
        <f>'QTR Raw'!D18</f>
        <v>0.216</v>
      </c>
      <c r="AK40" s="23">
        <f>'QTR Raw'!E18</f>
        <v>0.27600000000000002</v>
      </c>
      <c r="AL40" s="23">
        <f>'QTR Raw'!F18</f>
        <v>0.59799999999999998</v>
      </c>
      <c r="AM40" s="23">
        <f>'QTR Raw'!G18</f>
        <v>0.14199999999999999</v>
      </c>
      <c r="AN40" s="23">
        <f>'QTR Raw'!H18</f>
        <v>0.17699999999999999</v>
      </c>
      <c r="AO40" s="23">
        <f>'QTR Raw'!I18</f>
        <v>0.14499999999999999</v>
      </c>
      <c r="AP40" s="23">
        <f>'QTR Raw'!J18</f>
        <v>0.22</v>
      </c>
      <c r="AQ40" s="23">
        <f>'QTR Raw'!K18</f>
        <v>0.125</v>
      </c>
      <c r="AR40" s="23">
        <f>'QTR Raw'!L18</f>
        <v>0.16300000000000001</v>
      </c>
      <c r="AS40" s="23">
        <f>'QTR Raw'!M18</f>
        <v>0.106</v>
      </c>
      <c r="AT40" s="23">
        <f>'QTR Raw'!N18</f>
        <v>0.30399999999999999</v>
      </c>
      <c r="AU40" s="23">
        <f>'QTR Raw'!O18</f>
        <v>0.128</v>
      </c>
      <c r="AV40" s="23">
        <f>'QTR Raw'!P18</f>
        <v>0.22</v>
      </c>
      <c r="AW40" s="23">
        <f>'QTR Raw'!Q18</f>
        <v>0.30399999999999999</v>
      </c>
      <c r="AX40" s="23">
        <f>'QTR Raw'!R18</f>
        <v>0</v>
      </c>
      <c r="AY40" s="23">
        <f>'QTR Raw'!S18</f>
        <v>0</v>
      </c>
      <c r="AZ40" s="23">
        <f>'QTR Raw'!T18</f>
        <v>0</v>
      </c>
      <c r="BA40" s="23">
        <f>'QTR Raw'!U18</f>
        <v>0</v>
      </c>
      <c r="BB40" s="23">
        <f>'QTR Raw'!V18</f>
        <v>0</v>
      </c>
      <c r="BC40" s="23">
        <f>'QTR Raw'!W18</f>
        <v>0</v>
      </c>
      <c r="BD40" s="23">
        <f>'QTR Raw'!X18</f>
        <v>0</v>
      </c>
      <c r="BE40" s="23">
        <f>'QTR Raw'!Y18</f>
        <v>0</v>
      </c>
      <c r="BF40" s="23">
        <f>'QTR Raw'!Z18</f>
        <v>0</v>
      </c>
      <c r="BG40" s="23">
        <f>'QTR Raw'!AA18</f>
        <v>0</v>
      </c>
      <c r="BH40" s="23">
        <f>'QTR Raw'!AB18</f>
        <v>0</v>
      </c>
      <c r="BI40" s="23">
        <f>'QTR Raw'!AC18</f>
        <v>0</v>
      </c>
      <c r="BJ40" s="23">
        <f>'QTR Raw'!AD18</f>
        <v>0</v>
      </c>
      <c r="BK40" s="23">
        <f>'QTR Raw'!AE18</f>
        <v>0</v>
      </c>
      <c r="BL40" s="23">
        <f>'QTR Raw'!AF18</f>
        <v>0</v>
      </c>
      <c r="BM40" s="23">
        <f>'QTR Raw'!AG18</f>
        <v>0</v>
      </c>
      <c r="BN40" s="23">
        <f>'QTR Raw'!AH18</f>
        <v>0</v>
      </c>
      <c r="BO40" s="23">
        <f>'QTR Raw'!AI18</f>
        <v>0</v>
      </c>
      <c r="BP40" s="23">
        <f>'QTR Raw'!AJ18</f>
        <v>0</v>
      </c>
      <c r="BQ40" s="23">
        <f>'QTR Raw'!AK18</f>
        <v>0</v>
      </c>
      <c r="BR40" s="23">
        <f>'QTR Raw'!AL18</f>
        <v>0</v>
      </c>
      <c r="BS40" s="23">
        <f>'QTR Raw'!AM18</f>
        <v>0</v>
      </c>
      <c r="BT40" s="23">
        <f>'QTR Raw'!AN18</f>
        <v>0</v>
      </c>
      <c r="BU40" s="23">
        <f>'QTR Raw'!AO18</f>
        <v>0</v>
      </c>
      <c r="BV40" s="23">
        <f>'QTR Raw'!AP18</f>
        <v>0</v>
      </c>
      <c r="BW40" s="23">
        <f>'QTR Raw'!AQ18</f>
        <v>0</v>
      </c>
      <c r="BX40" s="23">
        <f>'QTR Raw'!AR18</f>
        <v>0</v>
      </c>
      <c r="BY40" s="23">
        <f>'QTR Raw'!AS18</f>
        <v>0</v>
      </c>
      <c r="BZ40" s="23">
        <f>'QTR Raw'!AT18</f>
        <v>0</v>
      </c>
      <c r="CA40" s="23">
        <f>'QTR Raw'!AU18</f>
        <v>0</v>
      </c>
      <c r="CB40" s="23">
        <f>'QTR Raw'!AV18</f>
        <v>0</v>
      </c>
      <c r="CC40" s="23">
        <f>'QTR Raw'!AW18</f>
        <v>0</v>
      </c>
      <c r="CD40" s="23">
        <f>'QTR Raw'!AX18</f>
        <v>0</v>
      </c>
      <c r="CE40" s="23">
        <f>'QTR Raw'!AY18</f>
        <v>0</v>
      </c>
      <c r="CF40" s="23">
        <f>'QTR Raw'!AZ18</f>
        <v>0</v>
      </c>
      <c r="CG40" s="23">
        <f>'QTR Raw'!BA18</f>
        <v>0</v>
      </c>
      <c r="CH40" s="23">
        <f>'QTR Raw'!BB18</f>
        <v>0</v>
      </c>
      <c r="CI40" s="23">
        <f>'QTR Raw'!BC18</f>
        <v>0</v>
      </c>
      <c r="CJ40" s="23">
        <f>'QTR Raw'!BD18</f>
        <v>0</v>
      </c>
      <c r="CK40" s="23">
        <f>'QTR Raw'!BE18</f>
        <v>0</v>
      </c>
      <c r="CL40" s="23">
        <f>'QTR Raw'!BF18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2" customFormat="1" x14ac:dyDescent="0.2">
      <c r="A41" s="33" t="s">
        <v>348</v>
      </c>
      <c r="B41" s="22">
        <f t="shared" ref="B41:E41" si="251">+SUM(B35:B40)</f>
        <v>5.2193846999999991</v>
      </c>
      <c r="C41" s="22">
        <f t="shared" si="251"/>
        <v>3.6077323000000003</v>
      </c>
      <c r="D41" s="22">
        <f t="shared" si="251"/>
        <v>2.5497468999999997</v>
      </c>
      <c r="E41" s="22">
        <f t="shared" si="251"/>
        <v>4.0110636</v>
      </c>
      <c r="F41" s="22">
        <f t="shared" ref="F41:AE41" si="252">+SUM(F35:F40)</f>
        <v>5.5104148999999998</v>
      </c>
      <c r="G41" s="22">
        <f t="shared" si="252"/>
        <v>4.9656486000000006</v>
      </c>
      <c r="H41" s="22">
        <f t="shared" si="252"/>
        <v>6.4647055000000009</v>
      </c>
      <c r="I41" s="22">
        <f t="shared" si="252"/>
        <v>8.1064881</v>
      </c>
      <c r="J41" s="22">
        <f t="shared" si="252"/>
        <v>8.6311645999999982</v>
      </c>
      <c r="K41" s="22">
        <f t="shared" si="252"/>
        <v>9.3897877999999988</v>
      </c>
      <c r="L41" s="22">
        <f t="shared" si="252"/>
        <v>9.4192680000000006</v>
      </c>
      <c r="M41" s="22">
        <f t="shared" si="252"/>
        <v>12.2586111</v>
      </c>
      <c r="N41" s="22">
        <f t="shared" si="252"/>
        <v>13.2898908</v>
      </c>
      <c r="O41" s="22">
        <f t="shared" si="252"/>
        <v>12.4104303</v>
      </c>
      <c r="P41" s="22">
        <f t="shared" si="252"/>
        <v>10.9015912</v>
      </c>
      <c r="Q41" s="22">
        <f t="shared" si="252"/>
        <v>11.4209791</v>
      </c>
      <c r="R41" s="22">
        <f t="shared" si="252"/>
        <v>14.944923600000001</v>
      </c>
      <c r="S41" s="22">
        <f t="shared" si="252"/>
        <v>20.516162999999999</v>
      </c>
      <c r="T41" s="22">
        <f t="shared" si="252"/>
        <v>22.007630800000001</v>
      </c>
      <c r="U41" s="22">
        <f t="shared" si="252"/>
        <v>23.175930700000006</v>
      </c>
      <c r="V41" s="22">
        <f t="shared" si="252"/>
        <v>28.531600000000001</v>
      </c>
      <c r="W41" s="22">
        <f t="shared" si="252"/>
        <v>31.420500000000004</v>
      </c>
      <c r="X41" s="22">
        <f t="shared" si="252"/>
        <v>44.450699999999998</v>
      </c>
      <c r="Y41" s="22">
        <f t="shared" si="252"/>
        <v>65.496499999999997</v>
      </c>
      <c r="Z41" s="22">
        <f t="shared" ref="Z41:AA41" si="253">+SUM(Z35:Z40)</f>
        <v>92.694799999999987</v>
      </c>
      <c r="AA41" s="22">
        <f t="shared" ref="AA41" si="254">+SUM(AA35:AA40)</f>
        <v>109.57900000000001</v>
      </c>
      <c r="AB41" s="21">
        <f t="shared" si="252"/>
        <v>130.99531126779976</v>
      </c>
      <c r="AC41" s="21">
        <f t="shared" si="252"/>
        <v>151.12586869337161</v>
      </c>
      <c r="AD41" s="21">
        <f t="shared" si="252"/>
        <v>173.79349788965223</v>
      </c>
      <c r="AE41" s="21">
        <f t="shared" si="252"/>
        <v>199.80464149308295</v>
      </c>
      <c r="AI41" s="22">
        <f t="shared" ref="AI41:BN41" si="255">+SUM(AI35:AI40)</f>
        <v>3.0169999999999999</v>
      </c>
      <c r="AJ41" s="22">
        <f t="shared" si="255"/>
        <v>3.2110000000000003</v>
      </c>
      <c r="AK41" s="22">
        <f t="shared" si="255"/>
        <v>4.1070000000000002</v>
      </c>
      <c r="AL41" s="22">
        <f t="shared" si="255"/>
        <v>4.4799999999999995</v>
      </c>
      <c r="AM41" s="22">
        <f t="shared" si="255"/>
        <v>3.53</v>
      </c>
      <c r="AN41" s="22">
        <f t="shared" si="255"/>
        <v>3.3250000000000002</v>
      </c>
      <c r="AO41" s="22">
        <f t="shared" si="255"/>
        <v>3.5779999999999998</v>
      </c>
      <c r="AP41" s="22">
        <f t="shared" si="255"/>
        <v>4.0860000000000003</v>
      </c>
      <c r="AQ41" s="22">
        <f t="shared" si="255"/>
        <v>2.625</v>
      </c>
      <c r="AR41" s="22">
        <f t="shared" si="255"/>
        <v>2.8619999999999997</v>
      </c>
      <c r="AS41" s="22">
        <f t="shared" si="255"/>
        <v>2.8380000000000001</v>
      </c>
      <c r="AT41" s="22">
        <f t="shared" si="255"/>
        <v>4.4730000000000008</v>
      </c>
      <c r="AU41" s="22">
        <f t="shared" si="255"/>
        <v>2.371</v>
      </c>
      <c r="AV41" s="22">
        <f t="shared" si="255"/>
        <v>2.8720000000000003</v>
      </c>
      <c r="AW41" s="22">
        <f t="shared" si="255"/>
        <v>3.427</v>
      </c>
      <c r="AX41" s="22">
        <f t="shared" si="255"/>
        <v>3.794</v>
      </c>
      <c r="AY41" s="22">
        <f t="shared" si="255"/>
        <v>2.8120000000000003</v>
      </c>
      <c r="AZ41" s="22">
        <f t="shared" si="255"/>
        <v>3.0529999999999999</v>
      </c>
      <c r="BA41" s="22">
        <f t="shared" si="255"/>
        <v>3.738</v>
      </c>
      <c r="BB41" s="22">
        <f t="shared" si="255"/>
        <v>5.3449999999999998</v>
      </c>
      <c r="BC41" s="22">
        <f t="shared" si="255"/>
        <v>4.415</v>
      </c>
      <c r="BD41" s="22">
        <f t="shared" si="255"/>
        <v>3.847</v>
      </c>
      <c r="BE41" s="22">
        <f t="shared" si="255"/>
        <v>4.827</v>
      </c>
      <c r="BF41" s="22">
        <f t="shared" si="255"/>
        <v>7.5339999999999998</v>
      </c>
      <c r="BG41" s="22">
        <f t="shared" si="255"/>
        <v>4.8019999999999996</v>
      </c>
      <c r="BH41" s="22">
        <f t="shared" si="255"/>
        <v>5.12</v>
      </c>
      <c r="BI41" s="22">
        <f t="shared" si="255"/>
        <v>6.0809999999999995</v>
      </c>
      <c r="BJ41" s="22">
        <f t="shared" si="255"/>
        <v>6.2750000000000004</v>
      </c>
      <c r="BK41" s="22">
        <f t="shared" si="255"/>
        <v>4.4459999999999997</v>
      </c>
      <c r="BL41" s="22">
        <f t="shared" si="255"/>
        <v>5.9640000000000004</v>
      </c>
      <c r="BM41" s="22">
        <f t="shared" si="255"/>
        <v>6.4359999999999999</v>
      </c>
      <c r="BN41" s="22">
        <f t="shared" si="255"/>
        <v>6.5630000000000006</v>
      </c>
      <c r="BO41" s="22">
        <f t="shared" ref="BO41:CH41" si="256">+SUM(BO35:BO40)</f>
        <v>4.657</v>
      </c>
      <c r="BP41" s="22">
        <f t="shared" si="256"/>
        <v>7.3379999999999992</v>
      </c>
      <c r="BQ41" s="22">
        <f t="shared" si="256"/>
        <v>8.3919999999999995</v>
      </c>
      <c r="BR41" s="22">
        <f t="shared" si="256"/>
        <v>8.1690000000000005</v>
      </c>
      <c r="BS41" s="22">
        <f t="shared" si="256"/>
        <v>5.734</v>
      </c>
      <c r="BT41" s="22">
        <f t="shared" si="256"/>
        <v>6.2479999999999993</v>
      </c>
      <c r="BU41" s="22">
        <f t="shared" si="256"/>
        <v>9.4209999999999994</v>
      </c>
      <c r="BV41" s="22">
        <f t="shared" si="256"/>
        <v>10.018000000000001</v>
      </c>
      <c r="BW41" s="22">
        <f t="shared" si="256"/>
        <v>8.7989999999999995</v>
      </c>
      <c r="BX41" s="22">
        <f t="shared" si="256"/>
        <v>10.698</v>
      </c>
      <c r="BY41" s="22">
        <f t="shared" si="256"/>
        <v>11.170999999999999</v>
      </c>
      <c r="BZ41" s="22">
        <f t="shared" si="256"/>
        <v>13.856</v>
      </c>
      <c r="CA41" s="22">
        <f t="shared" si="256"/>
        <v>10.751999999999999</v>
      </c>
      <c r="CB41" s="22">
        <f t="shared" si="256"/>
        <v>15.587</v>
      </c>
      <c r="CC41" s="22">
        <f t="shared" si="256"/>
        <v>17.16</v>
      </c>
      <c r="CD41" s="22">
        <f t="shared" si="256"/>
        <v>21.997</v>
      </c>
      <c r="CE41" s="22">
        <f t="shared" si="256"/>
        <v>18.771999999999998</v>
      </c>
      <c r="CF41" s="22">
        <f t="shared" si="256"/>
        <v>25.881999999999998</v>
      </c>
      <c r="CG41" s="22">
        <f t="shared" si="256"/>
        <v>23.582000000000001</v>
      </c>
      <c r="CH41" s="22">
        <f t="shared" si="256"/>
        <v>24.46</v>
      </c>
      <c r="CI41" s="22">
        <f t="shared" ref="CI41:CJ41" si="257">+SUM(CI35:CI40)</f>
        <v>20.789000000000001</v>
      </c>
      <c r="CJ41" s="22">
        <f t="shared" si="257"/>
        <v>28.457000000000001</v>
      </c>
      <c r="CK41" s="22">
        <f t="shared" ref="CK41:CL41" si="258">+SUM(CK35:CK40)</f>
        <v>28.536000000000001</v>
      </c>
      <c r="CL41" s="22">
        <f t="shared" si="258"/>
        <v>31.794</v>
      </c>
      <c r="CM41" s="21">
        <f t="shared" ref="CM41:DB41" si="259">CM42*CM25</f>
        <v>29.333358620774668</v>
      </c>
      <c r="CN41" s="21">
        <f t="shared" si="259"/>
        <v>33.261699876597831</v>
      </c>
      <c r="CO41" s="21">
        <f t="shared" si="259"/>
        <v>30.778687789954937</v>
      </c>
      <c r="CP41" s="21">
        <f t="shared" si="259"/>
        <v>37.621564980472357</v>
      </c>
      <c r="CQ41" s="21">
        <f t="shared" si="259"/>
        <v>34.734273955678795</v>
      </c>
      <c r="CR41" s="21">
        <f t="shared" si="259"/>
        <v>37.91648841882192</v>
      </c>
      <c r="CS41" s="21">
        <f t="shared" si="259"/>
        <v>35.003315774745154</v>
      </c>
      <c r="CT41" s="21">
        <f t="shared" si="259"/>
        <v>43.471790544125746</v>
      </c>
      <c r="CU41" s="21">
        <f t="shared" si="259"/>
        <v>40.087962086083103</v>
      </c>
      <c r="CV41" s="21">
        <f t="shared" si="259"/>
        <v>43.479988355100083</v>
      </c>
      <c r="CW41" s="21">
        <f t="shared" si="259"/>
        <v>40.193199789585456</v>
      </c>
      <c r="CX41" s="21">
        <f t="shared" si="259"/>
        <v>50.03234765888358</v>
      </c>
      <c r="CY41" s="21">
        <f t="shared" si="259"/>
        <v>46.111529153958671</v>
      </c>
      <c r="CZ41" s="21">
        <f t="shared" si="259"/>
        <v>49.964076589628263</v>
      </c>
      <c r="DA41" s="21">
        <f t="shared" si="259"/>
        <v>46.204501027792581</v>
      </c>
      <c r="DB41" s="21">
        <f t="shared" si="259"/>
        <v>57.524534721703432</v>
      </c>
      <c r="DE41" s="126"/>
      <c r="DF41" s="22">
        <v>109.57599999999999</v>
      </c>
    </row>
    <row r="42" spans="1:110" s="44" customFormat="1" x14ac:dyDescent="0.2">
      <c r="A42" s="43" t="s">
        <v>349</v>
      </c>
      <c r="B42" s="44">
        <f t="shared" ref="B42:E42" si="260">B41/B25</f>
        <v>0.33338512270564946</v>
      </c>
      <c r="C42" s="44">
        <f t="shared" si="260"/>
        <v>0.52382776455696956</v>
      </c>
      <c r="D42" s="44">
        <f t="shared" si="260"/>
        <v>0.43335042773043642</v>
      </c>
      <c r="E42" s="44">
        <f t="shared" si="260"/>
        <v>0.43061199740936934</v>
      </c>
      <c r="F42" s="44">
        <f t="shared" ref="F42:AE42" si="261">F41/F25</f>
        <v>0.4674759873715314</v>
      </c>
      <c r="G42" s="44">
        <f t="shared" si="261"/>
        <v>0.30803896026925631</v>
      </c>
      <c r="H42" s="44">
        <f t="shared" si="261"/>
        <v>0.28546634858364334</v>
      </c>
      <c r="I42" s="44">
        <f t="shared" si="261"/>
        <v>0.33721420804327262</v>
      </c>
      <c r="J42" s="44">
        <f t="shared" si="261"/>
        <v>0.33525060967565218</v>
      </c>
      <c r="K42" s="44">
        <f t="shared" si="261"/>
        <v>0.43584168817563829</v>
      </c>
      <c r="L42" s="44">
        <f t="shared" si="261"/>
        <v>0.423124201361194</v>
      </c>
      <c r="M42" s="44">
        <f t="shared" si="261"/>
        <v>0.47123439273419698</v>
      </c>
      <c r="N42" s="44">
        <f t="shared" si="261"/>
        <v>0.30945579355532826</v>
      </c>
      <c r="O42" s="44">
        <f t="shared" si="261"/>
        <v>0.95425354843333565</v>
      </c>
      <c r="P42" s="44">
        <f t="shared" si="261"/>
        <v>0.43118948550536329</v>
      </c>
      <c r="Q42" s="44">
        <f t="shared" si="261"/>
        <v>0.46368394020324866</v>
      </c>
      <c r="R42" s="44">
        <f t="shared" si="261"/>
        <v>0.44495250370486256</v>
      </c>
      <c r="S42" s="44">
        <f t="shared" si="261"/>
        <v>0.39687621054044503</v>
      </c>
      <c r="T42" s="44">
        <f t="shared" si="261"/>
        <v>0.43569784689213514</v>
      </c>
      <c r="U42" s="44">
        <f t="shared" si="261"/>
        <v>0.44638368264145484</v>
      </c>
      <c r="V42" s="44">
        <f t="shared" si="261"/>
        <v>0.36722096375617785</v>
      </c>
      <c r="W42" s="44">
        <f t="shared" si="261"/>
        <v>0.29937543769383584</v>
      </c>
      <c r="X42" s="44">
        <f t="shared" si="261"/>
        <v>0.28779788554435676</v>
      </c>
      <c r="Y42" s="44">
        <f t="shared" si="261"/>
        <v>0.29191681486136556</v>
      </c>
      <c r="Z42" s="44">
        <f t="shared" ref="Z42:AA42" si="262">Z41/Z25</f>
        <v>0.37207969294277354</v>
      </c>
      <c r="AA42" s="44">
        <f t="shared" ref="AA42" si="263">AA41/AA25</f>
        <v>0.49166698074772841</v>
      </c>
      <c r="AB42" s="52">
        <f t="shared" si="261"/>
        <v>0.50564205278180929</v>
      </c>
      <c r="AC42" s="52">
        <f t="shared" si="261"/>
        <v>0.50740931422470548</v>
      </c>
      <c r="AD42" s="52">
        <f t="shared" si="261"/>
        <v>0.50755104014886954</v>
      </c>
      <c r="AE42" s="52">
        <f t="shared" si="261"/>
        <v>0.5075431466117547</v>
      </c>
      <c r="AI42" s="44">
        <f t="shared" ref="AI42:BN42" si="264">AI41/AI25</f>
        <v>0.66674033149171263</v>
      </c>
      <c r="AJ42" s="44">
        <f t="shared" si="264"/>
        <v>1.1680611131320482</v>
      </c>
      <c r="AK42" s="44">
        <f t="shared" si="264"/>
        <v>0.41177060356928014</v>
      </c>
      <c r="AL42" s="44">
        <f t="shared" si="264"/>
        <v>0.1743258492548348</v>
      </c>
      <c r="AM42" s="44">
        <f t="shared" si="264"/>
        <v>1.7641179410294852</v>
      </c>
      <c r="AN42" s="44">
        <f t="shared" si="264"/>
        <v>1.099537037037037</v>
      </c>
      <c r="AO42" s="44">
        <f t="shared" si="264"/>
        <v>0.73530620632963417</v>
      </c>
      <c r="AP42" s="44">
        <f t="shared" si="264"/>
        <v>1.3121387283236996</v>
      </c>
      <c r="AQ42" s="44">
        <f t="shared" si="264"/>
        <v>0.61303129378794952</v>
      </c>
      <c r="AR42" s="44">
        <f t="shared" si="264"/>
        <v>0.27746000969461948</v>
      </c>
      <c r="AS42" s="44">
        <f t="shared" si="264"/>
        <v>0.4412313432835821</v>
      </c>
      <c r="AT42" s="44">
        <f t="shared" si="264"/>
        <v>1.0584477046852818</v>
      </c>
      <c r="AU42" s="44">
        <f t="shared" si="264"/>
        <v>0.63753697230438289</v>
      </c>
      <c r="AV42" s="44">
        <f t="shared" si="264"/>
        <v>0.74694408322496753</v>
      </c>
      <c r="AW42" s="44">
        <f t="shared" si="264"/>
        <v>0.89688563203349903</v>
      </c>
      <c r="AX42" s="44">
        <f t="shared" si="264"/>
        <v>0.28714145160069632</v>
      </c>
      <c r="AY42" s="44">
        <f t="shared" si="264"/>
        <v>0.356943386646357</v>
      </c>
      <c r="AZ42" s="44">
        <f t="shared" si="264"/>
        <v>0.41424694708276799</v>
      </c>
      <c r="BA42" s="44">
        <f t="shared" si="264"/>
        <v>0.45041571273647429</v>
      </c>
      <c r="BB42" s="44">
        <f t="shared" si="264"/>
        <v>0.53231749825714569</v>
      </c>
      <c r="BC42" s="44">
        <f t="shared" si="264"/>
        <v>0.46547179757511864</v>
      </c>
      <c r="BD42" s="44">
        <f t="shared" si="264"/>
        <v>0.32953572040431728</v>
      </c>
      <c r="BE42" s="44">
        <f t="shared" si="264"/>
        <v>0.29458073965580372</v>
      </c>
      <c r="BF42" s="44">
        <f t="shared" si="264"/>
        <v>0.52840510590545664</v>
      </c>
      <c r="BG42" s="44">
        <f t="shared" si="264"/>
        <v>0.39418814644557537</v>
      </c>
      <c r="BH42" s="44">
        <f t="shared" si="264"/>
        <v>0.50813815005954743</v>
      </c>
      <c r="BI42" s="44">
        <f t="shared" si="264"/>
        <v>0.43293464331482273</v>
      </c>
      <c r="BJ42" s="44">
        <f t="shared" si="264"/>
        <v>0.4334760983697154</v>
      </c>
      <c r="BK42" s="44">
        <f t="shared" si="264"/>
        <v>0.51191709844559574</v>
      </c>
      <c r="BL42" s="44">
        <f t="shared" si="264"/>
        <v>0.73985857834015634</v>
      </c>
      <c r="BM42" s="44">
        <f t="shared" si="264"/>
        <v>0.4774480712166172</v>
      </c>
      <c r="BN42" s="44">
        <f t="shared" si="264"/>
        <v>0.30252604406748412</v>
      </c>
      <c r="BO42" s="44">
        <f t="shared" ref="BO42:CH42" si="265">BO41/BO25</f>
        <v>0.41841868823000894</v>
      </c>
      <c r="BP42" s="44">
        <f t="shared" si="265"/>
        <v>0.58633639632441059</v>
      </c>
      <c r="BQ42" s="44">
        <f t="shared" si="265"/>
        <v>0.33585464441509583</v>
      </c>
      <c r="BR42" s="44">
        <f t="shared" si="265"/>
        <v>0.28107903519939442</v>
      </c>
      <c r="BS42" s="44">
        <f t="shared" si="265"/>
        <v>0.41805191017789445</v>
      </c>
      <c r="BT42" s="44">
        <f t="shared" si="265"/>
        <v>0.40476807463073333</v>
      </c>
      <c r="BU42" s="44">
        <f t="shared" si="265"/>
        <v>0.32382360017873713</v>
      </c>
      <c r="BV42" s="44">
        <f t="shared" si="265"/>
        <v>0.21447686741313238</v>
      </c>
      <c r="BW42" s="44">
        <f t="shared" si="265"/>
        <v>0.3260217125495572</v>
      </c>
      <c r="BX42" s="44">
        <f t="shared" si="265"/>
        <v>0.29532091097308488</v>
      </c>
      <c r="BY42" s="44">
        <f t="shared" si="265"/>
        <v>0.28861904146751066</v>
      </c>
      <c r="BZ42" s="44">
        <f t="shared" si="265"/>
        <v>0.26376806076412024</v>
      </c>
      <c r="CA42" s="44">
        <f t="shared" si="265"/>
        <v>0.15594360967685791</v>
      </c>
      <c r="CB42" s="44">
        <f t="shared" si="265"/>
        <v>0.28687906060773377</v>
      </c>
      <c r="CC42" s="44">
        <f t="shared" si="265"/>
        <v>0.28925410872313528</v>
      </c>
      <c r="CD42" s="44">
        <f t="shared" si="265"/>
        <v>0.52673547089389616</v>
      </c>
      <c r="CE42" s="44">
        <f t="shared" si="265"/>
        <v>0.36264585426164897</v>
      </c>
      <c r="CF42" s="44">
        <f t="shared" si="265"/>
        <v>0.33430638078016012</v>
      </c>
      <c r="CG42" s="44">
        <f t="shared" si="265"/>
        <v>0.33363987493102815</v>
      </c>
      <c r="CH42" s="44">
        <f t="shared" si="265"/>
        <v>0.49653884411603499</v>
      </c>
      <c r="CI42" s="44">
        <f t="shared" ref="CI42:CJ42" si="266">CI41/CI25</f>
        <v>0.40045845934544338</v>
      </c>
      <c r="CJ42" s="44">
        <f t="shared" si="266"/>
        <v>0.51349741961095674</v>
      </c>
      <c r="CK42" s="44">
        <f t="shared" ref="CK42:CL42" si="267">CK41/CK25</f>
        <v>0.55178281382937588</v>
      </c>
      <c r="CL42" s="44">
        <f t="shared" si="267"/>
        <v>0.49813555604299187</v>
      </c>
      <c r="CM42" s="52">
        <f t="shared" ref="CM42:DB42" si="268">AVERAGE(CI42:CL42)</f>
        <v>0.49096856220719198</v>
      </c>
      <c r="CN42" s="52">
        <f t="shared" si="268"/>
        <v>0.51359608792262912</v>
      </c>
      <c r="CO42" s="52">
        <f t="shared" si="268"/>
        <v>0.51362075500054716</v>
      </c>
      <c r="CP42" s="52">
        <f t="shared" si="268"/>
        <v>0.50408024029333998</v>
      </c>
      <c r="CQ42" s="52">
        <f t="shared" si="268"/>
        <v>0.50556641135592706</v>
      </c>
      <c r="CR42" s="52">
        <f t="shared" si="268"/>
        <v>0.50921587364311083</v>
      </c>
      <c r="CS42" s="52">
        <f t="shared" si="268"/>
        <v>0.50812082007323123</v>
      </c>
      <c r="CT42" s="52">
        <f t="shared" si="268"/>
        <v>0.50674583634140236</v>
      </c>
      <c r="CU42" s="52">
        <f t="shared" si="268"/>
        <v>0.50741223535341784</v>
      </c>
      <c r="CV42" s="52">
        <f t="shared" si="268"/>
        <v>0.50787369135279059</v>
      </c>
      <c r="CW42" s="52">
        <f t="shared" si="268"/>
        <v>0.5075381457802105</v>
      </c>
      <c r="CX42" s="52">
        <f t="shared" si="268"/>
        <v>0.50739247720695535</v>
      </c>
      <c r="CY42" s="52">
        <f t="shared" si="268"/>
        <v>0.50755413742334365</v>
      </c>
      <c r="CZ42" s="52">
        <f t="shared" si="268"/>
        <v>0.50758961294082505</v>
      </c>
      <c r="DA42" s="52">
        <f t="shared" si="268"/>
        <v>0.50751859333783367</v>
      </c>
      <c r="DB42" s="52">
        <f t="shared" si="268"/>
        <v>0.50751370522723938</v>
      </c>
      <c r="DE42" s="128"/>
      <c r="DF42" s="44">
        <v>0.49165219654242548</v>
      </c>
    </row>
    <row r="43" spans="1:110" s="26" customFormat="1" x14ac:dyDescent="0.2">
      <c r="A43" s="34" t="s">
        <v>13</v>
      </c>
      <c r="B43" s="26">
        <f t="shared" ref="B43:E43" si="269">B31-B41</f>
        <v>1.8056158</v>
      </c>
      <c r="C43" s="26">
        <f t="shared" si="269"/>
        <v>-1.1207671000000001</v>
      </c>
      <c r="D43" s="26">
        <f t="shared" si="269"/>
        <v>1.2757987000000011</v>
      </c>
      <c r="E43" s="26">
        <f t="shared" si="269"/>
        <v>1.9374430999999994</v>
      </c>
      <c r="F43" s="26">
        <f t="shared" ref="F43:AE43" si="270">F31-F41</f>
        <v>1.8388945000000003</v>
      </c>
      <c r="G43" s="26">
        <f t="shared" si="270"/>
        <v>2.002372199999999</v>
      </c>
      <c r="H43" s="26">
        <f t="shared" si="270"/>
        <v>4.9091038999999999</v>
      </c>
      <c r="I43" s="26">
        <f t="shared" si="270"/>
        <v>6.9221199999999996</v>
      </c>
      <c r="J43" s="26">
        <f t="shared" si="270"/>
        <v>4.4333842000000008</v>
      </c>
      <c r="K43" s="26">
        <f t="shared" si="270"/>
        <v>2.5748326000000024</v>
      </c>
      <c r="L43" s="26">
        <f t="shared" si="270"/>
        <v>4.597761399999996</v>
      </c>
      <c r="M43" s="26">
        <f t="shared" si="270"/>
        <v>6.2680052000000011</v>
      </c>
      <c r="N43" s="26">
        <f t="shared" si="270"/>
        <v>10.239765200000003</v>
      </c>
      <c r="O43" s="26">
        <f t="shared" si="270"/>
        <v>1.7768971000000011</v>
      </c>
      <c r="P43" s="26">
        <f t="shared" si="270"/>
        <v>4.0692056999999977</v>
      </c>
      <c r="Q43" s="26">
        <f t="shared" si="270"/>
        <v>3.9326673000000003</v>
      </c>
      <c r="R43" s="26">
        <f t="shared" si="270"/>
        <v>3.8562913000000041</v>
      </c>
      <c r="S43" s="26">
        <f t="shared" si="270"/>
        <v>11.254520200000005</v>
      </c>
      <c r="T43" s="26">
        <f t="shared" si="270"/>
        <v>14.216035000000005</v>
      </c>
      <c r="U43" s="26">
        <f t="shared" si="270"/>
        <v>15.380585300000003</v>
      </c>
      <c r="V43" s="26">
        <f t="shared" si="270"/>
        <v>22.175500000000017</v>
      </c>
      <c r="W43" s="26">
        <f t="shared" si="270"/>
        <v>26.638900000000007</v>
      </c>
      <c r="X43" s="26">
        <f t="shared" si="270"/>
        <v>46.820199999999986</v>
      </c>
      <c r="Y43" s="26">
        <f t="shared" si="270"/>
        <v>81.79679999999999</v>
      </c>
      <c r="Z43" s="26">
        <f t="shared" ref="Z43:AA43" si="271">Z31-Z41</f>
        <v>92.501199999999983</v>
      </c>
      <c r="AA43" s="26">
        <f t="shared" ref="AA43" si="272">AA31-AA41</f>
        <v>47.879799999999989</v>
      </c>
      <c r="AB43" s="27">
        <f t="shared" si="270"/>
        <v>56.560444274246237</v>
      </c>
      <c r="AC43" s="27">
        <f t="shared" si="270"/>
        <v>65.174927028717548</v>
      </c>
      <c r="AD43" s="27">
        <f t="shared" si="270"/>
        <v>74.94500735786508</v>
      </c>
      <c r="AE43" s="27">
        <f t="shared" si="270"/>
        <v>86.162237686577271</v>
      </c>
      <c r="AI43" s="26">
        <f t="shared" ref="AI43:BN43" si="273">AI31-AI41</f>
        <v>2.007000000000001</v>
      </c>
      <c r="AJ43" s="26">
        <f t="shared" si="273"/>
        <v>0.68899999999999917</v>
      </c>
      <c r="AK43" s="26">
        <f t="shared" si="273"/>
        <v>2.8409999999999993</v>
      </c>
      <c r="AL43" s="26">
        <f t="shared" si="273"/>
        <v>4.6860000000000026</v>
      </c>
      <c r="AM43" s="26">
        <f t="shared" si="273"/>
        <v>-0.77399999999999958</v>
      </c>
      <c r="AN43" s="26">
        <f t="shared" si="273"/>
        <v>-0.49900000000000055</v>
      </c>
      <c r="AO43" s="26">
        <f t="shared" si="273"/>
        <v>1.206</v>
      </c>
      <c r="AP43" s="26">
        <f t="shared" si="273"/>
        <v>1.8440000000000003</v>
      </c>
      <c r="AQ43" s="26">
        <f t="shared" si="273"/>
        <v>-0.81099999999999994</v>
      </c>
      <c r="AR43" s="26">
        <f t="shared" si="273"/>
        <v>3.3089999999999997</v>
      </c>
      <c r="AS43" s="26">
        <f t="shared" si="273"/>
        <v>1.0250000000000004</v>
      </c>
      <c r="AT43" s="26">
        <f t="shared" si="273"/>
        <v>0.51399999999999935</v>
      </c>
      <c r="AU43" s="26">
        <f t="shared" si="273"/>
        <v>0.89700000000000024</v>
      </c>
      <c r="AV43" s="26">
        <f t="shared" si="273"/>
        <v>0.99200000000000044</v>
      </c>
      <c r="AW43" s="26">
        <f t="shared" si="273"/>
        <v>0.99999999999999956</v>
      </c>
      <c r="AX43" s="26">
        <f t="shared" si="273"/>
        <v>1.0109999999999979</v>
      </c>
      <c r="AY43" s="26">
        <f t="shared" si="273"/>
        <v>1.0500000000000003</v>
      </c>
      <c r="AZ43" s="26">
        <f t="shared" si="273"/>
        <v>0.9480000000000004</v>
      </c>
      <c r="BA43" s="26">
        <f t="shared" si="273"/>
        <v>1.028</v>
      </c>
      <c r="BB43" s="26">
        <f t="shared" si="273"/>
        <v>0.82800000000000029</v>
      </c>
      <c r="BC43" s="26">
        <f t="shared" si="273"/>
        <v>1.3739999999999997</v>
      </c>
      <c r="BD43" s="26">
        <f t="shared" si="273"/>
        <v>4.5039999999999996</v>
      </c>
      <c r="BE43" s="26">
        <f t="shared" si="273"/>
        <v>4.6070000000000011</v>
      </c>
      <c r="BF43" s="26">
        <f t="shared" si="273"/>
        <v>0.76999999999999869</v>
      </c>
      <c r="BG43" s="26">
        <f t="shared" si="273"/>
        <v>3.6340000000000003</v>
      </c>
      <c r="BH43" s="26">
        <f t="shared" si="273"/>
        <v>1.54</v>
      </c>
      <c r="BI43" s="26">
        <f t="shared" si="273"/>
        <v>4.8030000000000008</v>
      </c>
      <c r="BJ43" s="26">
        <f t="shared" si="273"/>
        <v>4.2380000000000013</v>
      </c>
      <c r="BK43" s="26">
        <f t="shared" si="273"/>
        <v>1.9970000000000017</v>
      </c>
      <c r="BL43" s="26">
        <f t="shared" si="273"/>
        <v>3.1399999999999988</v>
      </c>
      <c r="BM43" s="26">
        <f t="shared" si="273"/>
        <v>4.1550000000000011</v>
      </c>
      <c r="BN43" s="26">
        <f t="shared" si="273"/>
        <v>5.8569999999999975</v>
      </c>
      <c r="BO43" s="26">
        <f t="shared" ref="BO43:CT43" si="274">BO31-BO41</f>
        <v>2.6270000000000007</v>
      </c>
      <c r="BP43" s="26">
        <f t="shared" si="274"/>
        <v>4.9860000000000024</v>
      </c>
      <c r="BQ43" s="26">
        <f t="shared" si="274"/>
        <v>7.0839999999999996</v>
      </c>
      <c r="BR43" s="26">
        <f t="shared" si="274"/>
        <v>7.4519999999999982</v>
      </c>
      <c r="BS43" s="26">
        <f t="shared" si="274"/>
        <v>4.6599999999999984</v>
      </c>
      <c r="BT43" s="26">
        <f t="shared" si="274"/>
        <v>5.0530000000000008</v>
      </c>
      <c r="BU43" s="26">
        <f t="shared" si="274"/>
        <v>7.8819999999999979</v>
      </c>
      <c r="BV43" s="26">
        <f t="shared" si="274"/>
        <v>9.0430000000000028</v>
      </c>
      <c r="BW43" s="26">
        <f t="shared" si="274"/>
        <v>7.3690000000000033</v>
      </c>
      <c r="BX43" s="26">
        <f t="shared" si="274"/>
        <v>10.038</v>
      </c>
      <c r="BY43" s="26">
        <f t="shared" si="274"/>
        <v>11.201999999999998</v>
      </c>
      <c r="BZ43" s="26">
        <f t="shared" si="274"/>
        <v>18.136999999999993</v>
      </c>
      <c r="CA43" s="26">
        <f t="shared" si="274"/>
        <v>14.250999999999994</v>
      </c>
      <c r="CB43" s="26">
        <f t="shared" si="274"/>
        <v>24.955999999999992</v>
      </c>
      <c r="CC43" s="26">
        <f t="shared" si="274"/>
        <v>24.443000000000001</v>
      </c>
      <c r="CD43" s="26">
        <f t="shared" si="274"/>
        <v>18.149000000000001</v>
      </c>
      <c r="CE43" s="26">
        <f t="shared" si="274"/>
        <v>14.163000000000004</v>
      </c>
      <c r="CF43" s="26">
        <f t="shared" si="274"/>
        <v>34.687000000000012</v>
      </c>
      <c r="CG43" s="26">
        <f t="shared" si="274"/>
        <v>32.046999999999997</v>
      </c>
      <c r="CH43" s="26">
        <f t="shared" si="274"/>
        <v>11.603999999999999</v>
      </c>
      <c r="CI43" s="26">
        <f t="shared" ref="CI43:CJ43" si="275">CI31-CI41</f>
        <v>10.454999999999995</v>
      </c>
      <c r="CJ43" s="26">
        <f t="shared" si="275"/>
        <v>11.315999999999995</v>
      </c>
      <c r="CK43" s="26">
        <f t="shared" ref="CK43:CL43" si="276">CK31-CK41</f>
        <v>12.538999999999987</v>
      </c>
      <c r="CL43" s="26">
        <f t="shared" si="276"/>
        <v>13.587</v>
      </c>
      <c r="CM43" s="27">
        <f t="shared" si="274"/>
        <v>12.859149914790294</v>
      </c>
      <c r="CN43" s="27">
        <f t="shared" si="274"/>
        <v>14.162861559692395</v>
      </c>
      <c r="CO43" s="27">
        <f t="shared" si="274"/>
        <v>13.322132684417376</v>
      </c>
      <c r="CP43" s="27">
        <f t="shared" si="274"/>
        <v>16.216300115346129</v>
      </c>
      <c r="CQ43" s="27">
        <f t="shared" si="274"/>
        <v>15.003363287943479</v>
      </c>
      <c r="CR43" s="27">
        <f t="shared" si="274"/>
        <v>16.31911890410553</v>
      </c>
      <c r="CS43" s="27">
        <f t="shared" si="274"/>
        <v>15.105947510639005</v>
      </c>
      <c r="CT43" s="27">
        <f t="shared" si="274"/>
        <v>18.746497326029534</v>
      </c>
      <c r="CU43" s="27">
        <f t="shared" ref="CU43:DB43" si="277">CU31-CU41</f>
        <v>17.289230670618622</v>
      </c>
      <c r="CV43" s="27">
        <f t="shared" si="277"/>
        <v>18.744960539992377</v>
      </c>
      <c r="CW43" s="27">
        <f t="shared" si="277"/>
        <v>17.335234926546313</v>
      </c>
      <c r="CX43" s="27">
        <f t="shared" si="277"/>
        <v>21.575581220707804</v>
      </c>
      <c r="CY43" s="27">
        <f t="shared" si="277"/>
        <v>19.884785078100975</v>
      </c>
      <c r="CZ43" s="27">
        <f t="shared" si="277"/>
        <v>21.545504483231383</v>
      </c>
      <c r="DA43" s="27">
        <f t="shared" si="277"/>
        <v>19.925490611298549</v>
      </c>
      <c r="DB43" s="27">
        <f t="shared" si="277"/>
        <v>24.806457513946356</v>
      </c>
      <c r="DE43" s="121"/>
      <c r="DF43" s="26">
        <v>47.89700000000002</v>
      </c>
    </row>
    <row r="44" spans="1:110" s="168" customFormat="1" x14ac:dyDescent="0.2">
      <c r="A44" s="165" t="s">
        <v>14</v>
      </c>
      <c r="B44" s="166">
        <f t="shared" ref="B44:E44" si="278">B43/B25</f>
        <v>0.11533264544425315</v>
      </c>
      <c r="C44" s="166">
        <f t="shared" si="278"/>
        <v>-0.16273073381359185</v>
      </c>
      <c r="D44" s="166">
        <f t="shared" si="278"/>
        <v>0.21683246770216105</v>
      </c>
      <c r="E44" s="166">
        <f t="shared" si="278"/>
        <v>0.20799626392311513</v>
      </c>
      <c r="F44" s="166">
        <f t="shared" ref="F44:AE44" si="279">F43/F25</f>
        <v>0.15600259466117131</v>
      </c>
      <c r="G44" s="166">
        <f t="shared" si="279"/>
        <v>0.12421512278578532</v>
      </c>
      <c r="H44" s="166">
        <f t="shared" si="279"/>
        <v>0.21677460251680802</v>
      </c>
      <c r="I44" s="166">
        <f t="shared" si="279"/>
        <v>0.28794678842253507</v>
      </c>
      <c r="J44" s="166">
        <f t="shared" si="279"/>
        <v>0.17220095141927941</v>
      </c>
      <c r="K44" s="166">
        <f t="shared" si="279"/>
        <v>0.11951488266366031</v>
      </c>
      <c r="L44" s="166">
        <f t="shared" si="279"/>
        <v>0.20653665660901924</v>
      </c>
      <c r="M44" s="166">
        <f t="shared" si="279"/>
        <v>0.24094896232386306</v>
      </c>
      <c r="N44" s="166">
        <f t="shared" si="279"/>
        <v>0.23843346145374164</v>
      </c>
      <c r="O44" s="166">
        <f t="shared" si="279"/>
        <v>0.13662784624606486</v>
      </c>
      <c r="P44" s="166">
        <f t="shared" si="279"/>
        <v>0.16094886333643574</v>
      </c>
      <c r="Q44" s="166">
        <f t="shared" si="279"/>
        <v>0.15966360267417629</v>
      </c>
      <c r="R44" s="166">
        <f t="shared" si="279"/>
        <v>0.11481266247157536</v>
      </c>
      <c r="S44" s="166">
        <f t="shared" si="279"/>
        <v>0.21771377661733793</v>
      </c>
      <c r="T44" s="166">
        <f t="shared" si="279"/>
        <v>0.2814431002197309</v>
      </c>
      <c r="U44" s="166">
        <f t="shared" si="279"/>
        <v>0.29624019834487275</v>
      </c>
      <c r="V44" s="166">
        <f t="shared" si="279"/>
        <v>0.28541366350906111</v>
      </c>
      <c r="W44" s="166">
        <f t="shared" si="279"/>
        <v>0.25381621384708469</v>
      </c>
      <c r="X44" s="166">
        <f t="shared" si="279"/>
        <v>0.30313931075919814</v>
      </c>
      <c r="Y44" s="166">
        <f t="shared" si="279"/>
        <v>0.36456698177539476</v>
      </c>
      <c r="Z44" s="166">
        <f t="shared" ref="Z44:AA44" si="280">Z43/Z25</f>
        <v>0.37130257676631356</v>
      </c>
      <c r="AA44" s="166">
        <f t="shared" ref="AA44" si="281">AA43/AA25</f>
        <v>0.21483054878037836</v>
      </c>
      <c r="AB44" s="167">
        <f t="shared" si="279"/>
        <v>0.21832338022094586</v>
      </c>
      <c r="AC44" s="167">
        <f t="shared" si="279"/>
        <v>0.21882663315163631</v>
      </c>
      <c r="AD44" s="167">
        <f t="shared" si="279"/>
        <v>0.21887134386696716</v>
      </c>
      <c r="AE44" s="167">
        <f t="shared" si="279"/>
        <v>0.21886905583256569</v>
      </c>
      <c r="AI44" s="166">
        <f t="shared" ref="AI44:BN44" si="282">AI43/AI25</f>
        <v>0.44353591160221012</v>
      </c>
      <c r="AJ44" s="166">
        <f t="shared" si="282"/>
        <v>0.25063659512549985</v>
      </c>
      <c r="AK44" s="166">
        <f t="shared" si="282"/>
        <v>0.28484058552235808</v>
      </c>
      <c r="AL44" s="166">
        <f t="shared" si="282"/>
        <v>0.18234172535896348</v>
      </c>
      <c r="AM44" s="166">
        <f t="shared" si="282"/>
        <v>-0.38680659670164896</v>
      </c>
      <c r="AN44" s="166">
        <f t="shared" si="282"/>
        <v>-0.16501322751322769</v>
      </c>
      <c r="AO44" s="166">
        <f t="shared" si="282"/>
        <v>0.24784217016029594</v>
      </c>
      <c r="AP44" s="166">
        <f t="shared" si="282"/>
        <v>0.59216441875401427</v>
      </c>
      <c r="AQ44" s="166">
        <f t="shared" si="282"/>
        <v>-0.18939747781410554</v>
      </c>
      <c r="AR44" s="166">
        <f t="shared" si="282"/>
        <v>0.32079495879786718</v>
      </c>
      <c r="AS44" s="166">
        <f t="shared" si="282"/>
        <v>0.15935945273631846</v>
      </c>
      <c r="AT44" s="166">
        <f t="shared" si="282"/>
        <v>0.12162801703738745</v>
      </c>
      <c r="AU44" s="166">
        <f t="shared" si="282"/>
        <v>0.24119386931970968</v>
      </c>
      <c r="AV44" s="166">
        <f t="shared" si="282"/>
        <v>0.25799739921976605</v>
      </c>
      <c r="AW44" s="166">
        <f t="shared" si="282"/>
        <v>0.26171159382360626</v>
      </c>
      <c r="AX44" s="166">
        <f t="shared" si="282"/>
        <v>7.651555286460289E-2</v>
      </c>
      <c r="AY44" s="166">
        <f t="shared" si="282"/>
        <v>0.13328255902513331</v>
      </c>
      <c r="AZ44" s="166">
        <f t="shared" si="282"/>
        <v>0.1286295793758481</v>
      </c>
      <c r="BA44" s="166">
        <f t="shared" si="282"/>
        <v>0.12387034582479818</v>
      </c>
      <c r="BB44" s="166">
        <f t="shared" si="282"/>
        <v>8.2461906184642983E-2</v>
      </c>
      <c r="BC44" s="166">
        <f t="shared" si="282"/>
        <v>0.14486030574591457</v>
      </c>
      <c r="BD44" s="166">
        <f t="shared" si="282"/>
        <v>0.38581463080349493</v>
      </c>
      <c r="BE44" s="166">
        <f t="shared" si="282"/>
        <v>0.28115464420847075</v>
      </c>
      <c r="BF44" s="166">
        <f t="shared" si="282"/>
        <v>5.4004769252349469E-2</v>
      </c>
      <c r="BG44" s="166">
        <f t="shared" si="282"/>
        <v>0.29830898046297816</v>
      </c>
      <c r="BH44" s="166">
        <f t="shared" si="282"/>
        <v>0.15283842794759825</v>
      </c>
      <c r="BI44" s="166">
        <f t="shared" si="282"/>
        <v>0.34194788551900906</v>
      </c>
      <c r="BJ44" s="166">
        <f t="shared" si="282"/>
        <v>0.29276043105830346</v>
      </c>
      <c r="BK44" s="166">
        <f t="shared" si="282"/>
        <v>0.22993667242371923</v>
      </c>
      <c r="BL44" s="166">
        <f t="shared" si="282"/>
        <v>0.38952983500806337</v>
      </c>
      <c r="BM44" s="166">
        <f t="shared" si="282"/>
        <v>0.30823442136498524</v>
      </c>
      <c r="BN44" s="166">
        <f t="shared" si="282"/>
        <v>0.26998248363602828</v>
      </c>
      <c r="BO44" s="166">
        <f t="shared" ref="BO44:CT44" si="283">BO43/BO25</f>
        <v>0.2360287511230908</v>
      </c>
      <c r="BP44" s="166">
        <f t="shared" si="283"/>
        <v>0.39840191769876165</v>
      </c>
      <c r="BQ44" s="166">
        <f t="shared" si="283"/>
        <v>0.28350742386040739</v>
      </c>
      <c r="BR44" s="166">
        <f t="shared" si="283"/>
        <v>0.25640849189691356</v>
      </c>
      <c r="BS44" s="166">
        <f t="shared" si="283"/>
        <v>0.33974919801691444</v>
      </c>
      <c r="BT44" s="166">
        <f t="shared" si="283"/>
        <v>0.32735164550401663</v>
      </c>
      <c r="BU44" s="166">
        <f t="shared" si="283"/>
        <v>0.27092427731756774</v>
      </c>
      <c r="BV44" s="166">
        <f t="shared" si="283"/>
        <v>0.19360294589907731</v>
      </c>
      <c r="BW44" s="166">
        <f t="shared" si="283"/>
        <v>0.27303716328874739</v>
      </c>
      <c r="BX44" s="166">
        <f t="shared" si="283"/>
        <v>0.27710144927536229</v>
      </c>
      <c r="BY44" s="166">
        <f t="shared" si="283"/>
        <v>0.28941997157989918</v>
      </c>
      <c r="BZ44" s="166">
        <f t="shared" si="283"/>
        <v>0.34526279720545949</v>
      </c>
      <c r="CA44" s="166">
        <f t="shared" si="283"/>
        <v>0.206691999767941</v>
      </c>
      <c r="CB44" s="166">
        <f t="shared" si="283"/>
        <v>0.45931570132332089</v>
      </c>
      <c r="CC44" s="166">
        <f t="shared" si="283"/>
        <v>0.41201854193004633</v>
      </c>
      <c r="CD44" s="166">
        <f t="shared" si="283"/>
        <v>0.43459208352290413</v>
      </c>
      <c r="CE44" s="166">
        <f t="shared" si="283"/>
        <v>0.27360714009736503</v>
      </c>
      <c r="CF44" s="166">
        <f t="shared" si="283"/>
        <v>0.4480366830276416</v>
      </c>
      <c r="CG44" s="166">
        <f t="shared" si="283"/>
        <v>0.45340331913809934</v>
      </c>
      <c r="CH44" s="166">
        <f t="shared" si="283"/>
        <v>0.23556160045472074</v>
      </c>
      <c r="CI44" s="166">
        <f t="shared" ref="CI44:CJ44" si="284">CI43/CI25</f>
        <v>0.20139464103403762</v>
      </c>
      <c r="CJ44" s="166">
        <f t="shared" si="284"/>
        <v>0.20419358331228113</v>
      </c>
      <c r="CK44" s="166">
        <f t="shared" ref="CK44:CL44" si="285">CK43/CK25</f>
        <v>0.24245881351999357</v>
      </c>
      <c r="CL44" s="166">
        <f t="shared" si="285"/>
        <v>0.21287563062075016</v>
      </c>
      <c r="CM44" s="167">
        <f t="shared" si="283"/>
        <v>0.21523066712176561</v>
      </c>
      <c r="CN44" s="167">
        <f t="shared" si="283"/>
        <v>0.21868967364369768</v>
      </c>
      <c r="CO44" s="167">
        <f t="shared" si="283"/>
        <v>0.22231369622655173</v>
      </c>
      <c r="CP44" s="167">
        <f t="shared" si="283"/>
        <v>0.21727741690319127</v>
      </c>
      <c r="CQ44" s="167">
        <f t="shared" si="283"/>
        <v>0.21837786347380161</v>
      </c>
      <c r="CR44" s="167">
        <f t="shared" si="283"/>
        <v>0.21916466256181052</v>
      </c>
      <c r="CS44" s="167">
        <f t="shared" si="283"/>
        <v>0.21928340979133887</v>
      </c>
      <c r="CT44" s="167">
        <f t="shared" si="283"/>
        <v>0.21852583818253549</v>
      </c>
      <c r="CU44" s="167">
        <f t="shared" ref="CU44:DB44" si="286">CU43/CU25</f>
        <v>0.21883794350237154</v>
      </c>
      <c r="CV44" s="167">
        <f t="shared" si="286"/>
        <v>0.21895296350951413</v>
      </c>
      <c r="CW44" s="167">
        <f t="shared" si="286"/>
        <v>0.21890003874643998</v>
      </c>
      <c r="CX44" s="167">
        <f t="shared" si="286"/>
        <v>0.21880419598521544</v>
      </c>
      <c r="CY44" s="167">
        <f t="shared" si="286"/>
        <v>0.2188737854358852</v>
      </c>
      <c r="CZ44" s="167">
        <f t="shared" si="286"/>
        <v>0.21888274591926357</v>
      </c>
      <c r="DA44" s="167">
        <f t="shared" si="286"/>
        <v>0.21886519152170095</v>
      </c>
      <c r="DB44" s="167">
        <f t="shared" si="286"/>
        <v>0.21885647971551642</v>
      </c>
      <c r="DE44" s="169"/>
      <c r="DF44" s="168">
        <v>0.21490714442754402</v>
      </c>
    </row>
    <row r="45" spans="1:110" s="38" customFormat="1" x14ac:dyDescent="0.2">
      <c r="A45" s="39" t="s">
        <v>449</v>
      </c>
      <c r="B45" s="39"/>
      <c r="C45" s="39">
        <f t="shared" ref="C45:E45" si="287">+IF(B43&lt;0,1-C43/B43,C43/B43-1)</f>
        <v>-1.6207118369256628</v>
      </c>
      <c r="D45" s="39">
        <f t="shared" si="287"/>
        <v>2.1383263302429212</v>
      </c>
      <c r="E45" s="39">
        <f t="shared" si="287"/>
        <v>0.5186119095434083</v>
      </c>
      <c r="F45" s="39">
        <f t="shared" ref="F45:Y45" si="288">+IF(E43&lt;0,1-F43/E43,F43/E43-1)</f>
        <v>-5.0865287347018895E-2</v>
      </c>
      <c r="G45" s="39">
        <f t="shared" si="288"/>
        <v>8.8899988552904263E-2</v>
      </c>
      <c r="H45" s="39">
        <f t="shared" si="288"/>
        <v>1.4516440549863816</v>
      </c>
      <c r="I45" s="39">
        <f t="shared" si="288"/>
        <v>0.41005775005087997</v>
      </c>
      <c r="J45" s="39">
        <f t="shared" si="288"/>
        <v>-0.3595337555546565</v>
      </c>
      <c r="K45" s="39">
        <f t="shared" si="288"/>
        <v>-0.41921735544598149</v>
      </c>
      <c r="L45" s="39">
        <f t="shared" si="288"/>
        <v>0.7856544926454605</v>
      </c>
      <c r="M45" s="39">
        <f t="shared" si="288"/>
        <v>0.36327326598548737</v>
      </c>
      <c r="N45" s="39">
        <f t="shared" si="288"/>
        <v>0.63365614310594398</v>
      </c>
      <c r="O45" s="39">
        <f t="shared" si="288"/>
        <v>-0.82647091361040181</v>
      </c>
      <c r="P45" s="39">
        <f t="shared" si="288"/>
        <v>1.2900626603532612</v>
      </c>
      <c r="Q45" s="39">
        <f t="shared" si="288"/>
        <v>-3.3554066829307172E-2</v>
      </c>
      <c r="R45" s="39">
        <f t="shared" si="288"/>
        <v>-1.942091567216897E-2</v>
      </c>
      <c r="S45" s="39">
        <f t="shared" si="288"/>
        <v>1.9184828957293742</v>
      </c>
      <c r="T45" s="39">
        <f t="shared" si="288"/>
        <v>0.26314003150485243</v>
      </c>
      <c r="U45" s="39">
        <f t="shared" si="288"/>
        <v>8.1918080533706972E-2</v>
      </c>
      <c r="V45" s="39">
        <f t="shared" si="288"/>
        <v>0.44178518355865259</v>
      </c>
      <c r="W45" s="39">
        <f t="shared" si="288"/>
        <v>0.20127618317512508</v>
      </c>
      <c r="X45" s="39">
        <f t="shared" si="288"/>
        <v>0.75758758807608317</v>
      </c>
      <c r="Y45" s="39">
        <f t="shared" si="288"/>
        <v>0.74704080717297261</v>
      </c>
      <c r="Z45" s="39">
        <f t="shared" ref="Z45:AE45" si="289">+IF(Y43&lt;0,1-Z43/Y43,Z43/Y43-1)</f>
        <v>0.13086575513956533</v>
      </c>
      <c r="AA45" s="39">
        <f t="shared" si="289"/>
        <v>-0.48238725551668526</v>
      </c>
      <c r="AB45" s="40">
        <f t="shared" si="289"/>
        <v>0.18130076304091181</v>
      </c>
      <c r="AC45" s="40">
        <f t="shared" si="289"/>
        <v>0.15230578304339382</v>
      </c>
      <c r="AD45" s="40">
        <f t="shared" si="289"/>
        <v>0.14990550468652786</v>
      </c>
      <c r="AE45" s="40">
        <f t="shared" si="289"/>
        <v>0.14967281643124686</v>
      </c>
      <c r="AI45" s="39"/>
      <c r="AJ45" s="39"/>
      <c r="AK45" s="39"/>
      <c r="AL45" s="39"/>
      <c r="AM45" s="39">
        <f>+IF(AI43&lt;0,1-AM43/AI43,AM43/AI43-1)</f>
        <v>-1.3856502242152462</v>
      </c>
      <c r="AN45" s="39">
        <f t="shared" ref="AN45" si="290">+IF(AJ43&lt;0,1-AN43/AJ43,AN43/AJ43-1)</f>
        <v>-1.7242380261248202</v>
      </c>
      <c r="AO45" s="39">
        <f t="shared" ref="AO45" si="291">+IF(AK43&lt;0,1-AO43/AK43,AO43/AK43-1)</f>
        <v>-0.57550158394931361</v>
      </c>
      <c r="AP45" s="39">
        <f t="shared" ref="AP45" si="292">+IF(AL43&lt;0,1-AP43/AL43,AP43/AL43-1)</f>
        <v>-0.60648740930431089</v>
      </c>
      <c r="AQ45" s="39">
        <f t="shared" ref="AQ45" si="293">+IF(AM43&lt;0,1-AQ43/AM43,AQ43/AM43-1)</f>
        <v>-4.7803617571059887E-2</v>
      </c>
      <c r="AR45" s="39">
        <f t="shared" ref="AR45" si="294">+IF(AN43&lt;0,1-AR43/AN43,AR43/AN43-1)</f>
        <v>7.6312625250500918</v>
      </c>
      <c r="AS45" s="39">
        <f t="shared" ref="AS45" si="295">+IF(AO43&lt;0,1-AS43/AO43,AS43/AO43-1)</f>
        <v>-0.15008291873963486</v>
      </c>
      <c r="AT45" s="39">
        <f t="shared" ref="AT45" si="296">+IF(AP43&lt;0,1-AT43/AP43,AT43/AP43-1)</f>
        <v>-0.72125813449023901</v>
      </c>
      <c r="AU45" s="39">
        <f t="shared" ref="AU45" si="297">+IF(AQ43&lt;0,1-AU43/AQ43,AU43/AQ43-1)</f>
        <v>2.1060419235511718</v>
      </c>
      <c r="AV45" s="39">
        <f t="shared" ref="AV45" si="298">+IF(AR43&lt;0,1-AV43/AR43,AV43/AR43-1)</f>
        <v>-0.70021154427319421</v>
      </c>
      <c r="AW45" s="39">
        <f t="shared" ref="AW45" si="299">+IF(AS43&lt;0,1-AW43/AS43,AW43/AS43-1)</f>
        <v>-2.4390243902439823E-2</v>
      </c>
      <c r="AX45" s="39">
        <f t="shared" ref="AX45" si="300">+IF(AT43&lt;0,1-AX43/AT43,AX43/AT43-1)</f>
        <v>0.96692607003890885</v>
      </c>
      <c r="AY45" s="39">
        <f t="shared" ref="AY45" si="301">+IF(AU43&lt;0,1-AY43/AU43,AY43/AU43-1)</f>
        <v>0.17056856187290959</v>
      </c>
      <c r="AZ45" s="39">
        <f t="shared" ref="AZ45" si="302">+IF(AV43&lt;0,1-AZ43/AV43,AZ43/AV43-1)</f>
        <v>-4.4354838709677491E-2</v>
      </c>
      <c r="BA45" s="39">
        <f t="shared" ref="BA45" si="303">+IF(AW43&lt;0,1-BA43/AW43,BA43/AW43-1)</f>
        <v>2.8000000000000469E-2</v>
      </c>
      <c r="BB45" s="39">
        <f t="shared" ref="BB45" si="304">+IF(AX43&lt;0,1-BB43/AX43,BB43/AX43-1)</f>
        <v>-0.18100890207714937</v>
      </c>
      <c r="BC45" s="39">
        <f t="shared" ref="BC45" si="305">+IF(AY43&lt;0,1-BC43/AY43,BC43/AY43-1)</f>
        <v>0.30857142857142783</v>
      </c>
      <c r="BD45" s="39">
        <f t="shared" ref="BD45" si="306">+IF(AZ43&lt;0,1-BD43/AZ43,BD43/AZ43-1)</f>
        <v>3.7510548523206726</v>
      </c>
      <c r="BE45" s="39">
        <f t="shared" ref="BE45" si="307">+IF(BA43&lt;0,1-BE43/BA43,BE43/BA43-1)</f>
        <v>3.4815175097276274</v>
      </c>
      <c r="BF45" s="39">
        <f t="shared" ref="BF45" si="308">+IF(BB43&lt;0,1-BF43/BB43,BF43/BB43-1)</f>
        <v>-7.0048309178745827E-2</v>
      </c>
      <c r="BG45" s="39">
        <f t="shared" ref="BG45" si="309">+IF(BC43&lt;0,1-BG43/BC43,BG43/BC43-1)</f>
        <v>1.6448326055312963</v>
      </c>
      <c r="BH45" s="39">
        <f t="shared" ref="BH45" si="310">+IF(BD43&lt;0,1-BH43/BD43,BH43/BD43-1)</f>
        <v>-0.65808170515097686</v>
      </c>
      <c r="BI45" s="39">
        <f t="shared" ref="BI45" si="311">+IF(BE43&lt;0,1-BI43/BE43,BI43/BE43-1)</f>
        <v>4.2543954851313126E-2</v>
      </c>
      <c r="BJ45" s="39">
        <f t="shared" ref="BJ45" si="312">+IF(BF43&lt;0,1-BJ43/BF43,BJ43/BF43-1)</f>
        <v>4.5038961038961149</v>
      </c>
      <c r="BK45" s="39">
        <f t="shared" ref="BK45" si="313">+IF(BG43&lt;0,1-BK43/BG43,BK43/BG43-1)</f>
        <v>-0.45046780407264686</v>
      </c>
      <c r="BL45" s="39">
        <f t="shared" ref="BL45" si="314">+IF(BH43&lt;0,1-BL43/BH43,BL43/BH43-1)</f>
        <v>1.038961038961038</v>
      </c>
      <c r="BM45" s="39">
        <f t="shared" ref="BM45" si="315">+IF(BI43&lt;0,1-BM43/BI43,BM43/BI43-1)</f>
        <v>-0.13491567770143653</v>
      </c>
      <c r="BN45" s="39">
        <f t="shared" ref="BN45" si="316">+IF(BJ43&lt;0,1-BN43/BJ43,BN43/BJ43-1)</f>
        <v>0.38201982067012641</v>
      </c>
      <c r="BO45" s="39">
        <f t="shared" ref="BO45" si="317">+IF(BK43&lt;0,1-BO43/BK43,BO43/BK43-1)</f>
        <v>0.31547320981472127</v>
      </c>
      <c r="BP45" s="39">
        <f t="shared" ref="BP45" si="318">+IF(BL43&lt;0,1-BP43/BL43,BP43/BL43-1)</f>
        <v>0.58789808917197584</v>
      </c>
      <c r="BQ45" s="39">
        <f t="shared" ref="BQ45" si="319">+IF(BM43&lt;0,1-BQ43/BM43,BQ43/BM43-1)</f>
        <v>0.70493381468110661</v>
      </c>
      <c r="BR45" s="39">
        <f t="shared" ref="BR45" si="320">+IF(BN43&lt;0,1-BR43/BN43,BR43/BN43-1)</f>
        <v>0.27232371521256638</v>
      </c>
      <c r="BS45" s="39">
        <f t="shared" ref="BS45" si="321">+IF(BO43&lt;0,1-BS43/BO43,BS43/BO43-1)</f>
        <v>0.77388656261895594</v>
      </c>
      <c r="BT45" s="39">
        <f t="shared" ref="BT45" si="322">+IF(BP43&lt;0,1-BT43/BP43,BT43/BP43-1)</f>
        <v>1.3437625350982474E-2</v>
      </c>
      <c r="BU45" s="39">
        <f t="shared" ref="BU45" si="323">+IF(BQ43&lt;0,1-BU43/BQ43,BU43/BQ43-1)</f>
        <v>0.11264822134387331</v>
      </c>
      <c r="BV45" s="39">
        <f t="shared" ref="BV45" si="324">+IF(BR43&lt;0,1-BV43/BR43,BV43/BR43-1)</f>
        <v>0.21349973161567437</v>
      </c>
      <c r="BW45" s="39">
        <f t="shared" ref="BW45" si="325">+IF(BS43&lt;0,1-BW43/BS43,BW43/BS43-1)</f>
        <v>0.58133047210300548</v>
      </c>
      <c r="BX45" s="39">
        <f t="shared" ref="BX45" si="326">+IF(BT43&lt;0,1-BX43/BT43,BX43/BT43-1)</f>
        <v>0.98654264793192126</v>
      </c>
      <c r="BY45" s="39">
        <f t="shared" ref="BY45" si="327">+IF(BU43&lt;0,1-BY43/BU43,BY43/BU43-1)</f>
        <v>0.42121289012940899</v>
      </c>
      <c r="BZ45" s="39">
        <f t="shared" ref="BZ45" si="328">+IF(BV43&lt;0,1-BZ43/BV43,BZ43/BV43-1)</f>
        <v>1.005639721331415</v>
      </c>
      <c r="CA45" s="39">
        <f t="shared" ref="CA45" si="329">+IF(BW43&lt;0,1-CA43/BW43,CA43/BW43-1)</f>
        <v>0.93391233545935504</v>
      </c>
      <c r="CB45" s="39">
        <f t="shared" ref="CB45" si="330">+IF(BX43&lt;0,1-CB43/BX43,CB43/BX43-1)</f>
        <v>1.4861526200438324</v>
      </c>
      <c r="CC45" s="39">
        <f t="shared" ref="CC45" si="331">+IF(BY43&lt;0,1-CC43/BY43,CC43/BY43-1)</f>
        <v>1.1820210676664886</v>
      </c>
      <c r="CD45" s="39">
        <f t="shared" ref="CD45" si="332">+IF(BZ43&lt;0,1-CD43/BZ43,CD43/BZ43-1)</f>
        <v>6.6163092021875869E-4</v>
      </c>
      <c r="CE45" s="39">
        <f t="shared" ref="CE45" si="333">+IF(CA43&lt;0,1-CE43/CA43,CE43/CA43-1)</f>
        <v>-6.1750052627879137E-3</v>
      </c>
      <c r="CF45" s="39">
        <f t="shared" ref="CF45" si="334">+IF(CB43&lt;0,1-CF43/CB43,CF43/CB43-1)</f>
        <v>0.38992627023561566</v>
      </c>
      <c r="CG45" s="39">
        <f t="shared" ref="CG45" si="335">+IF(CC43&lt;0,1-CG43/CC43,CG43/CC43-1)</f>
        <v>0.31109110992922284</v>
      </c>
      <c r="CH45" s="39">
        <f t="shared" ref="CH45:CL45" si="336">+IF(CD43&lt;0,1-CH43/CD43,CH43/CD43-1)</f>
        <v>-0.360625929803295</v>
      </c>
      <c r="CI45" s="39">
        <f t="shared" si="336"/>
        <v>-0.26180893878415645</v>
      </c>
      <c r="CJ45" s="39">
        <f t="shared" si="336"/>
        <v>-0.67376827053362953</v>
      </c>
      <c r="CK45" s="39">
        <f t="shared" si="336"/>
        <v>-0.6087309264517744</v>
      </c>
      <c r="CL45" s="39">
        <f t="shared" si="336"/>
        <v>0.17088934850051718</v>
      </c>
      <c r="CM45" s="40">
        <f t="shared" ref="CM45" si="337">+CM43/CI43-1</f>
        <v>0.2299521678422094</v>
      </c>
      <c r="CN45" s="40">
        <f t="shared" ref="CN45" si="338">+CN43/CJ43-1</f>
        <v>0.25157843404846236</v>
      </c>
      <c r="CO45" s="40">
        <f t="shared" ref="CO45" si="339">+CO43/CK43-1</f>
        <v>6.2455752804640774E-2</v>
      </c>
      <c r="CP45" s="40">
        <f t="shared" ref="CP45" si="340">+CP43/CL43-1</f>
        <v>0.19351586923869357</v>
      </c>
      <c r="CQ45" s="40">
        <f t="shared" ref="CQ45" si="341">+CQ43/CM43-1</f>
        <v>0.16674612142805501</v>
      </c>
      <c r="CR45" s="40">
        <f t="shared" ref="CR45" si="342">+CR43/CN43-1</f>
        <v>0.15224729376370227</v>
      </c>
      <c r="CS45" s="40">
        <f t="shared" ref="CS45" si="343">+CS43/CO43-1</f>
        <v>0.13389859330166565</v>
      </c>
      <c r="CT45" s="40">
        <f t="shared" ref="CT45" si="344">+CT43/CP43-1</f>
        <v>0.15602802073754041</v>
      </c>
      <c r="CU45" s="40">
        <f t="shared" ref="CU45" si="345">+CU43/CQ43-1</f>
        <v>0.15235699748149401</v>
      </c>
      <c r="CV45" s="40">
        <f t="shared" ref="CV45" si="346">+CV43/CR43-1</f>
        <v>0.14865028253924661</v>
      </c>
      <c r="CW45" s="40">
        <f t="shared" ref="CW45" si="347">+CW43/CS43-1</f>
        <v>0.14757680141131413</v>
      </c>
      <c r="CX45" s="40">
        <f t="shared" ref="CX45" si="348">+CX43/CT43-1</f>
        <v>0.15091266626913202</v>
      </c>
      <c r="CY45" s="40">
        <f t="shared" ref="CY45" si="349">+CY43/CU43-1</f>
        <v>0.15012550048818807</v>
      </c>
      <c r="CZ45" s="40">
        <f t="shared" ref="CZ45" si="350">+CZ43/CV43-1</f>
        <v>0.14940249872834066</v>
      </c>
      <c r="DA45" s="40">
        <f t="shared" ref="DA45" si="351">+DA43/CW43-1</f>
        <v>0.14942143534412944</v>
      </c>
      <c r="DB45" s="40">
        <f t="shared" ref="DB45" si="352">+DB43/CX43-1</f>
        <v>0.14974689488956261</v>
      </c>
      <c r="DE45" s="122"/>
      <c r="DF45" s="38">
        <v>-0.48220131198297933</v>
      </c>
    </row>
    <row r="46" spans="1:110" s="38" customFormat="1" x14ac:dyDescent="0.2">
      <c r="A46" s="39" t="s">
        <v>450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0"/>
      <c r="AD46" s="40"/>
      <c r="AE46" s="40"/>
      <c r="AI46" s="39"/>
      <c r="AJ46" s="39">
        <f>+IF(AI43&lt;0,1-AJ43/AI43,AJ43/AI43-1)</f>
        <v>-0.65670154459392194</v>
      </c>
      <c r="AK46" s="39">
        <f t="shared" ref="AK46:AM46" si="353">+IF(AJ43&lt;0,1-AK43/AJ43,AK43/AJ43-1)</f>
        <v>3.1233671988389009</v>
      </c>
      <c r="AL46" s="39">
        <f t="shared" si="353"/>
        <v>0.64941921858500651</v>
      </c>
      <c r="AM46" s="39">
        <f t="shared" si="353"/>
        <v>-1.1651728553137002</v>
      </c>
      <c r="AN46" s="39">
        <f t="shared" ref="AN46" si="354">+IF(AM43&lt;0,1-AN43/AM43,AN43/AM43-1)</f>
        <v>0.35529715762273795</v>
      </c>
      <c r="AO46" s="39">
        <f t="shared" ref="AO46" si="355">+IF(AN43&lt;0,1-AO43/AN43,AO43/AN43-1)</f>
        <v>3.4168336673346666</v>
      </c>
      <c r="AP46" s="39">
        <f t="shared" ref="AP46" si="356">+IF(AO43&lt;0,1-AP43/AO43,AP43/AO43-1)</f>
        <v>0.52902155887230551</v>
      </c>
      <c r="AQ46" s="39">
        <f t="shared" ref="AQ46" si="357">+IF(AP43&lt;0,1-AQ43/AP43,AQ43/AP43-1)</f>
        <v>-1.4398047722342733</v>
      </c>
      <c r="AR46" s="39">
        <f t="shared" ref="AR46" si="358">+IF(AQ43&lt;0,1-AR43/AQ43,AR43/AQ43-1)</f>
        <v>5.0801479654747226</v>
      </c>
      <c r="AS46" s="39">
        <f t="shared" ref="AS46" si="359">+IF(AR43&lt;0,1-AS43/AR43,AS43/AR43-1)</f>
        <v>-0.69023874282260489</v>
      </c>
      <c r="AT46" s="39">
        <f t="shared" ref="AT46" si="360">+IF(AS43&lt;0,1-AT43/AS43,AT43/AS43-1)</f>
        <v>-0.49853658536585443</v>
      </c>
      <c r="AU46" s="39">
        <f t="shared" ref="AU46" si="361">+IF(AT43&lt;0,1-AU43/AT43,AU43/AT43-1)</f>
        <v>0.7451361867704307</v>
      </c>
      <c r="AV46" s="39">
        <f t="shared" ref="AV46" si="362">+IF(AU43&lt;0,1-AV43/AU43,AV43/AU43-1)</f>
        <v>0.10590858416945403</v>
      </c>
      <c r="AW46" s="39">
        <f t="shared" ref="AW46" si="363">+IF(AV43&lt;0,1-AW43/AV43,AW43/AV43-1)</f>
        <v>8.0645161290313627E-3</v>
      </c>
      <c r="AX46" s="39">
        <f t="shared" ref="AX46" si="364">+IF(AW43&lt;0,1-AX43/AW43,AX43/AW43-1)</f>
        <v>1.0999999999998344E-2</v>
      </c>
      <c r="AY46" s="39">
        <f t="shared" ref="AY46" si="365">+IF(AX43&lt;0,1-AY43/AX43,AY43/AX43-1)</f>
        <v>3.8575667655788681E-2</v>
      </c>
      <c r="AZ46" s="39">
        <f t="shared" ref="AZ46" si="366">+IF(AY43&lt;0,1-AZ43/AY43,AZ43/AY43-1)</f>
        <v>-9.7142857142856975E-2</v>
      </c>
      <c r="BA46" s="39">
        <f t="shared" ref="BA46" si="367">+IF(AZ43&lt;0,1-BA43/AZ43,BA43/AZ43-1)</f>
        <v>8.4388185654008074E-2</v>
      </c>
      <c r="BB46" s="39">
        <f t="shared" ref="BB46" si="368">+IF(BA43&lt;0,1-BB43/BA43,BB43/BA43-1)</f>
        <v>-0.19455252918287913</v>
      </c>
      <c r="BC46" s="39">
        <f t="shared" ref="BC46" si="369">+IF(BB43&lt;0,1-BC43/BB43,BC43/BB43-1)</f>
        <v>0.6594202898550714</v>
      </c>
      <c r="BD46" s="39">
        <f t="shared" ref="BD46" si="370">+IF(BC43&lt;0,1-BD43/BC43,BD43/BC43-1)</f>
        <v>2.2780203784570601</v>
      </c>
      <c r="BE46" s="39">
        <f t="shared" ref="BE46" si="371">+IF(BD43&lt;0,1-BE43/BD43,BE43/BD43-1)</f>
        <v>2.2868561278863497E-2</v>
      </c>
      <c r="BF46" s="39">
        <f t="shared" ref="BF46" si="372">+IF(BE43&lt;0,1-BF43/BE43,BF43/BE43-1)</f>
        <v>-0.83286303451269839</v>
      </c>
      <c r="BG46" s="39">
        <f t="shared" ref="BG46" si="373">+IF(BF43&lt;0,1-BG43/BF43,BG43/BF43-1)</f>
        <v>3.7194805194805278</v>
      </c>
      <c r="BH46" s="39">
        <f t="shared" ref="BH46" si="374">+IF(BG43&lt;0,1-BH43/BG43,BH43/BG43-1)</f>
        <v>-0.57622454595487071</v>
      </c>
      <c r="BI46" s="39">
        <f t="shared" ref="BI46" si="375">+IF(BH43&lt;0,1-BI43/BH43,BI43/BH43-1)</f>
        <v>2.1188311688311692</v>
      </c>
      <c r="BJ46" s="39">
        <f t="shared" ref="BJ46" si="376">+IF(BI43&lt;0,1-BJ43/BI43,BJ43/BI43-1)</f>
        <v>-0.11763481157609812</v>
      </c>
      <c r="BK46" s="39">
        <f t="shared" ref="BK46" si="377">+IF(BJ43&lt;0,1-BK43/BJ43,BK43/BJ43-1)</f>
        <v>-0.52878716375648871</v>
      </c>
      <c r="BL46" s="39">
        <f t="shared" ref="BL46" si="378">+IF(BK43&lt;0,1-BL43/BK43,BL43/BK43-1)</f>
        <v>0.5723585378067082</v>
      </c>
      <c r="BM46" s="39">
        <f t="shared" ref="BM46" si="379">+IF(BL43&lt;0,1-BM43/BL43,BM43/BL43-1)</f>
        <v>0.32324840764331286</v>
      </c>
      <c r="BN46" s="39">
        <f t="shared" ref="BN46" si="380">+IF(BM43&lt;0,1-BN43/BM43,BN43/BM43-1)</f>
        <v>0.40962695547533001</v>
      </c>
      <c r="BO46" s="39">
        <f t="shared" ref="BO46" si="381">+IF(BN43&lt;0,1-BO43/BN43,BO43/BN43-1)</f>
        <v>-0.55147686528939699</v>
      </c>
      <c r="BP46" s="39">
        <f t="shared" ref="BP46" si="382">+IF(BO43&lt;0,1-BP43/BO43,BP43/BO43-1)</f>
        <v>0.89798248953178583</v>
      </c>
      <c r="BQ46" s="39">
        <f t="shared" ref="BQ46" si="383">+IF(BP43&lt;0,1-BQ43/BP43,BQ43/BP43-1)</f>
        <v>0.42077817890092173</v>
      </c>
      <c r="BR46" s="39">
        <f t="shared" ref="BR46" si="384">+IF(BQ43&lt;0,1-BR43/BQ43,BR43/BQ43-1)</f>
        <v>5.1948051948051743E-2</v>
      </c>
      <c r="BS46" s="39">
        <f t="shared" ref="BS46" si="385">+IF(BR43&lt;0,1-BS43/BR43,BS43/BR43-1)</f>
        <v>-0.37466451959205593</v>
      </c>
      <c r="BT46" s="39">
        <f t="shared" ref="BT46" si="386">+IF(BS43&lt;0,1-BT43/BS43,BT43/BS43-1)</f>
        <v>8.433476394849837E-2</v>
      </c>
      <c r="BU46" s="39">
        <f t="shared" ref="BU46" si="387">+IF(BT43&lt;0,1-BU43/BT43,BU43/BT43-1)</f>
        <v>0.55986542647931858</v>
      </c>
      <c r="BV46" s="39">
        <f t="shared" ref="BV46" si="388">+IF(BU43&lt;0,1-BV43/BU43,BV43/BU43-1)</f>
        <v>0.14729764019284519</v>
      </c>
      <c r="BW46" s="39">
        <f t="shared" ref="BW46" si="389">+IF(BV43&lt;0,1-BW43/BV43,BW43/BV43-1)</f>
        <v>-0.18511555899590837</v>
      </c>
      <c r="BX46" s="39">
        <f t="shared" ref="BX46" si="390">+IF(BW43&lt;0,1-BX43/BW43,BX43/BW43-1)</f>
        <v>0.36219297055231325</v>
      </c>
      <c r="BY46" s="39">
        <f t="shared" ref="BY46" si="391">+IF(BX43&lt;0,1-BY43/BX43,BY43/BX43-1)</f>
        <v>0.11595935445307815</v>
      </c>
      <c r="BZ46" s="39">
        <f t="shared" ref="BZ46" si="392">+IF(BY43&lt;0,1-BZ43/BY43,BZ43/BY43-1)</f>
        <v>0.61908587752187083</v>
      </c>
      <c r="CA46" s="39">
        <f t="shared" ref="CA46" si="393">+IF(BZ43&lt;0,1-CA43/BZ43,CA43/BZ43-1)</f>
        <v>-0.21425814633070528</v>
      </c>
      <c r="CB46" s="39">
        <f t="shared" ref="CB46" si="394">+IF(CA43&lt;0,1-CB43/CA43,CB43/CA43-1)</f>
        <v>0.75117535611536046</v>
      </c>
      <c r="CC46" s="39">
        <f t="shared" ref="CC46" si="395">+IF(CB43&lt;0,1-CC43/CB43,CC43/CB43-1)</f>
        <v>-2.0556178874819309E-2</v>
      </c>
      <c r="CD46" s="39">
        <f t="shared" ref="CD46" si="396">+IF(CC43&lt;0,1-CD43/CC43,CD43/CC43-1)</f>
        <v>-0.25749703391564049</v>
      </c>
      <c r="CE46" s="39">
        <f t="shared" ref="CE46" si="397">+IF(CD43&lt;0,1-CE43/CD43,CE43/CD43-1)</f>
        <v>-0.21962642569838542</v>
      </c>
      <c r="CF46" s="39">
        <f t="shared" ref="CF46" si="398">+IF(CE43&lt;0,1-CF43/CE43,CF43/CE43-1)</f>
        <v>1.4491280096024854</v>
      </c>
      <c r="CG46" s="39">
        <f t="shared" ref="CG46" si="399">+IF(CF43&lt;0,1-CG43/CF43,CG43/CF43-1)</f>
        <v>-7.6109205177732675E-2</v>
      </c>
      <c r="CH46" s="39">
        <f t="shared" ref="CH46:CI46" si="400">+IF(CG43&lt;0,1-CH43/CG43,CH43/CG43-1)</f>
        <v>-0.6379068243517334</v>
      </c>
      <c r="CI46" s="39">
        <f t="shared" si="400"/>
        <v>-9.9017580144778017E-2</v>
      </c>
      <c r="CJ46" s="39">
        <f>+IF(CI43&gt;1,CJ43/CI43-1,1-CJ43/CI43)</f>
        <v>8.235294117647074E-2</v>
      </c>
      <c r="CK46" s="39">
        <f>+IF(CJ43&gt;1,CK43/CJ43-1,1-CK43/CJ43)</f>
        <v>0.10807705903145925</v>
      </c>
      <c r="CL46" s="39">
        <f>+IF(CK43&gt;1,CL43/CK43-1,1-CL43/CK43)</f>
        <v>8.3579232793684843E-2</v>
      </c>
      <c r="CM46" s="40">
        <f t="shared" ref="CM46" si="401">+CM43/CL43-1</f>
        <v>-5.3569594848730806E-2</v>
      </c>
      <c r="CN46" s="40">
        <f t="shared" ref="CN46" si="402">+CN43/CM43-1</f>
        <v>0.1013839681115003</v>
      </c>
      <c r="CO46" s="40">
        <f t="shared" ref="CO46" si="403">+CO43/CN43-1</f>
        <v>-5.9361511918448739E-2</v>
      </c>
      <c r="CP46" s="40">
        <f t="shared" ref="CP46" si="404">+CP43/CO43-1</f>
        <v>0.21724505373782987</v>
      </c>
      <c r="CQ46" s="40">
        <f t="shared" ref="CQ46" si="405">+CQ43/CP43-1</f>
        <v>-7.4797384037977976E-2</v>
      </c>
      <c r="CR46" s="40">
        <f t="shared" ref="CR46" si="406">+CR43/CQ43-1</f>
        <v>8.7697377641943408E-2</v>
      </c>
      <c r="CS46" s="40">
        <f t="shared" ref="CS46" si="407">+CS43/CR43-1</f>
        <v>-7.4340495990951938E-2</v>
      </c>
      <c r="CT46" s="40">
        <f t="shared" ref="CT46" si="408">+CT43/CS43-1</f>
        <v>0.24100108998965575</v>
      </c>
      <c r="CU46" s="40">
        <f t="shared" ref="CU46" si="409">+CU43/CT43-1</f>
        <v>-7.7735409984429182E-2</v>
      </c>
      <c r="CV46" s="40">
        <f t="shared" ref="CV46" si="410">+CV43/CU43-1</f>
        <v>8.4198649269433767E-2</v>
      </c>
      <c r="CW46" s="40">
        <f t="shared" ref="CW46" si="411">+CW43/CV43-1</f>
        <v>-7.5205579144240642E-2</v>
      </c>
      <c r="CX46" s="40">
        <f t="shared" ref="CX46" si="412">+CX43/CW43-1</f>
        <v>0.24460852778337805</v>
      </c>
      <c r="CY46" s="40">
        <f t="shared" ref="CY46" si="413">+CY43/CX43-1</f>
        <v>-7.8366192099800114E-2</v>
      </c>
      <c r="CZ46" s="40">
        <f t="shared" ref="CZ46" si="414">+CZ43/CY43-1</f>
        <v>8.3517091012431877E-2</v>
      </c>
      <c r="DA46" s="40">
        <f t="shared" ref="DA46" si="415">+DA43/CZ43-1</f>
        <v>-7.5190342987497494E-2</v>
      </c>
      <c r="DB46" s="40">
        <f t="shared" ref="DB46" si="416">+DB43/DA43-1</f>
        <v>0.24496093962575261</v>
      </c>
      <c r="DE46" s="122"/>
    </row>
    <row r="47" spans="1:110" s="23" customFormat="1" x14ac:dyDescent="0.2">
      <c r="A47" s="23" t="s">
        <v>15</v>
      </c>
      <c r="B47" s="23">
        <f>'Annual Raw'!C27</f>
        <v>0.43667400000000001</v>
      </c>
      <c r="C47" s="23">
        <f>'Annual Raw'!D27</f>
        <v>0.54530469999999998</v>
      </c>
      <c r="D47" s="23">
        <f>'Annual Raw'!E27</f>
        <v>0.67577509999999996</v>
      </c>
      <c r="E47" s="23">
        <f>'Annual Raw'!F27</f>
        <v>0.51623969999999997</v>
      </c>
      <c r="F47" s="23">
        <f>'Annual Raw'!G27</f>
        <v>0.60163630000000001</v>
      </c>
      <c r="G47" s="23">
        <f>'Annual Raw'!H27</f>
        <v>0.71693209999999996</v>
      </c>
      <c r="H47" s="23">
        <f>'Annual Raw'!I27</f>
        <v>1.0982281</v>
      </c>
      <c r="I47" s="23">
        <f>'Annual Raw'!J27</f>
        <v>1.4642895</v>
      </c>
      <c r="J47" s="23">
        <f>'Annual Raw'!K27</f>
        <v>1.1371172000000001</v>
      </c>
      <c r="K47" s="23">
        <f>'Annual Raw'!L27</f>
        <v>1.2334647999999999</v>
      </c>
      <c r="L47" s="23">
        <f>'Annual Raw'!M27</f>
        <v>1.1468517</v>
      </c>
      <c r="M47" s="23">
        <f>'Annual Raw'!N27</f>
        <v>1.1933328999999999</v>
      </c>
      <c r="N47" s="23">
        <f>'Annual Raw'!O27</f>
        <v>1.2640396</v>
      </c>
      <c r="O47" s="23">
        <f>'Annual Raw'!P27</f>
        <v>1.9898880999999999</v>
      </c>
      <c r="P47" s="23">
        <f>'Annual Raw'!Q27</f>
        <v>1.8866896</v>
      </c>
      <c r="Q47" s="23">
        <f>'Annual Raw'!R27</f>
        <v>1.7379635</v>
      </c>
      <c r="R47" s="23">
        <f>'Annual Raw'!S27</f>
        <v>1.7933402000000001</v>
      </c>
      <c r="S47" s="23">
        <f>'Annual Raw'!T27</f>
        <v>1.6362344</v>
      </c>
      <c r="T47" s="23">
        <f>'Annual Raw'!U27</f>
        <v>2.0471965999999999</v>
      </c>
      <c r="U47" s="23">
        <f>'Annual Raw'!V27</f>
        <v>2.7113483</v>
      </c>
      <c r="V47" s="23">
        <f>'Annual Raw'!W27</f>
        <v>3.0314999999999999</v>
      </c>
      <c r="W47" s="23">
        <f>'Annual Raw'!X27</f>
        <v>4.0279999999999996</v>
      </c>
      <c r="X47" s="23">
        <f>'Annual Raw'!Y27</f>
        <v>5.7676999999999996</v>
      </c>
      <c r="Y47" s="23">
        <f>'Annual Raw'!Z27</f>
        <v>7.4980000000000002</v>
      </c>
      <c r="Z47" s="23">
        <f>'Annual Raw'!AA27</f>
        <v>11.8034</v>
      </c>
      <c r="AA47" s="23">
        <f>'Annual Raw'!AB27</f>
        <v>20.075299999999999</v>
      </c>
      <c r="AB47" s="76">
        <f>+SUM(CM47:CP47)</f>
        <v>30.236306446877254</v>
      </c>
      <c r="AC47" s="76">
        <f>+SUM(CQ47:CT47)</f>
        <v>25.190251034247289</v>
      </c>
      <c r="AD47" s="76">
        <f>+SUM(CU47:CX47)</f>
        <v>20.986318163008686</v>
      </c>
      <c r="AE47" s="76">
        <f>+SUM(CY47:DB47)</f>
        <v>17.483968279643179</v>
      </c>
      <c r="AI47" s="23">
        <f>'QTR Raw'!C28</f>
        <v>0.31900000000000001</v>
      </c>
      <c r="AJ47" s="23">
        <f>'QTR Raw'!D28</f>
        <v>0.31900000000000001</v>
      </c>
      <c r="AK47" s="23">
        <f>'QTR Raw'!E28</f>
        <v>0.317</v>
      </c>
      <c r="AL47" s="23">
        <f>'QTR Raw'!F28</f>
        <v>0.31</v>
      </c>
      <c r="AM47" s="23">
        <f>'QTR Raw'!G28</f>
        <v>0.498</v>
      </c>
      <c r="AN47" s="23">
        <f>'QTR Raw'!H28</f>
        <v>0.504</v>
      </c>
      <c r="AO47" s="23">
        <f>'QTR Raw'!I28</f>
        <v>0.49299999999999999</v>
      </c>
      <c r="AP47" s="23">
        <f>'QTR Raw'!J28</f>
        <v>0.49299999999999999</v>
      </c>
      <c r="AQ47" s="23">
        <f>'QTR Raw'!K28</f>
        <v>0.499</v>
      </c>
      <c r="AR47" s="23">
        <f>'QTR Raw'!L28</f>
        <v>0.503</v>
      </c>
      <c r="AS47" s="23">
        <f>'QTR Raw'!M28</f>
        <v>0.46300000000000002</v>
      </c>
      <c r="AT47" s="23">
        <f>'QTR Raw'!N28</f>
        <v>0.42299999999999999</v>
      </c>
      <c r="AU47" s="23">
        <f>'QTR Raw'!O28</f>
        <v>0.45100000000000001</v>
      </c>
      <c r="AV47" s="23">
        <f>'QTR Raw'!P28</f>
        <v>0.46600000000000003</v>
      </c>
      <c r="AW47" s="23">
        <f>'QTR Raw'!Q28</f>
        <v>0.40799999999999997</v>
      </c>
      <c r="AX47" s="23">
        <f>'QTR Raw'!R28</f>
        <v>0.41299999999999998</v>
      </c>
      <c r="AY47" s="23">
        <f>'QTR Raw'!S28</f>
        <v>0.39900000000000002</v>
      </c>
      <c r="AZ47" s="23">
        <f>'QTR Raw'!T28</f>
        <v>0.41299999999999998</v>
      </c>
      <c r="BA47" s="23">
        <f>'QTR Raw'!U28</f>
        <v>0.42799999999999999</v>
      </c>
      <c r="BB47" s="23">
        <f>'QTR Raw'!V28</f>
        <v>0.55300000000000005</v>
      </c>
      <c r="BC47" s="23">
        <f>'QTR Raw'!W28</f>
        <v>0.36699999999999999</v>
      </c>
      <c r="BD47" s="23">
        <f>'QTR Raw'!X28</f>
        <v>0.35399999999999998</v>
      </c>
      <c r="BE47" s="23">
        <f>'QTR Raw'!Y28</f>
        <v>0.436</v>
      </c>
      <c r="BF47" s="23">
        <f>'QTR Raw'!Z28</f>
        <v>0.49</v>
      </c>
      <c r="BG47" s="23">
        <f>'QTR Raw'!AA28</f>
        <v>0.46700000000000003</v>
      </c>
      <c r="BH47" s="23">
        <f>'QTR Raw'!AB28</f>
        <v>0.51200000000000001</v>
      </c>
      <c r="BI47" s="23">
        <f>'QTR Raw'!AC28</f>
        <v>0.52800000000000002</v>
      </c>
      <c r="BJ47" s="23">
        <f>'QTR Raw'!AD28</f>
        <v>0.54100000000000004</v>
      </c>
      <c r="BK47" s="23">
        <f>'QTR Raw'!AE28</f>
        <v>0.50900000000000001</v>
      </c>
      <c r="BL47" s="23">
        <f>'QTR Raw'!AF28</f>
        <v>0.57999999999999996</v>
      </c>
      <c r="BM47" s="23">
        <f>'QTR Raw'!AG28</f>
        <v>0.60099999999999998</v>
      </c>
      <c r="BN47" s="23">
        <f>'QTR Raw'!AH28</f>
        <v>1.0209999999999999</v>
      </c>
      <c r="BO47" s="23">
        <f>'QTR Raw'!AI28</f>
        <v>0.71699999999999997</v>
      </c>
      <c r="BP47" s="23">
        <f>'QTR Raw'!AJ28</f>
        <v>0.75</v>
      </c>
      <c r="BQ47" s="23">
        <f>'QTR Raw'!AK28</f>
        <v>0.76300000000000001</v>
      </c>
      <c r="BR47" s="23">
        <f>'QTR Raw'!AL28</f>
        <v>0.80100000000000005</v>
      </c>
      <c r="BS47" s="23">
        <f>'QTR Raw'!AM28</f>
        <v>0.90700000000000003</v>
      </c>
      <c r="BT47" s="23">
        <f>'QTR Raw'!AN28</f>
        <v>0.96899999999999997</v>
      </c>
      <c r="BU47" s="23">
        <f>'QTR Raw'!AO28</f>
        <v>0.98799999999999999</v>
      </c>
      <c r="BV47" s="23">
        <f>'QTR Raw'!AP28</f>
        <v>1.1639999999999999</v>
      </c>
      <c r="BW47" s="23">
        <f>'QTR Raw'!AQ28</f>
        <v>1.353</v>
      </c>
      <c r="BX47" s="23">
        <f>'QTR Raw'!AR28</f>
        <v>1.361</v>
      </c>
      <c r="BY47" s="23">
        <f>'QTR Raw'!AS28</f>
        <v>1.5249999999999999</v>
      </c>
      <c r="BZ47" s="23">
        <f>'QTR Raw'!AT28</f>
        <v>1.5289999999999999</v>
      </c>
      <c r="CA47" s="23">
        <f>'QTR Raw'!AU28</f>
        <v>1.571</v>
      </c>
      <c r="CB47" s="23">
        <f>'QTR Raw'!AV28</f>
        <v>1.637</v>
      </c>
      <c r="CC47" s="23">
        <f>'QTR Raw'!AW28</f>
        <v>1.837</v>
      </c>
      <c r="CD47" s="23">
        <f>'QTR Raw'!AX28</f>
        <v>2.4529999999999998</v>
      </c>
      <c r="CE47" s="23">
        <f>'QTR Raw'!AY28</f>
        <v>2.8559999999999999</v>
      </c>
      <c r="CF47" s="23">
        <f>'QTR Raw'!AZ28</f>
        <v>2.9590000000000001</v>
      </c>
      <c r="CG47" s="23">
        <f>'QTR Raw'!BA28</f>
        <v>3.0529999999999999</v>
      </c>
      <c r="CH47" s="23">
        <f>'QTR Raw'!BB28</f>
        <v>2.9359999999999999</v>
      </c>
      <c r="CI47" s="23">
        <f>'QTR Raw'!BC28</f>
        <v>4.3970000000000002</v>
      </c>
      <c r="CJ47" s="23">
        <f>'QTR Raw'!BD28</f>
        <v>4.7560000000000002</v>
      </c>
      <c r="CK47" s="23">
        <f>'QTR Raw'!BE28</f>
        <v>5.3570000000000002</v>
      </c>
      <c r="CL47" s="23">
        <f>'QTR Raw'!BF28</f>
        <v>5.5659999999999998</v>
      </c>
      <c r="CM47" s="24">
        <f t="shared" ref="CM47:DB47" si="417">CM48*CL149</f>
        <v>8.0842445386841515</v>
      </c>
      <c r="CN47" s="24">
        <f t="shared" si="417"/>
        <v>7.723521880517902</v>
      </c>
      <c r="CO47" s="24">
        <f t="shared" si="417"/>
        <v>7.3788948309755495</v>
      </c>
      <c r="CP47" s="24">
        <f t="shared" si="417"/>
        <v>7.0496451966996512</v>
      </c>
      <c r="CQ47" s="24">
        <f t="shared" si="417"/>
        <v>6.7350868304461313</v>
      </c>
      <c r="CR47" s="24">
        <f t="shared" si="417"/>
        <v>6.4345642011721704</v>
      </c>
      <c r="CS47" s="24">
        <f t="shared" si="417"/>
        <v>6.1474510279274135</v>
      </c>
      <c r="CT47" s="24">
        <f t="shared" si="417"/>
        <v>5.8731489747015768</v>
      </c>
      <c r="CU47" s="24">
        <f t="shared" si="417"/>
        <v>5.611086403508553</v>
      </c>
      <c r="CV47" s="24">
        <f t="shared" si="417"/>
        <v>5.3607171831084557</v>
      </c>
      <c r="CW47" s="24">
        <f t="shared" si="417"/>
        <v>5.1215195508850355</v>
      </c>
      <c r="CX47" s="24">
        <f t="shared" si="417"/>
        <v>4.892995025506643</v>
      </c>
      <c r="CY47" s="24">
        <f t="shared" si="417"/>
        <v>4.6746673681047461</v>
      </c>
      <c r="CZ47" s="24">
        <f t="shared" si="417"/>
        <v>4.4660815898051416</v>
      </c>
      <c r="DA47" s="24">
        <f t="shared" si="417"/>
        <v>4.2668030035435649</v>
      </c>
      <c r="DB47" s="24">
        <f t="shared" si="417"/>
        <v>4.0764163181897235</v>
      </c>
      <c r="DE47" s="123"/>
      <c r="DF47" s="23">
        <v>20.076000000000001</v>
      </c>
    </row>
    <row r="48" spans="1:110" s="46" customFormat="1" x14ac:dyDescent="0.2">
      <c r="A48" s="46" t="s">
        <v>483</v>
      </c>
      <c r="B48" s="46">
        <f t="shared" ref="B48:D48" si="418">+B47/B149</f>
        <v>6.396137071505073E-2</v>
      </c>
      <c r="C48" s="46">
        <f t="shared" si="418"/>
        <v>7.7034843804123815E-2</v>
      </c>
      <c r="D48" s="46">
        <f t="shared" si="418"/>
        <v>7.6634920783244548E-2</v>
      </c>
      <c r="E48" s="46">
        <f t="shared" ref="E48:AE48" si="419">+E47/E149</f>
        <v>7.6059945774106866E-2</v>
      </c>
      <c r="F48" s="46">
        <f t="shared" si="419"/>
        <v>9.2496935570470035E-2</v>
      </c>
      <c r="G48" s="46">
        <f t="shared" si="419"/>
        <v>0.10191675668744572</v>
      </c>
      <c r="H48" s="46">
        <f t="shared" si="419"/>
        <v>0.14493167105807719</v>
      </c>
      <c r="I48" s="46">
        <f t="shared" si="419"/>
        <v>0.22342517878376641</v>
      </c>
      <c r="J48" s="46">
        <f t="shared" si="419"/>
        <v>0.18138324043252174</v>
      </c>
      <c r="K48" s="46">
        <f t="shared" si="419"/>
        <v>0.22259083345691821</v>
      </c>
      <c r="L48" s="46">
        <f t="shared" si="419"/>
        <v>0.13282574828033272</v>
      </c>
      <c r="M48" s="46">
        <f t="shared" si="419"/>
        <v>0.13622033566628242</v>
      </c>
      <c r="N48" s="46">
        <f t="shared" si="419"/>
        <v>7.722195581617855E-2</v>
      </c>
      <c r="O48" s="46">
        <f t="shared" si="419"/>
        <v>0.12930266801623788</v>
      </c>
      <c r="P48" s="46">
        <f t="shared" si="419"/>
        <v>0.13777532323231467</v>
      </c>
      <c r="Q48" s="46">
        <f t="shared" si="419"/>
        <v>0.12978512903754205</v>
      </c>
      <c r="R48" s="46">
        <f t="shared" si="419"/>
        <v>0.134820931774665</v>
      </c>
      <c r="S48" s="46">
        <f t="shared" si="419"/>
        <v>0.13525050293415178</v>
      </c>
      <c r="T48" s="46">
        <f t="shared" si="419"/>
        <v>0.17559343745713243</v>
      </c>
      <c r="U48" s="46">
        <f t="shared" si="419"/>
        <v>0.19065215114735665</v>
      </c>
      <c r="V48" s="46">
        <f t="shared" si="419"/>
        <v>0.18917080598058059</v>
      </c>
      <c r="W48" s="46">
        <f t="shared" si="419"/>
        <v>0.15102545836301601</v>
      </c>
      <c r="X48" s="46">
        <f t="shared" si="419"/>
        <v>0.18514939842576303</v>
      </c>
      <c r="Y48" s="46">
        <f t="shared" si="419"/>
        <v>0.15458773854096225</v>
      </c>
      <c r="Z48" s="46">
        <f t="shared" si="419"/>
        <v>0.10292394193273852</v>
      </c>
      <c r="AA48" s="46">
        <f t="shared" ref="AA48" si="420">+AA47/AA149</f>
        <v>0.11080423075415848</v>
      </c>
      <c r="AB48" s="110">
        <f t="shared" si="419"/>
        <v>0.2003177898374105</v>
      </c>
      <c r="AC48" s="110">
        <f t="shared" si="419"/>
        <v>0.20031778983741047</v>
      </c>
      <c r="AD48" s="110">
        <f t="shared" si="419"/>
        <v>0.20031778983741047</v>
      </c>
      <c r="AE48" s="110">
        <f t="shared" si="419"/>
        <v>0.20031778983741053</v>
      </c>
      <c r="AI48" s="46" t="e">
        <f t="shared" ref="AI48:BN48" si="421">+AI47/AH149</f>
        <v>#DIV/0!</v>
      </c>
      <c r="AJ48" s="46" t="e">
        <f t="shared" si="421"/>
        <v>#DIV/0!</v>
      </c>
      <c r="AK48" s="46">
        <f t="shared" si="421"/>
        <v>2.5533628674989935E-2</v>
      </c>
      <c r="AL48" s="46">
        <f t="shared" si="421"/>
        <v>2.4969794603302457E-2</v>
      </c>
      <c r="AM48" s="46">
        <f t="shared" si="421"/>
        <v>3.0423361231596311E-2</v>
      </c>
      <c r="AN48" s="46">
        <f t="shared" si="421"/>
        <v>3.0789907752458916E-2</v>
      </c>
      <c r="AO48" s="46">
        <f t="shared" si="421"/>
        <v>3.0818278427205102E-2</v>
      </c>
      <c r="AP48" s="46">
        <f t="shared" si="421"/>
        <v>3.0818278427205102E-2</v>
      </c>
      <c r="AQ48" s="46">
        <f t="shared" si="421"/>
        <v>3.242575865878225E-2</v>
      </c>
      <c r="AR48" s="46">
        <f t="shared" si="421"/>
        <v>3.2685684579894729E-2</v>
      </c>
      <c r="AS48" s="46">
        <f t="shared" si="421"/>
        <v>3.2099278979478646E-2</v>
      </c>
      <c r="AT48" s="46">
        <f t="shared" si="421"/>
        <v>2.9326123128119802E-2</v>
      </c>
      <c r="AU48" s="46">
        <f t="shared" si="421"/>
        <v>3.2934131736526942E-2</v>
      </c>
      <c r="AV48" s="46">
        <f t="shared" si="421"/>
        <v>3.4029501971666425E-2</v>
      </c>
      <c r="AW48" s="46">
        <f t="shared" si="421"/>
        <v>2.9804952881875957E-2</v>
      </c>
      <c r="AX48" s="46">
        <f t="shared" si="421"/>
        <v>3.0170209657389143E-2</v>
      </c>
      <c r="AY48" s="46">
        <f t="shared" si="421"/>
        <v>2.9796131730266597E-2</v>
      </c>
      <c r="AZ48" s="46">
        <f t="shared" si="421"/>
        <v>3.0841610036591739E-2</v>
      </c>
      <c r="BA48" s="46">
        <f t="shared" si="421"/>
        <v>3.2759280520474554E-2</v>
      </c>
      <c r="BB48" s="46">
        <f t="shared" si="421"/>
        <v>4.232682740145427E-2</v>
      </c>
      <c r="BC48" s="46">
        <f t="shared" si="421"/>
        <v>2.7589836114869943E-2</v>
      </c>
      <c r="BD48" s="46">
        <f t="shared" si="421"/>
        <v>2.6612539467749208E-2</v>
      </c>
      <c r="BE48" s="46">
        <f t="shared" si="421"/>
        <v>3.7428105416773973E-2</v>
      </c>
      <c r="BF48" s="46">
        <f t="shared" si="421"/>
        <v>4.2063696454631302E-2</v>
      </c>
      <c r="BG48" s="46">
        <f t="shared" si="421"/>
        <v>3.8598231258781722E-2</v>
      </c>
      <c r="BH48" s="46">
        <f t="shared" si="421"/>
        <v>4.2317546904702866E-2</v>
      </c>
      <c r="BI48" s="46">
        <f t="shared" si="421"/>
        <v>4.4280442804428048E-2</v>
      </c>
      <c r="BJ48" s="46">
        <f t="shared" si="421"/>
        <v>4.5370680979537073E-2</v>
      </c>
      <c r="BK48" s="46">
        <f t="shared" si="421"/>
        <v>4.3657260485461875E-2</v>
      </c>
      <c r="BL48" s="46">
        <f t="shared" si="421"/>
        <v>4.9746976584612738E-2</v>
      </c>
      <c r="BM48" s="46">
        <f t="shared" si="421"/>
        <v>5.1521645949421345E-2</v>
      </c>
      <c r="BN48" s="46">
        <f t="shared" si="421"/>
        <v>8.7526789541363045E-2</v>
      </c>
      <c r="BO48" s="46">
        <f t="shared" ref="BO48:CL48" si="422">+BO47/BN149</f>
        <v>6.4126643412932657E-2</v>
      </c>
      <c r="BP48" s="46">
        <f t="shared" si="422"/>
        <v>6.7078078883820766E-2</v>
      </c>
      <c r="BQ48" s="46">
        <f t="shared" si="422"/>
        <v>7.0667778086505512E-2</v>
      </c>
      <c r="BR48" s="46">
        <f t="shared" si="422"/>
        <v>7.4187274242845241E-2</v>
      </c>
      <c r="BS48" s="46">
        <f t="shared" si="422"/>
        <v>6.7691618777520723E-2</v>
      </c>
      <c r="BT48" s="46">
        <f t="shared" si="422"/>
        <v>7.2318829763415179E-2</v>
      </c>
      <c r="BU48" s="46">
        <f t="shared" si="422"/>
        <v>7.2652400911831755E-2</v>
      </c>
      <c r="BV48" s="46">
        <f t="shared" si="422"/>
        <v>8.5594529009485984E-2</v>
      </c>
      <c r="BW48" s="46">
        <f t="shared" si="422"/>
        <v>5.53147996729354E-2</v>
      </c>
      <c r="BX48" s="46">
        <f t="shared" si="422"/>
        <v>5.5641864268192967E-2</v>
      </c>
      <c r="BY48" s="46">
        <f t="shared" si="422"/>
        <v>5.7131083055482708E-2</v>
      </c>
      <c r="BZ48" s="46">
        <f t="shared" si="422"/>
        <v>5.728093507661184E-2</v>
      </c>
      <c r="CA48" s="46">
        <f t="shared" si="422"/>
        <v>5.3517288366547434E-2</v>
      </c>
      <c r="CB48" s="46">
        <f t="shared" si="422"/>
        <v>5.5765627661386478E-2</v>
      </c>
      <c r="CC48" s="46">
        <f t="shared" si="422"/>
        <v>6.1652570814874477E-2</v>
      </c>
      <c r="CD48" s="46">
        <f t="shared" si="422"/>
        <v>8.2326486776748559E-2</v>
      </c>
      <c r="CE48" s="46">
        <f t="shared" si="422"/>
        <v>6.6030101958245671E-2</v>
      </c>
      <c r="CF48" s="46">
        <f t="shared" si="422"/>
        <v>6.8411439668924698E-2</v>
      </c>
      <c r="CG48" s="46">
        <f t="shared" si="422"/>
        <v>6.2781467848403216E-2</v>
      </c>
      <c r="CH48" s="46">
        <f t="shared" si="422"/>
        <v>6.0375496103148331E-2</v>
      </c>
      <c r="CI48" s="46">
        <f t="shared" si="422"/>
        <v>3.8341204456194933E-2</v>
      </c>
      <c r="CJ48" s="46">
        <f t="shared" si="422"/>
        <v>4.3125100876103287E-2</v>
      </c>
      <c r="CK48" s="46">
        <f t="shared" si="422"/>
        <v>4.1176651447370441E-2</v>
      </c>
      <c r="CL48" s="46">
        <f t="shared" si="422"/>
        <v>4.4620453579817372E-2</v>
      </c>
      <c r="CM48" s="47">
        <f t="shared" ref="CM48" si="423">CL48</f>
        <v>4.4620453579817372E-2</v>
      </c>
      <c r="CN48" s="47">
        <f t="shared" ref="CN48" si="424">CM48</f>
        <v>4.4620453579817372E-2</v>
      </c>
      <c r="CO48" s="47">
        <f t="shared" ref="CO48" si="425">CN48</f>
        <v>4.4620453579817372E-2</v>
      </c>
      <c r="CP48" s="47">
        <f t="shared" ref="CP48" si="426">CO48</f>
        <v>4.4620453579817372E-2</v>
      </c>
      <c r="CQ48" s="47">
        <f t="shared" ref="CQ48" si="427">CP48</f>
        <v>4.4620453579817372E-2</v>
      </c>
      <c r="CR48" s="47">
        <f t="shared" ref="CR48" si="428">CQ48</f>
        <v>4.4620453579817372E-2</v>
      </c>
      <c r="CS48" s="47">
        <f t="shared" ref="CS48" si="429">CR48</f>
        <v>4.4620453579817372E-2</v>
      </c>
      <c r="CT48" s="47">
        <f t="shared" ref="CT48" si="430">CS48</f>
        <v>4.4620453579817372E-2</v>
      </c>
      <c r="CU48" s="47">
        <f t="shared" ref="CU48" si="431">CT48</f>
        <v>4.4620453579817372E-2</v>
      </c>
      <c r="CV48" s="47">
        <f t="shared" ref="CV48" si="432">CU48</f>
        <v>4.4620453579817372E-2</v>
      </c>
      <c r="CW48" s="47">
        <f t="shared" ref="CW48" si="433">CV48</f>
        <v>4.4620453579817372E-2</v>
      </c>
      <c r="CX48" s="47">
        <f t="shared" ref="CX48" si="434">CW48</f>
        <v>4.4620453579817372E-2</v>
      </c>
      <c r="CY48" s="47">
        <f t="shared" ref="CY48" si="435">CX48</f>
        <v>4.4620453579817372E-2</v>
      </c>
      <c r="CZ48" s="47">
        <f t="shared" ref="CZ48" si="436">CY48</f>
        <v>4.4620453579817372E-2</v>
      </c>
      <c r="DA48" s="47">
        <f t="shared" ref="DA48" si="437">CZ48</f>
        <v>4.4620453579817372E-2</v>
      </c>
      <c r="DB48" s="47">
        <f t="shared" ref="DB48" si="438">DA48</f>
        <v>4.4620453579817372E-2</v>
      </c>
      <c r="DE48" s="130"/>
      <c r="DF48" s="46">
        <v>0.11080815551557033</v>
      </c>
    </row>
    <row r="49" spans="1:110" s="26" customFormat="1" x14ac:dyDescent="0.2">
      <c r="A49" s="34" t="s">
        <v>16</v>
      </c>
      <c r="B49" s="26">
        <f>B43-B47</f>
        <v>1.3689418</v>
      </c>
      <c r="C49" s="26">
        <f t="shared" ref="C49:T49" si="439">C43-C47</f>
        <v>-1.6660718000000001</v>
      </c>
      <c r="D49" s="26">
        <f>D43-D47</f>
        <v>0.6000236000000011</v>
      </c>
      <c r="E49" s="26">
        <f t="shared" si="439"/>
        <v>1.4212033999999996</v>
      </c>
      <c r="F49" s="26">
        <f t="shared" si="439"/>
        <v>1.2372582000000003</v>
      </c>
      <c r="G49" s="26">
        <f t="shared" si="439"/>
        <v>1.2854400999999991</v>
      </c>
      <c r="H49" s="26">
        <f t="shared" si="439"/>
        <v>3.8108757999999998</v>
      </c>
      <c r="I49" s="26">
        <f t="shared" si="439"/>
        <v>5.4578305</v>
      </c>
      <c r="J49" s="26">
        <f t="shared" si="439"/>
        <v>3.2962670000000007</v>
      </c>
      <c r="K49" s="26">
        <f t="shared" si="439"/>
        <v>1.3413678000000024</v>
      </c>
      <c r="L49" s="26">
        <f t="shared" si="439"/>
        <v>3.450909699999996</v>
      </c>
      <c r="M49" s="26">
        <f t="shared" si="439"/>
        <v>5.0746723000000014</v>
      </c>
      <c r="N49" s="26">
        <f t="shared" si="439"/>
        <v>8.9757256000000023</v>
      </c>
      <c r="O49" s="26">
        <f t="shared" si="439"/>
        <v>-0.21299099999999882</v>
      </c>
      <c r="P49" s="26">
        <f t="shared" si="439"/>
        <v>2.1825160999999977</v>
      </c>
      <c r="Q49" s="26">
        <f t="shared" si="439"/>
        <v>2.1947038000000001</v>
      </c>
      <c r="R49" s="26">
        <f t="shared" si="439"/>
        <v>2.0629511000000038</v>
      </c>
      <c r="S49" s="26">
        <f t="shared" si="439"/>
        <v>9.618285800000006</v>
      </c>
      <c r="T49" s="26">
        <f t="shared" si="439"/>
        <v>12.168838400000006</v>
      </c>
      <c r="U49" s="26">
        <f t="shared" ref="U49:Z49" si="440">U43-U47</f>
        <v>12.669237000000003</v>
      </c>
      <c r="V49" s="26">
        <f t="shared" si="440"/>
        <v>19.144000000000016</v>
      </c>
      <c r="W49" s="26">
        <f t="shared" si="440"/>
        <v>22.610900000000008</v>
      </c>
      <c r="X49" s="26">
        <f t="shared" si="440"/>
        <v>41.052499999999988</v>
      </c>
      <c r="Y49" s="26">
        <f t="shared" si="440"/>
        <v>74.298799999999986</v>
      </c>
      <c r="Z49" s="26">
        <f t="shared" si="440"/>
        <v>80.697799999999987</v>
      </c>
      <c r="AA49" s="26">
        <f t="shared" ref="AA49" si="441">AA43-AA47</f>
        <v>27.80449999999999</v>
      </c>
      <c r="AB49" s="27">
        <f t="shared" ref="AB49:AD49" si="442">AB43-AB47</f>
        <v>26.324137827368983</v>
      </c>
      <c r="AC49" s="27">
        <f t="shared" si="442"/>
        <v>39.984675994470258</v>
      </c>
      <c r="AD49" s="27">
        <f t="shared" si="442"/>
        <v>53.95868919485639</v>
      </c>
      <c r="AE49" s="27">
        <f t="shared" ref="AE49" si="443">AE43-AE47</f>
        <v>68.678269406934092</v>
      </c>
      <c r="AI49" s="26">
        <f t="shared" ref="AI49" si="444">AI43-AI47</f>
        <v>1.6880000000000011</v>
      </c>
      <c r="AJ49" s="26">
        <f t="shared" ref="AJ49" si="445">AJ43-AJ47</f>
        <v>0.36999999999999916</v>
      </c>
      <c r="AK49" s="26">
        <f t="shared" ref="AK49:AM49" si="446">AK43-AK47</f>
        <v>2.5239999999999991</v>
      </c>
      <c r="AL49" s="26">
        <f t="shared" si="446"/>
        <v>4.376000000000003</v>
      </c>
      <c r="AM49" s="26">
        <f t="shared" si="446"/>
        <v>-1.2719999999999996</v>
      </c>
      <c r="AN49" s="26">
        <f t="shared" ref="AN49:AO49" si="447">AN43-AN47</f>
        <v>-1.0030000000000006</v>
      </c>
      <c r="AO49" s="26">
        <f t="shared" si="447"/>
        <v>0.71299999999999997</v>
      </c>
      <c r="AP49" s="26">
        <f t="shared" ref="AP49:CD49" si="448">AP43-AP47</f>
        <v>1.3510000000000004</v>
      </c>
      <c r="AQ49" s="26">
        <f t="shared" si="448"/>
        <v>-1.31</v>
      </c>
      <c r="AR49" s="26">
        <f t="shared" si="448"/>
        <v>2.8059999999999996</v>
      </c>
      <c r="AS49" s="26">
        <f t="shared" si="448"/>
        <v>0.56200000000000028</v>
      </c>
      <c r="AT49" s="26">
        <f t="shared" si="448"/>
        <v>9.0999999999999359E-2</v>
      </c>
      <c r="AU49" s="26">
        <f t="shared" si="448"/>
        <v>0.44600000000000023</v>
      </c>
      <c r="AV49" s="26">
        <f t="shared" si="448"/>
        <v>0.52600000000000047</v>
      </c>
      <c r="AW49" s="26">
        <f t="shared" si="448"/>
        <v>0.59199999999999964</v>
      </c>
      <c r="AX49" s="26">
        <f t="shared" si="448"/>
        <v>0.59799999999999787</v>
      </c>
      <c r="AY49" s="26">
        <f t="shared" si="448"/>
        <v>0.65100000000000025</v>
      </c>
      <c r="AZ49" s="26">
        <f t="shared" si="448"/>
        <v>0.53500000000000036</v>
      </c>
      <c r="BA49" s="26">
        <f t="shared" si="448"/>
        <v>0.60000000000000009</v>
      </c>
      <c r="BB49" s="26">
        <f t="shared" si="448"/>
        <v>0.27500000000000024</v>
      </c>
      <c r="BC49" s="26">
        <f t="shared" si="448"/>
        <v>1.0069999999999997</v>
      </c>
      <c r="BD49" s="26">
        <f t="shared" si="448"/>
        <v>4.1499999999999995</v>
      </c>
      <c r="BE49" s="26">
        <f t="shared" si="448"/>
        <v>4.1710000000000012</v>
      </c>
      <c r="BF49" s="26">
        <f t="shared" si="448"/>
        <v>0.27999999999999869</v>
      </c>
      <c r="BG49" s="26">
        <f t="shared" si="448"/>
        <v>3.1670000000000003</v>
      </c>
      <c r="BH49" s="26">
        <f t="shared" si="448"/>
        <v>1.028</v>
      </c>
      <c r="BI49" s="26">
        <f t="shared" si="448"/>
        <v>4.2750000000000004</v>
      </c>
      <c r="BJ49" s="26">
        <f t="shared" si="448"/>
        <v>3.6970000000000014</v>
      </c>
      <c r="BK49" s="26">
        <f t="shared" si="448"/>
        <v>1.4880000000000018</v>
      </c>
      <c r="BL49" s="26">
        <f t="shared" si="448"/>
        <v>2.5599999999999987</v>
      </c>
      <c r="BM49" s="26">
        <f t="shared" si="448"/>
        <v>3.5540000000000012</v>
      </c>
      <c r="BN49" s="26">
        <f t="shared" si="448"/>
        <v>4.8359999999999976</v>
      </c>
      <c r="BO49" s="26">
        <f t="shared" si="448"/>
        <v>1.9100000000000006</v>
      </c>
      <c r="BP49" s="26">
        <f t="shared" si="448"/>
        <v>4.2360000000000024</v>
      </c>
      <c r="BQ49" s="26">
        <f t="shared" si="448"/>
        <v>6.3209999999999997</v>
      </c>
      <c r="BR49" s="26">
        <f t="shared" si="448"/>
        <v>6.650999999999998</v>
      </c>
      <c r="BS49" s="26">
        <f t="shared" si="448"/>
        <v>3.7529999999999983</v>
      </c>
      <c r="BT49" s="26">
        <f t="shared" si="448"/>
        <v>4.0840000000000005</v>
      </c>
      <c r="BU49" s="26">
        <f t="shared" si="448"/>
        <v>6.8939999999999984</v>
      </c>
      <c r="BV49" s="26">
        <f t="shared" si="448"/>
        <v>7.8790000000000031</v>
      </c>
      <c r="BW49" s="26">
        <f t="shared" si="448"/>
        <v>6.0160000000000036</v>
      </c>
      <c r="BX49" s="26">
        <f t="shared" si="448"/>
        <v>8.6769999999999996</v>
      </c>
      <c r="BY49" s="26">
        <f t="shared" si="448"/>
        <v>9.6769999999999978</v>
      </c>
      <c r="BZ49" s="26">
        <f t="shared" si="448"/>
        <v>16.607999999999993</v>
      </c>
      <c r="CA49" s="26">
        <f t="shared" si="448"/>
        <v>12.679999999999994</v>
      </c>
      <c r="CB49" s="26">
        <f t="shared" si="448"/>
        <v>23.318999999999992</v>
      </c>
      <c r="CC49" s="26">
        <f t="shared" si="448"/>
        <v>22.606000000000002</v>
      </c>
      <c r="CD49" s="26">
        <f t="shared" si="448"/>
        <v>15.696000000000002</v>
      </c>
      <c r="CE49" s="26">
        <f t="shared" ref="CE49:CF49" si="449">CE43-CE47</f>
        <v>11.307000000000004</v>
      </c>
      <c r="CF49" s="26">
        <f t="shared" si="449"/>
        <v>31.728000000000012</v>
      </c>
      <c r="CG49" s="26">
        <f t="shared" ref="CG49:CH49" si="450">CG43-CG47</f>
        <v>28.993999999999996</v>
      </c>
      <c r="CH49" s="26">
        <f t="shared" si="450"/>
        <v>8.6679999999999993</v>
      </c>
      <c r="CI49" s="26">
        <f t="shared" ref="CI49:CJ49" si="451">CI43-CI47</f>
        <v>6.0579999999999945</v>
      </c>
      <c r="CJ49" s="26">
        <f t="shared" si="451"/>
        <v>6.5599999999999952</v>
      </c>
      <c r="CK49" s="26">
        <f t="shared" ref="CK49:CL49" si="452">CK43-CK47</f>
        <v>7.1819999999999871</v>
      </c>
      <c r="CL49" s="26">
        <f t="shared" si="452"/>
        <v>8.0210000000000008</v>
      </c>
      <c r="CM49" s="27">
        <f t="shared" ref="CM49:DB49" si="453">CM43-CM47</f>
        <v>4.7749053761061422</v>
      </c>
      <c r="CN49" s="27">
        <f t="shared" si="453"/>
        <v>6.439339679174493</v>
      </c>
      <c r="CO49" s="27">
        <f t="shared" si="453"/>
        <v>5.9432378534418264</v>
      </c>
      <c r="CP49" s="27">
        <f t="shared" si="453"/>
        <v>9.1666549186464792</v>
      </c>
      <c r="CQ49" s="27">
        <f t="shared" si="453"/>
        <v>8.2682764574973469</v>
      </c>
      <c r="CR49" s="27">
        <f t="shared" si="453"/>
        <v>9.8845547029333591</v>
      </c>
      <c r="CS49" s="27">
        <f t="shared" si="453"/>
        <v>8.9584964827115918</v>
      </c>
      <c r="CT49" s="27">
        <f t="shared" si="453"/>
        <v>12.873348351327957</v>
      </c>
      <c r="CU49" s="27">
        <f t="shared" si="453"/>
        <v>11.678144267110069</v>
      </c>
      <c r="CV49" s="27">
        <f t="shared" si="453"/>
        <v>13.384243356883921</v>
      </c>
      <c r="CW49" s="27">
        <f t="shared" si="453"/>
        <v>12.213715375661277</v>
      </c>
      <c r="CX49" s="27">
        <f t="shared" si="453"/>
        <v>16.682586195201161</v>
      </c>
      <c r="CY49" s="27">
        <f t="shared" si="453"/>
        <v>15.210117709996229</v>
      </c>
      <c r="CZ49" s="27">
        <f t="shared" si="453"/>
        <v>17.079422893426241</v>
      </c>
      <c r="DA49" s="27">
        <f t="shared" si="453"/>
        <v>15.658687607754985</v>
      </c>
      <c r="DB49" s="27">
        <f t="shared" si="453"/>
        <v>20.730041195756634</v>
      </c>
      <c r="DE49" s="121"/>
      <c r="DF49" s="26">
        <v>27.821000000000019</v>
      </c>
    </row>
    <row r="50" spans="1:110" s="23" customFormat="1" x14ac:dyDescent="0.2">
      <c r="A50" s="23" t="s">
        <v>17</v>
      </c>
      <c r="B50" s="23">
        <f>'Annual Raw'!C23</f>
        <v>0.43856820000000002</v>
      </c>
      <c r="C50" s="23">
        <f>'Annual Raw'!D23</f>
        <v>0.17192489999999999</v>
      </c>
      <c r="D50" s="23">
        <f>'Annual Raw'!E23</f>
        <v>0.1385227</v>
      </c>
      <c r="E50" s="23">
        <f>'Annual Raw'!F23</f>
        <v>8.2880700000000002E-2</v>
      </c>
      <c r="F50" s="23">
        <f>'Annual Raw'!G23</f>
        <v>0.2605111</v>
      </c>
      <c r="G50" s="23">
        <f>'Annual Raw'!H23</f>
        <v>0.39120300000000002</v>
      </c>
      <c r="H50" s="23">
        <f>'Annual Raw'!I23</f>
        <v>0.21862989999999999</v>
      </c>
      <c r="I50" s="23">
        <f>'Annual Raw'!J23</f>
        <v>0.58128550000000001</v>
      </c>
      <c r="J50" s="23">
        <f>'Annual Raw'!K23</f>
        <v>0.32274639999999999</v>
      </c>
      <c r="K50" s="23">
        <f>'Annual Raw'!L23</f>
        <v>0.1108441</v>
      </c>
      <c r="L50" s="23">
        <f>'Annual Raw'!M23</f>
        <v>8.4818299999999999E-2</v>
      </c>
      <c r="M50" s="23">
        <f>'Annual Raw'!N23</f>
        <v>6.6371399999999997E-2</v>
      </c>
      <c r="N50" s="23">
        <f>'Annual Raw'!O23</f>
        <v>0.21071139999999999</v>
      </c>
      <c r="O50" s="23">
        <f>'Annual Raw'!P23</f>
        <v>0.183779</v>
      </c>
      <c r="P50" s="23">
        <f>'Annual Raw'!Q23</f>
        <v>0.7949117</v>
      </c>
      <c r="Q50" s="23">
        <f>'Annual Raw'!R23</f>
        <v>0.40316770000000002</v>
      </c>
      <c r="R50" s="23">
        <f>'Annual Raw'!S23</f>
        <v>0.51050839999999997</v>
      </c>
      <c r="S50" s="23">
        <f>'Annual Raw'!T23</f>
        <v>15.4392464</v>
      </c>
      <c r="T50" s="23">
        <f>'Annual Raw'!U23</f>
        <v>0.91122250000000005</v>
      </c>
      <c r="U50" s="23">
        <f>'Annual Raw'!V23</f>
        <v>1.1966983</v>
      </c>
      <c r="V50" s="23">
        <f>'Annual Raw'!W23</f>
        <v>0.87319999999999998</v>
      </c>
      <c r="W50" s="23">
        <f>'Annual Raw'!X23</f>
        <v>1.3704000000000001</v>
      </c>
      <c r="X50" s="23">
        <f>'Annual Raw'!Y23</f>
        <v>0.47860000000000003</v>
      </c>
      <c r="Y50" s="23">
        <f>'Annual Raw'!Z23</f>
        <v>1.4215</v>
      </c>
      <c r="Z50" s="23">
        <f>'Annual Raw'!AA23</f>
        <v>1.7881</v>
      </c>
      <c r="AA50" s="23">
        <f>'Annual Raw'!AB23</f>
        <v>2.4723000000000002</v>
      </c>
      <c r="AB50" s="76">
        <f t="shared" ref="AB50:AB51" si="454">+SUM(CM50:CP50)</f>
        <v>0</v>
      </c>
      <c r="AC50" s="76">
        <f t="shared" ref="AC50:AC51" si="455">+SUM(CQ50:CT50)</f>
        <v>0</v>
      </c>
      <c r="AD50" s="76">
        <f t="shared" ref="AD50:AD51" si="456">+SUM(CU50:CX50)</f>
        <v>0</v>
      </c>
      <c r="AE50" s="76">
        <f t="shared" ref="AE50:AE51" si="457">+SUM(CY50:DB50)</f>
        <v>0</v>
      </c>
      <c r="AI50" s="23">
        <f>'QTR Raw'!C23</f>
        <v>2.7E-2</v>
      </c>
      <c r="AJ50" s="23">
        <f>'QTR Raw'!D23</f>
        <v>1.4999999999999999E-2</v>
      </c>
      <c r="AK50" s="23">
        <f>'QTR Raw'!E23</f>
        <v>0.18</v>
      </c>
      <c r="AL50" s="23">
        <f>'QTR Raw'!F23</f>
        <v>1.2999999999999999E-2</v>
      </c>
      <c r="AM50" s="23">
        <f>'QTR Raw'!G23</f>
        <v>3.5999999999999997E-2</v>
      </c>
      <c r="AN50" s="23">
        <f>'QTR Raw'!H23</f>
        <v>0.10299999999999999</v>
      </c>
      <c r="AO50" s="23">
        <f>'QTR Raw'!I23</f>
        <v>1.4E-2</v>
      </c>
      <c r="AP50" s="23">
        <f>'QTR Raw'!J23</f>
        <v>2.7E-2</v>
      </c>
      <c r="AQ50" s="23">
        <f>'QTR Raw'!K23</f>
        <v>6.0999999999999999E-2</v>
      </c>
      <c r="AR50" s="23">
        <f>'QTR Raw'!L23</f>
        <v>0.16300000000000001</v>
      </c>
      <c r="AS50" s="23">
        <f>'QTR Raw'!M23</f>
        <v>0.126</v>
      </c>
      <c r="AT50" s="23">
        <f>'QTR Raw'!N23</f>
        <v>0.47299999999999998</v>
      </c>
      <c r="AU50" s="23">
        <f>'QTR Raw'!O23</f>
        <v>0.11700000000000001</v>
      </c>
      <c r="AV50" s="23">
        <f>'QTR Raw'!P23</f>
        <v>0.11</v>
      </c>
      <c r="AW50" s="23">
        <f>'QTR Raw'!Q23</f>
        <v>0.122</v>
      </c>
      <c r="AX50" s="23">
        <f>'QTR Raw'!R23</f>
        <v>8.6999999999999994E-2</v>
      </c>
      <c r="AY50" s="23">
        <f>'QTR Raw'!S23</f>
        <v>0.16600000000000001</v>
      </c>
      <c r="AZ50" s="23">
        <f>'QTR Raw'!T23</f>
        <v>0.112</v>
      </c>
      <c r="BA50" s="23">
        <f>'QTR Raw'!U23</f>
        <v>0.152</v>
      </c>
      <c r="BB50" s="23">
        <f>'QTR Raw'!V23</f>
        <v>8.5999999999999993E-2</v>
      </c>
      <c r="BC50" s="23">
        <f>'QTR Raw'!W23</f>
        <v>15.132</v>
      </c>
      <c r="BD50" s="23">
        <f>'QTR Raw'!X23</f>
        <v>6.5000000000000002E-2</v>
      </c>
      <c r="BE50" s="23">
        <f>'QTR Raw'!Y23</f>
        <v>4.5999999999999999E-2</v>
      </c>
      <c r="BF50" s="23">
        <f>'QTR Raw'!Z23</f>
        <v>0.20100000000000001</v>
      </c>
      <c r="BG50" s="23">
        <f>'QTR Raw'!AA23</f>
        <v>3.9E-2</v>
      </c>
      <c r="BH50" s="23">
        <f>'QTR Raw'!AB23</f>
        <v>0.26300000000000001</v>
      </c>
      <c r="BI50" s="23">
        <f>'QTR Raw'!AC23</f>
        <v>6.4000000000000001E-2</v>
      </c>
      <c r="BJ50" s="23">
        <f>'QTR Raw'!AD23</f>
        <v>0.54400000000000004</v>
      </c>
      <c r="BK50" s="23">
        <f>'QTR Raw'!AE23</f>
        <v>0.35199999999999998</v>
      </c>
      <c r="BL50" s="23">
        <f>'QTR Raw'!AF23</f>
        <v>0.35499999999999998</v>
      </c>
      <c r="BM50" s="23">
        <f>'QTR Raw'!AG23</f>
        <v>8.2000000000000003E-2</v>
      </c>
      <c r="BN50" s="23">
        <f>'QTR Raw'!AH23</f>
        <v>0.40799999999999997</v>
      </c>
      <c r="BO50" s="23">
        <f>'QTR Raw'!AI23</f>
        <v>0.192</v>
      </c>
      <c r="BP50" s="23">
        <f>'QTR Raw'!AJ23</f>
        <v>0.13100000000000001</v>
      </c>
      <c r="BQ50" s="23">
        <f>'QTR Raw'!AK23</f>
        <v>0.14099999999999999</v>
      </c>
      <c r="BR50" s="23">
        <f>'QTR Raw'!AL23</f>
        <v>0.435</v>
      </c>
      <c r="BS50" s="23">
        <f>'QTR Raw'!AM23</f>
        <v>0.32600000000000001</v>
      </c>
      <c r="BT50" s="23">
        <f>'QTR Raw'!AN23</f>
        <v>0.41299999999999998</v>
      </c>
      <c r="BU50" s="23">
        <f>'QTR Raw'!AO23</f>
        <v>0.105</v>
      </c>
      <c r="BV50" s="23">
        <f>'QTR Raw'!AP23</f>
        <v>0.52600000000000002</v>
      </c>
      <c r="BW50" s="23">
        <f>'QTR Raw'!AQ23</f>
        <v>0.11799999999999999</v>
      </c>
      <c r="BX50" s="23">
        <f>'QTR Raw'!AR23</f>
        <v>6.2E-2</v>
      </c>
      <c r="BY50" s="23">
        <f>'QTR Raw'!AS23</f>
        <v>0.28499999999999998</v>
      </c>
      <c r="BZ50" s="23">
        <f>'QTR Raw'!AT23</f>
        <v>8.8999999999999996E-2</v>
      </c>
      <c r="CA50" s="23">
        <f>'QTR Raw'!AU23</f>
        <v>0.20599999999999999</v>
      </c>
      <c r="CB50" s="23">
        <f>'QTR Raw'!AV23</f>
        <v>0.39600000000000002</v>
      </c>
      <c r="CC50" s="23">
        <f>'QTR Raw'!AW23</f>
        <v>0.35899999999999999</v>
      </c>
      <c r="CD50" s="23">
        <f>'QTR Raw'!AX23</f>
        <v>0.46100000000000002</v>
      </c>
      <c r="CE50" s="23">
        <f>'QTR Raw'!AY23</f>
        <v>0.29899999999999999</v>
      </c>
      <c r="CF50" s="23">
        <f>'QTR Raw'!AZ23</f>
        <v>0.49299999999999999</v>
      </c>
      <c r="CG50" s="23">
        <f>'QTR Raw'!BA23</f>
        <v>0.51400000000000001</v>
      </c>
      <c r="CH50" s="23">
        <f>'QTR Raw'!BB23</f>
        <v>0.48199999999999998</v>
      </c>
      <c r="CI50" s="23">
        <f>'QTR Raw'!BC23</f>
        <v>4.4999999999999998E-2</v>
      </c>
      <c r="CJ50" s="23">
        <f>'QTR Raw'!BD23</f>
        <v>0.91</v>
      </c>
      <c r="CK50" s="23">
        <f>'QTR Raw'!BE23</f>
        <v>0.41299999999999998</v>
      </c>
      <c r="CL50" s="23">
        <f>'QTR Raw'!BF23</f>
        <v>1.1040000000000001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E50" s="123"/>
      <c r="DF50" s="23">
        <v>2.4720000000000004</v>
      </c>
    </row>
    <row r="51" spans="1:110" s="23" customFormat="1" x14ac:dyDescent="0.2">
      <c r="A51" s="23" t="s">
        <v>18</v>
      </c>
      <c r="B51" s="23">
        <f>'Annual Raw'!C25</f>
        <v>0.79678599999999999</v>
      </c>
      <c r="C51" s="23">
        <f>'Annual Raw'!D25</f>
        <v>0.76936289999999996</v>
      </c>
      <c r="D51" s="23">
        <f>'Annual Raw'!E25</f>
        <v>0.55877679999999996</v>
      </c>
      <c r="E51" s="23">
        <f>'Annual Raw'!F25</f>
        <v>0.62425410000000003</v>
      </c>
      <c r="F51" s="23">
        <f>'Annual Raw'!G25</f>
        <v>0.48185119999999998</v>
      </c>
      <c r="G51" s="23">
        <f>'Annual Raw'!H25</f>
        <v>0.58474369999999998</v>
      </c>
      <c r="H51" s="23">
        <f>'Annual Raw'!I25</f>
        <v>0.78526430000000003</v>
      </c>
      <c r="I51" s="23">
        <f>'Annual Raw'!J25</f>
        <v>0.20204900000000001</v>
      </c>
      <c r="J51" s="23">
        <f>'Annual Raw'!K25</f>
        <v>0.2105678</v>
      </c>
      <c r="K51" s="23">
        <f>'Annual Raw'!L25</f>
        <v>0.28238809999999998</v>
      </c>
      <c r="L51" s="23">
        <f>'Annual Raw'!M25</f>
        <v>0.4063137</v>
      </c>
      <c r="M51" s="23">
        <f>'Annual Raw'!N25</f>
        <v>0.4906141</v>
      </c>
      <c r="N51" s="23">
        <f>'Annual Raw'!O25</f>
        <v>0.99046780000000001</v>
      </c>
      <c r="O51" s="23">
        <f>'Annual Raw'!P25</f>
        <v>1.1226913000000001</v>
      </c>
      <c r="P51" s="23">
        <f>'Annual Raw'!Q25</f>
        <v>1.7640705000000001</v>
      </c>
      <c r="Q51" s="23">
        <f>'Annual Raw'!R25</f>
        <v>1.9433224</v>
      </c>
      <c r="R51" s="23">
        <f>'Annual Raw'!S25</f>
        <v>1.5183591000000001</v>
      </c>
      <c r="S51" s="23">
        <f>'Annual Raw'!T25</f>
        <v>0.8654328</v>
      </c>
      <c r="T51" s="23">
        <f>'Annual Raw'!U25</f>
        <v>0.57979950000000002</v>
      </c>
      <c r="U51" s="23">
        <f>'Annual Raw'!V25</f>
        <v>0.85341250000000002</v>
      </c>
      <c r="V51" s="23">
        <f>'Annual Raw'!W25</f>
        <v>1.5138</v>
      </c>
      <c r="W51" s="23">
        <f>'Annual Raw'!X25</f>
        <v>1.5129999999999999</v>
      </c>
      <c r="X51" s="23">
        <f>'Annual Raw'!Y25</f>
        <v>4.8628</v>
      </c>
      <c r="Y51" s="23">
        <f>'Annual Raw'!Z25</f>
        <v>4.1782000000000004</v>
      </c>
      <c r="Z51" s="23">
        <f>'Annual Raw'!AA25</f>
        <v>3.0457999999999998</v>
      </c>
      <c r="AA51" s="23">
        <f>'Annual Raw'!AB25</f>
        <v>5.6390000000000002</v>
      </c>
      <c r="AB51" s="76">
        <f t="shared" si="454"/>
        <v>-0.11744975911127042</v>
      </c>
      <c r="AC51" s="76">
        <f t="shared" si="455"/>
        <v>1.4400970154756714</v>
      </c>
      <c r="AD51" s="76">
        <f t="shared" si="456"/>
        <v>2.9585945449961737</v>
      </c>
      <c r="AE51" s="76">
        <f t="shared" si="457"/>
        <v>4.4252304812442134</v>
      </c>
      <c r="AI51" s="23">
        <f>'QTR Raw'!C25</f>
        <v>0.23699999999999999</v>
      </c>
      <c r="AJ51" s="23">
        <f>'QTR Raw'!D25</f>
        <v>0.318</v>
      </c>
      <c r="AK51" s="23">
        <f>'QTR Raw'!E25</f>
        <v>0.41599999999999998</v>
      </c>
      <c r="AL51" s="23">
        <f>'QTR Raw'!F25</f>
        <v>0.16200000000000001</v>
      </c>
      <c r="AM51" s="23">
        <f>'QTR Raw'!G25</f>
        <v>0.14299999999999999</v>
      </c>
      <c r="AN51" s="23">
        <f>'QTR Raw'!H25</f>
        <v>0.27200000000000002</v>
      </c>
      <c r="AO51" s="23">
        <f>'QTR Raw'!I25</f>
        <v>0.30499999999999999</v>
      </c>
      <c r="AP51" s="23">
        <f>'QTR Raw'!J25</f>
        <v>0.40300000000000002</v>
      </c>
      <c r="AQ51" s="23">
        <f>'QTR Raw'!K25</f>
        <v>0.41899999999999998</v>
      </c>
      <c r="AR51" s="23">
        <f>'QTR Raw'!L25</f>
        <v>0.52300000000000002</v>
      </c>
      <c r="AS51" s="23">
        <f>'QTR Raw'!M25</f>
        <v>0.47299999999999998</v>
      </c>
      <c r="AT51" s="23">
        <f>'QTR Raw'!N25</f>
        <v>0.34899999999999998</v>
      </c>
      <c r="AU51" s="23">
        <f>'QTR Raw'!O25</f>
        <v>0.377</v>
      </c>
      <c r="AV51" s="23">
        <f>'QTR Raw'!P25</f>
        <v>0.47399999999999998</v>
      </c>
      <c r="AW51" s="23">
        <f>'QTR Raw'!Q25</f>
        <v>0.495</v>
      </c>
      <c r="AX51" s="23">
        <f>'QTR Raw'!R25</f>
        <v>0.59799999999999998</v>
      </c>
      <c r="AY51" s="23">
        <f>'QTR Raw'!S25</f>
        <v>0.44400000000000001</v>
      </c>
      <c r="AZ51" s="23">
        <f>'QTR Raw'!T25</f>
        <v>0.32400000000000001</v>
      </c>
      <c r="BA51" s="23">
        <f>'QTR Raw'!U25</f>
        <v>0.40799999999999997</v>
      </c>
      <c r="BB51" s="23">
        <f>'QTR Raw'!V25</f>
        <v>0.34300000000000003</v>
      </c>
      <c r="BC51" s="23">
        <f>'QTR Raw'!W25</f>
        <v>0.30599999999999999</v>
      </c>
      <c r="BD51" s="23">
        <f>'QTR Raw'!X25</f>
        <v>7.6999999999999999E-2</v>
      </c>
      <c r="BE51" s="23">
        <f>'QTR Raw'!Y25</f>
        <v>0.23599999999999999</v>
      </c>
      <c r="BF51" s="23">
        <f>'QTR Raw'!Z25</f>
        <v>0.246</v>
      </c>
      <c r="BG51" s="23">
        <f>'QTR Raw'!AA25</f>
        <v>0.124</v>
      </c>
      <c r="BH51" s="23">
        <f>'QTR Raw'!AB25</f>
        <v>0.121</v>
      </c>
      <c r="BI51" s="23">
        <f>'QTR Raw'!AC25</f>
        <v>0.11799999999999999</v>
      </c>
      <c r="BJ51" s="23">
        <f>'QTR Raw'!AD25</f>
        <v>0.217</v>
      </c>
      <c r="BK51" s="23">
        <f>'QTR Raw'!AE25</f>
        <v>0.11</v>
      </c>
      <c r="BL51" s="23">
        <f>'QTR Raw'!AF25</f>
        <v>0.115</v>
      </c>
      <c r="BM51" s="23">
        <f>'QTR Raw'!AG25</f>
        <v>0.11700000000000001</v>
      </c>
      <c r="BN51" s="23">
        <f>'QTR Raw'!AH25</f>
        <v>0.51200000000000001</v>
      </c>
      <c r="BO51" s="23">
        <f>'QTR Raw'!AI25</f>
        <v>0.33700000000000002</v>
      </c>
      <c r="BP51" s="23">
        <f>'QTR Raw'!AJ25</f>
        <v>0.37</v>
      </c>
      <c r="BQ51" s="23">
        <f>'QTR Raw'!AK25</f>
        <v>0.42799999999999999</v>
      </c>
      <c r="BR51" s="23">
        <f>'QTR Raw'!AL25</f>
        <v>0.38</v>
      </c>
      <c r="BS51" s="23">
        <f>'QTR Raw'!AM25</f>
        <v>0.34499999999999997</v>
      </c>
      <c r="BT51" s="23">
        <f>'QTR Raw'!AN25</f>
        <v>0.308</v>
      </c>
      <c r="BU51" s="23">
        <f>'QTR Raw'!AO25</f>
        <v>0.41699999999999998</v>
      </c>
      <c r="BV51" s="23">
        <f>'QTR Raw'!AP25</f>
        <v>0.443</v>
      </c>
      <c r="BW51" s="23">
        <f>'QTR Raw'!AQ25</f>
        <v>0.68200000000000005</v>
      </c>
      <c r="BX51" s="23">
        <f>'QTR Raw'!AR25</f>
        <v>1.127</v>
      </c>
      <c r="BY51" s="23">
        <f>'QTR Raw'!AS25</f>
        <v>1.546</v>
      </c>
      <c r="BZ51" s="23">
        <f>'QTR Raw'!AT25</f>
        <v>1.508</v>
      </c>
      <c r="CA51" s="23">
        <f>'QTR Raw'!AU25</f>
        <v>1.4890000000000001</v>
      </c>
      <c r="CB51" s="23">
        <f>'QTR Raw'!AV25</f>
        <v>1.5129999999999999</v>
      </c>
      <c r="CC51" s="23">
        <f>'QTR Raw'!AW25</f>
        <v>0.87</v>
      </c>
      <c r="CD51" s="23">
        <f>'QTR Raw'!AX25</f>
        <v>0.30499999999999999</v>
      </c>
      <c r="CE51" s="23">
        <f>'QTR Raw'!AY25</f>
        <v>0.64400000000000002</v>
      </c>
      <c r="CF51" s="23">
        <f>'QTR Raw'!AZ25</f>
        <v>0.71899999999999997</v>
      </c>
      <c r="CG51" s="23">
        <f>'QTR Raw'!BA25</f>
        <v>1.0229999999999999</v>
      </c>
      <c r="CH51" s="23">
        <f>'QTR Raw'!BB25</f>
        <v>0.65900000000000003</v>
      </c>
      <c r="CI51" s="23">
        <f>'QTR Raw'!BC25</f>
        <v>0.80200000000000005</v>
      </c>
      <c r="CJ51" s="23">
        <f>'QTR Raw'!BD25</f>
        <v>1.256</v>
      </c>
      <c r="CK51" s="23">
        <f>'QTR Raw'!BE25</f>
        <v>1.774</v>
      </c>
      <c r="CL51" s="23">
        <f>'QTR Raw'!BF25</f>
        <v>1.8089999999999999</v>
      </c>
      <c r="CM51" s="24">
        <f t="shared" ref="CM51:DB51" si="458">CM52*CL183</f>
        <v>-0.44009473582585096</v>
      </c>
      <c r="CN51" s="24">
        <f t="shared" si="458"/>
        <v>-1.7683385537252471E-2</v>
      </c>
      <c r="CO51" s="24">
        <f t="shared" si="458"/>
        <v>-5.7172937400784996E-2</v>
      </c>
      <c r="CP51" s="24">
        <f t="shared" si="458"/>
        <v>0.39750129965261793</v>
      </c>
      <c r="CQ51" s="24">
        <f t="shared" si="458"/>
        <v>-0.12705222906779873</v>
      </c>
      <c r="CR51" s="24">
        <f t="shared" si="458"/>
        <v>0.40096678696100252</v>
      </c>
      <c r="CS51" s="24">
        <f t="shared" si="458"/>
        <v>0.33270782755079364</v>
      </c>
      <c r="CT51" s="24">
        <f t="shared" si="458"/>
        <v>0.83347463003167399</v>
      </c>
      <c r="CU51" s="24">
        <f t="shared" si="458"/>
        <v>0.20957296542435774</v>
      </c>
      <c r="CV51" s="24">
        <f t="shared" si="458"/>
        <v>0.79503329949665424</v>
      </c>
      <c r="CW51" s="24">
        <f t="shared" si="458"/>
        <v>0.69794340205578231</v>
      </c>
      <c r="CX51" s="24">
        <f t="shared" si="458"/>
        <v>1.2560448780193796</v>
      </c>
      <c r="CY51" s="24">
        <f t="shared" si="458"/>
        <v>0.52191761704886497</v>
      </c>
      <c r="CZ51" s="24">
        <f t="shared" si="458"/>
        <v>1.1764870695787801</v>
      </c>
      <c r="DA51" s="24">
        <f t="shared" si="458"/>
        <v>1.0497547751296825</v>
      </c>
      <c r="DB51" s="24">
        <f t="shared" si="458"/>
        <v>1.6770710194868854</v>
      </c>
      <c r="DE51" s="123"/>
      <c r="DF51" s="23">
        <v>5.641</v>
      </c>
    </row>
    <row r="52" spans="1:110" s="46" customFormat="1" x14ac:dyDescent="0.2">
      <c r="A52" s="46" t="s">
        <v>482</v>
      </c>
      <c r="B52" s="46">
        <f t="shared" ref="B52:D52" si="459">+B51/B143</f>
        <v>0.14316202459957769</v>
      </c>
      <c r="C52" s="46">
        <f t="shared" si="459"/>
        <v>0.16357056773289744</v>
      </c>
      <c r="D52" s="46">
        <f t="shared" si="459"/>
        <v>0.13052498614282396</v>
      </c>
      <c r="E52" s="46">
        <f t="shared" ref="E52:AE52" si="460">+E51/E143</f>
        <v>0.23951552380367722</v>
      </c>
      <c r="F52" s="46">
        <f t="shared" si="460"/>
        <v>0.17022627762213435</v>
      </c>
      <c r="G52" s="46">
        <f t="shared" si="460"/>
        <v>2.5379941492039793</v>
      </c>
      <c r="H52" s="46">
        <f t="shared" si="460"/>
        <v>6.0221502193318814</v>
      </c>
      <c r="I52" s="46">
        <f t="shared" si="460"/>
        <v>1.5495030522408662</v>
      </c>
      <c r="J52" s="46">
        <f t="shared" si="460"/>
        <v>1.5209776773589594</v>
      </c>
      <c r="K52" s="46" t="e">
        <f t="shared" si="460"/>
        <v>#DIV/0!</v>
      </c>
      <c r="L52" s="46">
        <f t="shared" si="460"/>
        <v>0.17619623583289962</v>
      </c>
      <c r="M52" s="46">
        <f t="shared" si="460"/>
        <v>0.18784519535013419</v>
      </c>
      <c r="N52" s="46">
        <f t="shared" si="460"/>
        <v>0.26355712894919137</v>
      </c>
      <c r="O52" s="46">
        <f t="shared" si="460"/>
        <v>0.10659245905534216</v>
      </c>
      <c r="P52" s="46">
        <f t="shared" si="460"/>
        <v>0.18994749518366669</v>
      </c>
      <c r="Q52" s="46">
        <f t="shared" si="460"/>
        <v>0.20527604154524548</v>
      </c>
      <c r="R52" s="46">
        <f t="shared" si="460"/>
        <v>0.13257239235657314</v>
      </c>
      <c r="S52" s="46" t="e">
        <f t="shared" si="460"/>
        <v>#DIV/0!</v>
      </c>
      <c r="T52" s="46" t="e">
        <f t="shared" si="460"/>
        <v>#DIV/0!</v>
      </c>
      <c r="U52" s="46" t="e">
        <f t="shared" si="460"/>
        <v>#DIV/0!</v>
      </c>
      <c r="V52" s="46" t="e">
        <f t="shared" si="460"/>
        <v>#DIV/0!</v>
      </c>
      <c r="W52" s="46">
        <f t="shared" si="460"/>
        <v>0.11759219679011385</v>
      </c>
      <c r="X52" s="46">
        <f t="shared" si="460"/>
        <v>0.1742726692804461</v>
      </c>
      <c r="Y52" s="46">
        <f t="shared" si="460"/>
        <v>0.36319856744234569</v>
      </c>
      <c r="Z52" s="46">
        <f t="shared" si="460"/>
        <v>0.14428711515777407</v>
      </c>
      <c r="AA52" s="46">
        <f t="shared" ref="AA52" si="461">+AA51/AA143</f>
        <v>0.16402216437120959</v>
      </c>
      <c r="AB52" s="110">
        <f t="shared" si="460"/>
        <v>-3.4163227293193643E-3</v>
      </c>
      <c r="AC52" s="110">
        <f t="shared" si="460"/>
        <v>4.188885701956635E-2</v>
      </c>
      <c r="AD52" s="110">
        <f t="shared" si="460"/>
        <v>8.6058190901311088E-2</v>
      </c>
      <c r="AE52" s="110">
        <f t="shared" si="460"/>
        <v>0.12871899942535309</v>
      </c>
      <c r="AI52" s="46" t="e">
        <f t="shared" ref="AI52:BN52" si="462">(AI51-AI50)/AH183</f>
        <v>#DIV/0!</v>
      </c>
      <c r="AJ52" s="46" t="e">
        <f t="shared" si="462"/>
        <v>#DIV/0!</v>
      </c>
      <c r="AK52" s="46">
        <f t="shared" si="462"/>
        <v>2.596830985915493E-2</v>
      </c>
      <c r="AL52" s="46">
        <f t="shared" si="462"/>
        <v>3.101971740500583E-3</v>
      </c>
      <c r="AM52" s="46">
        <f t="shared" si="462"/>
        <v>4.3620057072971861E-2</v>
      </c>
      <c r="AN52" s="46">
        <f t="shared" si="462"/>
        <v>-2.1984208818719361E-2</v>
      </c>
      <c r="AO52" s="46">
        <f t="shared" si="462"/>
        <v>5.2281710384477181E-2</v>
      </c>
      <c r="AP52" s="46">
        <f t="shared" si="462"/>
        <v>3.8467112835159217E-2</v>
      </c>
      <c r="AQ52" s="46">
        <f t="shared" si="462"/>
        <v>3.9284538571271808E-2</v>
      </c>
      <c r="AR52" s="46">
        <f t="shared" si="462"/>
        <v>2.1764452876903675E-2</v>
      </c>
      <c r="AS52" s="46">
        <f t="shared" si="462"/>
        <v>3.0800639091070475E-2</v>
      </c>
      <c r="AT52" s="46">
        <f t="shared" si="462"/>
        <v>-2.2345164359405194E-2</v>
      </c>
      <c r="AU52" s="46">
        <f t="shared" si="462"/>
        <v>3.326084175514904E-2</v>
      </c>
      <c r="AV52" s="46">
        <f t="shared" si="462"/>
        <v>6.2073053659764899E-2</v>
      </c>
      <c r="AW52" s="46">
        <f t="shared" si="462"/>
        <v>3.1054866372491878E-2</v>
      </c>
      <c r="AX52" s="46">
        <f t="shared" si="462"/>
        <v>4.3772004131973651E-2</v>
      </c>
      <c r="AY52" s="46">
        <f t="shared" si="462"/>
        <v>3.4771732332707944E-2</v>
      </c>
      <c r="AZ52" s="46">
        <f t="shared" si="462"/>
        <v>0.19708226146652583</v>
      </c>
      <c r="BA52" s="46">
        <f t="shared" si="462"/>
        <v>3.2841565105837078E-2</v>
      </c>
      <c r="BB52" s="46">
        <f t="shared" si="462"/>
        <v>3.0753552413472978E-2</v>
      </c>
      <c r="BC52" s="46">
        <f t="shared" si="462"/>
        <v>-1.4660338178582024</v>
      </c>
      <c r="BD52" s="46">
        <f t="shared" si="462"/>
        <v>-3.4795903573170204E-3</v>
      </c>
      <c r="BE52" s="46">
        <f t="shared" si="462"/>
        <v>-6.844380403458214E-2</v>
      </c>
      <c r="BF52" s="46">
        <f t="shared" si="462"/>
        <v>1.2370501573175156E-2</v>
      </c>
      <c r="BG52" s="46">
        <f t="shared" si="462"/>
        <v>-7.7526450200656686E-3</v>
      </c>
      <c r="BH52" s="46">
        <f t="shared" si="462"/>
        <v>9.2489942868307102E-3</v>
      </c>
      <c r="BI52" s="46">
        <f t="shared" si="462"/>
        <v>-3.438614365766683E-3</v>
      </c>
      <c r="BJ52" s="46">
        <f t="shared" si="462"/>
        <v>2.1914427996763037E-2</v>
      </c>
      <c r="BK52" s="46">
        <f t="shared" si="462"/>
        <v>2.3958023958023954E-2</v>
      </c>
      <c r="BL52" s="46">
        <f t="shared" si="462"/>
        <v>1.1956899861077234E-2</v>
      </c>
      <c r="BM52" s="46">
        <f t="shared" si="462"/>
        <v>-2.0205518993187854E-3</v>
      </c>
      <c r="BN52" s="46">
        <f t="shared" si="462"/>
        <v>-1.1010168774940501E-2</v>
      </c>
      <c r="BO52" s="46">
        <f t="shared" ref="BO52:CL52" si="463">(BO51-BO50)/BN183</f>
        <v>-1.8298838970217064E-2</v>
      </c>
      <c r="BP52" s="46">
        <f t="shared" si="463"/>
        <v>-9.3613158196817307E-3</v>
      </c>
      <c r="BQ52" s="46">
        <f t="shared" si="463"/>
        <v>-1.5162721893491125E-2</v>
      </c>
      <c r="BR52" s="46">
        <f t="shared" si="463"/>
        <v>3.5255911847748254E-2</v>
      </c>
      <c r="BS52" s="46">
        <f t="shared" si="463"/>
        <v>-4.4215866514626056E-4</v>
      </c>
      <c r="BT52" s="46">
        <f t="shared" si="463"/>
        <v>1.9397323789893555E-3</v>
      </c>
      <c r="BU52" s="46">
        <f t="shared" si="463"/>
        <v>-1.200507907191504E-2</v>
      </c>
      <c r="BV52" s="46">
        <f t="shared" si="463"/>
        <v>4.1657158891425426E-2</v>
      </c>
      <c r="BW52" s="46">
        <f t="shared" si="463"/>
        <v>4.889890757759667E-2</v>
      </c>
      <c r="BX52" s="46">
        <f t="shared" si="463"/>
        <v>-7.1504811096937834E-2</v>
      </c>
      <c r="BY52" s="46">
        <f t="shared" si="463"/>
        <v>4.489142043431827E-2</v>
      </c>
      <c r="BZ52" s="46">
        <f t="shared" si="463"/>
        <v>5.4341274018713553E-2</v>
      </c>
      <c r="CA52" s="46">
        <f t="shared" si="463"/>
        <v>4.8140782709842039E-2</v>
      </c>
      <c r="CB52" s="46">
        <f t="shared" si="463"/>
        <v>2.5344231107111429E-2</v>
      </c>
      <c r="CC52" s="46">
        <f t="shared" si="463"/>
        <v>4.7066408768536433E-2</v>
      </c>
      <c r="CD52" s="46">
        <f t="shared" si="463"/>
        <v>-4.16258116346407E-2</v>
      </c>
      <c r="CE52" s="46">
        <f t="shared" si="463"/>
        <v>-0.19360269360269361</v>
      </c>
      <c r="CF52" s="46">
        <f t="shared" si="463"/>
        <v>1.4269125306824452E-2</v>
      </c>
      <c r="CG52" s="46">
        <f t="shared" si="463"/>
        <v>0.16329804299005454</v>
      </c>
      <c r="CH52" s="46">
        <f t="shared" si="463"/>
        <v>-5.9810364880892716E-3</v>
      </c>
      <c r="CI52" s="46">
        <f t="shared" si="463"/>
        <v>5.6734293144668713E-2</v>
      </c>
      <c r="CJ52" s="46">
        <f t="shared" si="463"/>
        <v>2.7099514339551638E-2</v>
      </c>
      <c r="CK52" s="46">
        <f t="shared" si="463"/>
        <v>-7.2113601441212302E-2</v>
      </c>
      <c r="CL52" s="46">
        <f t="shared" si="463"/>
        <v>-1.8863897806508829E-2</v>
      </c>
      <c r="CM52" s="47">
        <f t="shared" ref="CM52" si="464">+CL52</f>
        <v>-1.8863897806508829E-2</v>
      </c>
      <c r="CN52" s="47">
        <f t="shared" ref="CN52" si="465">+CM52</f>
        <v>-1.8863897806508829E-2</v>
      </c>
      <c r="CO52" s="47">
        <f t="shared" ref="CO52" si="466">+CN52</f>
        <v>-1.8863897806508829E-2</v>
      </c>
      <c r="CP52" s="47">
        <f t="shared" ref="CP52" si="467">+CO52</f>
        <v>-1.8863897806508829E-2</v>
      </c>
      <c r="CQ52" s="47">
        <f t="shared" ref="CQ52" si="468">+CP52</f>
        <v>-1.8863897806508829E-2</v>
      </c>
      <c r="CR52" s="47">
        <f t="shared" ref="CR52" si="469">+CQ52</f>
        <v>-1.8863897806508829E-2</v>
      </c>
      <c r="CS52" s="47">
        <f t="shared" ref="CS52" si="470">+CR52</f>
        <v>-1.8863897806508829E-2</v>
      </c>
      <c r="CT52" s="47">
        <f t="shared" ref="CT52" si="471">+CS52</f>
        <v>-1.8863897806508829E-2</v>
      </c>
      <c r="CU52" s="47">
        <f t="shared" ref="CU52" si="472">+CT52</f>
        <v>-1.8863897806508829E-2</v>
      </c>
      <c r="CV52" s="47">
        <f t="shared" ref="CV52" si="473">+CU52</f>
        <v>-1.8863897806508829E-2</v>
      </c>
      <c r="CW52" s="47">
        <f t="shared" ref="CW52" si="474">+CV52</f>
        <v>-1.8863897806508829E-2</v>
      </c>
      <c r="CX52" s="47">
        <f t="shared" ref="CX52" si="475">+CW52</f>
        <v>-1.8863897806508829E-2</v>
      </c>
      <c r="CY52" s="47">
        <f t="shared" ref="CY52" si="476">+CX52</f>
        <v>-1.8863897806508829E-2</v>
      </c>
      <c r="CZ52" s="47">
        <f t="shared" ref="CZ52" si="477">+CY52</f>
        <v>-1.8863897806508829E-2</v>
      </c>
      <c r="DA52" s="47">
        <f t="shared" ref="DA52" si="478">+CZ52</f>
        <v>-1.8863897806508829E-2</v>
      </c>
      <c r="DB52" s="47">
        <f t="shared" ref="DB52" si="479">+DA52</f>
        <v>-1.8863897806508829E-2</v>
      </c>
      <c r="DE52" s="130"/>
      <c r="DF52" s="46">
        <v>0.16408272491928214</v>
      </c>
    </row>
    <row r="53" spans="1:110" s="26" customFormat="1" x14ac:dyDescent="0.2">
      <c r="A53" s="26" t="s">
        <v>20</v>
      </c>
      <c r="B53" s="26">
        <f>B49+B50-B51</f>
        <v>1.010724</v>
      </c>
      <c r="C53" s="26">
        <f t="shared" ref="C53:T53" si="480">C49+C50-C51</f>
        <v>-2.2635098</v>
      </c>
      <c r="D53" s="26">
        <f>D49+D50-D51</f>
        <v>0.17976950000000114</v>
      </c>
      <c r="E53" s="26">
        <f t="shared" si="480"/>
        <v>0.87982999999999956</v>
      </c>
      <c r="F53" s="26">
        <f t="shared" si="480"/>
        <v>1.0159181000000004</v>
      </c>
      <c r="G53" s="26">
        <f t="shared" si="480"/>
        <v>1.0918993999999991</v>
      </c>
      <c r="H53" s="26">
        <f t="shared" si="480"/>
        <v>3.2442413999999995</v>
      </c>
      <c r="I53" s="26">
        <f t="shared" si="480"/>
        <v>5.8370670000000002</v>
      </c>
      <c r="J53" s="26">
        <f t="shared" si="480"/>
        <v>3.4084456000000007</v>
      </c>
      <c r="K53" s="26">
        <f t="shared" si="480"/>
        <v>1.1698238000000025</v>
      </c>
      <c r="L53" s="26">
        <f t="shared" si="480"/>
        <v>3.1294142999999957</v>
      </c>
      <c r="M53" s="26">
        <f t="shared" si="480"/>
        <v>4.6504296000000016</v>
      </c>
      <c r="N53" s="26">
        <f t="shared" si="480"/>
        <v>8.1959692000000022</v>
      </c>
      <c r="O53" s="26">
        <f t="shared" si="480"/>
        <v>-1.151903299999999</v>
      </c>
      <c r="P53" s="26">
        <f t="shared" si="480"/>
        <v>1.2133572999999978</v>
      </c>
      <c r="Q53" s="26">
        <f t="shared" si="480"/>
        <v>0.65454910000000011</v>
      </c>
      <c r="R53" s="26">
        <f t="shared" si="480"/>
        <v>1.0551004000000037</v>
      </c>
      <c r="S53" s="26">
        <f t="shared" si="480"/>
        <v>24.192099400000004</v>
      </c>
      <c r="T53" s="26">
        <f t="shared" si="480"/>
        <v>12.500261400000007</v>
      </c>
      <c r="U53" s="26">
        <f t="shared" ref="U53:Z53" si="481">U49+U50-U51</f>
        <v>13.012522800000003</v>
      </c>
      <c r="V53" s="26">
        <f t="shared" si="481"/>
        <v>18.503400000000017</v>
      </c>
      <c r="W53" s="26">
        <f t="shared" si="481"/>
        <v>22.468300000000006</v>
      </c>
      <c r="X53" s="26">
        <f t="shared" si="481"/>
        <v>36.668299999999988</v>
      </c>
      <c r="Y53" s="26">
        <f t="shared" si="481"/>
        <v>71.542099999999976</v>
      </c>
      <c r="Z53" s="26">
        <f t="shared" si="481"/>
        <v>79.440099999999987</v>
      </c>
      <c r="AA53" s="26">
        <f t="shared" ref="AA53" si="482">AA49+AA50-AA51</f>
        <v>24.637799999999991</v>
      </c>
      <c r="AB53" s="27">
        <f t="shared" ref="AB53:AD53" si="483">AB49+AB50-AB51</f>
        <v>26.441587586480253</v>
      </c>
      <c r="AC53" s="27">
        <f t="shared" si="483"/>
        <v>38.544578978994586</v>
      </c>
      <c r="AD53" s="27">
        <f t="shared" si="483"/>
        <v>51.000094649860216</v>
      </c>
      <c r="AE53" s="27">
        <f t="shared" ref="AE53" si="484">AE49+AE50-AE51</f>
        <v>64.253038925689879</v>
      </c>
      <c r="AI53" s="26">
        <f>AI49+AI50-AI51</f>
        <v>1.4780000000000011</v>
      </c>
      <c r="AJ53" s="26">
        <f t="shared" ref="AJ53" si="485">AJ49+AJ50-AJ51</f>
        <v>6.6999999999999171E-2</v>
      </c>
      <c r="AK53" s="26">
        <f t="shared" ref="AK53:AM53" si="486">AK49+AK50-AK51</f>
        <v>2.2879999999999994</v>
      </c>
      <c r="AL53" s="26">
        <f t="shared" si="486"/>
        <v>4.227000000000003</v>
      </c>
      <c r="AM53" s="26">
        <f t="shared" si="486"/>
        <v>-1.3789999999999996</v>
      </c>
      <c r="AN53" s="26">
        <f t="shared" ref="AN53:AO53" si="487">AN49+AN50-AN51</f>
        <v>-1.1720000000000006</v>
      </c>
      <c r="AO53" s="26">
        <f t="shared" si="487"/>
        <v>0.42199999999999999</v>
      </c>
      <c r="AP53" s="26">
        <f t="shared" ref="AP53:CD53" si="488">AP49+AP50-AP51</f>
        <v>0.97500000000000031</v>
      </c>
      <c r="AQ53" s="26">
        <f t="shared" si="488"/>
        <v>-1.6680000000000001</v>
      </c>
      <c r="AR53" s="26">
        <f t="shared" si="488"/>
        <v>2.4459999999999993</v>
      </c>
      <c r="AS53" s="26">
        <f t="shared" si="488"/>
        <v>0.2150000000000003</v>
      </c>
      <c r="AT53" s="26">
        <f t="shared" si="488"/>
        <v>0.21499999999999941</v>
      </c>
      <c r="AU53" s="26">
        <f t="shared" si="488"/>
        <v>0.18600000000000028</v>
      </c>
      <c r="AV53" s="26">
        <f t="shared" si="488"/>
        <v>0.16200000000000048</v>
      </c>
      <c r="AW53" s="26">
        <f t="shared" si="488"/>
        <v>0.21899999999999964</v>
      </c>
      <c r="AX53" s="26">
        <f t="shared" si="488"/>
        <v>8.6999999999997857E-2</v>
      </c>
      <c r="AY53" s="26">
        <f t="shared" si="488"/>
        <v>0.37300000000000028</v>
      </c>
      <c r="AZ53" s="26">
        <f t="shared" si="488"/>
        <v>0.32300000000000034</v>
      </c>
      <c r="BA53" s="26">
        <f t="shared" si="488"/>
        <v>0.34400000000000014</v>
      </c>
      <c r="BB53" s="26">
        <f t="shared" si="488"/>
        <v>1.8000000000000183E-2</v>
      </c>
      <c r="BC53" s="26">
        <f t="shared" si="488"/>
        <v>15.833</v>
      </c>
      <c r="BD53" s="26">
        <f t="shared" si="488"/>
        <v>4.1379999999999999</v>
      </c>
      <c r="BE53" s="26">
        <f t="shared" si="488"/>
        <v>3.9810000000000016</v>
      </c>
      <c r="BF53" s="26">
        <f t="shared" si="488"/>
        <v>0.23499999999999871</v>
      </c>
      <c r="BG53" s="26">
        <f t="shared" si="488"/>
        <v>3.0820000000000003</v>
      </c>
      <c r="BH53" s="26">
        <f t="shared" si="488"/>
        <v>1.17</v>
      </c>
      <c r="BI53" s="26">
        <f t="shared" si="488"/>
        <v>4.2210000000000001</v>
      </c>
      <c r="BJ53" s="26">
        <f t="shared" si="488"/>
        <v>4.0240000000000018</v>
      </c>
      <c r="BK53" s="26">
        <f t="shared" si="488"/>
        <v>1.7300000000000015</v>
      </c>
      <c r="BL53" s="26">
        <f t="shared" si="488"/>
        <v>2.7999999999999985</v>
      </c>
      <c r="BM53" s="26">
        <f t="shared" si="488"/>
        <v>3.519000000000001</v>
      </c>
      <c r="BN53" s="26">
        <f t="shared" si="488"/>
        <v>4.7319999999999975</v>
      </c>
      <c r="BO53" s="26">
        <f t="shared" si="488"/>
        <v>1.7650000000000008</v>
      </c>
      <c r="BP53" s="26">
        <f t="shared" si="488"/>
        <v>3.9970000000000026</v>
      </c>
      <c r="BQ53" s="26">
        <f t="shared" si="488"/>
        <v>6.0339999999999998</v>
      </c>
      <c r="BR53" s="26">
        <f t="shared" si="488"/>
        <v>6.7059999999999977</v>
      </c>
      <c r="BS53" s="26">
        <f t="shared" si="488"/>
        <v>3.7339999999999982</v>
      </c>
      <c r="BT53" s="26">
        <f t="shared" si="488"/>
        <v>4.1890000000000009</v>
      </c>
      <c r="BU53" s="26">
        <f t="shared" si="488"/>
        <v>6.581999999999999</v>
      </c>
      <c r="BV53" s="26">
        <f t="shared" si="488"/>
        <v>7.9620000000000033</v>
      </c>
      <c r="BW53" s="26">
        <f t="shared" si="488"/>
        <v>5.4520000000000035</v>
      </c>
      <c r="BX53" s="26">
        <f t="shared" si="488"/>
        <v>7.6119999999999992</v>
      </c>
      <c r="BY53" s="26">
        <f t="shared" si="488"/>
        <v>8.4159999999999986</v>
      </c>
      <c r="BZ53" s="26">
        <f t="shared" si="488"/>
        <v>15.188999999999993</v>
      </c>
      <c r="CA53" s="26">
        <f t="shared" si="488"/>
        <v>11.396999999999993</v>
      </c>
      <c r="CB53" s="26">
        <f t="shared" si="488"/>
        <v>22.201999999999991</v>
      </c>
      <c r="CC53" s="26">
        <f t="shared" si="488"/>
        <v>22.095000000000002</v>
      </c>
      <c r="CD53" s="26">
        <f t="shared" si="488"/>
        <v>15.852</v>
      </c>
      <c r="CE53" s="26">
        <f t="shared" ref="CE53:CF53" si="489">CE49+CE50-CE51</f>
        <v>10.962000000000003</v>
      </c>
      <c r="CF53" s="26">
        <f t="shared" si="489"/>
        <v>31.50200000000001</v>
      </c>
      <c r="CG53" s="26">
        <f t="shared" ref="CG53:CH53" si="490">CG49+CG50-CG51</f>
        <v>28.484999999999996</v>
      </c>
      <c r="CH53" s="26">
        <f t="shared" si="490"/>
        <v>8.4909999999999979</v>
      </c>
      <c r="CI53" s="26">
        <f t="shared" ref="CI53:CJ53" si="491">CI49+CI50-CI51</f>
        <v>5.3009999999999948</v>
      </c>
      <c r="CJ53" s="26">
        <f t="shared" si="491"/>
        <v>6.2139999999999951</v>
      </c>
      <c r="CK53" s="26">
        <f t="shared" ref="CK53:CL53" si="492">CK49+CK50-CK51</f>
        <v>5.8209999999999873</v>
      </c>
      <c r="CL53" s="26">
        <f t="shared" si="492"/>
        <v>7.3159999999999998</v>
      </c>
      <c r="CM53" s="27">
        <f t="shared" ref="CM53:DB53" si="493">CM49+CM50-CM51</f>
        <v>5.2150001119319933</v>
      </c>
      <c r="CN53" s="27">
        <f t="shared" si="493"/>
        <v>6.4570230647117457</v>
      </c>
      <c r="CO53" s="27">
        <f t="shared" si="493"/>
        <v>6.0004107908426114</v>
      </c>
      <c r="CP53" s="27">
        <f t="shared" si="493"/>
        <v>8.7691536189938617</v>
      </c>
      <c r="CQ53" s="27">
        <f t="shared" si="493"/>
        <v>8.3953286865651453</v>
      </c>
      <c r="CR53" s="27">
        <f t="shared" si="493"/>
        <v>9.4835879159723575</v>
      </c>
      <c r="CS53" s="27">
        <f t="shared" si="493"/>
        <v>8.6257886551607985</v>
      </c>
      <c r="CT53" s="27">
        <f t="shared" si="493"/>
        <v>12.039873721296283</v>
      </c>
      <c r="CU53" s="27">
        <f t="shared" si="493"/>
        <v>11.468571301685712</v>
      </c>
      <c r="CV53" s="27">
        <f t="shared" si="493"/>
        <v>12.589210057387266</v>
      </c>
      <c r="CW53" s="27">
        <f t="shared" si="493"/>
        <v>11.515771973605494</v>
      </c>
      <c r="CX53" s="27">
        <f t="shared" si="493"/>
        <v>15.426541317181782</v>
      </c>
      <c r="CY53" s="27">
        <f t="shared" si="493"/>
        <v>14.688200092947364</v>
      </c>
      <c r="CZ53" s="27">
        <f t="shared" si="493"/>
        <v>15.902935823847461</v>
      </c>
      <c r="DA53" s="27">
        <f t="shared" si="493"/>
        <v>14.608932832625301</v>
      </c>
      <c r="DB53" s="27">
        <f t="shared" si="493"/>
        <v>19.052970176269749</v>
      </c>
      <c r="DE53" s="121"/>
      <c r="DF53" s="26">
        <v>24.652000000000022</v>
      </c>
    </row>
    <row r="54" spans="1:110" s="23" customFormat="1" x14ac:dyDescent="0.2">
      <c r="A54" s="23" t="s">
        <v>21</v>
      </c>
      <c r="B54" s="23">
        <f>'Annual Raw'!C30</f>
        <v>0.08</v>
      </c>
      <c r="C54" s="23">
        <f>'Annual Raw'!D30</f>
        <v>0.5303099</v>
      </c>
      <c r="D54" s="23">
        <f>'Annual Raw'!E30</f>
        <v>1.2958799999999999E-2</v>
      </c>
      <c r="E54" s="23">
        <f>'Annual Raw'!F30</f>
        <v>-0.65393829999999997</v>
      </c>
      <c r="F54" s="23">
        <f>'Annual Raw'!G30</f>
        <v>0.14394390000000001</v>
      </c>
      <c r="G54" s="23">
        <f>'Annual Raw'!H30</f>
        <v>0.1155291</v>
      </c>
      <c r="H54" s="23">
        <f>'Annual Raw'!I30</f>
        <v>1.1035193000000001</v>
      </c>
      <c r="I54" s="23">
        <f>'Annual Raw'!J30</f>
        <v>2.1657060000000001</v>
      </c>
      <c r="J54" s="23">
        <f>'Annual Raw'!K30</f>
        <v>0.87591010000000002</v>
      </c>
      <c r="K54" s="23">
        <f>'Annual Raw'!L30</f>
        <v>0.105502</v>
      </c>
      <c r="L54" s="23">
        <f>'Annual Raw'!M30</f>
        <v>0.67338880000000001</v>
      </c>
      <c r="M54" s="23">
        <f>'Annual Raw'!N30</f>
        <v>0.75807060000000004</v>
      </c>
      <c r="N54" s="23">
        <f>'Annual Raw'!O30</f>
        <v>1.6767434999999999</v>
      </c>
      <c r="O54" s="23">
        <f>'Annual Raw'!P30</f>
        <v>-0.11819350000000001</v>
      </c>
      <c r="P54" s="23">
        <f>'Annual Raw'!Q30</f>
        <v>0.3200231</v>
      </c>
      <c r="Q54" s="23">
        <f>'Annual Raw'!R30</f>
        <v>6.1046499999999997E-2</v>
      </c>
      <c r="R54" s="23">
        <f>'Annual Raw'!S30</f>
        <v>0.1713624</v>
      </c>
      <c r="S54" s="23">
        <f>'Annual Raw'!T30</f>
        <v>6.8878699000000001</v>
      </c>
      <c r="T54" s="23">
        <f>'Annual Raw'!U30</f>
        <v>2.9110936999999999</v>
      </c>
      <c r="U54" s="23">
        <f>'Annual Raw'!V30</f>
        <v>2.2551315000000001</v>
      </c>
      <c r="V54" s="23">
        <f>'Annual Raw'!W30</f>
        <v>3.1697000000000002</v>
      </c>
      <c r="W54" s="23">
        <f>'Annual Raw'!X30</f>
        <v>4.4912999999999998</v>
      </c>
      <c r="X54" s="23">
        <f>'Annual Raw'!Y30</f>
        <v>9.8303999999999991</v>
      </c>
      <c r="Y54" s="23">
        <f>'Annual Raw'!Z30</f>
        <v>18.987300000000001</v>
      </c>
      <c r="Z54" s="23">
        <f>'Annual Raw'!AA30</f>
        <v>22.9955</v>
      </c>
      <c r="AA54" s="23">
        <f>'Annual Raw'!AB30</f>
        <v>9.6440000000000001</v>
      </c>
      <c r="AB54" s="24">
        <f>+SUM(CM54:CP54)</f>
        <v>10.533856947898801</v>
      </c>
      <c r="AC54" s="24">
        <f>+SUM(CQ54:CT54)</f>
        <v>15.400089058463296</v>
      </c>
      <c r="AD54" s="24">
        <f>+SUM(CU54:CX54)</f>
        <v>20.377104655431538</v>
      </c>
      <c r="AE54" s="24">
        <f>+SUM(CY54:DB54)</f>
        <v>25.669569806754698</v>
      </c>
      <c r="AI54" s="23">
        <f>'QTR Raw'!C29</f>
        <v>0.29599999999999999</v>
      </c>
      <c r="AJ54" s="23">
        <f>'QTR Raw'!D29</f>
        <v>0</v>
      </c>
      <c r="AK54" s="23">
        <f>'QTR Raw'!E29</f>
        <v>0.45700000000000002</v>
      </c>
      <c r="AL54" s="23">
        <f>'QTR Raw'!F29</f>
        <v>0.84599999999999997</v>
      </c>
      <c r="AM54" s="23">
        <f>'QTR Raw'!G29</f>
        <v>0</v>
      </c>
      <c r="AN54" s="23">
        <f>'QTR Raw'!H29</f>
        <v>0</v>
      </c>
      <c r="AO54" s="23">
        <f>'QTR Raw'!I29</f>
        <v>0</v>
      </c>
      <c r="AP54" s="23">
        <f>'QTR Raw'!J29</f>
        <v>3.5999999999999997E-2</v>
      </c>
      <c r="AQ54" s="23">
        <f>'QTR Raw'!K29</f>
        <v>0</v>
      </c>
      <c r="AR54" s="23">
        <f>'QTR Raw'!L29</f>
        <v>0</v>
      </c>
      <c r="AS54" s="23">
        <f>'QTR Raw'!M29</f>
        <v>0</v>
      </c>
      <c r="AT54" s="23">
        <f>'QTR Raw'!N29</f>
        <v>0.32</v>
      </c>
      <c r="AU54" s="23">
        <f>'QTR Raw'!O29</f>
        <v>0</v>
      </c>
      <c r="AV54" s="23">
        <f>'QTR Raw'!P29</f>
        <v>0</v>
      </c>
      <c r="AW54" s="23">
        <f>'QTR Raw'!Q29</f>
        <v>0</v>
      </c>
      <c r="AX54" s="23">
        <f>'QTR Raw'!R29</f>
        <v>6.0999999999999999E-2</v>
      </c>
      <c r="AY54" s="23">
        <f>'QTR Raw'!S29</f>
        <v>0</v>
      </c>
      <c r="AZ54" s="23">
        <f>'QTR Raw'!T29</f>
        <v>0</v>
      </c>
      <c r="BA54" s="23">
        <f>'QTR Raw'!U29</f>
        <v>0</v>
      </c>
      <c r="BB54" s="23">
        <f>'QTR Raw'!V29</f>
        <v>0.17199999999999999</v>
      </c>
      <c r="BC54" s="23">
        <f>'QTR Raw'!W29</f>
        <v>3.629</v>
      </c>
      <c r="BD54" s="23">
        <f>'QTR Raw'!X29</f>
        <v>0.88300000000000001</v>
      </c>
      <c r="BE54" s="23">
        <f>'QTR Raw'!Y29</f>
        <v>0.85</v>
      </c>
      <c r="BF54" s="23">
        <f>'QTR Raw'!Z29</f>
        <v>1.526</v>
      </c>
      <c r="BG54" s="23">
        <f>'QTR Raw'!AA29</f>
        <v>0.66400000000000003</v>
      </c>
      <c r="BH54" s="23">
        <f>'QTR Raw'!AB29</f>
        <v>0.54700000000000004</v>
      </c>
      <c r="BI54" s="23">
        <f>'QTR Raw'!AC29</f>
        <v>0.91</v>
      </c>
      <c r="BJ54" s="23">
        <f>'QTR Raw'!AD29</f>
        <v>0.79</v>
      </c>
      <c r="BK54" s="23">
        <f>'QTR Raw'!AE29</f>
        <v>0.373</v>
      </c>
      <c r="BL54" s="23">
        <f>'QTR Raw'!AF29</f>
        <v>0.41799999999999998</v>
      </c>
      <c r="BM54" s="23">
        <f>'QTR Raw'!AG29</f>
        <v>0.61499999999999999</v>
      </c>
      <c r="BN54" s="23">
        <f>'QTR Raw'!AH29</f>
        <v>0.61599999999999999</v>
      </c>
      <c r="BO54" s="23">
        <f>'QTR Raw'!AI29</f>
        <v>0.318</v>
      </c>
      <c r="BP54" s="23">
        <f>'QTR Raw'!AJ29</f>
        <v>0.70699999999999996</v>
      </c>
      <c r="BQ54" s="23">
        <f>'QTR Raw'!AK29</f>
        <v>1.0620000000000001</v>
      </c>
      <c r="BR54" s="23">
        <f>'QTR Raw'!AL29</f>
        <v>1.0089999999999999</v>
      </c>
      <c r="BS54" s="23">
        <f>'QTR Raw'!AM29</f>
        <v>0.66</v>
      </c>
      <c r="BT54" s="23">
        <f>'QTR Raw'!AN29</f>
        <v>0.748</v>
      </c>
      <c r="BU54" s="23">
        <f>'QTR Raw'!AO29</f>
        <v>1.196</v>
      </c>
      <c r="BV54" s="23">
        <f>'QTR Raw'!AP29</f>
        <v>1.887</v>
      </c>
      <c r="BW54" s="23">
        <f>'QTR Raw'!AQ29</f>
        <v>1.071</v>
      </c>
      <c r="BX54" s="23">
        <f>'QTR Raw'!AR29</f>
        <v>1.4690000000000001</v>
      </c>
      <c r="BY54" s="23">
        <f>'QTR Raw'!AS29</f>
        <v>1.73</v>
      </c>
      <c r="BZ54" s="23">
        <f>'QTR Raw'!AT29</f>
        <v>5.56</v>
      </c>
      <c r="CA54" s="23">
        <f>'QTR Raw'!AU29</f>
        <v>3.3849999999999998</v>
      </c>
      <c r="CB54" s="23">
        <f>'QTR Raw'!AV29</f>
        <v>6.1289999999999996</v>
      </c>
      <c r="CC54" s="23">
        <f>'QTR Raw'!AW29</f>
        <v>5.774</v>
      </c>
      <c r="CD54" s="23">
        <f>'QTR Raw'!AX29</f>
        <v>3.7</v>
      </c>
      <c r="CE54" s="23">
        <f>'QTR Raw'!AY29</f>
        <v>3.581</v>
      </c>
      <c r="CF54" s="23">
        <f>'QTR Raw'!AZ29</f>
        <v>8.6029999999999998</v>
      </c>
      <c r="CG54" s="23">
        <f>'QTR Raw'!BA29</f>
        <v>8.4049999999999994</v>
      </c>
      <c r="CH54" s="23">
        <f>'QTR Raw'!BB29</f>
        <v>2.4060000000000001</v>
      </c>
      <c r="CI54" s="23">
        <f>'QTR Raw'!BC29</f>
        <v>2.0750000000000002</v>
      </c>
      <c r="CJ54" s="23">
        <f>'QTR Raw'!BD29</f>
        <v>1.9490000000000001</v>
      </c>
      <c r="CK54" s="23">
        <f>'QTR Raw'!BE29</f>
        <v>3.0779999999999998</v>
      </c>
      <c r="CL54" s="23">
        <f>'QTR Raw'!BF29</f>
        <v>2.5419999999999998</v>
      </c>
      <c r="CM54" s="24">
        <f t="shared" ref="CM54:DB54" si="494">+CM53*CM55</f>
        <v>2.0616393898462566</v>
      </c>
      <c r="CN54" s="24">
        <f t="shared" si="494"/>
        <v>2.5589312993655886</v>
      </c>
      <c r="CO54" s="24">
        <f t="shared" si="494"/>
        <v>2.5019665472605297</v>
      </c>
      <c r="CP54" s="24">
        <f t="shared" si="494"/>
        <v>3.4113197114264269</v>
      </c>
      <c r="CQ54" s="24">
        <f t="shared" si="494"/>
        <v>3.3531156811381329</v>
      </c>
      <c r="CR54" s="24">
        <f t="shared" si="494"/>
        <v>3.7974277896800155</v>
      </c>
      <c r="CS54" s="24">
        <f t="shared" si="494"/>
        <v>3.4628293138726738</v>
      </c>
      <c r="CT54" s="24">
        <f t="shared" si="494"/>
        <v>4.7867162737724751</v>
      </c>
      <c r="CU54" s="24">
        <f t="shared" si="494"/>
        <v>4.5841206071554623</v>
      </c>
      <c r="CV54" s="24">
        <f t="shared" si="494"/>
        <v>5.0330254521926916</v>
      </c>
      <c r="CW54" s="24">
        <f t="shared" si="494"/>
        <v>4.6020568898724514</v>
      </c>
      <c r="CX54" s="24">
        <f t="shared" si="494"/>
        <v>6.157901706210934</v>
      </c>
      <c r="CY54" s="24">
        <f t="shared" si="494"/>
        <v>5.8690630631353056</v>
      </c>
      <c r="CZ54" s="24">
        <f t="shared" si="494"/>
        <v>6.3539071534309954</v>
      </c>
      <c r="DA54" s="24">
        <f t="shared" si="494"/>
        <v>5.8359995879786819</v>
      </c>
      <c r="DB54" s="24">
        <f t="shared" si="494"/>
        <v>7.6106000022097149</v>
      </c>
      <c r="DE54" s="123"/>
      <c r="DF54" s="23">
        <v>9.6440000000000001</v>
      </c>
    </row>
    <row r="55" spans="1:110" s="90" customFormat="1" x14ac:dyDescent="0.2">
      <c r="A55" s="90" t="s">
        <v>106</v>
      </c>
      <c r="B55" s="90">
        <f t="shared" ref="B55:E55" si="495">B54/B53</f>
        <v>7.9151182716547752E-2</v>
      </c>
      <c r="C55" s="90">
        <f t="shared" si="495"/>
        <v>-0.23428654914593255</v>
      </c>
      <c r="D55" s="90">
        <f t="shared" si="495"/>
        <v>7.2085643003957381E-2</v>
      </c>
      <c r="E55" s="90">
        <f t="shared" si="495"/>
        <v>-0.74325528795335494</v>
      </c>
      <c r="F55" s="90">
        <f t="shared" ref="F55:T55" si="496">F54/F53</f>
        <v>0.14168848847165924</v>
      </c>
      <c r="G55" s="90">
        <f t="shared" si="496"/>
        <v>0.10580562641576696</v>
      </c>
      <c r="H55" s="90">
        <f t="shared" si="496"/>
        <v>0.34014709879480615</v>
      </c>
      <c r="I55" s="90">
        <f t="shared" si="496"/>
        <v>0.37102640761190508</v>
      </c>
      <c r="J55" s="90">
        <f t="shared" si="496"/>
        <v>0.25698227367923954</v>
      </c>
      <c r="K55" s="90">
        <f t="shared" si="496"/>
        <v>9.0186231464943506E-2</v>
      </c>
      <c r="L55" s="90">
        <f t="shared" si="496"/>
        <v>0.21518045725041934</v>
      </c>
      <c r="M55" s="90">
        <f t="shared" si="496"/>
        <v>0.16301087538235173</v>
      </c>
      <c r="N55" s="90">
        <f t="shared" si="496"/>
        <v>0.20458147890550876</v>
      </c>
      <c r="O55" s="90">
        <f t="shared" si="496"/>
        <v>0.10260713724841322</v>
      </c>
      <c r="P55" s="90">
        <f t="shared" si="496"/>
        <v>0.26375009240888947</v>
      </c>
      <c r="Q55" s="90">
        <f t="shared" si="496"/>
        <v>9.3264966677060565E-2</v>
      </c>
      <c r="R55" s="90">
        <f t="shared" si="496"/>
        <v>0.16241335895617079</v>
      </c>
      <c r="S55" s="90">
        <f t="shared" si="496"/>
        <v>0.28471567457266644</v>
      </c>
      <c r="T55" s="90">
        <f t="shared" si="496"/>
        <v>0.23288262595852582</v>
      </c>
      <c r="U55" s="90">
        <f t="shared" ref="U55:Z55" si="497">U54/U53</f>
        <v>0.17330471075140014</v>
      </c>
      <c r="V55" s="90">
        <f t="shared" si="497"/>
        <v>0.171303652301739</v>
      </c>
      <c r="W55" s="90">
        <f t="shared" si="497"/>
        <v>0.19989496312582611</v>
      </c>
      <c r="X55" s="90">
        <f t="shared" si="497"/>
        <v>0.26808987599643297</v>
      </c>
      <c r="Y55" s="90">
        <f t="shared" si="497"/>
        <v>0.26540037264771382</v>
      </c>
      <c r="Z55" s="90">
        <f t="shared" si="497"/>
        <v>0.28946967589416434</v>
      </c>
      <c r="AA55" s="90">
        <f t="shared" ref="AA55" si="498">AA54/AA53</f>
        <v>0.39143105309727344</v>
      </c>
      <c r="AB55" s="91">
        <f t="shared" ref="AB55:AD55" si="499">AB54/AB53</f>
        <v>0.39838216648098795</v>
      </c>
      <c r="AC55" s="91">
        <f t="shared" si="499"/>
        <v>0.39953968797676559</v>
      </c>
      <c r="AD55" s="91">
        <f t="shared" si="499"/>
        <v>0.39955033015781644</v>
      </c>
      <c r="AE55" s="91">
        <f t="shared" ref="AE55" si="500">AE54/AE53</f>
        <v>0.39950748222885063</v>
      </c>
      <c r="AI55" s="90">
        <f t="shared" ref="AI55" si="501">AI54/AI53</f>
        <v>0.20027063599458711</v>
      </c>
      <c r="AJ55" s="90">
        <f t="shared" ref="AJ55" si="502">AJ54/AJ53</f>
        <v>0</v>
      </c>
      <c r="AK55" s="90">
        <f t="shared" ref="AK55:AM55" si="503">AK54/AK53</f>
        <v>0.1997377622377623</v>
      </c>
      <c r="AL55" s="90">
        <f t="shared" si="503"/>
        <v>0.20014194464158963</v>
      </c>
      <c r="AM55" s="90">
        <f t="shared" si="503"/>
        <v>0</v>
      </c>
      <c r="AN55" s="90">
        <f t="shared" ref="AN55:AO55" si="504">AN54/AN53</f>
        <v>0</v>
      </c>
      <c r="AO55" s="90">
        <f t="shared" si="504"/>
        <v>0</v>
      </c>
      <c r="AP55" s="90">
        <f t="shared" ref="AP55:CD55" si="505">AP54/AP53</f>
        <v>3.6923076923076906E-2</v>
      </c>
      <c r="AQ55" s="90">
        <f t="shared" si="505"/>
        <v>0</v>
      </c>
      <c r="AR55" s="90">
        <f t="shared" si="505"/>
        <v>0</v>
      </c>
      <c r="AS55" s="90">
        <f t="shared" si="505"/>
        <v>0</v>
      </c>
      <c r="AT55" s="90">
        <f t="shared" si="505"/>
        <v>1.48837209302326</v>
      </c>
      <c r="AU55" s="90">
        <f t="shared" si="505"/>
        <v>0</v>
      </c>
      <c r="AV55" s="90">
        <f t="shared" si="505"/>
        <v>0</v>
      </c>
      <c r="AW55" s="90">
        <f t="shared" si="505"/>
        <v>0</v>
      </c>
      <c r="AX55" s="90">
        <f t="shared" si="505"/>
        <v>0.70114942528737356</v>
      </c>
      <c r="AY55" s="90">
        <f t="shared" si="505"/>
        <v>0</v>
      </c>
      <c r="AZ55" s="90">
        <f t="shared" si="505"/>
        <v>0</v>
      </c>
      <c r="BA55" s="90">
        <f t="shared" si="505"/>
        <v>0</v>
      </c>
      <c r="BB55" s="90">
        <f t="shared" si="505"/>
        <v>9.5555555555554577</v>
      </c>
      <c r="BC55" s="90">
        <f t="shared" si="505"/>
        <v>0.22920482536474451</v>
      </c>
      <c r="BD55" s="90">
        <f t="shared" si="505"/>
        <v>0.21338811019816337</v>
      </c>
      <c r="BE55" s="90">
        <f t="shared" si="505"/>
        <v>0.21351419241396624</v>
      </c>
      <c r="BF55" s="90">
        <f t="shared" si="505"/>
        <v>6.4936170212766315</v>
      </c>
      <c r="BG55" s="90">
        <f t="shared" si="505"/>
        <v>0.21544451654769628</v>
      </c>
      <c r="BH55" s="90">
        <f t="shared" si="505"/>
        <v>0.46752136752136758</v>
      </c>
      <c r="BI55" s="90">
        <f t="shared" si="505"/>
        <v>0.21558872305140961</v>
      </c>
      <c r="BJ55" s="90">
        <f t="shared" si="505"/>
        <v>0.19632206759443332</v>
      </c>
      <c r="BK55" s="90">
        <f t="shared" si="505"/>
        <v>0.21560693641618478</v>
      </c>
      <c r="BL55" s="90">
        <f t="shared" si="505"/>
        <v>0.14928571428571435</v>
      </c>
      <c r="BM55" s="90">
        <f t="shared" si="505"/>
        <v>0.1747655583972719</v>
      </c>
      <c r="BN55" s="90">
        <f t="shared" si="505"/>
        <v>0.13017751479289946</v>
      </c>
      <c r="BO55" s="90">
        <f t="shared" si="505"/>
        <v>0.18016997167138801</v>
      </c>
      <c r="BP55" s="90">
        <f t="shared" si="505"/>
        <v>0.17688266199649724</v>
      </c>
      <c r="BQ55" s="90">
        <f t="shared" si="505"/>
        <v>0.1760026516407027</v>
      </c>
      <c r="BR55" s="90">
        <f t="shared" si="505"/>
        <v>0.15046227259170894</v>
      </c>
      <c r="BS55" s="90">
        <f t="shared" si="505"/>
        <v>0.17675415104445644</v>
      </c>
      <c r="BT55" s="90">
        <f t="shared" si="505"/>
        <v>0.17856290284077342</v>
      </c>
      <c r="BU55" s="90">
        <f t="shared" si="505"/>
        <v>0.18170768763293835</v>
      </c>
      <c r="BV55" s="90">
        <f t="shared" si="505"/>
        <v>0.23700075357950254</v>
      </c>
      <c r="BW55" s="90">
        <f t="shared" si="505"/>
        <v>0.19644167278063082</v>
      </c>
      <c r="BX55" s="90">
        <f t="shared" si="505"/>
        <v>0.19298476090383607</v>
      </c>
      <c r="BY55" s="90">
        <f t="shared" si="505"/>
        <v>0.20556083650190118</v>
      </c>
      <c r="BZ55" s="90">
        <f t="shared" si="505"/>
        <v>0.36605438146026742</v>
      </c>
      <c r="CA55" s="90">
        <f t="shared" si="505"/>
        <v>0.29700798455733979</v>
      </c>
      <c r="CB55" s="90">
        <f t="shared" si="505"/>
        <v>0.27605621115214857</v>
      </c>
      <c r="CC55" s="90">
        <f t="shared" si="505"/>
        <v>0.26132609187599004</v>
      </c>
      <c r="CD55" s="90">
        <f t="shared" si="505"/>
        <v>0.23340903356043402</v>
      </c>
      <c r="CE55" s="90">
        <f t="shared" ref="CE55:CF55" si="506">CE54/CE53</f>
        <v>0.32667396460499898</v>
      </c>
      <c r="CF55" s="90">
        <f t="shared" si="506"/>
        <v>0.27309377182401107</v>
      </c>
      <c r="CG55" s="90">
        <f t="shared" ref="CG55:CH55" si="507">CG54/CG53</f>
        <v>0.29506757942776901</v>
      </c>
      <c r="CH55" s="90">
        <f t="shared" si="507"/>
        <v>0.28335885054763876</v>
      </c>
      <c r="CI55" s="90">
        <f t="shared" ref="CI55:CJ55" si="508">CI54/CI53</f>
        <v>0.39143557819279423</v>
      </c>
      <c r="CJ55" s="90">
        <f t="shared" si="508"/>
        <v>0.31364660444158377</v>
      </c>
      <c r="CK55" s="90">
        <f t="shared" ref="CK55:CL55" si="509">CK54/CK53</f>
        <v>0.52877512454904774</v>
      </c>
      <c r="CL55" s="90">
        <f t="shared" si="509"/>
        <v>0.34745762711864403</v>
      </c>
      <c r="CM55" s="91">
        <f t="shared" ref="CM55:DB55" si="510">AVERAGE(CI55:CL55)</f>
        <v>0.39532873357551745</v>
      </c>
      <c r="CN55" s="91">
        <f t="shared" si="510"/>
        <v>0.39630202242119827</v>
      </c>
      <c r="CO55" s="91">
        <f t="shared" si="510"/>
        <v>0.41696587691610187</v>
      </c>
      <c r="CP55" s="91">
        <f t="shared" si="510"/>
        <v>0.38901356500786544</v>
      </c>
      <c r="CQ55" s="91">
        <f t="shared" si="510"/>
        <v>0.39940254948017079</v>
      </c>
      <c r="CR55" s="91">
        <f t="shared" si="510"/>
        <v>0.40042100345633408</v>
      </c>
      <c r="CS55" s="91">
        <f t="shared" si="510"/>
        <v>0.40145074871511804</v>
      </c>
      <c r="CT55" s="91">
        <f t="shared" si="510"/>
        <v>0.39757196666487205</v>
      </c>
      <c r="CU55" s="91">
        <f t="shared" si="510"/>
        <v>0.39971156707912375</v>
      </c>
      <c r="CV55" s="91">
        <f t="shared" si="510"/>
        <v>0.39978882147886202</v>
      </c>
      <c r="CW55" s="91">
        <f t="shared" si="510"/>
        <v>0.39963077598449398</v>
      </c>
      <c r="CX55" s="91">
        <f t="shared" si="510"/>
        <v>0.39917578280183796</v>
      </c>
      <c r="CY55" s="91">
        <f t="shared" si="510"/>
        <v>0.39957673683607942</v>
      </c>
      <c r="CZ55" s="91">
        <f t="shared" si="510"/>
        <v>0.39954302927531837</v>
      </c>
      <c r="DA55" s="91">
        <f t="shared" si="510"/>
        <v>0.39948158122443245</v>
      </c>
      <c r="DB55" s="91">
        <f t="shared" si="510"/>
        <v>0.39944428253441699</v>
      </c>
      <c r="DE55" s="127"/>
      <c r="DF55" s="90">
        <v>0.39120558169722502</v>
      </c>
    </row>
    <row r="56" spans="1:110" s="26" customFormat="1" x14ac:dyDescent="0.2">
      <c r="A56" s="26" t="s">
        <v>22</v>
      </c>
      <c r="B56" s="26">
        <f t="shared" ref="B56:E56" si="511">B53-B54</f>
        <v>0.930724</v>
      </c>
      <c r="C56" s="26">
        <f t="shared" si="511"/>
        <v>-2.7938197000000002</v>
      </c>
      <c r="D56" s="26">
        <f t="shared" si="511"/>
        <v>0.16681070000000114</v>
      </c>
      <c r="E56" s="26">
        <f t="shared" si="511"/>
        <v>1.5337682999999995</v>
      </c>
      <c r="F56" s="26">
        <f t="shared" ref="F56:T56" si="512">F53-F54</f>
        <v>0.87197420000000037</v>
      </c>
      <c r="G56" s="26">
        <f t="shared" si="512"/>
        <v>0.97637029999999903</v>
      </c>
      <c r="H56" s="26">
        <f t="shared" si="512"/>
        <v>2.1407220999999996</v>
      </c>
      <c r="I56" s="26">
        <f t="shared" si="512"/>
        <v>3.6713610000000001</v>
      </c>
      <c r="J56" s="26">
        <f t="shared" si="512"/>
        <v>2.5325355000000007</v>
      </c>
      <c r="K56" s="26">
        <f t="shared" si="512"/>
        <v>1.0643218000000025</v>
      </c>
      <c r="L56" s="26">
        <f t="shared" si="512"/>
        <v>2.4560254999999955</v>
      </c>
      <c r="M56" s="26">
        <f t="shared" si="512"/>
        <v>3.8923590000000017</v>
      </c>
      <c r="N56" s="26">
        <f t="shared" si="512"/>
        <v>6.5192257000000025</v>
      </c>
      <c r="O56" s="26">
        <f t="shared" si="512"/>
        <v>-1.0337097999999989</v>
      </c>
      <c r="P56" s="26">
        <f t="shared" si="512"/>
        <v>0.89333419999999775</v>
      </c>
      <c r="Q56" s="26">
        <f t="shared" si="512"/>
        <v>0.5935026000000001</v>
      </c>
      <c r="R56" s="26">
        <f t="shared" si="512"/>
        <v>0.88373800000000369</v>
      </c>
      <c r="S56" s="26">
        <f t="shared" si="512"/>
        <v>17.304229500000005</v>
      </c>
      <c r="T56" s="26">
        <f t="shared" si="512"/>
        <v>9.5891677000000062</v>
      </c>
      <c r="U56" s="26">
        <f t="shared" ref="U56:Z56" si="513">U53-U54</f>
        <v>10.757391300000002</v>
      </c>
      <c r="V56" s="26">
        <f t="shared" si="513"/>
        <v>15.333700000000016</v>
      </c>
      <c r="W56" s="26">
        <f t="shared" si="513"/>
        <v>17.977000000000007</v>
      </c>
      <c r="X56" s="26">
        <f t="shared" si="513"/>
        <v>26.837899999999991</v>
      </c>
      <c r="Y56" s="26">
        <f t="shared" si="513"/>
        <v>52.554799999999972</v>
      </c>
      <c r="Z56" s="26">
        <f t="shared" si="513"/>
        <v>56.444599999999987</v>
      </c>
      <c r="AA56" s="26">
        <f t="shared" ref="AA56" si="514">AA53-AA54</f>
        <v>14.993799999999991</v>
      </c>
      <c r="AB56" s="27">
        <f t="shared" ref="AB56:AD56" si="515">AB53-AB54</f>
        <v>15.907730638581452</v>
      </c>
      <c r="AC56" s="27">
        <f t="shared" si="515"/>
        <v>23.144489920531292</v>
      </c>
      <c r="AD56" s="27">
        <f t="shared" si="515"/>
        <v>30.622989994428679</v>
      </c>
      <c r="AE56" s="27">
        <f t="shared" ref="AE56" si="516">AE53-AE54</f>
        <v>38.583469118935184</v>
      </c>
      <c r="AI56" s="26">
        <f>AI53-AI54</f>
        <v>1.182000000000001</v>
      </c>
      <c r="AJ56" s="26">
        <f t="shared" ref="AJ56" si="517">AJ53-AJ54</f>
        <v>6.6999999999999171E-2</v>
      </c>
      <c r="AK56" s="26">
        <f t="shared" ref="AK56:AM56" si="518">AK53-AK54</f>
        <v>1.8309999999999993</v>
      </c>
      <c r="AL56" s="26">
        <f t="shared" si="518"/>
        <v>3.3810000000000029</v>
      </c>
      <c r="AM56" s="26">
        <f t="shared" si="518"/>
        <v>-1.3789999999999996</v>
      </c>
      <c r="AN56" s="26">
        <f t="shared" ref="AN56:AO56" si="519">AN53-AN54</f>
        <v>-1.1720000000000006</v>
      </c>
      <c r="AO56" s="26">
        <f t="shared" si="519"/>
        <v>0.42199999999999999</v>
      </c>
      <c r="AP56" s="26">
        <f t="shared" ref="AP56:CD56" si="520">AP53-AP54</f>
        <v>0.93900000000000028</v>
      </c>
      <c r="AQ56" s="26">
        <f t="shared" si="520"/>
        <v>-1.6680000000000001</v>
      </c>
      <c r="AR56" s="26">
        <f t="shared" si="520"/>
        <v>2.4459999999999993</v>
      </c>
      <c r="AS56" s="26">
        <f t="shared" si="520"/>
        <v>0.2150000000000003</v>
      </c>
      <c r="AT56" s="26">
        <f t="shared" si="520"/>
        <v>-0.10500000000000059</v>
      </c>
      <c r="AU56" s="26">
        <f t="shared" si="520"/>
        <v>0.18600000000000028</v>
      </c>
      <c r="AV56" s="26">
        <f t="shared" si="520"/>
        <v>0.16200000000000048</v>
      </c>
      <c r="AW56" s="26">
        <f t="shared" si="520"/>
        <v>0.21899999999999964</v>
      </c>
      <c r="AX56" s="26">
        <f t="shared" si="520"/>
        <v>2.5999999999997858E-2</v>
      </c>
      <c r="AY56" s="26">
        <f t="shared" si="520"/>
        <v>0.37300000000000028</v>
      </c>
      <c r="AZ56" s="26">
        <f t="shared" si="520"/>
        <v>0.32300000000000034</v>
      </c>
      <c r="BA56" s="26">
        <f t="shared" si="520"/>
        <v>0.34400000000000014</v>
      </c>
      <c r="BB56" s="26">
        <f t="shared" si="520"/>
        <v>-0.1539999999999998</v>
      </c>
      <c r="BC56" s="26">
        <f t="shared" si="520"/>
        <v>12.204000000000001</v>
      </c>
      <c r="BD56" s="26">
        <f t="shared" si="520"/>
        <v>3.2549999999999999</v>
      </c>
      <c r="BE56" s="26">
        <f t="shared" si="520"/>
        <v>3.1310000000000016</v>
      </c>
      <c r="BF56" s="26">
        <f t="shared" si="520"/>
        <v>-1.2910000000000013</v>
      </c>
      <c r="BG56" s="26">
        <f t="shared" si="520"/>
        <v>2.4180000000000001</v>
      </c>
      <c r="BH56" s="26">
        <f t="shared" si="520"/>
        <v>0.62299999999999989</v>
      </c>
      <c r="BI56" s="26">
        <f t="shared" si="520"/>
        <v>3.3109999999999999</v>
      </c>
      <c r="BJ56" s="26">
        <f t="shared" si="520"/>
        <v>3.2340000000000018</v>
      </c>
      <c r="BK56" s="26">
        <f t="shared" si="520"/>
        <v>1.3570000000000015</v>
      </c>
      <c r="BL56" s="26">
        <f t="shared" si="520"/>
        <v>2.3819999999999983</v>
      </c>
      <c r="BM56" s="26">
        <f t="shared" si="520"/>
        <v>2.9040000000000008</v>
      </c>
      <c r="BN56" s="26">
        <f t="shared" si="520"/>
        <v>4.1159999999999979</v>
      </c>
      <c r="BO56" s="26">
        <f t="shared" si="520"/>
        <v>1.4470000000000007</v>
      </c>
      <c r="BP56" s="26">
        <f t="shared" si="520"/>
        <v>3.2900000000000027</v>
      </c>
      <c r="BQ56" s="26">
        <f t="shared" si="520"/>
        <v>4.9719999999999995</v>
      </c>
      <c r="BR56" s="26">
        <f t="shared" si="520"/>
        <v>5.6969999999999974</v>
      </c>
      <c r="BS56" s="26">
        <f t="shared" si="520"/>
        <v>3.0739999999999981</v>
      </c>
      <c r="BT56" s="26">
        <f t="shared" si="520"/>
        <v>3.4410000000000007</v>
      </c>
      <c r="BU56" s="26">
        <f t="shared" si="520"/>
        <v>5.3859999999999992</v>
      </c>
      <c r="BV56" s="26">
        <f t="shared" si="520"/>
        <v>6.0750000000000028</v>
      </c>
      <c r="BW56" s="26">
        <f t="shared" si="520"/>
        <v>4.3810000000000038</v>
      </c>
      <c r="BX56" s="26">
        <f t="shared" si="520"/>
        <v>6.1429999999999989</v>
      </c>
      <c r="BY56" s="26">
        <f t="shared" si="520"/>
        <v>6.6859999999999982</v>
      </c>
      <c r="BZ56" s="26">
        <f t="shared" si="520"/>
        <v>9.6289999999999942</v>
      </c>
      <c r="CA56" s="26">
        <f t="shared" si="520"/>
        <v>8.0119999999999933</v>
      </c>
      <c r="CB56" s="26">
        <f t="shared" si="520"/>
        <v>16.072999999999993</v>
      </c>
      <c r="CC56" s="26">
        <f t="shared" si="520"/>
        <v>16.321000000000002</v>
      </c>
      <c r="CD56" s="26">
        <f t="shared" si="520"/>
        <v>12.152000000000001</v>
      </c>
      <c r="CE56" s="26">
        <f t="shared" ref="CE56:CF56" si="521">CE53-CE54</f>
        <v>7.3810000000000038</v>
      </c>
      <c r="CF56" s="26">
        <f t="shared" si="521"/>
        <v>22.899000000000008</v>
      </c>
      <c r="CG56" s="26">
        <f t="shared" ref="CG56:CH56" si="522">CG53-CG54</f>
        <v>20.079999999999998</v>
      </c>
      <c r="CH56" s="26">
        <f t="shared" si="522"/>
        <v>6.0849999999999973</v>
      </c>
      <c r="CI56" s="26">
        <f t="shared" ref="CI56:CJ56" si="523">CI53-CI54</f>
        <v>3.2259999999999946</v>
      </c>
      <c r="CJ56" s="26">
        <f t="shared" si="523"/>
        <v>4.2649999999999952</v>
      </c>
      <c r="CK56" s="26">
        <f t="shared" ref="CK56:CL56" si="524">CK53-CK54</f>
        <v>2.7429999999999874</v>
      </c>
      <c r="CL56" s="26">
        <f t="shared" si="524"/>
        <v>4.774</v>
      </c>
      <c r="CM56" s="27">
        <f t="shared" ref="CM56:DB56" si="525">CM53-CM54</f>
        <v>3.1533607220857367</v>
      </c>
      <c r="CN56" s="27">
        <f t="shared" si="525"/>
        <v>3.8980917653461571</v>
      </c>
      <c r="CO56" s="27">
        <f t="shared" si="525"/>
        <v>3.4984442435820817</v>
      </c>
      <c r="CP56" s="27">
        <f t="shared" si="525"/>
        <v>5.3578339075674348</v>
      </c>
      <c r="CQ56" s="27">
        <f t="shared" si="525"/>
        <v>5.042213005427012</v>
      </c>
      <c r="CR56" s="27">
        <f t="shared" si="525"/>
        <v>5.686160126292342</v>
      </c>
      <c r="CS56" s="27">
        <f t="shared" si="525"/>
        <v>5.1629593412881247</v>
      </c>
      <c r="CT56" s="27">
        <f t="shared" si="525"/>
        <v>7.2531574475238081</v>
      </c>
      <c r="CU56" s="27">
        <f t="shared" si="525"/>
        <v>6.8844506945302495</v>
      </c>
      <c r="CV56" s="27">
        <f t="shared" si="525"/>
        <v>7.5561846051945745</v>
      </c>
      <c r="CW56" s="27">
        <f t="shared" si="525"/>
        <v>6.9137150837330426</v>
      </c>
      <c r="CX56" s="27">
        <f t="shared" si="525"/>
        <v>9.2686396109708475</v>
      </c>
      <c r="CY56" s="27">
        <f t="shared" si="525"/>
        <v>8.8191370298120582</v>
      </c>
      <c r="CZ56" s="27">
        <f t="shared" si="525"/>
        <v>9.5490286704164653</v>
      </c>
      <c r="DA56" s="27">
        <f t="shared" si="525"/>
        <v>8.7729332446466195</v>
      </c>
      <c r="DB56" s="27">
        <f t="shared" si="525"/>
        <v>11.442370174060034</v>
      </c>
      <c r="DE56" s="121"/>
      <c r="DF56" s="26">
        <v>15.008000000000022</v>
      </c>
    </row>
    <row r="57" spans="1:110" s="45" customFormat="1" x14ac:dyDescent="0.2">
      <c r="A57" s="45" t="s">
        <v>107</v>
      </c>
      <c r="B57" s="45">
        <f t="shared" ref="B57:E57" si="526">+B56/B25</f>
        <v>5.9449447162822272E-2</v>
      </c>
      <c r="C57" s="45">
        <f t="shared" si="526"/>
        <v>-0.40565103126587948</v>
      </c>
      <c r="D57" s="45">
        <f t="shared" si="526"/>
        <v>2.8350848546973041E-2</v>
      </c>
      <c r="E57" s="45">
        <f t="shared" si="526"/>
        <v>0.16465932657516891</v>
      </c>
      <c r="F57" s="45">
        <f t="shared" ref="F57:AE57" si="527">+F56/F25</f>
        <v>7.3973921656516534E-2</v>
      </c>
      <c r="G57" s="45">
        <f t="shared" si="527"/>
        <v>6.0568138480395398E-2</v>
      </c>
      <c r="H57" s="45">
        <f t="shared" si="527"/>
        <v>9.4529305506539901E-2</v>
      </c>
      <c r="I57" s="45">
        <f t="shared" si="527"/>
        <v>0.15272150859704062</v>
      </c>
      <c r="J57" s="45">
        <f t="shared" si="527"/>
        <v>9.8368425322375733E-2</v>
      </c>
      <c r="K57" s="45">
        <f t="shared" si="527"/>
        <v>4.9402161151515606E-2</v>
      </c>
      <c r="L57" s="45">
        <f t="shared" si="527"/>
        <v>0.11032745094525659</v>
      </c>
      <c r="M57" s="45">
        <f t="shared" si="527"/>
        <v>0.14962652903382237</v>
      </c>
      <c r="N57" s="45">
        <f t="shared" si="527"/>
        <v>0.15180050707111839</v>
      </c>
      <c r="O57" s="45">
        <f t="shared" si="527"/>
        <v>-7.948324279298459E-2</v>
      </c>
      <c r="P57" s="45">
        <f t="shared" si="527"/>
        <v>3.53339532748526E-2</v>
      </c>
      <c r="Q57" s="45">
        <f t="shared" si="527"/>
        <v>2.4095799640231601E-2</v>
      </c>
      <c r="R57" s="45">
        <f t="shared" si="527"/>
        <v>2.6311371422409243E-2</v>
      </c>
      <c r="S57" s="45">
        <f t="shared" si="527"/>
        <v>0.33474276014877546</v>
      </c>
      <c r="T57" s="45">
        <f t="shared" si="527"/>
        <v>0.18984232143596347</v>
      </c>
      <c r="U57" s="45">
        <f t="shared" si="527"/>
        <v>0.2071944383277409</v>
      </c>
      <c r="V57" s="45">
        <f t="shared" si="527"/>
        <v>0.19735507619439885</v>
      </c>
      <c r="W57" s="45">
        <f t="shared" si="527"/>
        <v>0.17128537876297606</v>
      </c>
      <c r="X57" s="45">
        <f t="shared" si="527"/>
        <v>0.17376308747558283</v>
      </c>
      <c r="Y57" s="45">
        <f t="shared" si="527"/>
        <v>0.23423587247679015</v>
      </c>
      <c r="Z57" s="45">
        <f t="shared" ref="Z57:AA57" si="528">+Z56/Z25</f>
        <v>0.22657030854241741</v>
      </c>
      <c r="AA57" s="45">
        <f t="shared" ref="AA57" si="529">+AA56/AA25</f>
        <v>6.7275266026659175E-2</v>
      </c>
      <c r="AB57" s="48">
        <f t="shared" si="527"/>
        <v>6.1403858636958915E-2</v>
      </c>
      <c r="AC57" s="48">
        <f t="shared" si="527"/>
        <v>7.7708269670793098E-2</v>
      </c>
      <c r="AD57" s="48">
        <f t="shared" si="527"/>
        <v>8.9432174464946571E-2</v>
      </c>
      <c r="AE57" s="48">
        <f t="shared" si="527"/>
        <v>9.8009611676111982E-2</v>
      </c>
      <c r="AI57" s="45">
        <f t="shared" ref="AI57:BN57" si="530">+AI56/AI25</f>
        <v>0.26121546961325987</v>
      </c>
      <c r="AJ57" s="45">
        <f t="shared" si="530"/>
        <v>2.4372499090578089E-2</v>
      </c>
      <c r="AK57" s="45">
        <f t="shared" si="530"/>
        <v>0.18357730098255456</v>
      </c>
      <c r="AL57" s="45">
        <f t="shared" si="530"/>
        <v>0.13156153935950826</v>
      </c>
      <c r="AM57" s="45">
        <f t="shared" si="530"/>
        <v>-0.6891554222888554</v>
      </c>
      <c r="AN57" s="45">
        <f t="shared" si="530"/>
        <v>-0.38756613756613778</v>
      </c>
      <c r="AO57" s="45">
        <f t="shared" si="530"/>
        <v>8.6724208795725441E-2</v>
      </c>
      <c r="AP57" s="45">
        <f t="shared" si="530"/>
        <v>0.30154142581888255</v>
      </c>
      <c r="AQ57" s="45">
        <f t="shared" si="530"/>
        <v>-0.38953759925268572</v>
      </c>
      <c r="AR57" s="45">
        <f t="shared" si="530"/>
        <v>0.23713039263208913</v>
      </c>
      <c r="AS57" s="45">
        <f t="shared" si="530"/>
        <v>3.3426616915422931E-2</v>
      </c>
      <c r="AT57" s="45">
        <f t="shared" si="530"/>
        <v>-2.4846190250828348E-2</v>
      </c>
      <c r="AU57" s="45">
        <f t="shared" si="530"/>
        <v>5.0013444474321128E-2</v>
      </c>
      <c r="AV57" s="45">
        <f t="shared" si="530"/>
        <v>4.2132639791937702E-2</v>
      </c>
      <c r="AW57" s="45">
        <f t="shared" si="530"/>
        <v>5.7314839047369705E-2</v>
      </c>
      <c r="AX57" s="45">
        <f t="shared" si="530"/>
        <v>1.9677590252022903E-3</v>
      </c>
      <c r="AY57" s="45">
        <f t="shared" si="530"/>
        <v>4.7347042396547384E-2</v>
      </c>
      <c r="AZ57" s="45">
        <f t="shared" si="530"/>
        <v>4.382632293080059E-2</v>
      </c>
      <c r="BA57" s="45">
        <f t="shared" si="530"/>
        <v>4.1450777202072561E-2</v>
      </c>
      <c r="BB57" s="45">
        <f t="shared" si="530"/>
        <v>-1.5337117816950482E-2</v>
      </c>
      <c r="BC57" s="45">
        <f t="shared" si="530"/>
        <v>1.2866631523458094</v>
      </c>
      <c r="BD57" s="45">
        <f t="shared" si="530"/>
        <v>0.27882473873565189</v>
      </c>
      <c r="BE57" s="45">
        <f t="shared" si="530"/>
        <v>0.19107774929818147</v>
      </c>
      <c r="BF57" s="45">
        <f t="shared" si="530"/>
        <v>-9.0545658577640714E-2</v>
      </c>
      <c r="BG57" s="45">
        <f t="shared" si="530"/>
        <v>0.19848957478246593</v>
      </c>
      <c r="BH57" s="45">
        <f t="shared" si="530"/>
        <v>6.1830091306073823E-2</v>
      </c>
      <c r="BI57" s="45">
        <f t="shared" si="530"/>
        <v>0.23572547344439698</v>
      </c>
      <c r="BJ57" s="45">
        <f t="shared" si="530"/>
        <v>0.22340425531914904</v>
      </c>
      <c r="BK57" s="45">
        <f t="shared" si="530"/>
        <v>0.15624640184225694</v>
      </c>
      <c r="BL57" s="45">
        <f t="shared" si="530"/>
        <v>0.29549683662076642</v>
      </c>
      <c r="BM57" s="45">
        <f t="shared" si="530"/>
        <v>0.21543026706231461</v>
      </c>
      <c r="BN57" s="45">
        <f t="shared" si="530"/>
        <v>0.18972987922927989</v>
      </c>
      <c r="BO57" s="45">
        <f t="shared" ref="BO57:CT57" si="531">+BO56/BO25</f>
        <v>0.13000898472596592</v>
      </c>
      <c r="BP57" s="45">
        <f t="shared" si="531"/>
        <v>0.26288453855373572</v>
      </c>
      <c r="BQ57" s="45">
        <f t="shared" si="531"/>
        <v>0.19898347140513067</v>
      </c>
      <c r="BR57" s="45">
        <f t="shared" si="531"/>
        <v>0.19602243402264038</v>
      </c>
      <c r="BS57" s="45">
        <f t="shared" si="531"/>
        <v>0.22411781860600746</v>
      </c>
      <c r="BT57" s="45">
        <f t="shared" si="531"/>
        <v>0.22292044571132422</v>
      </c>
      <c r="BU57" s="45">
        <f t="shared" si="531"/>
        <v>0.1851304437493555</v>
      </c>
      <c r="BV57" s="45">
        <f t="shared" si="531"/>
        <v>0.13006058789526648</v>
      </c>
      <c r="BW57" s="45">
        <f t="shared" si="531"/>
        <v>0.16232539182629974</v>
      </c>
      <c r="BX57" s="45">
        <f t="shared" si="531"/>
        <v>0.16957902001380259</v>
      </c>
      <c r="BY57" s="45">
        <f t="shared" si="531"/>
        <v>0.17274253972354989</v>
      </c>
      <c r="BZ57" s="45">
        <f t="shared" si="531"/>
        <v>0.18330128876282564</v>
      </c>
      <c r="CA57" s="45">
        <f t="shared" si="531"/>
        <v>0.11620351569298594</v>
      </c>
      <c r="CB57" s="45">
        <f t="shared" si="531"/>
        <v>0.29582390076012727</v>
      </c>
      <c r="CC57" s="45">
        <f t="shared" si="531"/>
        <v>0.27511167298777922</v>
      </c>
      <c r="CD57" s="45">
        <f t="shared" si="531"/>
        <v>0.29098920045018078</v>
      </c>
      <c r="CE57" s="45">
        <f t="shared" si="531"/>
        <v>0.14258944440151464</v>
      </c>
      <c r="CF57" s="45">
        <f t="shared" si="531"/>
        <v>0.29577628519762345</v>
      </c>
      <c r="CG57" s="45">
        <f t="shared" si="531"/>
        <v>0.28409332069438742</v>
      </c>
      <c r="CH57" s="45">
        <f t="shared" si="531"/>
        <v>0.12352570999370693</v>
      </c>
      <c r="CI57" s="45">
        <f t="shared" ref="CI57:CJ57" si="532">+CI56/CI25</f>
        <v>6.2142430605050661E-2</v>
      </c>
      <c r="CJ57" s="45">
        <f t="shared" si="532"/>
        <v>7.6960554332527256E-2</v>
      </c>
      <c r="CK57" s="45">
        <f t="shared" ref="CK57:CL57" si="533">+CK56/CK25</f>
        <v>5.3039678242709942E-2</v>
      </c>
      <c r="CL57" s="45">
        <f t="shared" si="533"/>
        <v>7.4797104628207933E-2</v>
      </c>
      <c r="CM57" s="48">
        <f t="shared" si="531"/>
        <v>5.2779533358535684E-2</v>
      </c>
      <c r="CN57" s="48">
        <f t="shared" si="531"/>
        <v>6.0190690447958557E-2</v>
      </c>
      <c r="CO57" s="48">
        <f t="shared" si="531"/>
        <v>5.8380447729886077E-2</v>
      </c>
      <c r="CP57" s="48">
        <f t="shared" si="531"/>
        <v>7.1788034468535489E-2</v>
      </c>
      <c r="CQ57" s="48">
        <f t="shared" si="531"/>
        <v>7.3390724611047967E-2</v>
      </c>
      <c r="CR57" s="48">
        <f t="shared" si="531"/>
        <v>7.636474571171642E-2</v>
      </c>
      <c r="CS57" s="48">
        <f t="shared" si="531"/>
        <v>7.4947389309696674E-2</v>
      </c>
      <c r="CT57" s="48">
        <f t="shared" si="531"/>
        <v>8.4549251154735036E-2</v>
      </c>
      <c r="CU57" s="48">
        <f t="shared" ref="CU57:DB57" si="534">+CU56/CU25</f>
        <v>8.7139738073757037E-2</v>
      </c>
      <c r="CV57" s="48">
        <f t="shared" si="534"/>
        <v>8.8261002662691809E-2</v>
      </c>
      <c r="CW57" s="48">
        <f t="shared" si="534"/>
        <v>8.730268185713741E-2</v>
      </c>
      <c r="CX57" s="48">
        <f t="shared" si="534"/>
        <v>9.3995949272909815E-2</v>
      </c>
      <c r="CY57" s="48">
        <f t="shared" si="534"/>
        <v>9.7073108832267982E-2</v>
      </c>
      <c r="CZ57" s="48">
        <f t="shared" si="534"/>
        <v>9.7009453543742491E-2</v>
      </c>
      <c r="DA57" s="48">
        <f t="shared" si="534"/>
        <v>9.6363484957700973E-2</v>
      </c>
      <c r="DB57" s="48">
        <f t="shared" si="534"/>
        <v>0.10095100658724453</v>
      </c>
      <c r="DE57" s="129"/>
      <c r="DF57" s="45">
        <v>6.7338798329093355E-2</v>
      </c>
    </row>
    <row r="58" spans="1:110" s="39" customFormat="1" x14ac:dyDescent="0.2">
      <c r="A58" s="39" t="s">
        <v>451</v>
      </c>
      <c r="C58" s="39">
        <f t="shared" ref="C58:E58" si="535">+IF(B56&lt;0,1-C56/B56,C56/B56-1)</f>
        <v>-4.0017703422282009</v>
      </c>
      <c r="D58" s="39">
        <f t="shared" si="535"/>
        <v>1.0597070383604215</v>
      </c>
      <c r="E58" s="39">
        <f t="shared" si="535"/>
        <v>8.1946637715685444</v>
      </c>
      <c r="F58" s="39">
        <f t="shared" ref="F58:AE58" si="536">+IF(E56&lt;0,1-F56/E56,F56/E56-1)</f>
        <v>-0.43148244751179132</v>
      </c>
      <c r="G58" s="39">
        <f t="shared" si="536"/>
        <v>0.11972384045307605</v>
      </c>
      <c r="H58" s="39">
        <f t="shared" si="536"/>
        <v>1.1925309485550737</v>
      </c>
      <c r="I58" s="39">
        <f t="shared" si="536"/>
        <v>0.71501055648465561</v>
      </c>
      <c r="J58" s="39">
        <f t="shared" si="536"/>
        <v>-0.3101916428267335</v>
      </c>
      <c r="K58" s="39">
        <f t="shared" si="536"/>
        <v>-0.57974061962803591</v>
      </c>
      <c r="L58" s="39">
        <f t="shared" si="536"/>
        <v>1.307596724975463</v>
      </c>
      <c r="M58" s="39">
        <f t="shared" si="536"/>
        <v>0.58482027161363304</v>
      </c>
      <c r="N58" s="39">
        <f t="shared" si="536"/>
        <v>0.67487780546450105</v>
      </c>
      <c r="O58" s="39">
        <f t="shared" si="536"/>
        <v>-1.1585632784580535</v>
      </c>
      <c r="P58" s="39">
        <f t="shared" si="536"/>
        <v>1.8642021193955971</v>
      </c>
      <c r="Q58" s="39">
        <f t="shared" si="536"/>
        <v>-0.33563206244650479</v>
      </c>
      <c r="R58" s="39">
        <f t="shared" si="536"/>
        <v>0.48902127808707752</v>
      </c>
      <c r="S58" s="39">
        <f t="shared" si="536"/>
        <v>18.580723585496983</v>
      </c>
      <c r="T58" s="39">
        <f t="shared" si="536"/>
        <v>-0.44584832858348278</v>
      </c>
      <c r="U58" s="39">
        <f t="shared" si="536"/>
        <v>0.12182742408394787</v>
      </c>
      <c r="V58" s="39">
        <f t="shared" si="536"/>
        <v>0.42541063835802029</v>
      </c>
      <c r="W58" s="39">
        <f t="shared" si="536"/>
        <v>0.17238500818458613</v>
      </c>
      <c r="X58" s="39">
        <f t="shared" si="536"/>
        <v>0.49290204149746786</v>
      </c>
      <c r="Y58" s="39">
        <f t="shared" si="536"/>
        <v>0.958230711046691</v>
      </c>
      <c r="Z58" s="39">
        <f t="shared" ref="Z58:AA58" si="537">+IF(Y56&lt;0,1-Z56/Y56,Z56/Y56-1)</f>
        <v>7.4014171873930001E-2</v>
      </c>
      <c r="AA58" s="39">
        <f t="shared" si="537"/>
        <v>-0.73436254309535376</v>
      </c>
      <c r="AB58" s="40">
        <f t="shared" si="536"/>
        <v>6.09539035188853E-2</v>
      </c>
      <c r="AC58" s="40">
        <f t="shared" si="536"/>
        <v>0.45492090898234916</v>
      </c>
      <c r="AD58" s="40">
        <f t="shared" si="536"/>
        <v>0.32312226795991172</v>
      </c>
      <c r="AE58" s="40">
        <f t="shared" si="536"/>
        <v>0.25995107355469793</v>
      </c>
      <c r="AM58" s="39">
        <f>+IF(AI56&lt;0,1-AM56/AI56,AM56/AI56-1)</f>
        <v>-2.1666666666666652</v>
      </c>
      <c r="AN58" s="39">
        <f t="shared" ref="AN58" si="538">+IF(AJ56&lt;0,1-AN56/AJ56,AN56/AJ56-1)</f>
        <v>-18.492537313433061</v>
      </c>
      <c r="AO58" s="39">
        <f t="shared" ref="AO58" si="539">+IF(AK56&lt;0,1-AO56/AK56,AO56/AK56-1)</f>
        <v>-0.76952484980884761</v>
      </c>
      <c r="AP58" s="39">
        <f t="shared" ref="AP58" si="540">+IF(AL56&lt;0,1-AP56/AL56,AP56/AL56-1)</f>
        <v>-0.72227151730257333</v>
      </c>
      <c r="AQ58" s="39">
        <f t="shared" ref="AQ58" si="541">+IF(AM56&lt;0,1-AQ56/AM56,AQ56/AM56-1)</f>
        <v>-0.2095721537345907</v>
      </c>
      <c r="AR58" s="39">
        <f t="shared" ref="AR58" si="542">+IF(AN56&lt;0,1-AR56/AN56,AR56/AN56-1)</f>
        <v>3.087030716723548</v>
      </c>
      <c r="AS58" s="39">
        <f t="shared" ref="AS58" si="543">+IF(AO56&lt;0,1-AS56/AO56,AS56/AO56-1)</f>
        <v>-0.49052132701421725</v>
      </c>
      <c r="AT58" s="39">
        <f t="shared" ref="AT58" si="544">+IF(AP56&lt;0,1-AT56/AP56,AT56/AP56-1)</f>
        <v>-1.1118210862619815</v>
      </c>
      <c r="AU58" s="39">
        <f t="shared" ref="AU58" si="545">+IF(AQ56&lt;0,1-AU56/AQ56,AU56/AQ56-1)</f>
        <v>1.1115107913669067</v>
      </c>
      <c r="AV58" s="39">
        <f t="shared" ref="AV58" si="546">+IF(AR56&lt;0,1-AV56/AR56,AV56/AR56-1)</f>
        <v>-0.9337694194603432</v>
      </c>
      <c r="AW58" s="39">
        <f t="shared" ref="AW58" si="547">+IF(AS56&lt;0,1-AW56/AS56,AW56/AS56-1)</f>
        <v>1.8604651162787533E-2</v>
      </c>
      <c r="AX58" s="39">
        <f t="shared" ref="AX58" si="548">+IF(AT56&lt;0,1-AX56/AT56,AX56/AT56-1)</f>
        <v>1.2476190476190259</v>
      </c>
      <c r="AY58" s="39">
        <f t="shared" ref="AY58" si="549">+IF(AU56&lt;0,1-AY56/AU56,AY56/AU56-1)</f>
        <v>1.0053763440860202</v>
      </c>
      <c r="AZ58" s="39">
        <f t="shared" ref="AZ58" si="550">+IF(AV56&lt;0,1-AZ56/AV56,AZ56/AV56-1)</f>
        <v>0.99382716049382336</v>
      </c>
      <c r="BA58" s="39">
        <f t="shared" ref="BA58" si="551">+IF(AW56&lt;0,1-BA56/AW56,BA56/AW56-1)</f>
        <v>0.5707762557077658</v>
      </c>
      <c r="BB58" s="39">
        <f t="shared" ref="BB58" si="552">+IF(AX56&lt;0,1-BB56/AX56,BB56/AX56-1)</f>
        <v>-6.9230769230774039</v>
      </c>
      <c r="BC58" s="39">
        <f t="shared" ref="BC58" si="553">+IF(AY56&lt;0,1-BC56/AY56,BC56/AY56-1)</f>
        <v>31.718498659517401</v>
      </c>
      <c r="BD58" s="39">
        <f t="shared" ref="BD58" si="554">+IF(AZ56&lt;0,1-BD56/AZ56,BD56/AZ56-1)</f>
        <v>9.0773993808049429</v>
      </c>
      <c r="BE58" s="39">
        <f t="shared" ref="BE58" si="555">+IF(BA56&lt;0,1-BE56/BA56,BE56/BA56-1)</f>
        <v>8.1017441860465134</v>
      </c>
      <c r="BF58" s="39">
        <f t="shared" ref="BF58" si="556">+IF(BB56&lt;0,1-BF56/BB56,BF56/BB56-1)</f>
        <v>-7.3831168831169016</v>
      </c>
      <c r="BG58" s="39">
        <f t="shared" ref="BG58" si="557">+IF(BC56&lt;0,1-BG56/BC56,BG56/BC56-1)</f>
        <v>-0.80186823992133727</v>
      </c>
      <c r="BH58" s="39">
        <f t="shared" ref="BH58" si="558">+IF(BD56&lt;0,1-BH56/BD56,BH56/BD56-1)</f>
        <v>-0.8086021505376344</v>
      </c>
      <c r="BI58" s="39">
        <f t="shared" ref="BI58" si="559">+IF(BE56&lt;0,1-BI56/BE56,BI56/BE56-1)</f>
        <v>5.7489619929734337E-2</v>
      </c>
      <c r="BJ58" s="39">
        <f t="shared" ref="BJ58" si="560">+IF(BF56&lt;0,1-BJ56/BF56,BJ56/BF56-1)</f>
        <v>3.5050348567002314</v>
      </c>
      <c r="BK58" s="39">
        <f t="shared" ref="BK58" si="561">+IF(BG56&lt;0,1-BK56/BG56,BK56/BG56-1)</f>
        <v>-0.43879239040529305</v>
      </c>
      <c r="BL58" s="39">
        <f t="shared" ref="BL58" si="562">+IF(BH56&lt;0,1-BL56/BH56,BL56/BH56-1)</f>
        <v>2.8234349919743158</v>
      </c>
      <c r="BM58" s="39">
        <f t="shared" ref="BM58" si="563">+IF(BI56&lt;0,1-BM56/BI56,BM56/BI56-1)</f>
        <v>-0.1229235880398668</v>
      </c>
      <c r="BN58" s="39">
        <f t="shared" ref="BN58" si="564">+IF(BJ56&lt;0,1-BN56/BJ56,BN56/BJ56-1)</f>
        <v>0.27272727272727137</v>
      </c>
      <c r="BO58" s="39">
        <f t="shared" ref="BO58" si="565">+IF(BK56&lt;0,1-BO56/BK56,BO56/BK56-1)</f>
        <v>6.6322770817980103E-2</v>
      </c>
      <c r="BP58" s="39">
        <f t="shared" ref="BP58" si="566">+IF(BL56&lt;0,1-BP56/BL56,BP56/BL56-1)</f>
        <v>0.38119227539882661</v>
      </c>
      <c r="BQ58" s="39">
        <f t="shared" ref="BQ58" si="567">+IF(BM56&lt;0,1-BQ56/BM56,BQ56/BM56-1)</f>
        <v>0.71212121212121149</v>
      </c>
      <c r="BR58" s="39">
        <f t="shared" ref="BR58" si="568">+IF(BN56&lt;0,1-BR56/BN56,BR56/BN56-1)</f>
        <v>0.38411078717201175</v>
      </c>
      <c r="BS58" s="39">
        <f t="shared" ref="BS58" si="569">+IF(BO56&lt;0,1-BS56/BO56,BS56/BO56-1)</f>
        <v>1.1243953006219742</v>
      </c>
      <c r="BT58" s="39">
        <f t="shared" ref="BT58" si="570">+IF(BP56&lt;0,1-BT56/BP56,BT56/BP56-1)</f>
        <v>4.5896656534953673E-2</v>
      </c>
      <c r="BU58" s="39">
        <f t="shared" ref="BU58" si="571">+IF(BQ56&lt;0,1-BU56/BQ56,BU56/BQ56-1)</f>
        <v>8.3266291230893019E-2</v>
      </c>
      <c r="BV58" s="39">
        <f t="shared" ref="BV58" si="572">+IF(BR56&lt;0,1-BV56/BR56,BV56/BR56-1)</f>
        <v>6.6350710900474841E-2</v>
      </c>
      <c r="BW58" s="39">
        <f t="shared" ref="BW58" si="573">+IF(BS56&lt;0,1-BW56/BS56,BW56/BS56-1)</f>
        <v>0.4251789199739775</v>
      </c>
      <c r="BX58" s="39">
        <f t="shared" ref="BX58" si="574">+IF(BT56&lt;0,1-BX56/BT56,BX56/BT56-1)</f>
        <v>0.78523684975297803</v>
      </c>
      <c r="BY58" s="39">
        <f t="shared" ref="BY58" si="575">+IF(BU56&lt;0,1-BY56/BU56,BY56/BU56-1)</f>
        <v>0.24136650575566265</v>
      </c>
      <c r="BZ58" s="39">
        <f t="shared" ref="BZ58" si="576">+IF(BV56&lt;0,1-BZ56/BV56,BZ56/BV56-1)</f>
        <v>0.58502057613168557</v>
      </c>
      <c r="CA58" s="39">
        <f t="shared" ref="CA58" si="577">+IF(BW56&lt;0,1-CA56/BW56,CA56/BW56-1)</f>
        <v>0.82880620862816401</v>
      </c>
      <c r="CB58" s="39">
        <f t="shared" ref="CB58" si="578">+IF(BX56&lt;0,1-CB56/BX56,CB56/BX56-1)</f>
        <v>1.616474035487546</v>
      </c>
      <c r="CC58" s="39">
        <f t="shared" ref="CC58" si="579">+IF(BY56&lt;0,1-CC56/BY56,CC56/BY56-1)</f>
        <v>1.4410708944062227</v>
      </c>
      <c r="CD58" s="39">
        <f t="shared" ref="CD58" si="580">+IF(BZ56&lt;0,1-CD56/BZ56,CD56/BZ56-1)</f>
        <v>0.26202097829473558</v>
      </c>
      <c r="CE58" s="39">
        <f t="shared" ref="CE58" si="581">+IF(CA56&lt;0,1-CE56/CA56,CE56/CA56-1)</f>
        <v>-7.8756864702944296E-2</v>
      </c>
      <c r="CF58" s="39">
        <f t="shared" ref="CF58" si="582">+IF(CB56&lt;0,1-CF56/CB56,CF56/CB56-1)</f>
        <v>0.4246873639021973</v>
      </c>
      <c r="CG58" s="39">
        <f t="shared" ref="CG58" si="583">+IF(CC56&lt;0,1-CG56/CC56,CG56/CC56-1)</f>
        <v>0.23031676980577154</v>
      </c>
      <c r="CH58" s="39">
        <f t="shared" ref="CH58:CL58" si="584">+IF(CD56&lt;0,1-CH56/CD56,CH56/CD56-1)</f>
        <v>-0.49925938117182378</v>
      </c>
      <c r="CI58" s="39">
        <f t="shared" si="584"/>
        <v>-0.56293185205256835</v>
      </c>
      <c r="CJ58" s="39">
        <f t="shared" si="584"/>
        <v>-0.81374732521070814</v>
      </c>
      <c r="CK58" s="39">
        <f t="shared" si="584"/>
        <v>-0.86339641434263004</v>
      </c>
      <c r="CL58" s="39">
        <f t="shared" si="584"/>
        <v>-0.21544782251437922</v>
      </c>
      <c r="CM58" s="40">
        <f t="shared" ref="CM58" si="585">+CM56/CI56-1</f>
        <v>-2.2516825143911401E-2</v>
      </c>
      <c r="CN58" s="40">
        <f t="shared" ref="CN58" si="586">+CN56/CJ56-1</f>
        <v>-8.6027722075929347E-2</v>
      </c>
      <c r="CO58" s="40">
        <f t="shared" ref="CO58" si="587">+CO56/CK56-1</f>
        <v>0.27540803630408228</v>
      </c>
      <c r="CP58" s="40">
        <f t="shared" ref="CP58" si="588">+CP56/CL56-1</f>
        <v>0.12229449257801317</v>
      </c>
      <c r="CQ58" s="40">
        <f t="shared" ref="CQ58" si="589">+CQ56/CM56-1</f>
        <v>0.59899657851129895</v>
      </c>
      <c r="CR58" s="40">
        <f t="shared" ref="CR58" si="590">+CR56/CN56-1</f>
        <v>0.45870350637766522</v>
      </c>
      <c r="CS58" s="40">
        <f t="shared" ref="CS58" si="591">+CS56/CO56-1</f>
        <v>0.47578723049812965</v>
      </c>
      <c r="CT58" s="40">
        <f t="shared" ref="CT58" si="592">+CT56/CP56-1</f>
        <v>0.35374809534118024</v>
      </c>
      <c r="CU58" s="40">
        <f t="shared" ref="CU58" si="593">+CU56/CQ56-1</f>
        <v>0.36536292439855456</v>
      </c>
      <c r="CV58" s="40">
        <f t="shared" ref="CV58" si="594">+CV56/CR56-1</f>
        <v>0.32887298939320964</v>
      </c>
      <c r="CW58" s="40">
        <f t="shared" ref="CW58" si="595">+CW56/CS56-1</f>
        <v>0.33909926976262339</v>
      </c>
      <c r="CX58" s="40">
        <f t="shared" ref="CX58" si="596">+CX56/CT56-1</f>
        <v>0.27787652178088518</v>
      </c>
      <c r="CY58" s="40">
        <f t="shared" ref="CY58" si="597">+CY56/CU56-1</f>
        <v>0.28102261474817913</v>
      </c>
      <c r="CZ58" s="40">
        <f t="shared" ref="CZ58" si="598">+CZ56/CV56-1</f>
        <v>0.26373681551558303</v>
      </c>
      <c r="DA58" s="40">
        <f t="shared" ref="DA58" si="599">+DA56/CW56-1</f>
        <v>0.26891738210156291</v>
      </c>
      <c r="DB58" s="40">
        <f t="shared" ref="DB58" si="600">+DB56/CX56-1</f>
        <v>0.23452530838681507</v>
      </c>
      <c r="DE58" s="122"/>
      <c r="DF58" s="39">
        <v>-0.73411096898551809</v>
      </c>
    </row>
    <row r="59" spans="1:110" s="39" customFormat="1" x14ac:dyDescent="0.2">
      <c r="A59" s="39" t="s">
        <v>452</v>
      </c>
      <c r="AB59" s="40"/>
      <c r="AC59" s="40"/>
      <c r="AD59" s="40"/>
      <c r="AE59" s="40"/>
      <c r="AJ59" s="39">
        <f>+IF(AI56&lt;0,1-AJ56/AI56,AJ56/AI56-1)</f>
        <v>-0.9433164128595608</v>
      </c>
      <c r="AK59" s="39">
        <f t="shared" ref="AK59:AM59" si="601">+IF(AJ56&lt;0,1-AK56/AJ56,AK56/AJ56-1)</f>
        <v>26.328358208955553</v>
      </c>
      <c r="AL59" s="39">
        <f t="shared" si="601"/>
        <v>0.84653194975423496</v>
      </c>
      <c r="AM59" s="39">
        <f t="shared" si="601"/>
        <v>-1.407867494824016</v>
      </c>
      <c r="AN59" s="39">
        <f t="shared" ref="AN59" si="602">+IF(AM56&lt;0,1-AN56/AM56,AN56/AM56-1)</f>
        <v>0.15010877447425597</v>
      </c>
      <c r="AO59" s="39">
        <f t="shared" ref="AO59" si="603">+IF(AN56&lt;0,1-AO56/AN56,AO56/AN56-1)</f>
        <v>1.3600682593856654</v>
      </c>
      <c r="AP59" s="39">
        <f t="shared" ref="AP59" si="604">+IF(AO56&lt;0,1-AP56/AO56,AP56/AO56-1)</f>
        <v>1.2251184834123232</v>
      </c>
      <c r="AQ59" s="39">
        <f t="shared" ref="AQ59" si="605">+IF(AP56&lt;0,1-AQ56/AP56,AQ56/AP56-1)</f>
        <v>-2.7763578274760379</v>
      </c>
      <c r="AR59" s="39">
        <f t="shared" ref="AR59" si="606">+IF(AQ56&lt;0,1-AR56/AQ56,AR56/AQ56-1)</f>
        <v>2.4664268585131888</v>
      </c>
      <c r="AS59" s="39">
        <f t="shared" ref="AS59" si="607">+IF(AR56&lt;0,1-AS56/AR56,AS56/AR56-1)</f>
        <v>-0.91210139002452972</v>
      </c>
      <c r="AT59" s="39">
        <f t="shared" ref="AT59" si="608">+IF(AS56&lt;0,1-AT56/AS56,AT56/AS56-1)</f>
        <v>-1.488372093023258</v>
      </c>
      <c r="AU59" s="39">
        <f t="shared" ref="AU59" si="609">+IF(AT56&lt;0,1-AU56/AT56,AU56/AT56-1)</f>
        <v>2.7714285714285642</v>
      </c>
      <c r="AV59" s="39">
        <f t="shared" ref="AV59" si="610">+IF(AU56&lt;0,1-AV56/AU56,AV56/AU56-1)</f>
        <v>-0.1290322580645149</v>
      </c>
      <c r="AW59" s="39">
        <f t="shared" ref="AW59" si="611">+IF(AV56&lt;0,1-AW56/AV56,AW56/AV56-1)</f>
        <v>0.35185185185184564</v>
      </c>
      <c r="AX59" s="39">
        <f t="shared" ref="AX59" si="612">+IF(AW56&lt;0,1-AX56/AW56,AX56/AW56-1)</f>
        <v>-0.88127853881279494</v>
      </c>
      <c r="AY59" s="39">
        <f t="shared" ref="AY59" si="613">+IF(AX56&lt;0,1-AY56/AX56,AY56/AX56-1)</f>
        <v>13.346153846155039</v>
      </c>
      <c r="AZ59" s="39">
        <f t="shared" ref="AZ59" si="614">+IF(AY56&lt;0,1-AZ56/AY56,AZ56/AY56-1)</f>
        <v>-0.13404825737265391</v>
      </c>
      <c r="BA59" s="39">
        <f t="shared" ref="BA59" si="615">+IF(AZ56&lt;0,1-BA56/AZ56,BA56/AZ56-1)</f>
        <v>6.5015479876160187E-2</v>
      </c>
      <c r="BB59" s="39">
        <f t="shared" ref="BB59" si="616">+IF(BA56&lt;0,1-BB56/BA56,BB56/BA56-1)</f>
        <v>-1.4476744186046504</v>
      </c>
      <c r="BC59" s="39">
        <f t="shared" ref="BC59" si="617">+IF(BB56&lt;0,1-BC56/BB56,BC56/BB56-1)</f>
        <v>80.246753246753357</v>
      </c>
      <c r="BD59" s="39">
        <f t="shared" ref="BD59" si="618">+IF(BC56&lt;0,1-BD56/BC56,BD56/BC56-1)</f>
        <v>-0.73328416912487704</v>
      </c>
      <c r="BE59" s="39">
        <f t="shared" ref="BE59" si="619">+IF(BD56&lt;0,1-BE56/BD56,BE56/BD56-1)</f>
        <v>-3.8095238095237627E-2</v>
      </c>
      <c r="BF59" s="39">
        <f t="shared" ref="BF59" si="620">+IF(BE56&lt;0,1-BF56/BE56,BF56/BE56-1)</f>
        <v>-1.4123283296071545</v>
      </c>
      <c r="BG59" s="39">
        <f t="shared" ref="BG59" si="621">+IF(BF56&lt;0,1-BG56/BF56,BG56/BF56-1)</f>
        <v>2.8729666924864432</v>
      </c>
      <c r="BH59" s="39">
        <f t="shared" ref="BH59" si="622">+IF(BG56&lt;0,1-BH56/BG56,BH56/BG56-1)</f>
        <v>-0.74234904880066177</v>
      </c>
      <c r="BI59" s="39">
        <f t="shared" ref="BI59" si="623">+IF(BH56&lt;0,1-BI56/BH56,BI56/BH56-1)</f>
        <v>4.3146067415730345</v>
      </c>
      <c r="BJ59" s="39">
        <f t="shared" ref="BJ59" si="624">+IF(BI56&lt;0,1-BJ56/BI56,BJ56/BI56-1)</f>
        <v>-2.3255813953487858E-2</v>
      </c>
      <c r="BK59" s="39">
        <f t="shared" ref="BK59" si="625">+IF(BJ56&lt;0,1-BK56/BJ56,BK56/BJ56-1)</f>
        <v>-0.5803957946815087</v>
      </c>
      <c r="BL59" s="39">
        <f t="shared" ref="BL59" si="626">+IF(BK56&lt;0,1-BL56/BK56,BL56/BK56-1)</f>
        <v>0.75534266764922298</v>
      </c>
      <c r="BM59" s="39">
        <f t="shared" ref="BM59" si="627">+IF(BL56&lt;0,1-BM56/BL56,BM56/BL56-1)</f>
        <v>0.21914357682619756</v>
      </c>
      <c r="BN59" s="39">
        <f t="shared" ref="BN59" si="628">+IF(BM56&lt;0,1-BN56/BM56,BN56/BM56-1)</f>
        <v>0.41735537190082539</v>
      </c>
      <c r="BO59" s="39">
        <f t="shared" ref="BO59" si="629">+IF(BN56&lt;0,1-BO56/BN56,BO56/BN56-1)</f>
        <v>-0.64844509232264302</v>
      </c>
      <c r="BP59" s="39">
        <f t="shared" ref="BP59" si="630">+IF(BO56&lt;0,1-BP56/BO56,BP56/BO56-1)</f>
        <v>1.2736696613683489</v>
      </c>
      <c r="BQ59" s="39">
        <f t="shared" ref="BQ59" si="631">+IF(BP56&lt;0,1-BQ56/BP56,BQ56/BP56-1)</f>
        <v>0.51124620060790127</v>
      </c>
      <c r="BR59" s="39">
        <f t="shared" ref="BR59" si="632">+IF(BQ56&lt;0,1-BR56/BQ56,BR56/BQ56-1)</f>
        <v>0.14581657280772276</v>
      </c>
      <c r="BS59" s="39">
        <f t="shared" ref="BS59" si="633">+IF(BR56&lt;0,1-BS56/BR56,BS56/BR56-1)</f>
        <v>-0.46041776373529941</v>
      </c>
      <c r="BT59" s="39">
        <f t="shared" ref="BT59" si="634">+IF(BS56&lt;0,1-BT56/BS56,BT56/BS56-1)</f>
        <v>0.11938841899804919</v>
      </c>
      <c r="BU59" s="39">
        <f t="shared" ref="BU59" si="635">+IF(BT56&lt;0,1-BU56/BT56,BU56/BT56-1)</f>
        <v>0.56524266201685491</v>
      </c>
      <c r="BV59" s="39">
        <f t="shared" ref="BV59" si="636">+IF(BU56&lt;0,1-BV56/BU56,BV56/BU56-1)</f>
        <v>0.12792424805050207</v>
      </c>
      <c r="BW59" s="39">
        <f t="shared" ref="BW59" si="637">+IF(BV56&lt;0,1-BW56/BV56,BW56/BV56-1)</f>
        <v>-0.2788477366255141</v>
      </c>
      <c r="BX59" s="39">
        <f t="shared" ref="BX59" si="638">+IF(BW56&lt;0,1-BX56/BW56,BX56/BW56-1)</f>
        <v>0.40219128052955799</v>
      </c>
      <c r="BY59" s="39">
        <f t="shared" ref="BY59" si="639">+IF(BX56&lt;0,1-BY56/BX56,BY56/BX56-1)</f>
        <v>8.8393293179228394E-2</v>
      </c>
      <c r="BZ59" s="39">
        <f t="shared" ref="BZ59" si="640">+IF(BY56&lt;0,1-BZ56/BY56,BZ56/BY56-1)</f>
        <v>0.44017349685910823</v>
      </c>
      <c r="CA59" s="39">
        <f t="shared" ref="CA59" si="641">+IF(BZ56&lt;0,1-CA56/BZ56,CA56/BZ56-1)</f>
        <v>-0.16793021082147697</v>
      </c>
      <c r="CB59" s="39">
        <f t="shared" ref="CB59" si="642">+IF(CA56&lt;0,1-CB56/CA56,CB56/CA56-1)</f>
        <v>1.00611582626061</v>
      </c>
      <c r="CC59" s="39">
        <f t="shared" ref="CC59" si="643">+IF(CB56&lt;0,1-CC56/CB56,CC56/CB56-1)</f>
        <v>1.5429602438873147E-2</v>
      </c>
      <c r="CD59" s="39">
        <f t="shared" ref="CD59" si="644">+IF(CC56&lt;0,1-CD56/CC56,CD56/CC56-1)</f>
        <v>-0.25543777954782187</v>
      </c>
      <c r="CE59" s="39">
        <f t="shared" ref="CE59" si="645">+IF(CD56&lt;0,1-CE56/CD56,CE56/CD56-1)</f>
        <v>-0.39261026991441716</v>
      </c>
      <c r="CF59" s="39">
        <f t="shared" ref="CF59" si="646">+IF(CE56&lt;0,1-CF56/CE56,CF56/CE56-1)</f>
        <v>2.1024251456442213</v>
      </c>
      <c r="CG59" s="39">
        <f t="shared" ref="CG59" si="647">+IF(CF56&lt;0,1-CG56/CF56,CG56/CF56-1)</f>
        <v>-0.12310581248089469</v>
      </c>
      <c r="CH59" s="39">
        <f t="shared" ref="CH59:CL59" si="648">+IF(CG56&lt;0,1-CH56/CG56,CH56/CG56-1)</f>
        <v>-0.69696215139442241</v>
      </c>
      <c r="CI59" s="39">
        <f t="shared" si="648"/>
        <v>-0.46984387838948294</v>
      </c>
      <c r="CJ59" s="39">
        <f t="shared" si="648"/>
        <v>0.32207067575945514</v>
      </c>
      <c r="CK59" s="39">
        <f t="shared" si="648"/>
        <v>-0.35685814771395297</v>
      </c>
      <c r="CL59" s="39">
        <f t="shared" si="648"/>
        <v>0.74043018592782417</v>
      </c>
      <c r="CM59" s="40">
        <f t="shared" ref="CM59" si="649">+CM56/CL56-1</f>
        <v>-0.33947198950864332</v>
      </c>
      <c r="CN59" s="40">
        <f t="shared" ref="CN59" si="650">+CN56/CM56-1</f>
        <v>0.23617058398819357</v>
      </c>
      <c r="CO59" s="40">
        <f t="shared" ref="CO59" si="651">+CO56/CN56-1</f>
        <v>-0.10252388753823649</v>
      </c>
      <c r="CP59" s="40">
        <f t="shared" ref="CP59" si="652">+CP56/CO56-1</f>
        <v>0.53149043818446318</v>
      </c>
      <c r="CQ59" s="40">
        <f t="shared" ref="CQ59" si="653">+CQ56/CP56-1</f>
        <v>-5.890830279278314E-2</v>
      </c>
      <c r="CR59" s="40">
        <f t="shared" ref="CR59" si="654">+CR56/CQ56-1</f>
        <v>0.12771120937815206</v>
      </c>
      <c r="CS59" s="40">
        <f t="shared" ref="CS59" si="655">+CS56/CR56-1</f>
        <v>-9.2013023443532571E-2</v>
      </c>
      <c r="CT59" s="40">
        <f t="shared" ref="CT59" si="656">+CT56/CS56-1</f>
        <v>0.40484496740471965</v>
      </c>
      <c r="CU59" s="40">
        <f t="shared" ref="CU59" si="657">+CU56/CT56-1</f>
        <v>-5.0833965160846373E-2</v>
      </c>
      <c r="CV59" s="40">
        <f t="shared" ref="CV59" si="658">+CV56/CU56-1</f>
        <v>9.7572622779915186E-2</v>
      </c>
      <c r="CW59" s="40">
        <f t="shared" ref="CW59" si="659">+CW56/CV56-1</f>
        <v>-8.5025651837550398E-2</v>
      </c>
      <c r="CX59" s="40">
        <f t="shared" ref="CX59" si="660">+CX56/CW56-1</f>
        <v>0.34061636887215641</v>
      </c>
      <c r="CY59" s="40">
        <f t="shared" ref="CY59" si="661">+CY56/CX56-1</f>
        <v>-4.8497147372817739E-2</v>
      </c>
      <c r="CZ59" s="40">
        <f t="shared" ref="CZ59" si="662">+CZ56/CY56-1</f>
        <v>8.2762251922959607E-2</v>
      </c>
      <c r="DA59" s="40">
        <f t="shared" ref="DA59" si="663">+DA56/CZ56-1</f>
        <v>-8.1274803182258881E-2</v>
      </c>
      <c r="DB59" s="40">
        <f t="shared" ref="DB59" si="664">+DB56/DA56-1</f>
        <v>0.30428100328272145</v>
      </c>
      <c r="DE59" s="122"/>
    </row>
    <row r="60" spans="1:110" s="75" customFormat="1" x14ac:dyDescent="0.2">
      <c r="A60" s="23" t="s">
        <v>23</v>
      </c>
      <c r="B60" s="75">
        <f>'Annual Raw'!C32</f>
        <v>0</v>
      </c>
      <c r="C60" s="75">
        <f>'Annual Raw'!D32</f>
        <v>0</v>
      </c>
      <c r="D60" s="75">
        <f>'Annual Raw'!E32</f>
        <v>0</v>
      </c>
      <c r="E60" s="75">
        <f>'Annual Raw'!F32</f>
        <v>0</v>
      </c>
      <c r="F60" s="75">
        <f>'Annual Raw'!G32</f>
        <v>0</v>
      </c>
      <c r="G60" s="75">
        <f>'Annual Raw'!H32</f>
        <v>0</v>
      </c>
      <c r="H60" s="75">
        <f>'Annual Raw'!I32</f>
        <v>0</v>
      </c>
      <c r="I60" s="75">
        <f>'Annual Raw'!J32</f>
        <v>0</v>
      </c>
      <c r="J60" s="75">
        <f>'Annual Raw'!K32</f>
        <v>0</v>
      </c>
      <c r="K60" s="75">
        <f>'Annual Raw'!L32</f>
        <v>0</v>
      </c>
      <c r="L60" s="75">
        <f>'Annual Raw'!M32</f>
        <v>0</v>
      </c>
      <c r="M60" s="75">
        <f>'Annual Raw'!N32</f>
        <v>0</v>
      </c>
      <c r="N60" s="75">
        <f>'Annual Raw'!O32</f>
        <v>0</v>
      </c>
      <c r="O60" s="75">
        <f>'Annual Raw'!P32</f>
        <v>0</v>
      </c>
      <c r="P60" s="75">
        <f>'Annual Raw'!Q32</f>
        <v>0</v>
      </c>
      <c r="Q60" s="75">
        <f>'Annual Raw'!R32</f>
        <v>0</v>
      </c>
      <c r="R60" s="75">
        <f>'Annual Raw'!S32</f>
        <v>0</v>
      </c>
      <c r="S60" s="75">
        <f>'Annual Raw'!T32</f>
        <v>0</v>
      </c>
      <c r="T60" s="75">
        <f>'Annual Raw'!U32</f>
        <v>0</v>
      </c>
      <c r="U60" s="75">
        <f>'Annual Raw'!V32</f>
        <v>0</v>
      </c>
      <c r="V60" s="75">
        <f>'Annual Raw'!W32</f>
        <v>0</v>
      </c>
      <c r="W60" s="75">
        <f>'Annual Raw'!X32</f>
        <v>0</v>
      </c>
      <c r="X60" s="75">
        <f>'Annual Raw'!Y32</f>
        <v>0</v>
      </c>
      <c r="Y60" s="75">
        <f>'Annual Raw'!Z32</f>
        <v>0</v>
      </c>
      <c r="Z60" s="75">
        <f>'Annual Raw'!AA32</f>
        <v>0</v>
      </c>
      <c r="AA60" s="75">
        <f>'Annual Raw'!AB32</f>
        <v>0</v>
      </c>
      <c r="AB60" s="76">
        <f t="shared" ref="AB60:AB61" si="665">+SUM(CM60:CP60)</f>
        <v>0</v>
      </c>
      <c r="AC60" s="76">
        <f t="shared" ref="AC60:AC61" si="666">+SUM(CQ60:CT60)</f>
        <v>0</v>
      </c>
      <c r="AD60" s="76">
        <f t="shared" ref="AD60:AD61" si="667">+SUM(CU60:CX60)</f>
        <v>0</v>
      </c>
      <c r="AE60" s="76">
        <f t="shared" ref="AE60:AE61" si="668">+SUM(CY60:DB60)</f>
        <v>0</v>
      </c>
      <c r="AI60" s="75">
        <f>'QTR Raw'!C34</f>
        <v>0</v>
      </c>
      <c r="AJ60" s="75">
        <f>'QTR Raw'!D34</f>
        <v>0</v>
      </c>
      <c r="AK60" s="75">
        <f>'QTR Raw'!E34</f>
        <v>0</v>
      </c>
      <c r="AL60" s="75">
        <f>'QTR Raw'!F34</f>
        <v>0</v>
      </c>
      <c r="AM60" s="75">
        <f>'QTR Raw'!G34</f>
        <v>0</v>
      </c>
      <c r="AN60" s="75">
        <f>'QTR Raw'!H34</f>
        <v>0</v>
      </c>
      <c r="AO60" s="75">
        <f>'QTR Raw'!I34</f>
        <v>0</v>
      </c>
      <c r="AP60" s="75">
        <f>'QTR Raw'!J34</f>
        <v>0</v>
      </c>
      <c r="AQ60" s="75">
        <f>'QTR Raw'!K34</f>
        <v>0</v>
      </c>
      <c r="AR60" s="75">
        <f>'QTR Raw'!L34</f>
        <v>0</v>
      </c>
      <c r="AS60" s="75">
        <f>'QTR Raw'!M34</f>
        <v>0</v>
      </c>
      <c r="AT60" s="75">
        <f>'QTR Raw'!N34</f>
        <v>0</v>
      </c>
      <c r="AU60" s="75">
        <f>'QTR Raw'!O34</f>
        <v>0</v>
      </c>
      <c r="AV60" s="75">
        <f>'QTR Raw'!P34</f>
        <v>0</v>
      </c>
      <c r="AW60" s="75">
        <f>'QTR Raw'!Q34</f>
        <v>0</v>
      </c>
      <c r="AX60" s="75">
        <f>'QTR Raw'!R34</f>
        <v>0</v>
      </c>
      <c r="AY60" s="75">
        <f>'QTR Raw'!S34</f>
        <v>0</v>
      </c>
      <c r="AZ60" s="75">
        <f>'QTR Raw'!T34</f>
        <v>0</v>
      </c>
      <c r="BA60" s="75">
        <f>'QTR Raw'!U34</f>
        <v>0</v>
      </c>
      <c r="BB60" s="75">
        <f>'QTR Raw'!V34</f>
        <v>0</v>
      </c>
      <c r="BC60" s="75">
        <f>'QTR Raw'!W34</f>
        <v>0</v>
      </c>
      <c r="BD60" s="75">
        <f>'QTR Raw'!X34</f>
        <v>0</v>
      </c>
      <c r="BE60" s="75">
        <f>'QTR Raw'!Y34</f>
        <v>0</v>
      </c>
      <c r="BF60" s="75">
        <f>'QTR Raw'!Z34</f>
        <v>0</v>
      </c>
      <c r="BG60" s="75">
        <f>'QTR Raw'!AA34</f>
        <v>0</v>
      </c>
      <c r="BH60" s="75">
        <f>'QTR Raw'!AB34</f>
        <v>0</v>
      </c>
      <c r="BI60" s="75">
        <f>'QTR Raw'!AC34</f>
        <v>0</v>
      </c>
      <c r="BJ60" s="75">
        <f>'QTR Raw'!AD34</f>
        <v>0</v>
      </c>
      <c r="BK60" s="75">
        <f>'QTR Raw'!AE34</f>
        <v>0</v>
      </c>
      <c r="BL60" s="75">
        <f>'QTR Raw'!AF34</f>
        <v>0</v>
      </c>
      <c r="BM60" s="75">
        <f>'QTR Raw'!AG34</f>
        <v>0</v>
      </c>
      <c r="BN60" s="75">
        <f>'QTR Raw'!AH34</f>
        <v>0</v>
      </c>
      <c r="BO60" s="75">
        <f>'QTR Raw'!AI34</f>
        <v>0</v>
      </c>
      <c r="BP60" s="75">
        <f>'QTR Raw'!AJ34</f>
        <v>0</v>
      </c>
      <c r="BQ60" s="75">
        <f>'QTR Raw'!AK34</f>
        <v>0</v>
      </c>
      <c r="BR60" s="75">
        <f>'QTR Raw'!AL34</f>
        <v>0</v>
      </c>
      <c r="BS60" s="75">
        <f>'QTR Raw'!AM34</f>
        <v>0</v>
      </c>
      <c r="BT60" s="75">
        <f>'QTR Raw'!AN34</f>
        <v>0</v>
      </c>
      <c r="BU60" s="75">
        <f>'QTR Raw'!AO34</f>
        <v>0</v>
      </c>
      <c r="BV60" s="75">
        <f>'QTR Raw'!AP34</f>
        <v>0</v>
      </c>
      <c r="BW60" s="75">
        <f>'QTR Raw'!AQ34</f>
        <v>0</v>
      </c>
      <c r="BX60" s="75">
        <f>'QTR Raw'!AR34</f>
        <v>0</v>
      </c>
      <c r="BY60" s="75">
        <f>'QTR Raw'!AS34</f>
        <v>0</v>
      </c>
      <c r="BZ60" s="75">
        <f>'QTR Raw'!AT34</f>
        <v>0</v>
      </c>
      <c r="CA60" s="75">
        <f>'QTR Raw'!AU34</f>
        <v>0</v>
      </c>
      <c r="CB60" s="75">
        <f>'QTR Raw'!AV34</f>
        <v>0</v>
      </c>
      <c r="CC60" s="75">
        <f>'QTR Raw'!AW34</f>
        <v>0</v>
      </c>
      <c r="CD60" s="75">
        <f>'QTR Raw'!AX34</f>
        <v>0</v>
      </c>
      <c r="CE60" s="75">
        <f>'QTR Raw'!AY34</f>
        <v>0</v>
      </c>
      <c r="CF60" s="75">
        <f>'QTR Raw'!AZ34</f>
        <v>0</v>
      </c>
      <c r="CG60" s="75">
        <f>'QTR Raw'!BA34</f>
        <v>0</v>
      </c>
      <c r="CH60" s="75">
        <f>'QTR Raw'!BB34</f>
        <v>0</v>
      </c>
      <c r="CI60" s="75">
        <f>'QTR Raw'!BC34</f>
        <v>0</v>
      </c>
      <c r="CJ60" s="75">
        <f>'QTR Raw'!BD34</f>
        <v>0</v>
      </c>
      <c r="CK60" s="75">
        <f>'QTR Raw'!BE34</f>
        <v>0</v>
      </c>
      <c r="CL60" s="75">
        <f>'QTR Raw'!BF34</f>
        <v>0</v>
      </c>
      <c r="CM60" s="76">
        <f t="shared" ref="CM60:CM61" si="669">+CL60</f>
        <v>0</v>
      </c>
      <c r="CN60" s="76">
        <f t="shared" ref="CN60:CN61" si="670">+CM60</f>
        <v>0</v>
      </c>
      <c r="CO60" s="76">
        <f t="shared" ref="CO60:CO61" si="671">+CN60</f>
        <v>0</v>
      </c>
      <c r="CP60" s="76">
        <f t="shared" ref="CP60:CP61" si="672">+CO60</f>
        <v>0</v>
      </c>
      <c r="CQ60" s="76">
        <f t="shared" ref="CQ60:CQ61" si="673">+CP60</f>
        <v>0</v>
      </c>
      <c r="CR60" s="76">
        <f t="shared" ref="CR60:CR61" si="674">+CQ60</f>
        <v>0</v>
      </c>
      <c r="CS60" s="76">
        <f t="shared" ref="CS60:CS61" si="675">+CR60</f>
        <v>0</v>
      </c>
      <c r="CT60" s="76">
        <f t="shared" ref="CT60:CT61" si="676">+CS60</f>
        <v>0</v>
      </c>
      <c r="CU60" s="76">
        <f t="shared" ref="CU60:CU61" si="677">+CT60</f>
        <v>0</v>
      </c>
      <c r="CV60" s="76">
        <f t="shared" ref="CV60:CV61" si="678">+CU60</f>
        <v>0</v>
      </c>
      <c r="CW60" s="76">
        <f t="shared" ref="CW60:CW61" si="679">+CV60</f>
        <v>0</v>
      </c>
      <c r="CX60" s="76">
        <f t="shared" ref="CX60:CX61" si="680">+CW60</f>
        <v>0</v>
      </c>
      <c r="CY60" s="76">
        <f t="shared" ref="CY60:CY61" si="681">+CX60</f>
        <v>0</v>
      </c>
      <c r="CZ60" s="76">
        <f t="shared" ref="CZ60:CZ61" si="682">+CY60</f>
        <v>0</v>
      </c>
      <c r="DA60" s="76">
        <f t="shared" ref="DA60:DA61" si="683">+CZ60</f>
        <v>0</v>
      </c>
      <c r="DB60" s="76">
        <f t="shared" ref="DB60:DB61" si="684">+DA60</f>
        <v>0</v>
      </c>
      <c r="DE60" s="131"/>
      <c r="DF60" s="75">
        <v>0</v>
      </c>
    </row>
    <row r="61" spans="1:110" s="75" customFormat="1" x14ac:dyDescent="0.2">
      <c r="A61" s="23" t="s">
        <v>24</v>
      </c>
      <c r="B61" s="75">
        <f>'Annual Raw'!C33+'Annual Raw'!C28</f>
        <v>0</v>
      </c>
      <c r="C61" s="75">
        <f>'Annual Raw'!D33+'Annual Raw'!D28</f>
        <v>0</v>
      </c>
      <c r="D61" s="75">
        <f>'Annual Raw'!E33+'Annual Raw'!E28</f>
        <v>0</v>
      </c>
      <c r="E61" s="75">
        <f>'Annual Raw'!F33+'Annual Raw'!F28</f>
        <v>0</v>
      </c>
      <c r="F61" s="75">
        <f>'Annual Raw'!G33+'Annual Raw'!G28</f>
        <v>0</v>
      </c>
      <c r="G61" s="75">
        <f>'Annual Raw'!H33+'Annual Raw'!H28</f>
        <v>0</v>
      </c>
      <c r="H61" s="75">
        <f>'Annual Raw'!I33+'Annual Raw'!I28</f>
        <v>0</v>
      </c>
      <c r="I61" s="75">
        <f>'Annual Raw'!J33+'Annual Raw'!J28</f>
        <v>0</v>
      </c>
      <c r="J61" s="75">
        <f>'Annual Raw'!K33+'Annual Raw'!K28</f>
        <v>0</v>
      </c>
      <c r="K61" s="75">
        <f>'Annual Raw'!L33+'Annual Raw'!L28</f>
        <v>0</v>
      </c>
      <c r="L61" s="75">
        <f>'Annual Raw'!M33+'Annual Raw'!M28</f>
        <v>0</v>
      </c>
      <c r="M61" s="75">
        <f>'Annual Raw'!N33+'Annual Raw'!N28</f>
        <v>0</v>
      </c>
      <c r="N61" s="75">
        <f>'Annual Raw'!O33+'Annual Raw'!O28</f>
        <v>0</v>
      </c>
      <c r="O61" s="75">
        <f>'Annual Raw'!P33+'Annual Raw'!P28</f>
        <v>0</v>
      </c>
      <c r="P61" s="75">
        <f>'Annual Raw'!Q33+'Annual Raw'!Q28</f>
        <v>0</v>
      </c>
      <c r="Q61" s="75">
        <f>'Annual Raw'!R33+'Annual Raw'!R28</f>
        <v>0</v>
      </c>
      <c r="R61" s="75">
        <f>'Annual Raw'!S33+'Annual Raw'!S28</f>
        <v>0</v>
      </c>
      <c r="S61" s="75">
        <f>'Annual Raw'!T33+'Annual Raw'!T28</f>
        <v>0</v>
      </c>
      <c r="T61" s="75">
        <f>'Annual Raw'!U33+'Annual Raw'!U28</f>
        <v>0</v>
      </c>
      <c r="U61" s="75">
        <f>'Annual Raw'!V33+'Annual Raw'!V28</f>
        <v>0</v>
      </c>
      <c r="V61" s="75">
        <f>'Annual Raw'!W33+'Annual Raw'!W28</f>
        <v>0</v>
      </c>
      <c r="W61" s="75">
        <f>'Annual Raw'!X33+'Annual Raw'!X28</f>
        <v>0</v>
      </c>
      <c r="X61" s="75">
        <f>'Annual Raw'!Y33+'Annual Raw'!Y28</f>
        <v>0</v>
      </c>
      <c r="Y61" s="75">
        <f>'Annual Raw'!Z33+'Annual Raw'!Z28</f>
        <v>0</v>
      </c>
      <c r="Z61" s="75">
        <f>'Annual Raw'!AA33+'Annual Raw'!AA28</f>
        <v>0</v>
      </c>
      <c r="AA61" s="75">
        <f>'Annual Raw'!AB33+'Annual Raw'!AB28</f>
        <v>0</v>
      </c>
      <c r="AB61" s="76">
        <f t="shared" si="665"/>
        <v>0</v>
      </c>
      <c r="AC61" s="76">
        <f t="shared" si="666"/>
        <v>0</v>
      </c>
      <c r="AD61" s="76">
        <f t="shared" si="667"/>
        <v>0</v>
      </c>
      <c r="AE61" s="76">
        <f t="shared" si="668"/>
        <v>0</v>
      </c>
      <c r="AI61" s="75">
        <f>'QTR Raw'!C35</f>
        <v>0</v>
      </c>
      <c r="AJ61" s="75">
        <f>'QTR Raw'!D35</f>
        <v>0</v>
      </c>
      <c r="AK61" s="75">
        <f>'QTR Raw'!E35</f>
        <v>0</v>
      </c>
      <c r="AL61" s="75">
        <f>'QTR Raw'!F35</f>
        <v>0</v>
      </c>
      <c r="AM61" s="75">
        <f>'QTR Raw'!G35</f>
        <v>0</v>
      </c>
      <c r="AN61" s="75">
        <f>'QTR Raw'!H35</f>
        <v>0</v>
      </c>
      <c r="AO61" s="75">
        <f>'QTR Raw'!I35</f>
        <v>0</v>
      </c>
      <c r="AP61" s="75">
        <f>'QTR Raw'!J35</f>
        <v>0</v>
      </c>
      <c r="AQ61" s="75">
        <f>'QTR Raw'!K35</f>
        <v>0</v>
      </c>
      <c r="AR61" s="75">
        <f>'QTR Raw'!L35</f>
        <v>0</v>
      </c>
      <c r="AS61" s="75">
        <f>'QTR Raw'!M35</f>
        <v>0</v>
      </c>
      <c r="AT61" s="75">
        <f>'QTR Raw'!N35</f>
        <v>0</v>
      </c>
      <c r="AU61" s="75">
        <f>'QTR Raw'!O35</f>
        <v>0</v>
      </c>
      <c r="AV61" s="75">
        <f>'QTR Raw'!P35</f>
        <v>0</v>
      </c>
      <c r="AW61" s="75">
        <f>'QTR Raw'!Q35</f>
        <v>0</v>
      </c>
      <c r="AX61" s="75">
        <f>'QTR Raw'!R35</f>
        <v>0</v>
      </c>
      <c r="AY61" s="75">
        <f>'QTR Raw'!S35</f>
        <v>0</v>
      </c>
      <c r="AZ61" s="75">
        <f>'QTR Raw'!T35</f>
        <v>0</v>
      </c>
      <c r="BA61" s="75">
        <f>'QTR Raw'!U35</f>
        <v>0</v>
      </c>
      <c r="BB61" s="75">
        <f>'QTR Raw'!V35</f>
        <v>0</v>
      </c>
      <c r="BC61" s="75">
        <f>'QTR Raw'!W35</f>
        <v>0</v>
      </c>
      <c r="BD61" s="75">
        <f>'QTR Raw'!X35</f>
        <v>0</v>
      </c>
      <c r="BE61" s="75">
        <f>'QTR Raw'!Y35</f>
        <v>0</v>
      </c>
      <c r="BF61" s="75">
        <f>'QTR Raw'!Z35</f>
        <v>0</v>
      </c>
      <c r="BG61" s="75">
        <f>'QTR Raw'!AA35</f>
        <v>0</v>
      </c>
      <c r="BH61" s="75">
        <f>'QTR Raw'!AB35</f>
        <v>0</v>
      </c>
      <c r="BI61" s="75">
        <f>'QTR Raw'!AC35</f>
        <v>0</v>
      </c>
      <c r="BJ61" s="75">
        <f>'QTR Raw'!AD35</f>
        <v>0</v>
      </c>
      <c r="BK61" s="75">
        <f>'QTR Raw'!AE35</f>
        <v>0</v>
      </c>
      <c r="BL61" s="75">
        <f>'QTR Raw'!AF35</f>
        <v>0</v>
      </c>
      <c r="BM61" s="75">
        <f>'QTR Raw'!AG35</f>
        <v>0</v>
      </c>
      <c r="BN61" s="75">
        <f>'QTR Raw'!AH35</f>
        <v>0</v>
      </c>
      <c r="BO61" s="75">
        <f>'QTR Raw'!AI35</f>
        <v>0</v>
      </c>
      <c r="BP61" s="75">
        <f>'QTR Raw'!AJ35</f>
        <v>0</v>
      </c>
      <c r="BQ61" s="75">
        <f>'QTR Raw'!AK35</f>
        <v>0</v>
      </c>
      <c r="BR61" s="75">
        <f>'QTR Raw'!AL35</f>
        <v>0</v>
      </c>
      <c r="BS61" s="75">
        <f>'QTR Raw'!AM35</f>
        <v>0</v>
      </c>
      <c r="BT61" s="75">
        <f>'QTR Raw'!AN35</f>
        <v>0</v>
      </c>
      <c r="BU61" s="75">
        <f>'QTR Raw'!AO35</f>
        <v>0</v>
      </c>
      <c r="BV61" s="75">
        <f>'QTR Raw'!AP35</f>
        <v>0</v>
      </c>
      <c r="BW61" s="75">
        <f>'QTR Raw'!AQ35</f>
        <v>0</v>
      </c>
      <c r="BX61" s="75">
        <f>'QTR Raw'!AR35</f>
        <v>0</v>
      </c>
      <c r="BY61" s="75">
        <f>'QTR Raw'!AS35</f>
        <v>0</v>
      </c>
      <c r="BZ61" s="75">
        <f>'QTR Raw'!AT35</f>
        <v>0</v>
      </c>
      <c r="CA61" s="75">
        <f>'QTR Raw'!AU35</f>
        <v>0</v>
      </c>
      <c r="CB61" s="75">
        <f>'QTR Raw'!AV35</f>
        <v>0</v>
      </c>
      <c r="CC61" s="75">
        <f>'QTR Raw'!AW35</f>
        <v>0</v>
      </c>
      <c r="CD61" s="75">
        <f>'QTR Raw'!AX35</f>
        <v>0</v>
      </c>
      <c r="CE61" s="75">
        <f>'QTR Raw'!AY35</f>
        <v>0</v>
      </c>
      <c r="CF61" s="75">
        <f>'QTR Raw'!AZ35</f>
        <v>0</v>
      </c>
      <c r="CG61" s="75">
        <f>'QTR Raw'!BA35</f>
        <v>0</v>
      </c>
      <c r="CH61" s="75">
        <f>'QTR Raw'!BB35</f>
        <v>0</v>
      </c>
      <c r="CI61" s="75">
        <f>'QTR Raw'!BC35</f>
        <v>0</v>
      </c>
      <c r="CJ61" s="75">
        <f>'QTR Raw'!BD35</f>
        <v>0</v>
      </c>
      <c r="CK61" s="75">
        <f>'QTR Raw'!BE35</f>
        <v>0</v>
      </c>
      <c r="CL61" s="75">
        <f>'QTR Raw'!BF35</f>
        <v>0</v>
      </c>
      <c r="CM61" s="76">
        <f t="shared" si="669"/>
        <v>0</v>
      </c>
      <c r="CN61" s="76">
        <f t="shared" si="670"/>
        <v>0</v>
      </c>
      <c r="CO61" s="76">
        <f t="shared" si="671"/>
        <v>0</v>
      </c>
      <c r="CP61" s="76">
        <f t="shared" si="672"/>
        <v>0</v>
      </c>
      <c r="CQ61" s="76">
        <f t="shared" si="673"/>
        <v>0</v>
      </c>
      <c r="CR61" s="76">
        <f t="shared" si="674"/>
        <v>0</v>
      </c>
      <c r="CS61" s="76">
        <f t="shared" si="675"/>
        <v>0</v>
      </c>
      <c r="CT61" s="76">
        <f t="shared" si="676"/>
        <v>0</v>
      </c>
      <c r="CU61" s="76">
        <f t="shared" si="677"/>
        <v>0</v>
      </c>
      <c r="CV61" s="76">
        <f t="shared" si="678"/>
        <v>0</v>
      </c>
      <c r="CW61" s="76">
        <f t="shared" si="679"/>
        <v>0</v>
      </c>
      <c r="CX61" s="76">
        <f t="shared" si="680"/>
        <v>0</v>
      </c>
      <c r="CY61" s="76">
        <f t="shared" si="681"/>
        <v>0</v>
      </c>
      <c r="CZ61" s="76">
        <f t="shared" si="682"/>
        <v>0</v>
      </c>
      <c r="DA61" s="76">
        <f t="shared" si="683"/>
        <v>0</v>
      </c>
      <c r="DB61" s="76">
        <f t="shared" si="684"/>
        <v>0</v>
      </c>
      <c r="DE61" s="131"/>
      <c r="DF61" s="75">
        <v>0</v>
      </c>
    </row>
    <row r="62" spans="1:110" s="23" customFormat="1" x14ac:dyDescent="0.2">
      <c r="A62" s="23" t="s">
        <v>19</v>
      </c>
      <c r="B62" s="75">
        <f>'Annual Raw'!C29+'Annual Raw'!C31+'Annual Raw'!C34+'Annual Raw'!C36</f>
        <v>0</v>
      </c>
      <c r="C62" s="75">
        <f>'Annual Raw'!D29+'Annual Raw'!D31+'Annual Raw'!D34+'Annual Raw'!D36</f>
        <v>0</v>
      </c>
      <c r="D62" s="75">
        <f>'Annual Raw'!E29+'Annual Raw'!E31+'Annual Raw'!E34+'Annual Raw'!E36</f>
        <v>0</v>
      </c>
      <c r="E62" s="75">
        <f>'Annual Raw'!F29+'Annual Raw'!F31+'Annual Raw'!F34+'Annual Raw'!F36</f>
        <v>-1.4266916999999999</v>
      </c>
      <c r="F62" s="75">
        <f>'Annual Raw'!G29+'Annual Raw'!G31+'Annual Raw'!G34+'Annual Raw'!G36</f>
        <v>0</v>
      </c>
      <c r="G62" s="75">
        <f>'Annual Raw'!H29+'Annual Raw'!H31+'Annual Raw'!H34+'Annual Raw'!H36</f>
        <v>0</v>
      </c>
      <c r="H62" s="75">
        <f>'Annual Raw'!I29+'Annual Raw'!I31+'Annual Raw'!I34+'Annual Raw'!I36</f>
        <v>0</v>
      </c>
      <c r="I62" s="75">
        <f>'Annual Raw'!J29+'Annual Raw'!J31+'Annual Raw'!J34+'Annual Raw'!J36</f>
        <v>-0.65604499999999999</v>
      </c>
      <c r="J62" s="75">
        <f>'Annual Raw'!K29+'Annual Raw'!K31+'Annual Raw'!K34+'Annual Raw'!K36</f>
        <v>0</v>
      </c>
      <c r="K62" s="75">
        <f>'Annual Raw'!L29+'Annual Raw'!L31+'Annual Raw'!L34+'Annual Raw'!L36</f>
        <v>0</v>
      </c>
      <c r="L62" s="75">
        <f>'Annual Raw'!M29+'Annual Raw'!M31+'Annual Raw'!M34+'Annual Raw'!M36</f>
        <v>0</v>
      </c>
      <c r="M62" s="75">
        <f>'Annual Raw'!N29+'Annual Raw'!N31+'Annual Raw'!N34+'Annual Raw'!N36</f>
        <v>0</v>
      </c>
      <c r="N62" s="75">
        <f>'Annual Raw'!O29+'Annual Raw'!O31+'Annual Raw'!O34+'Annual Raw'!O36</f>
        <v>0</v>
      </c>
      <c r="O62" s="75">
        <f>'Annual Raw'!P29+'Annual Raw'!P31+'Annual Raw'!P34+'Annual Raw'!P36</f>
        <v>0</v>
      </c>
      <c r="P62" s="75">
        <f>'Annual Raw'!Q29+'Annual Raw'!Q31+'Annual Raw'!Q34+'Annual Raw'!Q36</f>
        <v>0</v>
      </c>
      <c r="Q62" s="75">
        <f>'Annual Raw'!R29+'Annual Raw'!R31+'Annual Raw'!R34+'Annual Raw'!R36</f>
        <v>0</v>
      </c>
      <c r="R62" s="75">
        <f>'Annual Raw'!S29+'Annual Raw'!S31+'Annual Raw'!S34+'Annual Raw'!S36</f>
        <v>0</v>
      </c>
      <c r="S62" s="75">
        <f>'Annual Raw'!T29+'Annual Raw'!T31+'Annual Raw'!T34+'Annual Raw'!T36</f>
        <v>0</v>
      </c>
      <c r="T62" s="75">
        <f>'Annual Raw'!U29+'Annual Raw'!U31+'Annual Raw'!U34+'Annual Raw'!U36</f>
        <v>-8.1264699999999995E-2</v>
      </c>
      <c r="U62" s="75">
        <f>'Annual Raw'!V29+'Annual Raw'!V31+'Annual Raw'!V34+'Annual Raw'!V36</f>
        <v>-0.17233409999999999</v>
      </c>
      <c r="V62" s="75">
        <f>'Annual Raw'!W29+'Annual Raw'!W31+'Annual Raw'!W34+'Annual Raw'!W36</f>
        <v>4.2799999999999998E-2</v>
      </c>
      <c r="W62" s="75">
        <f>'Annual Raw'!X29+'Annual Raw'!X31+'Annual Raw'!X34+'Annual Raw'!X36</f>
        <v>-7.5899999999999995E-2</v>
      </c>
      <c r="X62" s="75">
        <f>'Annual Raw'!Y29+'Annual Raw'!Y31+'Annual Raw'!Y34+'Annual Raw'!Y36</f>
        <v>-0.2535</v>
      </c>
      <c r="Y62" s="75">
        <f>'Annual Raw'!Z29+'Annual Raw'!Z31+'Annual Raw'!Z34+'Annual Raw'!Z36</f>
        <v>-0.36749999999999999</v>
      </c>
      <c r="Z62" s="75">
        <f>'Annual Raw'!AA29+'Annual Raw'!AA31+'Annual Raw'!AA34+'Annual Raw'!AA36</f>
        <v>-0.3498</v>
      </c>
      <c r="AA62" s="75">
        <f>'Annual Raw'!AB29+'Annual Raw'!AB31+'Annual Raw'!AB34+'Annual Raw'!AB36</f>
        <v>-0.1502</v>
      </c>
      <c r="AB62" s="76">
        <f>+SUM(CM62:CP62)</f>
        <v>0</v>
      </c>
      <c r="AC62" s="76">
        <f>+SUM(CQ62:CT62)</f>
        <v>0</v>
      </c>
      <c r="AD62" s="76">
        <f>+SUM(CU62:CX62)</f>
        <v>0</v>
      </c>
      <c r="AE62" s="76">
        <f>+SUM(CY62:DB62)</f>
        <v>0</v>
      </c>
      <c r="AI62" s="75">
        <f>'QTR Raw'!C26+'QTR Raw'!C31+'QTR Raw'!C32+'QTR Raw'!C33+'QTR Raw'!C36+'QTR Raw'!C37+'QTR Raw'!C39</f>
        <v>0</v>
      </c>
      <c r="AJ62" s="75">
        <f>'QTR Raw'!D26+'QTR Raw'!D31+'QTR Raw'!D32+'QTR Raw'!D33+'QTR Raw'!D36+'QTR Raw'!D37+'QTR Raw'!D39</f>
        <v>0</v>
      </c>
      <c r="AK62" s="75">
        <f>'QTR Raw'!E26+'QTR Raw'!E31+'QTR Raw'!E32+'QTR Raw'!E33+'QTR Raw'!E36+'QTR Raw'!E37+'QTR Raw'!E39</f>
        <v>0</v>
      </c>
      <c r="AL62" s="75">
        <f>'QTR Raw'!F26+'QTR Raw'!F31+'QTR Raw'!F32+'QTR Raw'!F33+'QTR Raw'!F36+'QTR Raw'!F37+'QTR Raw'!F39</f>
        <v>0</v>
      </c>
      <c r="AM62" s="75">
        <f>'QTR Raw'!G26+'QTR Raw'!G31+'QTR Raw'!G32+'QTR Raw'!G33+'QTR Raw'!G36+'QTR Raw'!G37+'QTR Raw'!G39</f>
        <v>0</v>
      </c>
      <c r="AN62" s="75">
        <f>'QTR Raw'!H26+'QTR Raw'!H31+'QTR Raw'!H32+'QTR Raw'!H33+'QTR Raw'!H36+'QTR Raw'!H37+'QTR Raw'!H39</f>
        <v>0</v>
      </c>
      <c r="AO62" s="75">
        <f>'QTR Raw'!I26+'QTR Raw'!I31+'QTR Raw'!I32+'QTR Raw'!I33+'QTR Raw'!I36+'QTR Raw'!I37+'QTR Raw'!I39</f>
        <v>0</v>
      </c>
      <c r="AP62" s="75">
        <f>'QTR Raw'!J26+'QTR Raw'!J31+'QTR Raw'!J32+'QTR Raw'!J33+'QTR Raw'!J36+'QTR Raw'!J37+'QTR Raw'!J39</f>
        <v>0</v>
      </c>
      <c r="AQ62" s="75">
        <f>'QTR Raw'!K26+'QTR Raw'!K31+'QTR Raw'!K32+'QTR Raw'!K33+'QTR Raw'!K36+'QTR Raw'!K37+'QTR Raw'!K39</f>
        <v>0</v>
      </c>
      <c r="AR62" s="75">
        <f>'QTR Raw'!L26+'QTR Raw'!L31+'QTR Raw'!L32+'QTR Raw'!L33+'QTR Raw'!L36+'QTR Raw'!L37+'QTR Raw'!L39</f>
        <v>0</v>
      </c>
      <c r="AS62" s="75">
        <f>'QTR Raw'!M26+'QTR Raw'!M31+'QTR Raw'!M32+'QTR Raw'!M33+'QTR Raw'!M36+'QTR Raw'!M37+'QTR Raw'!M39</f>
        <v>0</v>
      </c>
      <c r="AT62" s="75">
        <f>'QTR Raw'!N26+'QTR Raw'!N31+'QTR Raw'!N32+'QTR Raw'!N33+'QTR Raw'!N36+'QTR Raw'!N37+'QTR Raw'!N39</f>
        <v>0</v>
      </c>
      <c r="AU62" s="75">
        <f>'QTR Raw'!O26+'QTR Raw'!O31+'QTR Raw'!O32+'QTR Raw'!O33+'QTR Raw'!O36+'QTR Raw'!O37+'QTR Raw'!O39</f>
        <v>0</v>
      </c>
      <c r="AV62" s="75">
        <f>'QTR Raw'!P26+'QTR Raw'!P31+'QTR Raw'!P32+'QTR Raw'!P33+'QTR Raw'!P36+'QTR Raw'!P37+'QTR Raw'!P39</f>
        <v>0</v>
      </c>
      <c r="AW62" s="75">
        <f>'QTR Raw'!Q26+'QTR Raw'!Q31+'QTR Raw'!Q32+'QTR Raw'!Q33+'QTR Raw'!Q36+'QTR Raw'!Q37+'QTR Raw'!Q39</f>
        <v>0</v>
      </c>
      <c r="AX62" s="75">
        <f>'QTR Raw'!R26+'QTR Raw'!R31+'QTR Raw'!R32+'QTR Raw'!R33+'QTR Raw'!R36+'QTR Raw'!R37+'QTR Raw'!R39</f>
        <v>0</v>
      </c>
      <c r="AY62" s="75">
        <f>'QTR Raw'!S26+'QTR Raw'!S31+'QTR Raw'!S32+'QTR Raw'!S33+'QTR Raw'!S36+'QTR Raw'!S37+'QTR Raw'!S39</f>
        <v>0</v>
      </c>
      <c r="AZ62" s="75">
        <f>'QTR Raw'!T26+'QTR Raw'!T31+'QTR Raw'!T32+'QTR Raw'!T33+'QTR Raw'!T36+'QTR Raw'!T37+'QTR Raw'!T39</f>
        <v>0</v>
      </c>
      <c r="BA62" s="75">
        <f>'QTR Raw'!U26+'QTR Raw'!U31+'QTR Raw'!U32+'QTR Raw'!U33+'QTR Raw'!U36+'QTR Raw'!U37+'QTR Raw'!U39</f>
        <v>0</v>
      </c>
      <c r="BB62" s="75">
        <f>'QTR Raw'!V26+'QTR Raw'!V31+'QTR Raw'!V32+'QTR Raw'!V33+'QTR Raw'!V36+'QTR Raw'!V37+'QTR Raw'!V39</f>
        <v>0</v>
      </c>
      <c r="BC62" s="75">
        <f>'QTR Raw'!W26+'QTR Raw'!W31+'QTR Raw'!W32+'QTR Raw'!W33+'QTR Raw'!W36+'QTR Raw'!W37+'QTR Raw'!W39</f>
        <v>0</v>
      </c>
      <c r="BD62" s="75">
        <f>'QTR Raw'!X26+'QTR Raw'!X31+'QTR Raw'!X32+'QTR Raw'!X33+'QTR Raw'!X36+'QTR Raw'!X37+'QTR Raw'!X39</f>
        <v>0</v>
      </c>
      <c r="BE62" s="75">
        <f>'QTR Raw'!Y26+'QTR Raw'!Y31+'QTR Raw'!Y32+'QTR Raw'!Y33+'QTR Raw'!Y36+'QTR Raw'!Y37+'QTR Raw'!Y39</f>
        <v>0</v>
      </c>
      <c r="BF62" s="75">
        <f>'QTR Raw'!Z26+'QTR Raw'!Z31+'QTR Raw'!Z32+'QTR Raw'!Z33+'QTR Raw'!Z36+'QTR Raw'!Z37+'QTR Raw'!Z39</f>
        <v>0</v>
      </c>
      <c r="BG62" s="75">
        <f>'QTR Raw'!AA26+'QTR Raw'!AA31+'QTR Raw'!AA32+'QTR Raw'!AA33+'QTR Raw'!AA36+'QTR Raw'!AA37+'QTR Raw'!AA39</f>
        <v>0</v>
      </c>
      <c r="BH62" s="75">
        <f>'QTR Raw'!AB26+'QTR Raw'!AB31+'QTR Raw'!AB32+'QTR Raw'!AB33+'QTR Raw'!AB36+'QTR Raw'!AB37+'QTR Raw'!AB39</f>
        <v>0</v>
      </c>
      <c r="BI62" s="75">
        <f>'QTR Raw'!AC26+'QTR Raw'!AC31+'QTR Raw'!AC32+'QTR Raw'!AC33+'QTR Raw'!AC36+'QTR Raw'!AC37+'QTR Raw'!AC39</f>
        <v>0</v>
      </c>
      <c r="BJ62" s="75">
        <f>'QTR Raw'!AD26+'QTR Raw'!AD31+'QTR Raw'!AD32+'QTR Raw'!AD33+'QTR Raw'!AD36+'QTR Raw'!AD37+'QTR Raw'!AD39</f>
        <v>0</v>
      </c>
      <c r="BK62" s="75">
        <f>'QTR Raw'!AE26+'QTR Raw'!AE31+'QTR Raw'!AE32+'QTR Raw'!AE33+'QTR Raw'!AE36+'QTR Raw'!AE37+'QTR Raw'!AE39</f>
        <v>0</v>
      </c>
      <c r="BL62" s="75">
        <f>'QTR Raw'!AF26+'QTR Raw'!AF31+'QTR Raw'!AF32+'QTR Raw'!AF33+'QTR Raw'!AF36+'QTR Raw'!AF37+'QTR Raw'!AF39</f>
        <v>0</v>
      </c>
      <c r="BM62" s="75">
        <f>'QTR Raw'!AG26+'QTR Raw'!AG31+'QTR Raw'!AG32+'QTR Raw'!AG33+'QTR Raw'!AG36+'QTR Raw'!AG37+'QTR Raw'!AG39</f>
        <v>0</v>
      </c>
      <c r="BN62" s="75">
        <f>'QTR Raw'!AH26+'QTR Raw'!AH31+'QTR Raw'!AH32+'QTR Raw'!AH33+'QTR Raw'!AH36+'QTR Raw'!AH37+'QTR Raw'!AH39</f>
        <v>0</v>
      </c>
      <c r="BO62" s="75">
        <f>'QTR Raw'!AI26+'QTR Raw'!AI31+'QTR Raw'!AI32+'QTR Raw'!AI33+'QTR Raw'!AI36+'QTR Raw'!AI37+'QTR Raw'!AI39</f>
        <v>0</v>
      </c>
      <c r="BP62" s="75">
        <f>'QTR Raw'!AJ26+'QTR Raw'!AJ31+'QTR Raw'!AJ32+'QTR Raw'!AJ33+'QTR Raw'!AJ36+'QTR Raw'!AJ37+'QTR Raw'!AJ39</f>
        <v>0</v>
      </c>
      <c r="BQ62" s="75">
        <f>'QTR Raw'!AK26+'QTR Raw'!AK31+'QTR Raw'!AK32+'QTR Raw'!AK33+'QTR Raw'!AK36+'QTR Raw'!AK37+'QTR Raw'!AK39</f>
        <v>0</v>
      </c>
      <c r="BR62" s="75">
        <f>'QTR Raw'!AL26+'QTR Raw'!AL31+'QTR Raw'!AL32+'QTR Raw'!AL33+'QTR Raw'!AL36+'QTR Raw'!AL37+'QTR Raw'!AL39</f>
        <v>0</v>
      </c>
      <c r="BS62" s="75">
        <f>'QTR Raw'!AM26+'QTR Raw'!AM31+'QTR Raw'!AM32+'QTR Raw'!AM33+'QTR Raw'!AM36+'QTR Raw'!AM37+'QTR Raw'!AM39</f>
        <v>0</v>
      </c>
      <c r="BT62" s="75">
        <f>'QTR Raw'!AN26+'QTR Raw'!AN31+'QTR Raw'!AN32+'QTR Raw'!AN33+'QTR Raw'!AN36+'QTR Raw'!AN37+'QTR Raw'!AN39</f>
        <v>0</v>
      </c>
      <c r="BU62" s="75">
        <f>'QTR Raw'!AO26+'QTR Raw'!AO31+'QTR Raw'!AO32+'QTR Raw'!AO33+'QTR Raw'!AO36+'QTR Raw'!AO37+'QTR Raw'!AO39</f>
        <v>0</v>
      </c>
      <c r="BV62" s="75">
        <f>'QTR Raw'!AP26+'QTR Raw'!AP31+'QTR Raw'!AP32+'QTR Raw'!AP33+'QTR Raw'!AP36+'QTR Raw'!AP37+'QTR Raw'!AP39</f>
        <v>0</v>
      </c>
      <c r="BW62" s="75">
        <f>'QTR Raw'!AQ26+'QTR Raw'!AQ31+'QTR Raw'!AQ32+'QTR Raw'!AQ33+'QTR Raw'!AQ36+'QTR Raw'!AQ37+'QTR Raw'!AQ39</f>
        <v>0</v>
      </c>
      <c r="BX62" s="75">
        <f>'QTR Raw'!AR26+'QTR Raw'!AR31+'QTR Raw'!AR32+'QTR Raw'!AR33+'QTR Raw'!AR36+'QTR Raw'!AR37+'QTR Raw'!AR39</f>
        <v>0</v>
      </c>
      <c r="BY62" s="75">
        <f>'QTR Raw'!AS26+'QTR Raw'!AS31+'QTR Raw'!AS32+'QTR Raw'!AS33+'QTR Raw'!AS36+'QTR Raw'!AS37+'QTR Raw'!AS39</f>
        <v>0</v>
      </c>
      <c r="BZ62" s="75">
        <f>'QTR Raw'!AT26+'QTR Raw'!AT31+'QTR Raw'!AT32+'QTR Raw'!AT33+'QTR Raw'!AT36+'QTR Raw'!AT37+'QTR Raw'!AT39</f>
        <v>0</v>
      </c>
      <c r="CA62" s="75">
        <f>'QTR Raw'!AU26+'QTR Raw'!AU31+'QTR Raw'!AU32+'QTR Raw'!AU33+'QTR Raw'!AU36+'QTR Raw'!AU37+'QTR Raw'!AU39</f>
        <v>0</v>
      </c>
      <c r="CB62" s="75">
        <f>'QTR Raw'!AV26+'QTR Raw'!AV31+'QTR Raw'!AV32+'QTR Raw'!AV33+'QTR Raw'!AV36+'QTR Raw'!AV37+'QTR Raw'!AV39</f>
        <v>0</v>
      </c>
      <c r="CC62" s="75">
        <f>'QTR Raw'!AW26+'QTR Raw'!AW31+'QTR Raw'!AW32+'QTR Raw'!AW33+'QTR Raw'!AW36+'QTR Raw'!AW37+'QTR Raw'!AW39</f>
        <v>0</v>
      </c>
      <c r="CD62" s="75">
        <f>'QTR Raw'!AX26+'QTR Raw'!AX31+'QTR Raw'!AX32+'QTR Raw'!AX33+'QTR Raw'!AX36+'QTR Raw'!AX37+'QTR Raw'!AX39</f>
        <v>0</v>
      </c>
      <c r="CE62" s="75">
        <f>'QTR Raw'!AY26+'QTR Raw'!AY31+'QTR Raw'!AY32+'QTR Raw'!AY33+'QTR Raw'!AY36+'QTR Raw'!AY37+'QTR Raw'!AY39</f>
        <v>0</v>
      </c>
      <c r="CF62" s="75">
        <f>'QTR Raw'!AZ26+'QTR Raw'!AZ31+'QTR Raw'!AZ32+'QTR Raw'!AZ33+'QTR Raw'!AZ36+'QTR Raw'!AZ37+'QTR Raw'!AZ39</f>
        <v>0</v>
      </c>
      <c r="CG62" s="75">
        <f>'QTR Raw'!BA26+'QTR Raw'!BA31+'QTR Raw'!BA32+'QTR Raw'!BA33+'QTR Raw'!BA36+'QTR Raw'!BA37+'QTR Raw'!BA39</f>
        <v>0</v>
      </c>
      <c r="CH62" s="75">
        <f>'QTR Raw'!BB26+'QTR Raw'!BB31+'QTR Raw'!BB32+'QTR Raw'!BB33+'QTR Raw'!BB36+'QTR Raw'!BB37+'QTR Raw'!BB39</f>
        <v>0</v>
      </c>
      <c r="CI62" s="75">
        <f>'QTR Raw'!BC26+'QTR Raw'!BC31+'QTR Raw'!BC32+'QTR Raw'!BC33+'QTR Raw'!BC36+'QTR Raw'!BC37+'QTR Raw'!BC39</f>
        <v>0</v>
      </c>
      <c r="CJ62" s="75">
        <f>'QTR Raw'!BD26+'QTR Raw'!BD31+'QTR Raw'!BD32+'QTR Raw'!BD33+'QTR Raw'!BD36+'QTR Raw'!BD37+'QTR Raw'!BD39</f>
        <v>0</v>
      </c>
      <c r="CK62" s="75">
        <f>'QTR Raw'!BE26+'QTR Raw'!BE31+'QTR Raw'!BE32+'QTR Raw'!BE33+'QTR Raw'!BE36+'QTR Raw'!BE37+'QTR Raw'!BE39</f>
        <v>0</v>
      </c>
      <c r="CL62" s="75">
        <f>'QTR Raw'!BF26+'QTR Raw'!BF31+'QTR Raw'!BF32+'QTR Raw'!BF33+'QTR Raw'!BF36+'QTR Raw'!BF37+'QTR Raw'!BF39</f>
        <v>0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E62" s="123"/>
      <c r="DF62" s="23">
        <v>0</v>
      </c>
    </row>
    <row r="63" spans="1:110" s="26" customFormat="1" x14ac:dyDescent="0.2">
      <c r="A63" s="35" t="s">
        <v>25</v>
      </c>
      <c r="B63" s="26">
        <f>B56+B60+B61+B62</f>
        <v>0.930724</v>
      </c>
      <c r="C63" s="26">
        <f>C56+C60+C61+C62</f>
        <v>-2.7938197000000002</v>
      </c>
      <c r="D63" s="26">
        <f>D56+D60+D61+D62</f>
        <v>0.16681070000000114</v>
      </c>
      <c r="E63" s="26">
        <f t="shared" ref="E63:U63" si="685">E56+E60+E61+E62</f>
        <v>0.10707659999999963</v>
      </c>
      <c r="F63" s="26">
        <f t="shared" si="685"/>
        <v>0.87197420000000037</v>
      </c>
      <c r="G63" s="26">
        <f t="shared" si="685"/>
        <v>0.97637029999999903</v>
      </c>
      <c r="H63" s="26">
        <f t="shared" si="685"/>
        <v>2.1407220999999996</v>
      </c>
      <c r="I63" s="26">
        <f t="shared" si="685"/>
        <v>3.0153160000000003</v>
      </c>
      <c r="J63" s="26">
        <f t="shared" si="685"/>
        <v>2.5325355000000007</v>
      </c>
      <c r="K63" s="26">
        <f t="shared" si="685"/>
        <v>1.0643218000000025</v>
      </c>
      <c r="L63" s="26">
        <f t="shared" si="685"/>
        <v>2.4560254999999955</v>
      </c>
      <c r="M63" s="26">
        <f t="shared" si="685"/>
        <v>3.8923590000000017</v>
      </c>
      <c r="N63" s="26">
        <f t="shared" si="685"/>
        <v>6.5192257000000025</v>
      </c>
      <c r="O63" s="26">
        <f t="shared" si="685"/>
        <v>-1.0337097999999989</v>
      </c>
      <c r="P63" s="26">
        <f t="shared" si="685"/>
        <v>0.89333419999999775</v>
      </c>
      <c r="Q63" s="26">
        <f t="shared" si="685"/>
        <v>0.5935026000000001</v>
      </c>
      <c r="R63" s="26">
        <f t="shared" si="685"/>
        <v>0.88373800000000369</v>
      </c>
      <c r="S63" s="26">
        <f t="shared" si="685"/>
        <v>17.304229500000005</v>
      </c>
      <c r="T63" s="26">
        <f t="shared" si="685"/>
        <v>9.507903000000006</v>
      </c>
      <c r="U63" s="26">
        <f t="shared" si="685"/>
        <v>10.585057200000001</v>
      </c>
      <c r="V63" s="26">
        <f t="shared" ref="V63:AA63" si="686">V56+V60+V61+V62</f>
        <v>15.376500000000016</v>
      </c>
      <c r="W63" s="26">
        <f t="shared" si="686"/>
        <v>17.901100000000007</v>
      </c>
      <c r="X63" s="26">
        <f t="shared" si="686"/>
        <v>26.584399999999992</v>
      </c>
      <c r="Y63" s="26">
        <f t="shared" si="686"/>
        <v>52.187299999999972</v>
      </c>
      <c r="Z63" s="26">
        <f t="shared" si="686"/>
        <v>56.094799999999985</v>
      </c>
      <c r="AA63" s="26">
        <f t="shared" si="686"/>
        <v>14.843599999999991</v>
      </c>
      <c r="AB63" s="27">
        <f t="shared" ref="AB63:AD63" si="687">AB56+AB60+AB61+AB62</f>
        <v>15.907730638581452</v>
      </c>
      <c r="AC63" s="27">
        <f t="shared" si="687"/>
        <v>23.144489920531292</v>
      </c>
      <c r="AD63" s="27">
        <f t="shared" si="687"/>
        <v>30.622989994428679</v>
      </c>
      <c r="AE63" s="27">
        <f t="shared" ref="AE63" si="688">AE56+AE60+AE61+AE62</f>
        <v>38.583469118935184</v>
      </c>
      <c r="AI63" s="26">
        <f t="shared" ref="AI63" si="689">AI56+AI60+AI61+AI62</f>
        <v>1.182000000000001</v>
      </c>
      <c r="AJ63" s="26">
        <f t="shared" ref="AJ63" si="690">AJ56+AJ60+AJ61+AJ62</f>
        <v>6.6999999999999171E-2</v>
      </c>
      <c r="AK63" s="26">
        <f t="shared" ref="AK63:AM63" si="691">AK56+AK60+AK61+AK62</f>
        <v>1.8309999999999993</v>
      </c>
      <c r="AL63" s="26">
        <f t="shared" si="691"/>
        <v>3.3810000000000029</v>
      </c>
      <c r="AM63" s="26">
        <f t="shared" si="691"/>
        <v>-1.3789999999999996</v>
      </c>
      <c r="AN63" s="26">
        <f t="shared" ref="AN63:AO63" si="692">AN56+AN60+AN61+AN62</f>
        <v>-1.1720000000000006</v>
      </c>
      <c r="AO63" s="26">
        <f t="shared" si="692"/>
        <v>0.42199999999999999</v>
      </c>
      <c r="AP63" s="26">
        <f t="shared" ref="AP63:CD63" si="693">AP56+AP60+AP61+AP62</f>
        <v>0.93900000000000028</v>
      </c>
      <c r="AQ63" s="26">
        <f t="shared" si="693"/>
        <v>-1.6680000000000001</v>
      </c>
      <c r="AR63" s="26">
        <f t="shared" si="693"/>
        <v>2.4459999999999993</v>
      </c>
      <c r="AS63" s="26">
        <f t="shared" si="693"/>
        <v>0.2150000000000003</v>
      </c>
      <c r="AT63" s="26">
        <f t="shared" si="693"/>
        <v>-0.10500000000000059</v>
      </c>
      <c r="AU63" s="26">
        <f t="shared" si="693"/>
        <v>0.18600000000000028</v>
      </c>
      <c r="AV63" s="26">
        <f t="shared" si="693"/>
        <v>0.16200000000000048</v>
      </c>
      <c r="AW63" s="26">
        <f t="shared" si="693"/>
        <v>0.21899999999999964</v>
      </c>
      <c r="AX63" s="26">
        <f t="shared" si="693"/>
        <v>2.5999999999997858E-2</v>
      </c>
      <c r="AY63" s="26">
        <f t="shared" si="693"/>
        <v>0.37300000000000028</v>
      </c>
      <c r="AZ63" s="26">
        <f t="shared" si="693"/>
        <v>0.32300000000000034</v>
      </c>
      <c r="BA63" s="26">
        <f t="shared" si="693"/>
        <v>0.34400000000000014</v>
      </c>
      <c r="BB63" s="26">
        <f t="shared" si="693"/>
        <v>-0.1539999999999998</v>
      </c>
      <c r="BC63" s="26">
        <f t="shared" si="693"/>
        <v>12.204000000000001</v>
      </c>
      <c r="BD63" s="26">
        <f t="shared" si="693"/>
        <v>3.2549999999999999</v>
      </c>
      <c r="BE63" s="26">
        <f t="shared" si="693"/>
        <v>3.1310000000000016</v>
      </c>
      <c r="BF63" s="26">
        <f t="shared" si="693"/>
        <v>-1.2910000000000013</v>
      </c>
      <c r="BG63" s="26">
        <f t="shared" si="693"/>
        <v>2.4180000000000001</v>
      </c>
      <c r="BH63" s="26">
        <f t="shared" si="693"/>
        <v>0.62299999999999989</v>
      </c>
      <c r="BI63" s="26">
        <f t="shared" si="693"/>
        <v>3.3109999999999999</v>
      </c>
      <c r="BJ63" s="26">
        <f t="shared" si="693"/>
        <v>3.2340000000000018</v>
      </c>
      <c r="BK63" s="26">
        <f t="shared" si="693"/>
        <v>1.3570000000000015</v>
      </c>
      <c r="BL63" s="26">
        <f t="shared" si="693"/>
        <v>2.3819999999999983</v>
      </c>
      <c r="BM63" s="26">
        <f t="shared" si="693"/>
        <v>2.9040000000000008</v>
      </c>
      <c r="BN63" s="26">
        <f t="shared" si="693"/>
        <v>4.1159999999999979</v>
      </c>
      <c r="BO63" s="26">
        <f t="shared" si="693"/>
        <v>1.4470000000000007</v>
      </c>
      <c r="BP63" s="26">
        <f t="shared" si="693"/>
        <v>3.2900000000000027</v>
      </c>
      <c r="BQ63" s="26">
        <f t="shared" si="693"/>
        <v>4.9719999999999995</v>
      </c>
      <c r="BR63" s="26">
        <f t="shared" si="693"/>
        <v>5.6969999999999974</v>
      </c>
      <c r="BS63" s="26">
        <f t="shared" si="693"/>
        <v>3.0739999999999981</v>
      </c>
      <c r="BT63" s="26">
        <f t="shared" si="693"/>
        <v>3.4410000000000007</v>
      </c>
      <c r="BU63" s="26">
        <f t="shared" si="693"/>
        <v>5.3859999999999992</v>
      </c>
      <c r="BV63" s="26">
        <f t="shared" si="693"/>
        <v>6.0750000000000028</v>
      </c>
      <c r="BW63" s="26">
        <f t="shared" si="693"/>
        <v>4.3810000000000038</v>
      </c>
      <c r="BX63" s="26">
        <f t="shared" si="693"/>
        <v>6.1429999999999989</v>
      </c>
      <c r="BY63" s="26">
        <f t="shared" si="693"/>
        <v>6.6859999999999982</v>
      </c>
      <c r="BZ63" s="26">
        <f t="shared" si="693"/>
        <v>9.6289999999999942</v>
      </c>
      <c r="CA63" s="26">
        <f t="shared" si="693"/>
        <v>8.0119999999999933</v>
      </c>
      <c r="CB63" s="26">
        <f t="shared" si="693"/>
        <v>16.072999999999993</v>
      </c>
      <c r="CC63" s="26">
        <f t="shared" si="693"/>
        <v>16.321000000000002</v>
      </c>
      <c r="CD63" s="26">
        <f t="shared" si="693"/>
        <v>12.152000000000001</v>
      </c>
      <c r="CE63" s="26">
        <f t="shared" ref="CE63:CF63" si="694">CE56+CE60+CE61+CE62</f>
        <v>7.3810000000000038</v>
      </c>
      <c r="CF63" s="26">
        <f t="shared" si="694"/>
        <v>22.899000000000008</v>
      </c>
      <c r="CG63" s="26">
        <f t="shared" ref="CG63:CH63" si="695">CG56+CG60+CG61+CG62</f>
        <v>20.079999999999998</v>
      </c>
      <c r="CH63" s="26">
        <f t="shared" si="695"/>
        <v>6.0849999999999973</v>
      </c>
      <c r="CI63" s="26">
        <f t="shared" ref="CI63:CJ63" si="696">CI56+CI60+CI61+CI62</f>
        <v>3.2259999999999946</v>
      </c>
      <c r="CJ63" s="26">
        <f t="shared" si="696"/>
        <v>4.2649999999999952</v>
      </c>
      <c r="CK63" s="26">
        <f t="shared" ref="CK63:CL63" si="697">CK56+CK60+CK61+CK62</f>
        <v>2.7429999999999874</v>
      </c>
      <c r="CL63" s="26">
        <f t="shared" si="697"/>
        <v>4.774</v>
      </c>
      <c r="CM63" s="27">
        <f t="shared" ref="CM63:DB63" si="698">CM56+CM60+CM61+CM62</f>
        <v>3.1533607220857367</v>
      </c>
      <c r="CN63" s="27">
        <f t="shared" si="698"/>
        <v>3.8980917653461571</v>
      </c>
      <c r="CO63" s="27">
        <f t="shared" si="698"/>
        <v>3.4984442435820817</v>
      </c>
      <c r="CP63" s="27">
        <f t="shared" si="698"/>
        <v>5.3578339075674348</v>
      </c>
      <c r="CQ63" s="27">
        <f t="shared" si="698"/>
        <v>5.042213005427012</v>
      </c>
      <c r="CR63" s="27">
        <f t="shared" si="698"/>
        <v>5.686160126292342</v>
      </c>
      <c r="CS63" s="27">
        <f t="shared" si="698"/>
        <v>5.1629593412881247</v>
      </c>
      <c r="CT63" s="27">
        <f t="shared" si="698"/>
        <v>7.2531574475238081</v>
      </c>
      <c r="CU63" s="27">
        <f t="shared" si="698"/>
        <v>6.8844506945302495</v>
      </c>
      <c r="CV63" s="27">
        <f t="shared" si="698"/>
        <v>7.5561846051945745</v>
      </c>
      <c r="CW63" s="27">
        <f t="shared" si="698"/>
        <v>6.9137150837330426</v>
      </c>
      <c r="CX63" s="27">
        <f t="shared" si="698"/>
        <v>9.2686396109708475</v>
      </c>
      <c r="CY63" s="27">
        <f t="shared" si="698"/>
        <v>8.8191370298120582</v>
      </c>
      <c r="CZ63" s="27">
        <f t="shared" si="698"/>
        <v>9.5490286704164653</v>
      </c>
      <c r="DA63" s="27">
        <f t="shared" si="698"/>
        <v>8.7729332446466195</v>
      </c>
      <c r="DB63" s="27">
        <f t="shared" si="698"/>
        <v>11.442370174060034</v>
      </c>
      <c r="DE63" s="121"/>
      <c r="DF63" s="26">
        <v>15.008000000000022</v>
      </c>
    </row>
    <row r="64" spans="1:110" s="25" customFormat="1" x14ac:dyDescent="0.2">
      <c r="A64" s="151" t="s">
        <v>486</v>
      </c>
      <c r="AB64" s="17"/>
      <c r="AC64" s="17"/>
      <c r="AD64" s="17"/>
      <c r="AE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1" customFormat="1" x14ac:dyDescent="0.2">
      <c r="AB65" s="20"/>
      <c r="AC65" s="20"/>
      <c r="AD65" s="20"/>
      <c r="AE65" s="20"/>
      <c r="BV65" s="183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22" customFormat="1" x14ac:dyDescent="0.2">
      <c r="A66" s="22" t="s">
        <v>434</v>
      </c>
      <c r="B66" s="22">
        <f>'Annual Raw'!C35</f>
        <v>0.930724</v>
      </c>
      <c r="C66" s="22">
        <f>'Annual Raw'!D35</f>
        <v>-2.7938196999999998</v>
      </c>
      <c r="D66" s="22">
        <f>'Annual Raw'!E35</f>
        <v>0.16681070000000001</v>
      </c>
      <c r="E66" s="22">
        <f>'Annual Raw'!F35</f>
        <v>0.10707659999999999</v>
      </c>
      <c r="F66" s="22">
        <f>'Annual Raw'!G35</f>
        <v>0.87197420000000003</v>
      </c>
      <c r="G66" s="22">
        <f>'Annual Raw'!H35</f>
        <v>0.97637030000000002</v>
      </c>
      <c r="H66" s="22">
        <f>'Annual Raw'!I35</f>
        <v>2.1407221000000001</v>
      </c>
      <c r="I66" s="22">
        <f>'Annual Raw'!J35</f>
        <v>3.0153159999999999</v>
      </c>
      <c r="J66" s="22">
        <f>'Annual Raw'!K35</f>
        <v>2.5325354999999998</v>
      </c>
      <c r="K66" s="22">
        <f>'Annual Raw'!L35</f>
        <v>1.0643218000000001</v>
      </c>
      <c r="L66" s="22">
        <f>'Annual Raw'!M35</f>
        <v>2.4560255</v>
      </c>
      <c r="M66" s="22">
        <f>'Annual Raw'!N35</f>
        <v>3.8923589999999999</v>
      </c>
      <c r="N66" s="22">
        <f>'Annual Raw'!O35</f>
        <v>6.5192256999999998</v>
      </c>
      <c r="O66" s="22">
        <f>'Annual Raw'!P35</f>
        <v>-1.0337098</v>
      </c>
      <c r="P66" s="22">
        <f>'Annual Raw'!Q35</f>
        <v>0.89333419999999997</v>
      </c>
      <c r="Q66" s="22">
        <f>'Annual Raw'!R35</f>
        <v>0.59350259999999999</v>
      </c>
      <c r="R66" s="22">
        <f>'Annual Raw'!S35</f>
        <v>0.88373800000000002</v>
      </c>
      <c r="S66" s="22">
        <f>'Annual Raw'!T35</f>
        <v>17.304229500000002</v>
      </c>
      <c r="T66" s="22">
        <f>'Annual Raw'!U35</f>
        <v>9.5891677000000008</v>
      </c>
      <c r="U66" s="22">
        <f>'Annual Raw'!V35</f>
        <v>10.7573913</v>
      </c>
      <c r="V66" s="22">
        <f>'Annual Raw'!W35</f>
        <v>15.3765</v>
      </c>
      <c r="W66" s="22">
        <f>'Annual Raw'!X35</f>
        <v>17.9011</v>
      </c>
      <c r="X66" s="22">
        <f>'Annual Raw'!Y35</f>
        <v>26.584399999999999</v>
      </c>
      <c r="Y66" s="22">
        <f>'Annual Raw'!Z35</f>
        <v>52.1873</v>
      </c>
      <c r="Z66" s="22">
        <f>'Annual Raw'!AA35</f>
        <v>56.094799999999999</v>
      </c>
      <c r="AA66" s="22">
        <f>'Annual Raw'!AB35</f>
        <v>14.8436</v>
      </c>
      <c r="AB66" s="21">
        <f t="shared" ref="AB66:AD66" si="699">+AB63</f>
        <v>15.907730638581452</v>
      </c>
      <c r="AC66" s="21">
        <f t="shared" si="699"/>
        <v>23.144489920531292</v>
      </c>
      <c r="AD66" s="21">
        <f t="shared" si="699"/>
        <v>30.622989994428679</v>
      </c>
      <c r="AE66" s="21">
        <f t="shared" ref="AE66" si="700">+AE63</f>
        <v>38.583469118935184</v>
      </c>
      <c r="AI66" s="22">
        <f>'QTR Raw'!C42</f>
        <v>1.1830000000000001</v>
      </c>
      <c r="AJ66" s="22">
        <f>'QTR Raw'!D42</f>
        <v>6.7000000000000004E-2</v>
      </c>
      <c r="AK66" s="22">
        <f>'QTR Raw'!E42</f>
        <v>1.829</v>
      </c>
      <c r="AL66" s="22">
        <f>'QTR Raw'!F42</f>
        <v>3.3820000000000001</v>
      </c>
      <c r="AM66" s="22">
        <f>'QTR Raw'!G42</f>
        <v>-1.379</v>
      </c>
      <c r="AN66" s="22">
        <f>'QTR Raw'!H42</f>
        <v>-1.1719999999999999</v>
      </c>
      <c r="AO66" s="22">
        <f>'QTR Raw'!I42</f>
        <v>0.42299999999999999</v>
      </c>
      <c r="AP66" s="22">
        <f>'QTR Raw'!J42</f>
        <v>0.93799999999999994</v>
      </c>
      <c r="AQ66" s="22">
        <f>'QTR Raw'!K42</f>
        <v>-1.6679999999999999</v>
      </c>
      <c r="AR66" s="22">
        <f>'QTR Raw'!L42</f>
        <v>2.4460000000000002</v>
      </c>
      <c r="AS66" s="22">
        <f>'QTR Raw'!M42</f>
        <v>0.215</v>
      </c>
      <c r="AT66" s="22">
        <f>'QTR Raw'!N42</f>
        <v>-0.105</v>
      </c>
      <c r="AU66" s="22">
        <f>'QTR Raw'!O42</f>
        <v>0.186</v>
      </c>
      <c r="AV66" s="22">
        <f>'QTR Raw'!P42</f>
        <v>0.16200000000000001</v>
      </c>
      <c r="AW66" s="22">
        <f>'QTR Raw'!Q42</f>
        <v>0.219</v>
      </c>
      <c r="AX66" s="22">
        <f>'QTR Raw'!R42</f>
        <v>2.5999999999999999E-2</v>
      </c>
      <c r="AY66" s="22">
        <f>'QTR Raw'!S42</f>
        <v>0.372</v>
      </c>
      <c r="AZ66" s="22">
        <f>'QTR Raw'!T42</f>
        <v>0.32200000000000001</v>
      </c>
      <c r="BA66" s="22">
        <f>'QTR Raw'!U42</f>
        <v>0.34399999999999997</v>
      </c>
      <c r="BB66" s="22">
        <f>'QTR Raw'!V42</f>
        <v>-0.155</v>
      </c>
      <c r="BC66" s="22">
        <f>'QTR Raw'!W42</f>
        <v>12.204000000000001</v>
      </c>
      <c r="BD66" s="22">
        <f>'QTR Raw'!X42</f>
        <v>3.2549999999999999</v>
      </c>
      <c r="BE66" s="22">
        <f>'QTR Raw'!Y42</f>
        <v>3.1320000000000001</v>
      </c>
      <c r="BF66" s="22">
        <f>'QTR Raw'!Z42</f>
        <v>-1.2909999999999999</v>
      </c>
      <c r="BG66" s="22">
        <f>'QTR Raw'!AA42</f>
        <v>2.4180000000000001</v>
      </c>
      <c r="BH66" s="22">
        <f>'QTR Raw'!AB42</f>
        <v>0.625</v>
      </c>
      <c r="BI66" s="22">
        <f>'QTR Raw'!AC42</f>
        <v>3.3109999999999999</v>
      </c>
      <c r="BJ66" s="22">
        <f>'QTR Raw'!AD42</f>
        <v>3.234</v>
      </c>
      <c r="BK66" s="22">
        <f>'QTR Raw'!AE42</f>
        <v>1.357</v>
      </c>
      <c r="BL66" s="22">
        <f>'QTR Raw'!AF42</f>
        <v>2.3809999999999998</v>
      </c>
      <c r="BM66" s="22">
        <f>'QTR Raw'!AG42</f>
        <v>2.9039999999999999</v>
      </c>
      <c r="BN66" s="22">
        <f>'QTR Raw'!AH42</f>
        <v>4.1159999999999997</v>
      </c>
      <c r="BO66" s="22">
        <f>'QTR Raw'!AI42</f>
        <v>1.4470000000000001</v>
      </c>
      <c r="BP66" s="22">
        <f>'QTR Raw'!AJ42</f>
        <v>3.2890000000000001</v>
      </c>
      <c r="BQ66" s="22">
        <f>'QTR Raw'!AK42</f>
        <v>4.9729999999999999</v>
      </c>
      <c r="BR66" s="22">
        <f>'QTR Raw'!AL42</f>
        <v>5.6970000000000001</v>
      </c>
      <c r="BS66" s="22">
        <f>'QTR Raw'!AM42</f>
        <v>3.0739999999999998</v>
      </c>
      <c r="BT66" s="22">
        <f>'QTR Raw'!AN42</f>
        <v>3.4420000000000002</v>
      </c>
      <c r="BU66" s="22">
        <f>'QTR Raw'!AO42</f>
        <v>5.3860000000000001</v>
      </c>
      <c r="BV66" s="22">
        <f>'QTR Raw'!AP42</f>
        <v>6.0759999999999996</v>
      </c>
      <c r="BW66" s="22">
        <f>'QTR Raw'!AQ42</f>
        <v>4.3819999999999997</v>
      </c>
      <c r="BX66" s="22">
        <f>'QTR Raw'!AR42</f>
        <v>6.1429999999999998</v>
      </c>
      <c r="BY66" s="22">
        <f>'QTR Raw'!AS42</f>
        <v>6.6870000000000003</v>
      </c>
      <c r="BZ66" s="22">
        <f>'QTR Raw'!AT42</f>
        <v>9.6280000000000001</v>
      </c>
      <c r="CA66" s="22">
        <f>'QTR Raw'!AU42</f>
        <v>8.0120000000000005</v>
      </c>
      <c r="CB66" s="22">
        <f>'QTR Raw'!AV42</f>
        <v>16.073</v>
      </c>
      <c r="CC66" s="22">
        <f>'QTR Raw'!AW42</f>
        <v>16.321000000000002</v>
      </c>
      <c r="CD66" s="22">
        <f>'QTR Raw'!AX42</f>
        <v>12.151999999999999</v>
      </c>
      <c r="CE66" s="22">
        <f>'QTR Raw'!AY42</f>
        <v>7.3810000000000002</v>
      </c>
      <c r="CF66" s="22">
        <f>'QTR Raw'!AZ42</f>
        <v>22.899000000000001</v>
      </c>
      <c r="CG66" s="22">
        <f>'QTR Raw'!BA42</f>
        <v>20.081</v>
      </c>
      <c r="CH66" s="22">
        <f>'QTR Raw'!BB42</f>
        <v>6.0839999999999996</v>
      </c>
      <c r="CI66" s="22">
        <f>'QTR Raw'!BC42</f>
        <v>3.2269999999999999</v>
      </c>
      <c r="CJ66" s="22">
        <f>'QTR Raw'!BD42</f>
        <v>4.266</v>
      </c>
      <c r="CK66" s="22">
        <f>'QTR Raw'!BE42</f>
        <v>2.7440000000000002</v>
      </c>
      <c r="CL66" s="22">
        <f>'QTR Raw'!BF42</f>
        <v>4.7750000000000004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2">
        <v>15.008000000000022</v>
      </c>
    </row>
    <row r="67" spans="1:110" s="25" customFormat="1" x14ac:dyDescent="0.2">
      <c r="A67" s="36" t="s">
        <v>435</v>
      </c>
      <c r="B67" s="25">
        <f t="shared" ref="B67:V67" si="701">B66-B63</f>
        <v>0</v>
      </c>
      <c r="C67" s="25">
        <f>C66-C63</f>
        <v>0</v>
      </c>
      <c r="D67" s="25">
        <f t="shared" si="701"/>
        <v>-1.1379786002407855E-15</v>
      </c>
      <c r="E67" s="25">
        <f t="shared" si="701"/>
        <v>3.6082248300317588E-16</v>
      </c>
      <c r="F67" s="25">
        <f t="shared" si="701"/>
        <v>0</v>
      </c>
      <c r="G67" s="25">
        <f t="shared" si="701"/>
        <v>9.9920072216264089E-16</v>
      </c>
      <c r="H67" s="25">
        <f t="shared" si="701"/>
        <v>0</v>
      </c>
      <c r="I67" s="25">
        <f t="shared" si="701"/>
        <v>0</v>
      </c>
      <c r="J67" s="25">
        <f t="shared" si="701"/>
        <v>0</v>
      </c>
      <c r="K67" s="25">
        <f t="shared" si="701"/>
        <v>-2.4424906541753444E-15</v>
      </c>
      <c r="L67" s="25">
        <f t="shared" si="701"/>
        <v>4.4408920985006262E-15</v>
      </c>
      <c r="M67" s="25">
        <f t="shared" si="701"/>
        <v>0</v>
      </c>
      <c r="N67" s="25">
        <f t="shared" si="701"/>
        <v>0</v>
      </c>
      <c r="O67" s="25">
        <f t="shared" si="701"/>
        <v>0</v>
      </c>
      <c r="P67" s="25">
        <f t="shared" si="701"/>
        <v>2.2204460492503131E-15</v>
      </c>
      <c r="Q67" s="25">
        <f t="shared" si="701"/>
        <v>0</v>
      </c>
      <c r="R67" s="25">
        <f t="shared" si="701"/>
        <v>-3.6637359812630166E-15</v>
      </c>
      <c r="S67" s="25">
        <f t="shared" si="701"/>
        <v>0</v>
      </c>
      <c r="T67" s="25">
        <f t="shared" si="701"/>
        <v>8.126469999999486E-2</v>
      </c>
      <c r="U67" s="25">
        <f t="shared" si="701"/>
        <v>0.17233409999999871</v>
      </c>
      <c r="V67" s="25">
        <f t="shared" si="701"/>
        <v>-1.5987211554602254E-14</v>
      </c>
      <c r="W67" s="25">
        <f t="shared" ref="W67" si="702">W66-W63</f>
        <v>0</v>
      </c>
      <c r="X67" s="25">
        <f t="shared" ref="X67:Y67" si="703">X66-X63</f>
        <v>0</v>
      </c>
      <c r="Y67" s="25">
        <f t="shared" si="703"/>
        <v>0</v>
      </c>
      <c r="Z67" s="25">
        <f t="shared" ref="Z67:AA67" si="704">Z66-Z63</f>
        <v>0</v>
      </c>
      <c r="AA67" s="25">
        <f t="shared" ref="AA67" si="705">AA66-AA63</f>
        <v>0</v>
      </c>
      <c r="AB67" s="17">
        <f t="shared" ref="AB67:AD67" si="706">AB66-AB63</f>
        <v>0</v>
      </c>
      <c r="AC67" s="17">
        <f t="shared" si="706"/>
        <v>0</v>
      </c>
      <c r="AD67" s="17">
        <f t="shared" si="706"/>
        <v>0</v>
      </c>
      <c r="AE67" s="17">
        <f t="shared" ref="AE67" si="707">AE66-AE63</f>
        <v>0</v>
      </c>
      <c r="AI67" s="25">
        <f t="shared" ref="AI67" si="708">AI66-AI63</f>
        <v>9.9999999999900169E-4</v>
      </c>
      <c r="AJ67" s="25">
        <f t="shared" ref="AJ67" si="709">AJ66-AJ63</f>
        <v>8.3266726846886741E-16</v>
      </c>
      <c r="AK67" s="25">
        <f t="shared" ref="AK67:AM67" si="710">AK66-AK63</f>
        <v>-1.9999999999993356E-3</v>
      </c>
      <c r="AL67" s="25">
        <f t="shared" si="710"/>
        <v>9.9999999999722533E-4</v>
      </c>
      <c r="AM67" s="25">
        <f t="shared" si="710"/>
        <v>0</v>
      </c>
      <c r="AN67" s="25">
        <f t="shared" ref="AN67:AO67" si="711">AN66-AN63</f>
        <v>0</v>
      </c>
      <c r="AO67" s="25">
        <f t="shared" si="711"/>
        <v>1.0000000000000009E-3</v>
      </c>
      <c r="AP67" s="25">
        <f t="shared" ref="AP67:CD67" si="712">AP66-AP63</f>
        <v>-1.000000000000334E-3</v>
      </c>
      <c r="AQ67" s="25">
        <f t="shared" si="712"/>
        <v>0</v>
      </c>
      <c r="AR67" s="25">
        <f t="shared" si="712"/>
        <v>0</v>
      </c>
      <c r="AS67" s="25">
        <f t="shared" si="712"/>
        <v>-3.0531133177191805E-16</v>
      </c>
      <c r="AT67" s="25">
        <f t="shared" si="712"/>
        <v>5.9674487573602164E-16</v>
      </c>
      <c r="AU67" s="25">
        <f t="shared" si="712"/>
        <v>-2.7755575615628914E-16</v>
      </c>
      <c r="AV67" s="25">
        <f t="shared" si="712"/>
        <v>-4.7184478546569153E-16</v>
      </c>
      <c r="AW67" s="25">
        <f t="shared" si="712"/>
        <v>3.6082248300317588E-16</v>
      </c>
      <c r="AX67" s="25">
        <f t="shared" si="712"/>
        <v>2.14064876935538E-15</v>
      </c>
      <c r="AY67" s="25">
        <f t="shared" si="712"/>
        <v>-1.0000000000002784E-3</v>
      </c>
      <c r="AZ67" s="25">
        <f t="shared" si="712"/>
        <v>-1.000000000000334E-3</v>
      </c>
      <c r="BA67" s="25">
        <f t="shared" si="712"/>
        <v>0</v>
      </c>
      <c r="BB67" s="25">
        <f t="shared" si="712"/>
        <v>-1.0000000000001952E-3</v>
      </c>
      <c r="BC67" s="25">
        <f t="shared" si="712"/>
        <v>0</v>
      </c>
      <c r="BD67" s="25">
        <f t="shared" si="712"/>
        <v>0</v>
      </c>
      <c r="BE67" s="25">
        <f t="shared" si="712"/>
        <v>9.999999999985576E-4</v>
      </c>
      <c r="BF67" s="25">
        <f t="shared" si="712"/>
        <v>0</v>
      </c>
      <c r="BG67" s="25">
        <f t="shared" si="712"/>
        <v>0</v>
      </c>
      <c r="BH67" s="25">
        <f t="shared" si="712"/>
        <v>2.0000000000001128E-3</v>
      </c>
      <c r="BI67" s="25">
        <f t="shared" si="712"/>
        <v>0</v>
      </c>
      <c r="BJ67" s="25">
        <f t="shared" si="712"/>
        <v>0</v>
      </c>
      <c r="BK67" s="25">
        <f t="shared" si="712"/>
        <v>0</v>
      </c>
      <c r="BL67" s="25">
        <f t="shared" si="712"/>
        <v>-9.999999999985576E-4</v>
      </c>
      <c r="BM67" s="25">
        <f t="shared" si="712"/>
        <v>0</v>
      </c>
      <c r="BN67" s="25">
        <f t="shared" si="712"/>
        <v>0</v>
      </c>
      <c r="BO67" s="25">
        <f t="shared" si="712"/>
        <v>0</v>
      </c>
      <c r="BP67" s="25">
        <f t="shared" si="712"/>
        <v>-1.0000000000025544E-3</v>
      </c>
      <c r="BQ67" s="25">
        <f t="shared" si="712"/>
        <v>1.000000000000334E-3</v>
      </c>
      <c r="BR67" s="25">
        <f t="shared" si="712"/>
        <v>0</v>
      </c>
      <c r="BS67" s="25">
        <f t="shared" si="712"/>
        <v>0</v>
      </c>
      <c r="BT67" s="25">
        <f t="shared" si="712"/>
        <v>9.9999999999944578E-4</v>
      </c>
      <c r="BU67" s="25">
        <f t="shared" si="712"/>
        <v>0</v>
      </c>
      <c r="BV67" s="25">
        <f t="shared" si="712"/>
        <v>9.9999999999678124E-4</v>
      </c>
      <c r="BW67" s="25">
        <f t="shared" si="712"/>
        <v>9.9999999999589306E-4</v>
      </c>
      <c r="BX67" s="25">
        <f t="shared" si="712"/>
        <v>0</v>
      </c>
      <c r="BY67" s="25">
        <f t="shared" si="712"/>
        <v>1.0000000000021103E-3</v>
      </c>
      <c r="BZ67" s="25">
        <f t="shared" si="712"/>
        <v>-9.9999999999411671E-4</v>
      </c>
      <c r="CA67" s="25">
        <f t="shared" si="712"/>
        <v>0</v>
      </c>
      <c r="CB67" s="25">
        <f t="shared" si="712"/>
        <v>0</v>
      </c>
      <c r="CC67" s="25">
        <f t="shared" si="712"/>
        <v>0</v>
      </c>
      <c r="CD67" s="25">
        <f t="shared" si="712"/>
        <v>0</v>
      </c>
      <c r="CE67" s="25">
        <f t="shared" ref="CE67:CF67" si="713">CE66-CE63</f>
        <v>0</v>
      </c>
      <c r="CF67" s="25">
        <f t="shared" si="713"/>
        <v>0</v>
      </c>
      <c r="CG67" s="25">
        <f t="shared" ref="CG67:CH67" si="714">CG66-CG63</f>
        <v>1.0000000000012221E-3</v>
      </c>
      <c r="CH67" s="25">
        <f t="shared" si="714"/>
        <v>-9.9999999999766942E-4</v>
      </c>
      <c r="CI67" s="25">
        <f t="shared" ref="CI67:CJ67" si="715">CI66-CI63</f>
        <v>1.0000000000052189E-3</v>
      </c>
      <c r="CJ67" s="25">
        <f t="shared" si="715"/>
        <v>1.0000000000047748E-3</v>
      </c>
      <c r="CK67" s="25">
        <f t="shared" ref="CK67:CL67" si="716">CK66-CK63</f>
        <v>1.0000000000127685E-3</v>
      </c>
      <c r="CL67" s="25">
        <f t="shared" si="716"/>
        <v>1.000000000000334E-3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5">
        <v>0</v>
      </c>
    </row>
    <row r="68" spans="1:110" s="1" customFormat="1" x14ac:dyDescent="0.2">
      <c r="A68" s="150" t="s">
        <v>487</v>
      </c>
      <c r="AB68" s="20"/>
      <c r="AC68" s="20"/>
      <c r="AD68" s="20"/>
      <c r="AE68" s="20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38" customFormat="1" x14ac:dyDescent="0.2">
      <c r="A69" s="38" t="s">
        <v>350</v>
      </c>
      <c r="B69" s="39">
        <f t="shared" ref="B69:AE69" si="717">(B63-B62)/B135</f>
        <v>5.4726403292827526E-2</v>
      </c>
      <c r="C69" s="39">
        <f t="shared" si="717"/>
        <v>-0.26988109743633892</v>
      </c>
      <c r="D69" s="39">
        <f t="shared" si="717"/>
        <v>1.585826412448391E-2</v>
      </c>
      <c r="E69" s="39">
        <f t="shared" si="717"/>
        <v>0.15622462366892095</v>
      </c>
      <c r="F69" s="39">
        <f t="shared" si="717"/>
        <v>8.2182173165846292E-2</v>
      </c>
      <c r="G69" s="39">
        <f t="shared" si="717"/>
        <v>8.4828341493183482E-2</v>
      </c>
      <c r="H69" s="39">
        <f t="shared" si="717"/>
        <v>0.16507208132254936</v>
      </c>
      <c r="I69" s="39">
        <f t="shared" si="717"/>
        <v>0.23337953615791682</v>
      </c>
      <c r="J69" s="39">
        <f t="shared" si="717"/>
        <v>0.14546256216606546</v>
      </c>
      <c r="K69" s="39">
        <f t="shared" si="717"/>
        <v>6.7252824456511082E-2</v>
      </c>
      <c r="L69" s="39">
        <f t="shared" si="717"/>
        <v>0.14132098522973369</v>
      </c>
      <c r="M69" s="39">
        <f t="shared" si="717"/>
        <v>0.20794736352511836</v>
      </c>
      <c r="N69" s="39">
        <f t="shared" si="717"/>
        <v>0.27338200547119151</v>
      </c>
      <c r="O69" s="39">
        <f t="shared" si="717"/>
        <v>-4.991455454823459E-2</v>
      </c>
      <c r="P69" s="39">
        <f t="shared" si="717"/>
        <v>4.5310509126527614E-2</v>
      </c>
      <c r="Q69" s="39">
        <f t="shared" si="717"/>
        <v>3.0063070475288636E-2</v>
      </c>
      <c r="R69" s="39">
        <f t="shared" si="717"/>
        <v>4.2838331960363497E-2</v>
      </c>
      <c r="S69" s="39">
        <f t="shared" si="717"/>
        <v>0.46821514125721964</v>
      </c>
      <c r="T69" s="39">
        <f t="shared" si="717"/>
        <v>0.22277475233550539</v>
      </c>
      <c r="U69" s="39">
        <f t="shared" si="717"/>
        <v>0.20817751768423234</v>
      </c>
      <c r="V69" s="39">
        <f t="shared" si="717"/>
        <v>0.23148806531430571</v>
      </c>
      <c r="W69" s="39">
        <f t="shared" si="717"/>
        <v>0.21785285812964297</v>
      </c>
      <c r="X69" s="39">
        <f t="shared" si="717"/>
        <v>0.24969739034644961</v>
      </c>
      <c r="Y69" s="39">
        <f t="shared" si="717"/>
        <v>0.32022334985790796</v>
      </c>
      <c r="Z69" s="39">
        <f t="shared" si="717"/>
        <v>0.23791581821576832</v>
      </c>
      <c r="AA69" s="39">
        <f t="shared" ref="AA69" si="718">(AA63-AA62)/AA135</f>
        <v>4.4329770111272315E-2</v>
      </c>
      <c r="AB69" s="40">
        <f t="shared" si="717"/>
        <v>4.4919234819154698E-2</v>
      </c>
      <c r="AC69" s="40">
        <f t="shared" si="717"/>
        <v>6.1344809336110841E-2</v>
      </c>
      <c r="AD69" s="40">
        <f t="shared" si="717"/>
        <v>7.5073237562128345E-2</v>
      </c>
      <c r="AE69" s="40">
        <f t="shared" si="717"/>
        <v>8.6414755023515866E-2</v>
      </c>
      <c r="AF69" s="39"/>
      <c r="AG69" s="39"/>
      <c r="AH69" s="39"/>
      <c r="AI69" s="39"/>
      <c r="AJ69" s="39"/>
      <c r="AK69" s="39"/>
      <c r="AL69" s="39">
        <f t="shared" ref="AL69:BQ69" si="719">(SUM(AI63:AL63)-SUM(AI62:AL62))/AL135</f>
        <v>0.27093554744831644</v>
      </c>
      <c r="AM69" s="39">
        <f t="shared" si="719"/>
        <v>0.17358020295531429</v>
      </c>
      <c r="AN69" s="39">
        <f t="shared" si="719"/>
        <v>0.1377329192546585</v>
      </c>
      <c r="AO69" s="39">
        <f t="shared" si="719"/>
        <v>6.3418093404923645E-2</v>
      </c>
      <c r="AP69" s="39">
        <f t="shared" si="719"/>
        <v>-5.7460164171897615E-2</v>
      </c>
      <c r="AQ69" s="39">
        <f t="shared" si="719"/>
        <v>-7.76704127717677E-2</v>
      </c>
      <c r="AR69" s="39">
        <f t="shared" si="719"/>
        <v>0.10499705478107203</v>
      </c>
      <c r="AS69" s="39">
        <f t="shared" si="719"/>
        <v>9.3845630737844257E-2</v>
      </c>
      <c r="AT69" s="39">
        <f t="shared" si="719"/>
        <v>4.5039561777236697E-2</v>
      </c>
      <c r="AU69" s="39">
        <f t="shared" si="719"/>
        <v>0.13777509798010248</v>
      </c>
      <c r="AV69" s="39">
        <f t="shared" si="719"/>
        <v>2.2871410736579299E-2</v>
      </c>
      <c r="AW69" s="39">
        <f t="shared" si="719"/>
        <v>2.2821576763485469E-2</v>
      </c>
      <c r="AX69" s="39">
        <f t="shared" si="719"/>
        <v>3.0037483537635412E-2</v>
      </c>
      <c r="AY69" s="39">
        <f t="shared" si="719"/>
        <v>3.8777032065622587E-2</v>
      </c>
      <c r="AZ69" s="39">
        <f t="shared" si="719"/>
        <v>4.6168187616524282E-2</v>
      </c>
      <c r="BA69" s="39">
        <f t="shared" si="719"/>
        <v>5.1432982727009476E-2</v>
      </c>
      <c r="BB69" s="39">
        <f t="shared" si="719"/>
        <v>4.2947164323800337E-2</v>
      </c>
      <c r="BC69" s="39">
        <f t="shared" si="719"/>
        <v>0.38731193275263442</v>
      </c>
      <c r="BD69" s="39">
        <f t="shared" si="719"/>
        <v>0.44568808384597869</v>
      </c>
      <c r="BE69" s="39">
        <f t="shared" si="719"/>
        <v>0.48207515100802756</v>
      </c>
      <c r="BF69" s="39">
        <f t="shared" si="719"/>
        <v>0.46807186536067968</v>
      </c>
      <c r="BG69" s="39">
        <f t="shared" si="719"/>
        <v>0.19080150345388056</v>
      </c>
      <c r="BH69" s="39">
        <f t="shared" si="719"/>
        <v>0.12829543961098702</v>
      </c>
      <c r="BI69" s="39">
        <f t="shared" si="719"/>
        <v>0.12237643872714958</v>
      </c>
      <c r="BJ69" s="39">
        <f t="shared" si="719"/>
        <v>0.22270235108261321</v>
      </c>
      <c r="BK69" s="39">
        <f t="shared" si="719"/>
        <v>0.19200018017612222</v>
      </c>
      <c r="BL69" s="39">
        <f t="shared" si="719"/>
        <v>0.22452677772198332</v>
      </c>
      <c r="BM69" s="39">
        <f t="shared" si="719"/>
        <v>0.20278399408709225</v>
      </c>
      <c r="BN69" s="39">
        <f t="shared" si="719"/>
        <v>0.208209157409916</v>
      </c>
      <c r="BO69" s="39">
        <f t="shared" si="719"/>
        <v>0.20423184804502922</v>
      </c>
      <c r="BP69" s="39">
        <f t="shared" si="719"/>
        <v>0.21145683453237413</v>
      </c>
      <c r="BQ69" s="39">
        <f t="shared" si="719"/>
        <v>0.22824077131347817</v>
      </c>
      <c r="BR69" s="39">
        <f t="shared" ref="BR69:CW69" si="720">(SUM(BO63:BR63)-SUM(BO62:BR62))/BR135</f>
        <v>0.23257850241545891</v>
      </c>
      <c r="BS69" s="39">
        <f t="shared" si="720"/>
        <v>0.24573679199007414</v>
      </c>
      <c r="BT69" s="39">
        <f t="shared" si="720"/>
        <v>0.24157563999831294</v>
      </c>
      <c r="BU69" s="39">
        <f t="shared" si="720"/>
        <v>0.22998209595002542</v>
      </c>
      <c r="BV69" s="39">
        <f t="shared" si="720"/>
        <v>0.21784073970843076</v>
      </c>
      <c r="BW69" s="39">
        <f t="shared" si="720"/>
        <v>0.22189873417721528</v>
      </c>
      <c r="BX69" s="39">
        <f t="shared" si="720"/>
        <v>0.24047822187219714</v>
      </c>
      <c r="BY69" s="39">
        <f t="shared" si="720"/>
        <v>0.23734048191788643</v>
      </c>
      <c r="BZ69" s="39">
        <f t="shared" si="720"/>
        <v>0.2497069276716101</v>
      </c>
      <c r="CA69" s="39">
        <f t="shared" si="720"/>
        <v>0.26382322891232429</v>
      </c>
      <c r="CB69" s="39">
        <f t="shared" si="720"/>
        <v>0.31090794354404255</v>
      </c>
      <c r="CC69" s="39">
        <f t="shared" si="720"/>
        <v>0.34208925018630809</v>
      </c>
      <c r="CD69" s="39">
        <f t="shared" si="720"/>
        <v>0.32024323813818018</v>
      </c>
      <c r="CE69" s="39">
        <f t="shared" si="720"/>
        <v>0.30278134110787169</v>
      </c>
      <c r="CF69" s="39">
        <f t="shared" si="720"/>
        <v>0.29846128837254199</v>
      </c>
      <c r="CG69" s="39">
        <f t="shared" si="720"/>
        <v>0.288162704613867</v>
      </c>
      <c r="CH69" s="39">
        <f t="shared" si="720"/>
        <v>0.23791750422873131</v>
      </c>
      <c r="CI69" s="39">
        <f t="shared" si="720"/>
        <v>0.21744726311285179</v>
      </c>
      <c r="CJ69" s="39">
        <f t="shared" si="720"/>
        <v>0.10399176865724671</v>
      </c>
      <c r="CK69" s="39">
        <f t="shared" si="720"/>
        <v>4.9999387224863884E-2</v>
      </c>
      <c r="CL69" s="39">
        <f t="shared" si="720"/>
        <v>4.4371779217285065E-2</v>
      </c>
      <c r="CM69" s="40">
        <f t="shared" si="720"/>
        <v>4.3749143025207833E-2</v>
      </c>
      <c r="CN69" s="40">
        <f t="shared" si="720"/>
        <v>4.2192610708303359E-2</v>
      </c>
      <c r="CO69" s="40">
        <f t="shared" si="720"/>
        <v>4.3935344521299657E-2</v>
      </c>
      <c r="CP69" s="40">
        <f t="shared" si="720"/>
        <v>4.491923481915458E-2</v>
      </c>
      <c r="CQ69" s="40">
        <f t="shared" si="720"/>
        <v>4.9547405401190604E-2</v>
      </c>
      <c r="CR69" s="40">
        <f t="shared" si="720"/>
        <v>5.3675828072300064E-2</v>
      </c>
      <c r="CS69" s="40">
        <f t="shared" si="720"/>
        <v>5.742520310778286E-2</v>
      </c>
      <c r="CT69" s="40">
        <f t="shared" si="720"/>
        <v>6.1344809336110834E-2</v>
      </c>
      <c r="CU69" s="40">
        <f t="shared" si="720"/>
        <v>6.5040864699434778E-2</v>
      </c>
      <c r="CV69" s="40">
        <f t="shared" si="720"/>
        <v>6.856006997458669E-2</v>
      </c>
      <c r="CW69" s="40">
        <f t="shared" si="720"/>
        <v>7.1762840210117959E-2</v>
      </c>
      <c r="CX69" s="40">
        <f t="shared" ref="CX69:DB69" si="721">(SUM(CU63:CX63)-SUM(CU62:CX62))/CX135</f>
        <v>7.5073237562128428E-2</v>
      </c>
      <c r="CY69" s="40">
        <f t="shared" si="721"/>
        <v>7.8127045221572267E-2</v>
      </c>
      <c r="CZ69" s="40">
        <f t="shared" si="721"/>
        <v>8.1051923868199233E-2</v>
      </c>
      <c r="DA69" s="40">
        <f t="shared" si="721"/>
        <v>8.3691061589832305E-2</v>
      </c>
      <c r="DB69" s="40">
        <f t="shared" si="721"/>
        <v>8.6414755023515852E-2</v>
      </c>
      <c r="DE69" s="122"/>
      <c r="DF69" s="38">
        <v>4.4371779217285197E-2</v>
      </c>
    </row>
    <row r="70" spans="1:110" s="38" customFormat="1" x14ac:dyDescent="0.2">
      <c r="A70" s="38" t="s">
        <v>351</v>
      </c>
      <c r="B70" s="39">
        <f t="shared" ref="B70:AE70" si="722">+B49/B144</f>
        <v>6.0646498156655716E-2</v>
      </c>
      <c r="C70" s="39">
        <f t="shared" si="722"/>
        <v>-0.11066132328793223</v>
      </c>
      <c r="D70" s="39">
        <f t="shared" si="722"/>
        <v>4.0542560284145761E-2</v>
      </c>
      <c r="E70" s="39">
        <f t="shared" si="722"/>
        <v>0.11439148303518479</v>
      </c>
      <c r="F70" s="39">
        <f t="shared" si="722"/>
        <v>9.2051663641722861E-2</v>
      </c>
      <c r="G70" s="39">
        <f t="shared" si="722"/>
        <v>0.1094890791968644</v>
      </c>
      <c r="H70" s="39">
        <f t="shared" si="722"/>
        <v>0.29093311114510911</v>
      </c>
      <c r="I70" s="39">
        <f t="shared" si="722"/>
        <v>0.34408894116692634</v>
      </c>
      <c r="J70" s="39">
        <f t="shared" si="722"/>
        <v>0.18783577626568554</v>
      </c>
      <c r="K70" s="39">
        <f t="shared" si="722"/>
        <v>8.4758926468495172E-2</v>
      </c>
      <c r="L70" s="39">
        <f t="shared" si="722"/>
        <v>0.17530579126176751</v>
      </c>
      <c r="M70" s="39">
        <f t="shared" si="722"/>
        <v>0.23791465417917426</v>
      </c>
      <c r="N70" s="39">
        <f t="shared" si="722"/>
        <v>0.32515260097955151</v>
      </c>
      <c r="O70" s="39">
        <f t="shared" si="722"/>
        <v>-6.8174255844633503E-3</v>
      </c>
      <c r="P70" s="39">
        <f t="shared" si="722"/>
        <v>7.525145376547368E-2</v>
      </c>
      <c r="Q70" s="39">
        <f t="shared" si="722"/>
        <v>7.5138471589176956E-2</v>
      </c>
      <c r="R70" s="39">
        <f t="shared" si="722"/>
        <v>6.4301114814509633E-2</v>
      </c>
      <c r="S70" s="39">
        <f t="shared" si="722"/>
        <v>0.26025007611574447</v>
      </c>
      <c r="T70" s="39">
        <f t="shared" si="722"/>
        <v>0.28270544906319522</v>
      </c>
      <c r="U70" s="39">
        <f t="shared" si="722"/>
        <v>0.24517564119966806</v>
      </c>
      <c r="V70" s="39">
        <f t="shared" si="722"/>
        <v>0.28901097076224708</v>
      </c>
      <c r="W70" s="39">
        <f t="shared" si="722"/>
        <v>0.23704755963956797</v>
      </c>
      <c r="X70" s="39">
        <f t="shared" si="722"/>
        <v>0.30322760776481306</v>
      </c>
      <c r="Y70" s="39">
        <f t="shared" si="722"/>
        <v>0.42305824233828004</v>
      </c>
      <c r="Z70" s="39">
        <f t="shared" si="722"/>
        <v>0.31235189974740218</v>
      </c>
      <c r="AA70" s="39">
        <f t="shared" ref="AA70" si="723">+AA49/AA144</f>
        <v>7.4620376600153429E-2</v>
      </c>
      <c r="AB70" s="40">
        <f t="shared" si="722"/>
        <v>6.7754957474365385E-2</v>
      </c>
      <c r="AC70" s="40">
        <f t="shared" si="722"/>
        <v>9.7129344736746878E-2</v>
      </c>
      <c r="AD70" s="40">
        <f t="shared" si="722"/>
        <v>0.1219992075450809</v>
      </c>
      <c r="AE70" s="40">
        <f t="shared" si="722"/>
        <v>0.14282066324715659</v>
      </c>
      <c r="AF70" s="39"/>
      <c r="AG70" s="39"/>
      <c r="AH70" s="39"/>
      <c r="AI70" s="39"/>
      <c r="AJ70" s="39"/>
      <c r="AK70" s="39"/>
      <c r="AL70" s="39">
        <f t="shared" ref="AL70:BQ70" si="724">+SUM(AI49:AL49)/AL144</f>
        <v>0.32450642999456625</v>
      </c>
      <c r="AM70" s="39">
        <f t="shared" si="724"/>
        <v>0.22870433920536878</v>
      </c>
      <c r="AN70" s="39">
        <f t="shared" si="724"/>
        <v>0.17590233141900893</v>
      </c>
      <c r="AO70" s="39">
        <f t="shared" si="724"/>
        <v>0.10533408197641786</v>
      </c>
      <c r="AP70" s="39">
        <f t="shared" si="724"/>
        <v>-6.9814379776990988E-3</v>
      </c>
      <c r="AQ70" s="39">
        <f t="shared" si="724"/>
        <v>-8.720014008054635E-3</v>
      </c>
      <c r="AR70" s="39">
        <f t="shared" si="724"/>
        <v>0.10265282583621685</v>
      </c>
      <c r="AS70" s="39">
        <f t="shared" si="724"/>
        <v>9.7693079237713157E-2</v>
      </c>
      <c r="AT70" s="39">
        <f t="shared" si="724"/>
        <v>7.6796626523246231E-2</v>
      </c>
      <c r="AU70" s="39">
        <f t="shared" si="724"/>
        <v>0.13862756931378464</v>
      </c>
      <c r="AV70" s="39">
        <f t="shared" si="724"/>
        <v>4.9178343370759318E-2</v>
      </c>
      <c r="AW70" s="39">
        <f t="shared" si="724"/>
        <v>4.9756478864770602E-2</v>
      </c>
      <c r="AX70" s="39">
        <f t="shared" si="724"/>
        <v>7.6696583773812416E-2</v>
      </c>
      <c r="AY70" s="39">
        <f t="shared" si="724"/>
        <v>8.2872347874798621E-2</v>
      </c>
      <c r="AZ70" s="39">
        <f t="shared" si="724"/>
        <v>8.2816312303938586E-2</v>
      </c>
      <c r="BA70" s="39">
        <f t="shared" si="724"/>
        <v>8.2110628917820436E-2</v>
      </c>
      <c r="BB70" s="39">
        <f t="shared" si="724"/>
        <v>6.6349032611145123E-2</v>
      </c>
      <c r="BC70" s="39">
        <f t="shared" si="724"/>
        <v>5.5862435574456283E-2</v>
      </c>
      <c r="BD70" s="39">
        <f t="shared" si="724"/>
        <v>0.17179311916154025</v>
      </c>
      <c r="BE70" s="39">
        <f t="shared" si="724"/>
        <v>0.25110477734487358</v>
      </c>
      <c r="BF70" s="39">
        <f t="shared" si="724"/>
        <v>0.25997077763948262</v>
      </c>
      <c r="BG70" s="39">
        <f t="shared" si="724"/>
        <v>0.29886225111743198</v>
      </c>
      <c r="BH70" s="39">
        <f t="shared" si="724"/>
        <v>0.22725719542646866</v>
      </c>
      <c r="BI70" s="39">
        <f t="shared" si="724"/>
        <v>0.21157752200406227</v>
      </c>
      <c r="BJ70" s="39">
        <f t="shared" si="724"/>
        <v>0.28266425053433702</v>
      </c>
      <c r="BK70" s="39">
        <f t="shared" si="724"/>
        <v>0.23621089615098767</v>
      </c>
      <c r="BL70" s="39">
        <f t="shared" si="724"/>
        <v>0.26242822522542197</v>
      </c>
      <c r="BM70" s="39">
        <f t="shared" si="724"/>
        <v>0.23197897632783795</v>
      </c>
      <c r="BN70" s="39">
        <f t="shared" si="724"/>
        <v>0.24070131981267173</v>
      </c>
      <c r="BO70" s="39">
        <f t="shared" si="724"/>
        <v>0.24208881609909447</v>
      </c>
      <c r="BP70" s="39">
        <f t="shared" si="724"/>
        <v>0.26143884892086333</v>
      </c>
      <c r="BQ70" s="39">
        <f t="shared" si="724"/>
        <v>0.28566004094300995</v>
      </c>
      <c r="BR70" s="39">
        <f t="shared" ref="BR70:CW70" si="725">+SUM(BO49:BR49)/BR144</f>
        <v>0.28861714975845409</v>
      </c>
      <c r="BS70" s="39">
        <f t="shared" si="725"/>
        <v>0.30240644025737945</v>
      </c>
      <c r="BT70" s="39">
        <f t="shared" si="725"/>
        <v>0.29253651610363673</v>
      </c>
      <c r="BU70" s="39">
        <f t="shared" si="725"/>
        <v>0.27943386609861592</v>
      </c>
      <c r="BV70" s="39">
        <f t="shared" si="725"/>
        <v>0.23703688172268464</v>
      </c>
      <c r="BW70" s="39">
        <f t="shared" si="725"/>
        <v>0.24931089438391454</v>
      </c>
      <c r="BX70" s="39">
        <f t="shared" si="725"/>
        <v>0.23320933913731703</v>
      </c>
      <c r="BY70" s="39">
        <f t="shared" si="725"/>
        <v>0.2424080699960913</v>
      </c>
      <c r="BZ70" s="39">
        <f t="shared" si="725"/>
        <v>0.30267754921150791</v>
      </c>
      <c r="CA70" s="39">
        <f t="shared" si="725"/>
        <v>0.33223847081877572</v>
      </c>
      <c r="CB70" s="39">
        <f t="shared" si="725"/>
        <v>0.4223216707350147</v>
      </c>
      <c r="CC70" s="39">
        <f t="shared" si="725"/>
        <v>0.45917302092172813</v>
      </c>
      <c r="CD70" s="39">
        <f t="shared" si="725"/>
        <v>0.42307101006132447</v>
      </c>
      <c r="CE70" s="39">
        <f t="shared" si="725"/>
        <v>0.39850495071145986</v>
      </c>
      <c r="CF70" s="39">
        <f t="shared" si="725"/>
        <v>0.39009054808448601</v>
      </c>
      <c r="CG70" s="39">
        <f t="shared" si="725"/>
        <v>0.38376905174374865</v>
      </c>
      <c r="CH70" s="39">
        <f t="shared" si="725"/>
        <v>0.31234880323771058</v>
      </c>
      <c r="CI70" s="39">
        <f t="shared" si="725"/>
        <v>0.28843029359121103</v>
      </c>
      <c r="CJ70" s="39">
        <f t="shared" si="725"/>
        <v>0.14190121665899957</v>
      </c>
      <c r="CK70" s="39">
        <f t="shared" si="725"/>
        <v>7.9725771128673531E-2</v>
      </c>
      <c r="CL70" s="39">
        <f t="shared" si="725"/>
        <v>7.4664798771912816E-2</v>
      </c>
      <c r="CM70" s="40">
        <f t="shared" si="725"/>
        <v>7.0623607575508895E-2</v>
      </c>
      <c r="CN70" s="40">
        <f t="shared" si="725"/>
        <v>6.9580690167050319E-2</v>
      </c>
      <c r="CO70" s="40">
        <f t="shared" si="725"/>
        <v>6.5712387175069706E-2</v>
      </c>
      <c r="CP70" s="40">
        <f t="shared" si="725"/>
        <v>6.7754957474365288E-2</v>
      </c>
      <c r="CQ70" s="40">
        <f t="shared" si="725"/>
        <v>7.5763191513585987E-2</v>
      </c>
      <c r="CR70" s="40">
        <f t="shared" si="725"/>
        <v>8.3313417442443347E-2</v>
      </c>
      <c r="CS70" s="40">
        <f t="shared" si="725"/>
        <v>8.9705712506135418E-2</v>
      </c>
      <c r="CT70" s="40">
        <f t="shared" si="725"/>
        <v>9.7129344736746878E-2</v>
      </c>
      <c r="CU70" s="40">
        <f t="shared" si="725"/>
        <v>0.10367860844978201</v>
      </c>
      <c r="CV70" s="40">
        <f t="shared" si="725"/>
        <v>0.11005326931446409</v>
      </c>
      <c r="CW70" s="40">
        <f t="shared" si="725"/>
        <v>0.11581362721192467</v>
      </c>
      <c r="CX70" s="40">
        <f t="shared" ref="CX70:DB70" si="726">+SUM(CU49:CX49)/CX144</f>
        <v>0.12199920754508098</v>
      </c>
      <c r="CY70" s="40">
        <f t="shared" si="726"/>
        <v>0.12744370134831612</v>
      </c>
      <c r="CZ70" s="40">
        <f t="shared" si="726"/>
        <v>0.13282346267587747</v>
      </c>
      <c r="DA70" s="40">
        <f t="shared" si="726"/>
        <v>0.13767983970850958</v>
      </c>
      <c r="DB70" s="40">
        <f t="shared" si="726"/>
        <v>0.14282066324715656</v>
      </c>
      <c r="DE70" s="122"/>
      <c r="DF70" s="38">
        <v>7.4664798771912927E-2</v>
      </c>
    </row>
    <row r="71" spans="1:110" s="1" customFormat="1" x14ac:dyDescent="0.2">
      <c r="A71" s="150" t="s">
        <v>488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</row>
    <row r="72" spans="1:110" s="8" customFormat="1" x14ac:dyDescent="0.2">
      <c r="A72" s="12" t="s">
        <v>26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0" s="9" customFormat="1" x14ac:dyDescent="0.2">
      <c r="A73" s="9" t="s">
        <v>453</v>
      </c>
      <c r="N73" s="9">
        <f>N25-SUM(AI25:AL25)</f>
        <v>-9.9260000000356285E-4</v>
      </c>
      <c r="O73" s="9">
        <f>O25-SUM(AM25:AP25)</f>
        <v>3.8030000000155439E-4</v>
      </c>
      <c r="P73" s="9">
        <f>P25-SUM(AQ25:AT25)</f>
        <v>2.759980000000084E-2</v>
      </c>
      <c r="Q73" s="9">
        <f>Q25-SUM(AU25:AX25)</f>
        <v>3.2956800000000896E-2</v>
      </c>
      <c r="R73" s="9">
        <f>R25-SUM(AY25:BB25)</f>
        <v>-3.1709999999662841E-4</v>
      </c>
      <c r="S73" s="9">
        <f>S25-SUM(BC25:BF25)</f>
        <v>-0.10888869999999429</v>
      </c>
      <c r="T73" s="9">
        <f>T25-SUM(BG25:BJ25)</f>
        <v>-0.26877770000000112</v>
      </c>
      <c r="U73" s="9">
        <f>U25-SUM(BK25:BN25)</f>
        <v>-6.9469999999682841E-4</v>
      </c>
      <c r="V73" s="9">
        <f>V25-SUM(BO25:BR25)</f>
        <v>1.0000000000047748E-3</v>
      </c>
      <c r="W73" s="9">
        <f>W25-SUM(BS25:BV25)</f>
        <v>-5.0000000000238742E-4</v>
      </c>
      <c r="X73" s="9">
        <f>X25-SUM(BW25:BZ25)</f>
        <v>1.1000000000080945E-3</v>
      </c>
      <c r="Y73" s="9">
        <f>Y25-SUM(CA25:CD25)</f>
        <v>0</v>
      </c>
      <c r="Z73" s="9">
        <f>Z25-SUM(CE25:CH25)</f>
        <v>1.999999999782176E-4</v>
      </c>
      <c r="AA73" s="9">
        <f>AA25-SUM(CF25:CI25)</f>
        <v>-26.402600000000007</v>
      </c>
      <c r="AB73" s="15">
        <f>AB25-SUM(CM25:CP25)</f>
        <v>0</v>
      </c>
      <c r="AC73" s="15">
        <f>AC25-SUM(CQ25:CT25)</f>
        <v>0</v>
      </c>
      <c r="AD73" s="15">
        <f>AD25-SUM(CU25:CX25)</f>
        <v>0</v>
      </c>
      <c r="AE73" s="15">
        <f>AE25-SUM(CY25:DB25)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454</v>
      </c>
      <c r="N74" s="9">
        <f>N31-SUM(AI31:AL31)</f>
        <v>-1.508344000000001</v>
      </c>
      <c r="O74" s="9">
        <f>O31-SUM(AM31:AP31)</f>
        <v>-2.1086725999999985</v>
      </c>
      <c r="P74" s="9">
        <f>P31-SUM(AQ31:AT31)</f>
        <v>-1.8642031000000028</v>
      </c>
      <c r="Q74" s="9">
        <f>Q31-SUM(AU31:AX31)</f>
        <v>-1.0103535999999966</v>
      </c>
      <c r="R74" s="9">
        <f>R31-SUM(AY31:BB31)</f>
        <v>-7.8509999999454294E-4</v>
      </c>
      <c r="S74" s="9">
        <f>S31-SUM(BC31:BF31)</f>
        <v>-0.10731679999999244</v>
      </c>
      <c r="T74" s="9">
        <f>T31-SUM(BG31:BJ31)</f>
        <v>-0.26933419999999586</v>
      </c>
      <c r="U74" s="9">
        <f>U31-SUM(BK31:BN31)</f>
        <v>-1.483999999990715E-3</v>
      </c>
      <c r="V74" s="9">
        <f>V31-SUM(BO31:BR31)</f>
        <v>2.1000000000199748E-3</v>
      </c>
      <c r="W74" s="9">
        <f>W31-SUM(BS31:BV31)</f>
        <v>4.0000000001327862E-4</v>
      </c>
      <c r="X74" s="9">
        <f>X31-SUM(BW31:BZ31)</f>
        <v>8.9999999998724434E-4</v>
      </c>
      <c r="Y74" s="9">
        <f>Y31-SUM(CA31:CD31)</f>
        <v>-1.7000000000280124E-3</v>
      </c>
      <c r="Z74" s="9">
        <f>Z31-SUM(CE31:CH31)</f>
        <v>-1.0000000000331966E-3</v>
      </c>
      <c r="AA74" s="9">
        <f>AA31-SUM(CF31:CI31)</f>
        <v>-26.047200000000004</v>
      </c>
      <c r="AB74" s="15">
        <f>AB31-SUM(CM31:CP31)</f>
        <v>0</v>
      </c>
      <c r="AC74" s="15">
        <f>AC31-SUM(CQ31:CT31)</f>
        <v>0</v>
      </c>
      <c r="AD74" s="15">
        <f>AD31-SUM(CU31:CX31)</f>
        <v>0</v>
      </c>
      <c r="AE74" s="15">
        <f>AE31-SUM(CY31:DB31)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455</v>
      </c>
      <c r="N75" s="9">
        <f>N43-SUM(AI43:AL43)</f>
        <v>1.6765200000000036E-2</v>
      </c>
      <c r="O75" s="9">
        <f>O43-SUM(AM43:AP43)</f>
        <v>-1.0289999999901767E-4</v>
      </c>
      <c r="P75" s="9">
        <f>P43-SUM(AQ43:AT43)</f>
        <v>3.2205699999998672E-2</v>
      </c>
      <c r="Q75" s="9">
        <f>Q43-SUM(AU43:AX43)</f>
        <v>3.2667300000002175E-2</v>
      </c>
      <c r="R75" s="9">
        <f>R43-SUM(AY43:BB43)</f>
        <v>2.2913000000031047E-3</v>
      </c>
      <c r="S75" s="9">
        <f>S43-SUM(BC43:BF43)</f>
        <v>-4.7979999999370193E-4</v>
      </c>
      <c r="T75" s="9">
        <f>T43-SUM(BG43:BJ43)</f>
        <v>1.0350000000034498E-3</v>
      </c>
      <c r="U75" s="9">
        <f>U43-SUM(BK43:BN43)</f>
        <v>0.23158530000000432</v>
      </c>
      <c r="V75" s="9">
        <f>V43-SUM(BO43:BR43)</f>
        <v>2.6500000000016399E-2</v>
      </c>
      <c r="W75" s="9">
        <f>W43-SUM(BS43:BV43)</f>
        <v>9.0000000000500791E-4</v>
      </c>
      <c r="X75" s="9">
        <f>X43-SUM(BW43:BZ43)</f>
        <v>7.4199999999990496E-2</v>
      </c>
      <c r="Y75" s="9">
        <f>Y43-SUM(CA43:CD43)</f>
        <v>-2.2000000000019782E-3</v>
      </c>
      <c r="Z75" s="9">
        <f>Z43-SUM(CE43:CH43)</f>
        <v>1.9999999996400675E-4</v>
      </c>
      <c r="AA75" s="9">
        <f>AA43-SUM(CF43:CI43)</f>
        <v>-40.913200000000018</v>
      </c>
      <c r="AB75" s="15">
        <f>AB43-SUM(CM43:CP43)</f>
        <v>0</v>
      </c>
      <c r="AC75" s="15">
        <f>AC43-SUM(CQ43:CT43)</f>
        <v>0</v>
      </c>
      <c r="AD75" s="15">
        <f>AD43-SUM(CU43:CX43)</f>
        <v>0</v>
      </c>
      <c r="AE75" s="15">
        <f>AE43-SUM(CY43:DB43)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456</v>
      </c>
      <c r="N76" s="9">
        <f>N63-SUM(AI63:AL63)</f>
        <v>5.822570000000038E-2</v>
      </c>
      <c r="O76" s="9">
        <f>O63-SUM(AM63:AP63)</f>
        <v>0.15629020000000082</v>
      </c>
      <c r="P76" s="9">
        <f>P63-SUM(AQ63:AT63)</f>
        <v>5.3341999999989564E-3</v>
      </c>
      <c r="Q76" s="9">
        <f>Q63-SUM(AU63:AX63)</f>
        <v>5.0260000000190708E-4</v>
      </c>
      <c r="R76" s="9">
        <f>R63-SUM(AY63:BB63)</f>
        <v>-2.2619999999972107E-3</v>
      </c>
      <c r="S76" s="9">
        <f>S63-SUM(BC63:BF63)</f>
        <v>5.2295000000057712E-3</v>
      </c>
      <c r="T76" s="9">
        <f>T63-SUM(BG63:BJ63)</f>
        <v>-7.8096999999996086E-2</v>
      </c>
      <c r="U76" s="9">
        <f>U63-SUM(BK63:BN63)</f>
        <v>-0.17394279999999718</v>
      </c>
      <c r="V76" s="9">
        <f>V63-SUM(BO63:BR63)</f>
        <v>-2.9499999999984539E-2</v>
      </c>
      <c r="W76" s="9">
        <f>W56-SUM(BS56:BV56)</f>
        <v>1.0000000000083276E-3</v>
      </c>
      <c r="X76" s="9">
        <f>X56-SUM(BW56:BZ56)</f>
        <v>-1.1000000000045418E-3</v>
      </c>
      <c r="Y76" s="9">
        <f>Y56-SUM(CA56:CD56)</f>
        <v>-3.2000000000209639E-3</v>
      </c>
      <c r="Z76" s="9">
        <f>Z56-SUM(CE56:CH56)</f>
        <v>-4.0000000002038405E-4</v>
      </c>
      <c r="AA76" s="9">
        <f>AA56-SUM(CF56:CI56)</f>
        <v>-37.296200000000006</v>
      </c>
      <c r="AB76" s="15">
        <f>AB56-SUM(CM56:CP56)</f>
        <v>4.2632564145606011E-14</v>
      </c>
      <c r="AC76" s="15">
        <f>AC56-SUM(CQ56:CT56)</f>
        <v>0</v>
      </c>
      <c r="AD76" s="15">
        <f>AD56-SUM(CU56:CX56)</f>
        <v>-3.5527136788005009E-14</v>
      </c>
      <c r="AE76" s="15">
        <f>AE56-SUM(CY56:DB56)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4.4408920985006262E-14</v>
      </c>
    </row>
    <row r="77" spans="1:110" s="8" customFormat="1" x14ac:dyDescent="0.2">
      <c r="A77" s="149" t="s">
        <v>489</v>
      </c>
      <c r="AB77" s="58"/>
      <c r="AC77" s="58"/>
      <c r="AD77" s="58"/>
      <c r="AE77" s="58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E77" s="132"/>
    </row>
    <row r="78" spans="1:110" s="3" customFormat="1" x14ac:dyDescent="0.2">
      <c r="A78" s="3" t="s">
        <v>27</v>
      </c>
      <c r="B78" s="3">
        <f>'Annual Raw'!C104</f>
        <v>5.6527659999999997</v>
      </c>
      <c r="C78" s="3">
        <f>'Annual Raw'!D104</f>
        <v>5.1527659999999997</v>
      </c>
      <c r="D78" s="3">
        <f>'Annual Raw'!E104</f>
        <v>5.1527659999999997</v>
      </c>
      <c r="E78" s="3">
        <f t="shared" ref="E78:Y78" ca="1" si="727">+F78</f>
        <v>53.142000000000003</v>
      </c>
      <c r="F78" s="3">
        <f t="shared" ca="1" si="727"/>
        <v>53.142000000000003</v>
      </c>
      <c r="G78" s="3">
        <f t="shared" ca="1" si="727"/>
        <v>53.142000000000003</v>
      </c>
      <c r="H78" s="3">
        <f t="shared" ca="1" si="727"/>
        <v>53.142000000000003</v>
      </c>
      <c r="I78" s="3">
        <f t="shared" ca="1" si="727"/>
        <v>53.142000000000003</v>
      </c>
      <c r="J78" s="3">
        <f t="shared" ca="1" si="727"/>
        <v>53.142000000000003</v>
      </c>
      <c r="K78" s="3">
        <f t="shared" ca="1" si="727"/>
        <v>53.142000000000003</v>
      </c>
      <c r="L78" s="3">
        <f t="shared" ca="1" si="727"/>
        <v>53.142000000000003</v>
      </c>
      <c r="M78" s="3">
        <f t="shared" ca="1" si="727"/>
        <v>53.142000000000003</v>
      </c>
      <c r="N78" s="3">
        <f t="shared" ca="1" si="727"/>
        <v>53.142000000000003</v>
      </c>
      <c r="O78" s="3">
        <f t="shared" ca="1" si="727"/>
        <v>53.142000000000003</v>
      </c>
      <c r="P78" s="3">
        <f t="shared" ca="1" si="727"/>
        <v>53.142000000000003</v>
      </c>
      <c r="Q78" s="3">
        <f t="shared" ca="1" si="727"/>
        <v>53.142000000000003</v>
      </c>
      <c r="R78" s="3">
        <f t="shared" ca="1" si="727"/>
        <v>53.142000000000003</v>
      </c>
      <c r="S78" s="3">
        <f t="shared" ca="1" si="727"/>
        <v>53.142000000000003</v>
      </c>
      <c r="T78" s="3">
        <f t="shared" ca="1" si="727"/>
        <v>53.142000000000003</v>
      </c>
      <c r="U78" s="3">
        <f t="shared" ca="1" si="727"/>
        <v>53.142000000000003</v>
      </c>
      <c r="V78" s="3">
        <f t="shared" ca="1" si="727"/>
        <v>53.142000000000003</v>
      </c>
      <c r="W78" s="3">
        <f t="shared" ca="1" si="727"/>
        <v>53.142000000000003</v>
      </c>
      <c r="X78" s="3">
        <f t="shared" ca="1" si="727"/>
        <v>53.142000000000003</v>
      </c>
      <c r="Y78" s="3">
        <f t="shared" ca="1" si="727"/>
        <v>53.142000000000003</v>
      </c>
      <c r="Z78" s="3">
        <f ca="1">+AA78</f>
        <v>53.142000000000003</v>
      </c>
      <c r="AA78" s="3">
        <f ca="1">+AB78</f>
        <v>53.142000000000003</v>
      </c>
      <c r="AB78" s="37">
        <f t="shared" ref="AB78:AB79" ca="1" si="728">AA78</f>
        <v>53.142000000000003</v>
      </c>
      <c r="AC78" s="37">
        <f t="shared" ref="AC78:AC79" ca="1" si="729">AB78</f>
        <v>53.142000000000003</v>
      </c>
      <c r="AD78" s="37">
        <f t="shared" ref="AD78:AD79" ca="1" si="730">AC78</f>
        <v>53.142000000000003</v>
      </c>
      <c r="AE78" s="37">
        <f t="shared" ref="AE78:AE79" ca="1" si="731">AD78</f>
        <v>53.142000000000003</v>
      </c>
      <c r="AI78" s="3">
        <f t="shared" ref="AI78:CH78" si="732">+AJ78</f>
        <v>52.994999999999997</v>
      </c>
      <c r="AJ78" s="3">
        <f t="shared" si="732"/>
        <v>52.994999999999997</v>
      </c>
      <c r="AK78" s="3">
        <f t="shared" si="732"/>
        <v>52.994999999999997</v>
      </c>
      <c r="AL78" s="3">
        <f t="shared" si="732"/>
        <v>52.994999999999997</v>
      </c>
      <c r="AM78" s="3">
        <f t="shared" si="732"/>
        <v>52.994999999999997</v>
      </c>
      <c r="AN78" s="3">
        <f t="shared" si="732"/>
        <v>52.994999999999997</v>
      </c>
      <c r="AO78" s="3">
        <f t="shared" si="732"/>
        <v>52.994999999999997</v>
      </c>
      <c r="AP78" s="3">
        <f t="shared" si="732"/>
        <v>52.994999999999997</v>
      </c>
      <c r="AQ78" s="3">
        <f t="shared" si="732"/>
        <v>52.994999999999997</v>
      </c>
      <c r="AR78" s="3">
        <f t="shared" si="732"/>
        <v>52.994999999999997</v>
      </c>
      <c r="AS78" s="3">
        <f t="shared" si="732"/>
        <v>52.994999999999997</v>
      </c>
      <c r="AT78" s="3">
        <f t="shared" si="732"/>
        <v>52.994999999999997</v>
      </c>
      <c r="AU78" s="3">
        <f t="shared" si="732"/>
        <v>52.994999999999997</v>
      </c>
      <c r="AV78" s="3">
        <f t="shared" si="732"/>
        <v>52.994999999999997</v>
      </c>
      <c r="AW78" s="3">
        <f t="shared" si="732"/>
        <v>52.994999999999997</v>
      </c>
      <c r="AX78" s="3">
        <f t="shared" si="732"/>
        <v>52.994999999999997</v>
      </c>
      <c r="AY78" s="3">
        <f t="shared" si="732"/>
        <v>52.994999999999997</v>
      </c>
      <c r="AZ78" s="3">
        <f t="shared" si="732"/>
        <v>52.994999999999997</v>
      </c>
      <c r="BA78" s="3">
        <f t="shared" si="732"/>
        <v>52.994999999999997</v>
      </c>
      <c r="BB78" s="3">
        <f t="shared" si="732"/>
        <v>52.994999999999997</v>
      </c>
      <c r="BC78" s="3">
        <f t="shared" si="732"/>
        <v>52.994999999999997</v>
      </c>
      <c r="BD78" s="3">
        <f t="shared" si="732"/>
        <v>52.994999999999997</v>
      </c>
      <c r="BE78" s="3">
        <f t="shared" si="732"/>
        <v>52.994999999999997</v>
      </c>
      <c r="BF78" s="3">
        <f t="shared" si="732"/>
        <v>52.994999999999997</v>
      </c>
      <c r="BG78" s="3">
        <f t="shared" si="732"/>
        <v>52.994999999999997</v>
      </c>
      <c r="BH78" s="3">
        <f t="shared" si="732"/>
        <v>52.994999999999997</v>
      </c>
      <c r="BI78" s="3">
        <f t="shared" si="732"/>
        <v>52.994999999999997</v>
      </c>
      <c r="BJ78" s="3">
        <f t="shared" si="732"/>
        <v>52.994999999999997</v>
      </c>
      <c r="BK78" s="3">
        <f t="shared" si="732"/>
        <v>52.994999999999997</v>
      </c>
      <c r="BL78" s="3">
        <f t="shared" si="732"/>
        <v>52.994999999999997</v>
      </c>
      <c r="BM78" s="3">
        <f t="shared" si="732"/>
        <v>52.994999999999997</v>
      </c>
      <c r="BN78" s="3">
        <f t="shared" si="732"/>
        <v>52.994999999999997</v>
      </c>
      <c r="BO78" s="3">
        <f t="shared" si="732"/>
        <v>52.994999999999997</v>
      </c>
      <c r="BP78" s="3">
        <f t="shared" si="732"/>
        <v>52.994999999999997</v>
      </c>
      <c r="BQ78" s="3">
        <f t="shared" si="732"/>
        <v>52.994999999999997</v>
      </c>
      <c r="BR78" s="3">
        <f t="shared" si="732"/>
        <v>52.994999999999997</v>
      </c>
      <c r="BS78" s="3">
        <f t="shared" si="732"/>
        <v>52.994999999999997</v>
      </c>
      <c r="BT78" s="3">
        <f t="shared" si="732"/>
        <v>52.994999999999997</v>
      </c>
      <c r="BU78" s="3">
        <f t="shared" si="732"/>
        <v>52.994999999999997</v>
      </c>
      <c r="BV78" s="3">
        <f t="shared" si="732"/>
        <v>52.994999999999997</v>
      </c>
      <c r="BW78" s="3">
        <f t="shared" si="732"/>
        <v>52.994999999999997</v>
      </c>
      <c r="BX78" s="3">
        <f t="shared" si="732"/>
        <v>52.994999999999997</v>
      </c>
      <c r="BY78" s="3">
        <f t="shared" si="732"/>
        <v>52.994999999999997</v>
      </c>
      <c r="BZ78" s="3">
        <f t="shared" si="732"/>
        <v>52.994999999999997</v>
      </c>
      <c r="CA78" s="3">
        <f t="shared" si="732"/>
        <v>52.994999999999997</v>
      </c>
      <c r="CB78" s="3">
        <f t="shared" si="732"/>
        <v>52.994999999999997</v>
      </c>
      <c r="CC78" s="3">
        <f t="shared" si="732"/>
        <v>52.994999999999997</v>
      </c>
      <c r="CD78" s="3">
        <f t="shared" si="732"/>
        <v>52.994999999999997</v>
      </c>
      <c r="CE78" s="3">
        <f t="shared" si="732"/>
        <v>52.994999999999997</v>
      </c>
      <c r="CF78" s="3">
        <f t="shared" si="732"/>
        <v>52.994999999999997</v>
      </c>
      <c r="CG78" s="3">
        <f t="shared" si="732"/>
        <v>52.994999999999997</v>
      </c>
      <c r="CH78" s="3">
        <f t="shared" si="732"/>
        <v>52.994999999999997</v>
      </c>
      <c r="CI78" s="3">
        <f>+CJ78</f>
        <v>52.994999999999997</v>
      </c>
      <c r="CJ78" s="3">
        <f>'QTR Raw'!BD45</f>
        <v>52.994999999999997</v>
      </c>
      <c r="CK78" s="3">
        <f>'QTR Raw'!BE45</f>
        <v>53.093000000000004</v>
      </c>
      <c r="CL78" s="3">
        <f>'QTR Raw'!BF45</f>
        <v>53.142000000000003</v>
      </c>
      <c r="CM78" s="37">
        <f t="shared" ref="CM78:CM79" si="733">+CL78</f>
        <v>53.142000000000003</v>
      </c>
      <c r="CN78" s="37">
        <f t="shared" ref="CN78:CN79" si="734">+CM78</f>
        <v>53.142000000000003</v>
      </c>
      <c r="CO78" s="37">
        <f t="shared" ref="CO78:CO79" si="735">+CN78</f>
        <v>53.142000000000003</v>
      </c>
      <c r="CP78" s="37">
        <f t="shared" ref="CP78:CP79" si="736">+CO78</f>
        <v>53.142000000000003</v>
      </c>
      <c r="CQ78" s="37">
        <f t="shared" ref="CQ78:CQ79" si="737">+CP78</f>
        <v>53.142000000000003</v>
      </c>
      <c r="CR78" s="37">
        <f t="shared" ref="CR78:CR79" si="738">+CQ78</f>
        <v>53.142000000000003</v>
      </c>
      <c r="CS78" s="37">
        <f t="shared" ref="CS78:CS79" si="739">+CR78</f>
        <v>53.142000000000003</v>
      </c>
      <c r="CT78" s="37">
        <f t="shared" ref="CT78:CT79" si="740">+CS78</f>
        <v>53.142000000000003</v>
      </c>
      <c r="CU78" s="37">
        <f t="shared" ref="CU78:CU79" si="741">+CT78</f>
        <v>53.142000000000003</v>
      </c>
      <c r="CV78" s="37">
        <f t="shared" ref="CV78:CV79" si="742">+CU78</f>
        <v>53.142000000000003</v>
      </c>
      <c r="CW78" s="37">
        <f t="shared" ref="CW78:CW79" si="743">+CV78</f>
        <v>53.142000000000003</v>
      </c>
      <c r="CX78" s="37">
        <f t="shared" ref="CX78:CX79" si="744">+CW78</f>
        <v>53.142000000000003</v>
      </c>
      <c r="CY78" s="37">
        <f t="shared" ref="CY78:CY79" si="745">+CX78</f>
        <v>53.142000000000003</v>
      </c>
      <c r="CZ78" s="37">
        <f t="shared" ref="CZ78:CZ79" si="746">+CY78</f>
        <v>53.142000000000003</v>
      </c>
      <c r="DA78" s="37">
        <f t="shared" ref="DA78:DA79" si="747">+CZ78</f>
        <v>53.142000000000003</v>
      </c>
      <c r="DB78" s="37">
        <f t="shared" ref="DB78:DB79" si="748">+DA78</f>
        <v>53.142000000000003</v>
      </c>
      <c r="DE78" s="134"/>
      <c r="DF78" s="3">
        <v>53.142000000000003</v>
      </c>
    </row>
    <row r="79" spans="1:110" s="3" customFormat="1" x14ac:dyDescent="0.2">
      <c r="A79" s="3" t="s">
        <v>28</v>
      </c>
      <c r="B79" s="3">
        <f>'Annual Raw'!C105</f>
        <v>10</v>
      </c>
      <c r="C79" s="3">
        <f>'Annual Raw'!D105</f>
        <v>10</v>
      </c>
      <c r="D79" s="3">
        <f>'Annual Raw'!E105</f>
        <v>10</v>
      </c>
      <c r="E79" s="3">
        <f t="shared" ref="E79:Y79" ca="1" si="749">+F79</f>
        <v>2</v>
      </c>
      <c r="F79" s="3">
        <f t="shared" ca="1" si="749"/>
        <v>2</v>
      </c>
      <c r="G79" s="3">
        <f t="shared" ca="1" si="749"/>
        <v>2</v>
      </c>
      <c r="H79" s="3">
        <f t="shared" ca="1" si="749"/>
        <v>2</v>
      </c>
      <c r="I79" s="3">
        <f t="shared" ca="1" si="749"/>
        <v>2</v>
      </c>
      <c r="J79" s="3">
        <f t="shared" ca="1" si="749"/>
        <v>2</v>
      </c>
      <c r="K79" s="3">
        <f t="shared" ca="1" si="749"/>
        <v>2</v>
      </c>
      <c r="L79" s="3">
        <f t="shared" ca="1" si="749"/>
        <v>2</v>
      </c>
      <c r="M79" s="3">
        <f t="shared" ca="1" si="749"/>
        <v>2</v>
      </c>
      <c r="N79" s="3">
        <f t="shared" ca="1" si="749"/>
        <v>2</v>
      </c>
      <c r="O79" s="3">
        <f t="shared" ca="1" si="749"/>
        <v>2</v>
      </c>
      <c r="P79" s="3">
        <f t="shared" ca="1" si="749"/>
        <v>2</v>
      </c>
      <c r="Q79" s="3">
        <f t="shared" ca="1" si="749"/>
        <v>2</v>
      </c>
      <c r="R79" s="3">
        <f t="shared" ca="1" si="749"/>
        <v>2</v>
      </c>
      <c r="S79" s="3">
        <f t="shared" ca="1" si="749"/>
        <v>2</v>
      </c>
      <c r="T79" s="3">
        <f t="shared" ca="1" si="749"/>
        <v>2</v>
      </c>
      <c r="U79" s="3">
        <f t="shared" ca="1" si="749"/>
        <v>2</v>
      </c>
      <c r="V79" s="3">
        <f t="shared" ca="1" si="749"/>
        <v>2</v>
      </c>
      <c r="W79" s="3">
        <f t="shared" ca="1" si="749"/>
        <v>2</v>
      </c>
      <c r="X79" s="3">
        <f t="shared" ca="1" si="749"/>
        <v>2</v>
      </c>
      <c r="Y79" s="3">
        <f t="shared" ca="1" si="749"/>
        <v>2</v>
      </c>
      <c r="Z79" s="3">
        <f ca="1">+AA79</f>
        <v>2</v>
      </c>
      <c r="AA79" s="3">
        <f ca="1">+AB79</f>
        <v>2</v>
      </c>
      <c r="AB79" s="37">
        <f t="shared" ca="1" si="728"/>
        <v>2</v>
      </c>
      <c r="AC79" s="37">
        <f t="shared" ca="1" si="729"/>
        <v>2</v>
      </c>
      <c r="AD79" s="37">
        <f t="shared" ca="1" si="730"/>
        <v>2</v>
      </c>
      <c r="AE79" s="37">
        <f t="shared" ca="1" si="731"/>
        <v>2</v>
      </c>
      <c r="AI79" s="3">
        <f t="shared" ref="AI79:CH79" si="750">AJ79</f>
        <v>2</v>
      </c>
      <c r="AJ79" s="3">
        <f t="shared" si="750"/>
        <v>2</v>
      </c>
      <c r="AK79" s="3">
        <f t="shared" si="750"/>
        <v>2</v>
      </c>
      <c r="AL79" s="3">
        <f t="shared" si="750"/>
        <v>2</v>
      </c>
      <c r="AM79" s="3">
        <f t="shared" si="750"/>
        <v>2</v>
      </c>
      <c r="AN79" s="3">
        <f t="shared" si="750"/>
        <v>2</v>
      </c>
      <c r="AO79" s="3">
        <f t="shared" si="750"/>
        <v>2</v>
      </c>
      <c r="AP79" s="3">
        <f t="shared" si="750"/>
        <v>2</v>
      </c>
      <c r="AQ79" s="3">
        <f t="shared" si="750"/>
        <v>2</v>
      </c>
      <c r="AR79" s="3">
        <f t="shared" si="750"/>
        <v>2</v>
      </c>
      <c r="AS79" s="3">
        <f t="shared" si="750"/>
        <v>2</v>
      </c>
      <c r="AT79" s="3">
        <f t="shared" si="750"/>
        <v>2</v>
      </c>
      <c r="AU79" s="3">
        <f t="shared" si="750"/>
        <v>2</v>
      </c>
      <c r="AV79" s="3">
        <f t="shared" si="750"/>
        <v>2</v>
      </c>
      <c r="AW79" s="3">
        <f t="shared" si="750"/>
        <v>2</v>
      </c>
      <c r="AX79" s="3">
        <f t="shared" si="750"/>
        <v>2</v>
      </c>
      <c r="AY79" s="3">
        <f t="shared" si="750"/>
        <v>2</v>
      </c>
      <c r="AZ79" s="3">
        <f t="shared" si="750"/>
        <v>2</v>
      </c>
      <c r="BA79" s="3">
        <f t="shared" si="750"/>
        <v>2</v>
      </c>
      <c r="BB79" s="3">
        <f t="shared" si="750"/>
        <v>2</v>
      </c>
      <c r="BC79" s="3">
        <f t="shared" si="750"/>
        <v>2</v>
      </c>
      <c r="BD79" s="3">
        <f t="shared" si="750"/>
        <v>2</v>
      </c>
      <c r="BE79" s="3">
        <f t="shared" si="750"/>
        <v>2</v>
      </c>
      <c r="BF79" s="3">
        <f t="shared" si="750"/>
        <v>2</v>
      </c>
      <c r="BG79" s="3">
        <f t="shared" si="750"/>
        <v>2</v>
      </c>
      <c r="BH79" s="3">
        <f t="shared" si="750"/>
        <v>2</v>
      </c>
      <c r="BI79" s="3">
        <f t="shared" si="750"/>
        <v>2</v>
      </c>
      <c r="BJ79" s="3">
        <f t="shared" si="750"/>
        <v>2</v>
      </c>
      <c r="BK79" s="3">
        <f t="shared" si="750"/>
        <v>2</v>
      </c>
      <c r="BL79" s="3">
        <f t="shared" si="750"/>
        <v>2</v>
      </c>
      <c r="BM79" s="3">
        <f t="shared" si="750"/>
        <v>2</v>
      </c>
      <c r="BN79" s="3">
        <f t="shared" si="750"/>
        <v>2</v>
      </c>
      <c r="BO79" s="3">
        <f t="shared" si="750"/>
        <v>2</v>
      </c>
      <c r="BP79" s="3">
        <f t="shared" si="750"/>
        <v>2</v>
      </c>
      <c r="BQ79" s="3">
        <f t="shared" si="750"/>
        <v>2</v>
      </c>
      <c r="BR79" s="3">
        <f t="shared" si="750"/>
        <v>2</v>
      </c>
      <c r="BS79" s="3">
        <f t="shared" si="750"/>
        <v>2</v>
      </c>
      <c r="BT79" s="3">
        <f t="shared" si="750"/>
        <v>2</v>
      </c>
      <c r="BU79" s="3">
        <f t="shared" si="750"/>
        <v>2</v>
      </c>
      <c r="BV79" s="3">
        <f t="shared" si="750"/>
        <v>2</v>
      </c>
      <c r="BW79" s="3">
        <f t="shared" si="750"/>
        <v>2</v>
      </c>
      <c r="BX79" s="3">
        <f t="shared" si="750"/>
        <v>2</v>
      </c>
      <c r="BY79" s="3">
        <f t="shared" si="750"/>
        <v>2</v>
      </c>
      <c r="BZ79" s="3">
        <f t="shared" si="750"/>
        <v>2</v>
      </c>
      <c r="CA79" s="3">
        <f t="shared" si="750"/>
        <v>2</v>
      </c>
      <c r="CB79" s="3">
        <f t="shared" si="750"/>
        <v>2</v>
      </c>
      <c r="CC79" s="3">
        <f t="shared" si="750"/>
        <v>2</v>
      </c>
      <c r="CD79" s="3">
        <f t="shared" si="750"/>
        <v>2</v>
      </c>
      <c r="CE79" s="3">
        <f t="shared" si="750"/>
        <v>2</v>
      </c>
      <c r="CF79" s="3">
        <f t="shared" si="750"/>
        <v>2</v>
      </c>
      <c r="CG79" s="3">
        <f t="shared" si="750"/>
        <v>2</v>
      </c>
      <c r="CH79" s="3">
        <f t="shared" si="750"/>
        <v>2</v>
      </c>
      <c r="CI79" s="3">
        <f>CJ79</f>
        <v>2</v>
      </c>
      <c r="CJ79" s="3">
        <f>'QTR Raw'!BD46</f>
        <v>2</v>
      </c>
      <c r="CK79" s="3">
        <f>'QTR Raw'!BE46</f>
        <v>2</v>
      </c>
      <c r="CL79" s="3">
        <f>'QTR Raw'!BF46</f>
        <v>2</v>
      </c>
      <c r="CM79" s="37">
        <f t="shared" si="733"/>
        <v>2</v>
      </c>
      <c r="CN79" s="37">
        <f t="shared" si="734"/>
        <v>2</v>
      </c>
      <c r="CO79" s="37">
        <f t="shared" si="735"/>
        <v>2</v>
      </c>
      <c r="CP79" s="37">
        <f t="shared" si="736"/>
        <v>2</v>
      </c>
      <c r="CQ79" s="37">
        <f t="shared" si="737"/>
        <v>2</v>
      </c>
      <c r="CR79" s="37">
        <f t="shared" si="738"/>
        <v>2</v>
      </c>
      <c r="CS79" s="37">
        <f t="shared" si="739"/>
        <v>2</v>
      </c>
      <c r="CT79" s="37">
        <f t="shared" si="740"/>
        <v>2</v>
      </c>
      <c r="CU79" s="37">
        <f t="shared" si="741"/>
        <v>2</v>
      </c>
      <c r="CV79" s="37">
        <f t="shared" si="742"/>
        <v>2</v>
      </c>
      <c r="CW79" s="37">
        <f t="shared" si="743"/>
        <v>2</v>
      </c>
      <c r="CX79" s="37">
        <f t="shared" si="744"/>
        <v>2</v>
      </c>
      <c r="CY79" s="37">
        <f t="shared" si="745"/>
        <v>2</v>
      </c>
      <c r="CZ79" s="37">
        <f t="shared" si="746"/>
        <v>2</v>
      </c>
      <c r="DA79" s="37">
        <f t="shared" si="747"/>
        <v>2</v>
      </c>
      <c r="DB79" s="37">
        <f t="shared" si="748"/>
        <v>2</v>
      </c>
      <c r="DE79" s="134"/>
      <c r="DF79" s="3">
        <v>2</v>
      </c>
    </row>
    <row r="80" spans="1:110" s="3" customFormat="1" x14ac:dyDescent="0.2">
      <c r="A80" s="3" t="s">
        <v>29</v>
      </c>
      <c r="B80" s="3">
        <f>B78/B79</f>
        <v>0.56527660000000002</v>
      </c>
      <c r="C80" s="3">
        <f t="shared" ref="C80:W80" si="751">C78/C79</f>
        <v>0.51527659999999997</v>
      </c>
      <c r="D80" s="3">
        <f t="shared" si="751"/>
        <v>0.51527659999999997</v>
      </c>
      <c r="E80" s="3">
        <f t="shared" ca="1" si="751"/>
        <v>26.571000000000002</v>
      </c>
      <c r="F80" s="3">
        <f t="shared" ca="1" si="751"/>
        <v>26.571000000000002</v>
      </c>
      <c r="G80" s="3">
        <f t="shared" ca="1" si="751"/>
        <v>26.571000000000002</v>
      </c>
      <c r="H80" s="3">
        <f t="shared" ca="1" si="751"/>
        <v>26.571000000000002</v>
      </c>
      <c r="I80" s="3">
        <f t="shared" ca="1" si="751"/>
        <v>26.571000000000002</v>
      </c>
      <c r="J80" s="3">
        <f t="shared" ca="1" si="751"/>
        <v>26.571000000000002</v>
      </c>
      <c r="K80" s="3">
        <f t="shared" ca="1" si="751"/>
        <v>26.571000000000002</v>
      </c>
      <c r="L80" s="3">
        <f t="shared" ca="1" si="751"/>
        <v>26.571000000000002</v>
      </c>
      <c r="M80" s="3">
        <f t="shared" ca="1" si="751"/>
        <v>26.571000000000002</v>
      </c>
      <c r="N80" s="3">
        <f t="shared" ca="1" si="751"/>
        <v>26.571000000000002</v>
      </c>
      <c r="O80" s="3">
        <f t="shared" ca="1" si="751"/>
        <v>26.571000000000002</v>
      </c>
      <c r="P80" s="3">
        <f t="shared" ca="1" si="751"/>
        <v>26.571000000000002</v>
      </c>
      <c r="Q80" s="3">
        <f t="shared" ca="1" si="751"/>
        <v>26.571000000000002</v>
      </c>
      <c r="R80" s="3">
        <f t="shared" ca="1" si="751"/>
        <v>26.571000000000002</v>
      </c>
      <c r="S80" s="3">
        <f t="shared" ca="1" si="751"/>
        <v>26.571000000000002</v>
      </c>
      <c r="T80" s="3">
        <f t="shared" ca="1" si="751"/>
        <v>26.571000000000002</v>
      </c>
      <c r="U80" s="3">
        <f t="shared" ca="1" si="751"/>
        <v>26.571000000000002</v>
      </c>
      <c r="V80" s="3">
        <f ca="1">V78/V79</f>
        <v>26.571000000000002</v>
      </c>
      <c r="W80" s="3">
        <f t="shared" ca="1" si="751"/>
        <v>26.571000000000002</v>
      </c>
      <c r="X80" s="3">
        <f t="shared" ref="X80:Y80" ca="1" si="752">X78/X79</f>
        <v>26.571000000000002</v>
      </c>
      <c r="Y80" s="3">
        <f t="shared" ca="1" si="752"/>
        <v>26.571000000000002</v>
      </c>
      <c r="Z80" s="3">
        <f t="shared" ref="Z80:AA80" ca="1" si="753">Z78/Z79</f>
        <v>26.571000000000002</v>
      </c>
      <c r="AA80" s="3">
        <f t="shared" ref="AA80" ca="1" si="754">AA78/AA79</f>
        <v>26.571000000000002</v>
      </c>
      <c r="AB80" s="37">
        <f t="shared" ref="AB80:AD80" ca="1" si="755">AB78/AB79</f>
        <v>26.571000000000002</v>
      </c>
      <c r="AC80" s="37">
        <f t="shared" ca="1" si="755"/>
        <v>26.571000000000002</v>
      </c>
      <c r="AD80" s="37">
        <f t="shared" ca="1" si="755"/>
        <v>26.571000000000002</v>
      </c>
      <c r="AE80" s="37">
        <f t="shared" ref="AE80" ca="1" si="756">AE78/AE79</f>
        <v>26.571000000000002</v>
      </c>
      <c r="AI80" s="3">
        <f t="shared" ref="AI80" si="757">AI78/AI79</f>
        <v>26.497499999999999</v>
      </c>
      <c r="AJ80" s="3">
        <f t="shared" ref="AJ80" si="758">AJ78/AJ79</f>
        <v>26.497499999999999</v>
      </c>
      <c r="AK80" s="3">
        <f t="shared" ref="AK80:AM80" si="759">AK78/AK79</f>
        <v>26.497499999999999</v>
      </c>
      <c r="AL80" s="3">
        <f t="shared" si="759"/>
        <v>26.497499999999999</v>
      </c>
      <c r="AM80" s="3">
        <f t="shared" si="759"/>
        <v>26.497499999999999</v>
      </c>
      <c r="AN80" s="3">
        <f t="shared" ref="AN80:AO80" si="760">AN78/AN79</f>
        <v>26.497499999999999</v>
      </c>
      <c r="AO80" s="3">
        <f t="shared" si="760"/>
        <v>26.497499999999999</v>
      </c>
      <c r="AP80" s="3">
        <f t="shared" ref="AP80:CD80" si="761">AP78/AP79</f>
        <v>26.497499999999999</v>
      </c>
      <c r="AQ80" s="3">
        <f t="shared" si="761"/>
        <v>26.497499999999999</v>
      </c>
      <c r="AR80" s="3">
        <f t="shared" si="761"/>
        <v>26.497499999999999</v>
      </c>
      <c r="AS80" s="3">
        <f t="shared" si="761"/>
        <v>26.497499999999999</v>
      </c>
      <c r="AT80" s="3">
        <f t="shared" si="761"/>
        <v>26.497499999999999</v>
      </c>
      <c r="AU80" s="3">
        <f t="shared" si="761"/>
        <v>26.497499999999999</v>
      </c>
      <c r="AV80" s="3">
        <f t="shared" si="761"/>
        <v>26.497499999999999</v>
      </c>
      <c r="AW80" s="3">
        <f t="shared" si="761"/>
        <v>26.497499999999999</v>
      </c>
      <c r="AX80" s="3">
        <f t="shared" si="761"/>
        <v>26.497499999999999</v>
      </c>
      <c r="AY80" s="3">
        <f t="shared" si="761"/>
        <v>26.497499999999999</v>
      </c>
      <c r="AZ80" s="3">
        <f t="shared" si="761"/>
        <v>26.497499999999999</v>
      </c>
      <c r="BA80" s="3">
        <f t="shared" si="761"/>
        <v>26.497499999999999</v>
      </c>
      <c r="BB80" s="3">
        <f t="shared" si="761"/>
        <v>26.497499999999999</v>
      </c>
      <c r="BC80" s="3">
        <f t="shared" si="761"/>
        <v>26.497499999999999</v>
      </c>
      <c r="BD80" s="3">
        <f t="shared" si="761"/>
        <v>26.497499999999999</v>
      </c>
      <c r="BE80" s="3">
        <f t="shared" si="761"/>
        <v>26.497499999999999</v>
      </c>
      <c r="BF80" s="3">
        <f t="shared" si="761"/>
        <v>26.497499999999999</v>
      </c>
      <c r="BG80" s="3">
        <f t="shared" si="761"/>
        <v>26.497499999999999</v>
      </c>
      <c r="BH80" s="3">
        <f t="shared" si="761"/>
        <v>26.497499999999999</v>
      </c>
      <c r="BI80" s="3">
        <f t="shared" si="761"/>
        <v>26.497499999999999</v>
      </c>
      <c r="BJ80" s="3">
        <f t="shared" si="761"/>
        <v>26.497499999999999</v>
      </c>
      <c r="BK80" s="3">
        <f t="shared" si="761"/>
        <v>26.497499999999999</v>
      </c>
      <c r="BL80" s="3">
        <f t="shared" si="761"/>
        <v>26.497499999999999</v>
      </c>
      <c r="BM80" s="3">
        <f t="shared" si="761"/>
        <v>26.497499999999999</v>
      </c>
      <c r="BN80" s="3">
        <f t="shared" si="761"/>
        <v>26.497499999999999</v>
      </c>
      <c r="BO80" s="3">
        <f t="shared" si="761"/>
        <v>26.497499999999999</v>
      </c>
      <c r="BP80" s="3">
        <f t="shared" si="761"/>
        <v>26.497499999999999</v>
      </c>
      <c r="BQ80" s="3">
        <f t="shared" si="761"/>
        <v>26.497499999999999</v>
      </c>
      <c r="BR80" s="3">
        <f t="shared" si="761"/>
        <v>26.497499999999999</v>
      </c>
      <c r="BS80" s="3">
        <f t="shared" si="761"/>
        <v>26.497499999999999</v>
      </c>
      <c r="BT80" s="3">
        <f t="shared" si="761"/>
        <v>26.497499999999999</v>
      </c>
      <c r="BU80" s="3">
        <f t="shared" si="761"/>
        <v>26.497499999999999</v>
      </c>
      <c r="BV80" s="3">
        <f t="shared" si="761"/>
        <v>26.497499999999999</v>
      </c>
      <c r="BW80" s="3">
        <f t="shared" si="761"/>
        <v>26.497499999999999</v>
      </c>
      <c r="BX80" s="3">
        <f t="shared" si="761"/>
        <v>26.497499999999999</v>
      </c>
      <c r="BY80" s="3">
        <f t="shared" si="761"/>
        <v>26.497499999999999</v>
      </c>
      <c r="BZ80" s="3">
        <f t="shared" si="761"/>
        <v>26.497499999999999</v>
      </c>
      <c r="CA80" s="3">
        <f t="shared" si="761"/>
        <v>26.497499999999999</v>
      </c>
      <c r="CB80" s="3">
        <f t="shared" si="761"/>
        <v>26.497499999999999</v>
      </c>
      <c r="CC80" s="3">
        <f t="shared" si="761"/>
        <v>26.497499999999999</v>
      </c>
      <c r="CD80" s="3">
        <f t="shared" si="761"/>
        <v>26.497499999999999</v>
      </c>
      <c r="CE80" s="3">
        <f t="shared" ref="CE80:CF80" si="762">CE78/CE79</f>
        <v>26.497499999999999</v>
      </c>
      <c r="CF80" s="3">
        <f t="shared" si="762"/>
        <v>26.497499999999999</v>
      </c>
      <c r="CG80" s="3">
        <f t="shared" ref="CG80:CH80" si="763">CG78/CG79</f>
        <v>26.497499999999999</v>
      </c>
      <c r="CH80" s="3">
        <f t="shared" si="763"/>
        <v>26.497499999999999</v>
      </c>
      <c r="CI80" s="3">
        <f t="shared" ref="CI80:CJ80" si="764">CI78/CI79</f>
        <v>26.497499999999999</v>
      </c>
      <c r="CJ80" s="3">
        <f t="shared" si="764"/>
        <v>26.497499999999999</v>
      </c>
      <c r="CK80" s="3">
        <f t="shared" ref="CK80:CL80" si="765">CK78/CK79</f>
        <v>26.546500000000002</v>
      </c>
      <c r="CL80" s="3">
        <f t="shared" si="765"/>
        <v>26.571000000000002</v>
      </c>
      <c r="CM80" s="37">
        <f t="shared" ref="CM80:DB80" si="766">CM78/CM79</f>
        <v>26.571000000000002</v>
      </c>
      <c r="CN80" s="37">
        <f t="shared" si="766"/>
        <v>26.571000000000002</v>
      </c>
      <c r="CO80" s="37">
        <f t="shared" si="766"/>
        <v>26.571000000000002</v>
      </c>
      <c r="CP80" s="37">
        <f t="shared" si="766"/>
        <v>26.571000000000002</v>
      </c>
      <c r="CQ80" s="37">
        <f t="shared" si="766"/>
        <v>26.571000000000002</v>
      </c>
      <c r="CR80" s="37">
        <f t="shared" si="766"/>
        <v>26.571000000000002</v>
      </c>
      <c r="CS80" s="37">
        <f t="shared" si="766"/>
        <v>26.571000000000002</v>
      </c>
      <c r="CT80" s="37">
        <f t="shared" si="766"/>
        <v>26.571000000000002</v>
      </c>
      <c r="CU80" s="37">
        <f t="shared" si="766"/>
        <v>26.571000000000002</v>
      </c>
      <c r="CV80" s="37">
        <f t="shared" si="766"/>
        <v>26.571000000000002</v>
      </c>
      <c r="CW80" s="37">
        <f t="shared" si="766"/>
        <v>26.571000000000002</v>
      </c>
      <c r="CX80" s="37">
        <f t="shared" si="766"/>
        <v>26.571000000000002</v>
      </c>
      <c r="CY80" s="37">
        <f t="shared" si="766"/>
        <v>26.571000000000002</v>
      </c>
      <c r="CZ80" s="37">
        <f t="shared" si="766"/>
        <v>26.571000000000002</v>
      </c>
      <c r="DA80" s="37">
        <f t="shared" si="766"/>
        <v>26.571000000000002</v>
      </c>
      <c r="DB80" s="37">
        <f t="shared" si="766"/>
        <v>26.571000000000002</v>
      </c>
      <c r="DE80" s="134"/>
      <c r="DF80" s="3">
        <v>26.571000000000002</v>
      </c>
    </row>
    <row r="81" spans="1:110" s="53" customFormat="1" x14ac:dyDescent="0.2">
      <c r="A81" s="53" t="s">
        <v>30</v>
      </c>
      <c r="B81" s="53">
        <f t="shared" ref="B81:AE81" si="767">(B63-B62)/B80</f>
        <v>1.6464930619806304</v>
      </c>
      <c r="C81" s="53">
        <f t="shared" si="767"/>
        <v>-5.4219805440417836</v>
      </c>
      <c r="D81" s="53">
        <f t="shared" si="767"/>
        <v>0.32373040033256151</v>
      </c>
      <c r="E81" s="53">
        <f t="shared" ca="1" si="767"/>
        <v>5.7723393925708459E-2</v>
      </c>
      <c r="F81" s="53">
        <f t="shared" ca="1" si="767"/>
        <v>3.2816762635956509E-2</v>
      </c>
      <c r="G81" s="53">
        <f t="shared" ca="1" si="767"/>
        <v>3.6745711489970231E-2</v>
      </c>
      <c r="H81" s="53">
        <f t="shared" ca="1" si="767"/>
        <v>8.0566109668435498E-2</v>
      </c>
      <c r="I81" s="53">
        <f t="shared" ca="1" si="767"/>
        <v>0.13817172857626736</v>
      </c>
      <c r="J81" s="53">
        <f t="shared" ca="1" si="767"/>
        <v>9.5312013096985462E-2</v>
      </c>
      <c r="K81" s="53">
        <f t="shared" ca="1" si="767"/>
        <v>4.0055767566143631E-2</v>
      </c>
      <c r="L81" s="53">
        <f t="shared" ca="1" si="767"/>
        <v>9.2432558052011421E-2</v>
      </c>
      <c r="M81" s="53">
        <f t="shared" ca="1" si="767"/>
        <v>0.14648899175793165</v>
      </c>
      <c r="N81" s="53">
        <f t="shared" ca="1" si="767"/>
        <v>0.24535116104023191</v>
      </c>
      <c r="O81" s="53">
        <f t="shared" ca="1" si="767"/>
        <v>-3.8903684468029012E-2</v>
      </c>
      <c r="P81" s="53">
        <f t="shared" ca="1" si="767"/>
        <v>3.3620646569568237E-2</v>
      </c>
      <c r="Q81" s="53">
        <f t="shared" ca="1" si="767"/>
        <v>2.2336479620639046E-2</v>
      </c>
      <c r="R81" s="53">
        <f t="shared" ca="1" si="767"/>
        <v>3.3259493432689913E-2</v>
      </c>
      <c r="S81" s="53">
        <f t="shared" ca="1" si="767"/>
        <v>0.6512449474991534</v>
      </c>
      <c r="T81" s="53">
        <f t="shared" ca="1" si="767"/>
        <v>0.36088847615821784</v>
      </c>
      <c r="U81" s="53">
        <f t="shared" ca="1" si="767"/>
        <v>0.40485458959015475</v>
      </c>
      <c r="V81" s="53">
        <f t="shared" ca="1" si="767"/>
        <v>0.57708403898987681</v>
      </c>
      <c r="W81" s="53">
        <f t="shared" ca="1" si="767"/>
        <v>0.67656467577434065</v>
      </c>
      <c r="X81" s="53">
        <f t="shared" ca="1" si="767"/>
        <v>1.0100447856685857</v>
      </c>
      <c r="Y81" s="53">
        <f t="shared" ca="1" si="767"/>
        <v>1.9779007188287971</v>
      </c>
      <c r="Z81" s="53">
        <f t="shared" ca="1" si="767"/>
        <v>2.1242934025817615</v>
      </c>
      <c r="AA81" s="53">
        <f t="shared" ref="AA81" ca="1" si="768">(AA63-AA62)/AA80</f>
        <v>2.1242934025817615</v>
      </c>
      <c r="AB81" s="54">
        <f t="shared" ca="1" si="767"/>
        <v>0.59868769103840469</v>
      </c>
      <c r="AC81" s="54">
        <f t="shared" ca="1" si="767"/>
        <v>0.87104323964213959</v>
      </c>
      <c r="AD81" s="54">
        <f t="shared" ca="1" si="767"/>
        <v>1.1524967067264564</v>
      </c>
      <c r="AE81" s="54">
        <f t="shared" ca="1" si="767"/>
        <v>1.4520894629082526</v>
      </c>
      <c r="AI81" s="53">
        <f t="shared" ref="AI81:BN81" si="769">(AI63-AI62)/AI80</f>
        <v>4.4607981885083539E-2</v>
      </c>
      <c r="AJ81" s="53">
        <f t="shared" si="769"/>
        <v>2.5285404283422654E-3</v>
      </c>
      <c r="AK81" s="53">
        <f t="shared" si="769"/>
        <v>6.9100858571563326E-2</v>
      </c>
      <c r="AL81" s="53">
        <f t="shared" si="769"/>
        <v>0.12759694310784048</v>
      </c>
      <c r="AM81" s="53">
        <f t="shared" si="769"/>
        <v>-5.2042645532597402E-2</v>
      </c>
      <c r="AN81" s="53">
        <f t="shared" si="769"/>
        <v>-4.4230587791301089E-2</v>
      </c>
      <c r="AO81" s="53">
        <f t="shared" si="769"/>
        <v>1.5926030757618642E-2</v>
      </c>
      <c r="AP81" s="53">
        <f t="shared" si="769"/>
        <v>3.5437305406170405E-2</v>
      </c>
      <c r="AQ81" s="53">
        <f t="shared" si="769"/>
        <v>-6.2949334842909724E-2</v>
      </c>
      <c r="AR81" s="53">
        <f t="shared" si="769"/>
        <v>9.2310595339182913E-2</v>
      </c>
      <c r="AS81" s="53">
        <f t="shared" si="769"/>
        <v>8.1139730163223064E-3</v>
      </c>
      <c r="AT81" s="53">
        <f t="shared" si="769"/>
        <v>-3.9626379847155615E-3</v>
      </c>
      <c r="AU81" s="53">
        <f t="shared" si="769"/>
        <v>7.019530144353252E-3</v>
      </c>
      <c r="AV81" s="53">
        <f t="shared" si="769"/>
        <v>6.1137843192754218E-3</v>
      </c>
      <c r="AW81" s="53">
        <f t="shared" si="769"/>
        <v>8.2649306538352535E-3</v>
      </c>
      <c r="AX81" s="53">
        <f t="shared" si="769"/>
        <v>9.8122464383424324E-4</v>
      </c>
      <c r="AY81" s="53">
        <f t="shared" si="769"/>
        <v>1.4076799698084737E-2</v>
      </c>
      <c r="AZ81" s="53">
        <f t="shared" si="769"/>
        <v>1.2189829229172578E-2</v>
      </c>
      <c r="BA81" s="53">
        <f t="shared" si="769"/>
        <v>1.2982356826115676E-2</v>
      </c>
      <c r="BB81" s="53">
        <f t="shared" si="769"/>
        <v>-5.8118690442494503E-3</v>
      </c>
      <c r="BC81" s="53">
        <f t="shared" si="769"/>
        <v>0.46057175205208045</v>
      </c>
      <c r="BD81" s="53">
        <f t="shared" si="769"/>
        <v>0.12284177752618172</v>
      </c>
      <c r="BE81" s="53">
        <f t="shared" si="769"/>
        <v>0.11816209076327962</v>
      </c>
      <c r="BF81" s="53">
        <f t="shared" si="769"/>
        <v>-4.8721577507312062E-2</v>
      </c>
      <c r="BG81" s="53">
        <f t="shared" si="769"/>
        <v>9.1253891876592136E-2</v>
      </c>
      <c r="BH81" s="53">
        <f t="shared" si="769"/>
        <v>2.351165204264553E-2</v>
      </c>
      <c r="BI81" s="53">
        <f t="shared" si="769"/>
        <v>0.12495518445136335</v>
      </c>
      <c r="BJ81" s="53">
        <f t="shared" si="769"/>
        <v>0.12204924992923868</v>
      </c>
      <c r="BK81" s="53">
        <f t="shared" si="769"/>
        <v>5.1212378526276123E-2</v>
      </c>
      <c r="BL81" s="53">
        <f t="shared" si="769"/>
        <v>8.9895273138975315E-2</v>
      </c>
      <c r="BM81" s="53">
        <f t="shared" si="769"/>
        <v>0.10959524483441838</v>
      </c>
      <c r="BN81" s="53">
        <f t="shared" si="769"/>
        <v>0.15533540900084905</v>
      </c>
      <c r="BO81" s="53">
        <f t="shared" ref="BO81:CT81" si="770">(BO63-BO62)/BO80</f>
        <v>5.4608925370317987E-2</v>
      </c>
      <c r="BP81" s="53">
        <f t="shared" si="770"/>
        <v>0.12416265685442034</v>
      </c>
      <c r="BQ81" s="53">
        <f t="shared" si="770"/>
        <v>0.18764034342862534</v>
      </c>
      <c r="BR81" s="53">
        <f t="shared" si="770"/>
        <v>0.2150014152278516</v>
      </c>
      <c r="BS81" s="53">
        <f t="shared" si="770"/>
        <v>0.11601094442871962</v>
      </c>
      <c r="BT81" s="53">
        <f t="shared" si="770"/>
        <v>0.129861307670535</v>
      </c>
      <c r="BU81" s="53">
        <f t="shared" si="770"/>
        <v>0.20326445891121803</v>
      </c>
      <c r="BV81" s="53">
        <f t="shared" si="770"/>
        <v>0.22926691197282775</v>
      </c>
      <c r="BW81" s="53">
        <f t="shared" si="770"/>
        <v>0.16533635248608375</v>
      </c>
      <c r="BX81" s="53">
        <f t="shared" si="770"/>
        <v>0.23183319181054812</v>
      </c>
      <c r="BY81" s="53">
        <f t="shared" si="770"/>
        <v>0.25232569110293418</v>
      </c>
      <c r="BZ81" s="53">
        <f t="shared" si="770"/>
        <v>0.36339277290310384</v>
      </c>
      <c r="CA81" s="53">
        <f t="shared" si="770"/>
        <v>0.30236814793848454</v>
      </c>
      <c r="CB81" s="53">
        <f t="shared" si="770"/>
        <v>0.60658552693650325</v>
      </c>
      <c r="CC81" s="53">
        <f t="shared" si="770"/>
        <v>0.61594490046230788</v>
      </c>
      <c r="CD81" s="53">
        <f t="shared" si="770"/>
        <v>0.45860930276441181</v>
      </c>
      <c r="CE81" s="53">
        <f t="shared" si="770"/>
        <v>0.27855458062081345</v>
      </c>
      <c r="CF81" s="53">
        <f t="shared" si="770"/>
        <v>0.86419473535239211</v>
      </c>
      <c r="CG81" s="53">
        <f t="shared" si="770"/>
        <v>0.75780734031512409</v>
      </c>
      <c r="CH81" s="53">
        <f t="shared" si="770"/>
        <v>0.22964430606660996</v>
      </c>
      <c r="CI81" s="53">
        <f t="shared" si="770"/>
        <v>0.12174733465421246</v>
      </c>
      <c r="CJ81" s="53">
        <f t="shared" si="770"/>
        <v>0.1609585809982072</v>
      </c>
      <c r="CK81" s="53">
        <f t="shared" ref="CK81:CL81" si="771">(CK63-CK62)/CK80</f>
        <v>0.10332812235134527</v>
      </c>
      <c r="CL81" s="53">
        <f t="shared" si="771"/>
        <v>0.17966956456286928</v>
      </c>
      <c r="CM81" s="54">
        <f t="shared" si="770"/>
        <v>0.1186767800265604</v>
      </c>
      <c r="CN81" s="54">
        <f t="shared" si="770"/>
        <v>0.14670474447127158</v>
      </c>
      <c r="CO81" s="54">
        <f t="shared" si="770"/>
        <v>0.13166400374777321</v>
      </c>
      <c r="CP81" s="54">
        <f t="shared" si="770"/>
        <v>0.20164216279279795</v>
      </c>
      <c r="CQ81" s="54">
        <f t="shared" si="770"/>
        <v>0.18976376521120814</v>
      </c>
      <c r="CR81" s="54">
        <f t="shared" si="770"/>
        <v>0.21399872516248322</v>
      </c>
      <c r="CS81" s="54">
        <f t="shared" si="770"/>
        <v>0.19430805544722157</v>
      </c>
      <c r="CT81" s="54">
        <f t="shared" si="770"/>
        <v>0.27297269382122646</v>
      </c>
      <c r="CU81" s="54">
        <f t="shared" ref="CU81:DB81" si="772">(CU63-CU62)/CU80</f>
        <v>0.25909640941365586</v>
      </c>
      <c r="CV81" s="54">
        <f t="shared" si="772"/>
        <v>0.28437712563300493</v>
      </c>
      <c r="CW81" s="54">
        <f t="shared" si="772"/>
        <v>0.26019777515836973</v>
      </c>
      <c r="CX81" s="54">
        <f t="shared" si="772"/>
        <v>0.34882539652142741</v>
      </c>
      <c r="CY81" s="54">
        <f t="shared" si="772"/>
        <v>0.33190835985894612</v>
      </c>
      <c r="CZ81" s="54">
        <f t="shared" si="772"/>
        <v>0.35937784315292853</v>
      </c>
      <c r="DA81" s="54">
        <f t="shared" si="772"/>
        <v>0.33016947968260957</v>
      </c>
      <c r="DB81" s="54">
        <f t="shared" si="772"/>
        <v>0.43063378021376814</v>
      </c>
      <c r="DE81" s="132"/>
      <c r="DF81" s="53">
        <v>0.5648263144029213</v>
      </c>
    </row>
    <row r="82" spans="1:110" s="3" customFormat="1" x14ac:dyDescent="0.2">
      <c r="A82" s="3" t="s">
        <v>31</v>
      </c>
      <c r="B82" s="3">
        <f>'Annual Raw'!C110</f>
        <v>1.5838279796126901E-2</v>
      </c>
      <c r="C82" s="3">
        <f>'Annual Raw'!D110</f>
        <v>0</v>
      </c>
      <c r="D82" s="3">
        <f>'Annual Raw'!E110</f>
        <v>0</v>
      </c>
      <c r="E82" s="3">
        <f>'Annual Raw'!F110</f>
        <v>0</v>
      </c>
      <c r="F82" s="3">
        <f>'Annual Raw'!G110</f>
        <v>0</v>
      </c>
      <c r="G82" s="3">
        <f>'Annual Raw'!H110</f>
        <v>0</v>
      </c>
      <c r="H82" s="3">
        <f>'Annual Raw'!I110</f>
        <v>1.5838279796126901E-2</v>
      </c>
      <c r="I82" s="3">
        <f>'Annual Raw'!J110</f>
        <v>2.3757419694190401E-2</v>
      </c>
      <c r="J82" s="3">
        <f>'Annual Raw'!K110</f>
        <v>1.9797849745158701E-2</v>
      </c>
      <c r="K82" s="3">
        <f>'Annual Raw'!L110</f>
        <v>1.5838279796126901E-2</v>
      </c>
      <c r="L82" s="3">
        <f>'Annual Raw'!M110</f>
        <v>2.3757419694190401E-2</v>
      </c>
      <c r="M82" s="3">
        <f>'Annual Raw'!N110</f>
        <v>3.1676559592253899E-2</v>
      </c>
      <c r="N82" s="3">
        <f>'Annual Raw'!O110</f>
        <v>3.9595699490317403E-2</v>
      </c>
      <c r="O82" s="3">
        <f>'Annual Raw'!P110</f>
        <v>0</v>
      </c>
      <c r="P82" s="3">
        <f>'Annual Raw'!Q110</f>
        <v>2.3757419694190401E-2</v>
      </c>
      <c r="Q82" s="3">
        <f>'Annual Raw'!R110</f>
        <v>1.5838279796126901E-2</v>
      </c>
      <c r="R82" s="3">
        <f>'Annual Raw'!S110</f>
        <v>3.1676559592253899E-2</v>
      </c>
      <c r="S82" s="3">
        <f>'Annual Raw'!T110</f>
        <v>6.3353119184507797E-2</v>
      </c>
      <c r="T82" s="3">
        <f>'Annual Raw'!U110</f>
        <v>7.9191398980634695E-2</v>
      </c>
      <c r="U82" s="3">
        <f>'Annual Raw'!V110</f>
        <v>6.3353119184507797E-2</v>
      </c>
      <c r="V82" s="3">
        <f>'Annual Raw'!W110</f>
        <v>6.3353119184507797E-2</v>
      </c>
      <c r="W82" s="3">
        <f>'Annual Raw'!X110</f>
        <v>6.3353119184507797E-2</v>
      </c>
      <c r="X82" s="3">
        <f>'Annual Raw'!Y110</f>
        <v>6.3353119184507797E-2</v>
      </c>
      <c r="Y82" s="3">
        <f>'Annual Raw'!Z110</f>
        <v>0.19005935755352299</v>
      </c>
      <c r="Z82" s="3">
        <f>'Annual Raw'!AA110</f>
        <v>0.19005935755352299</v>
      </c>
      <c r="AA82" s="3">
        <f>'Annual Raw'!AB110</f>
        <v>0.2</v>
      </c>
      <c r="AB82" s="37"/>
      <c r="AC82" s="37"/>
      <c r="AD82" s="37"/>
      <c r="AE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  <c r="DF82" s="3">
        <v>0.2</v>
      </c>
    </row>
    <row r="83" spans="1:110" s="3" customFormat="1" x14ac:dyDescent="0.2">
      <c r="A83" s="3" t="s">
        <v>32</v>
      </c>
      <c r="B83" s="3">
        <f>B82/B81</f>
        <v>9.6194026940352971E-3</v>
      </c>
      <c r="C83" s="3">
        <f t="shared" ref="C83:U83" si="773">C82/C81</f>
        <v>0</v>
      </c>
      <c r="D83" s="3">
        <f t="shared" si="773"/>
        <v>0</v>
      </c>
      <c r="E83" s="3">
        <f t="shared" ca="1" si="773"/>
        <v>0</v>
      </c>
      <c r="F83" s="3">
        <f t="shared" ca="1" si="773"/>
        <v>0</v>
      </c>
      <c r="G83" s="3">
        <f t="shared" ca="1" si="773"/>
        <v>0</v>
      </c>
      <c r="H83" s="3">
        <f t="shared" ca="1" si="773"/>
        <v>0.19658737229969642</v>
      </c>
      <c r="I83" s="3">
        <f t="shared" ca="1" si="773"/>
        <v>0.17194124976931802</v>
      </c>
      <c r="J83" s="3">
        <f t="shared" ca="1" si="773"/>
        <v>0.20771620598353377</v>
      </c>
      <c r="K83" s="3">
        <f t="shared" ca="1" si="773"/>
        <v>0.395405724530764</v>
      </c>
      <c r="L83" s="3">
        <f t="shared" ca="1" si="773"/>
        <v>0.25702436668281103</v>
      </c>
      <c r="M83" s="3">
        <f t="shared" ca="1" si="773"/>
        <v>0.21623849827977787</v>
      </c>
      <c r="N83" s="3">
        <f t="shared" ca="1" si="773"/>
        <v>0.16138378690543317</v>
      </c>
      <c r="O83" s="3">
        <f t="shared" ca="1" si="773"/>
        <v>0</v>
      </c>
      <c r="P83" s="3">
        <f t="shared" ca="1" si="773"/>
        <v>0.70663185031350506</v>
      </c>
      <c r="Q83" s="3">
        <f t="shared" ca="1" si="773"/>
        <v>0.70907681358580033</v>
      </c>
      <c r="R83" s="3">
        <f t="shared" ca="1" si="773"/>
        <v>0.9524065559314806</v>
      </c>
      <c r="S83" s="3">
        <f t="shared" ca="1" si="773"/>
        <v>9.7280016417463505E-2</v>
      </c>
      <c r="T83" s="3">
        <f t="shared" ca="1" si="773"/>
        <v>0.21943454616133609</v>
      </c>
      <c r="U83" s="3">
        <f t="shared" ca="1" si="773"/>
        <v>0.15648363835677859</v>
      </c>
      <c r="V83" s="3">
        <f ca="1">V82/V81</f>
        <v>0.1097814441296983</v>
      </c>
      <c r="W83" s="3">
        <f t="shared" ref="W83" ca="1" si="774">W82/W81</f>
        <v>9.3639413130753524E-2</v>
      </c>
      <c r="X83" s="3">
        <f t="shared" ref="X83:Y83" ca="1" si="775">X82/X81</f>
        <v>6.2723079296500742E-2</v>
      </c>
      <c r="Y83" s="3">
        <f t="shared" ca="1" si="775"/>
        <v>9.6091454815823915E-2</v>
      </c>
      <c r="Z83" s="3">
        <f t="shared" ref="Z83:AA83" ca="1" si="776">Z82/Z81</f>
        <v>8.9469447733789606E-2</v>
      </c>
      <c r="AA83" s="3">
        <f t="shared" ref="AA83" ca="1" si="777">AA82/AA81</f>
        <v>8.9469447733789606E-2</v>
      </c>
      <c r="AB83" s="37">
        <f t="shared" ref="AB83:AD83" ca="1" si="778">AB82/AB81</f>
        <v>0</v>
      </c>
      <c r="AC83" s="37">
        <f t="shared" ca="1" si="778"/>
        <v>0</v>
      </c>
      <c r="AD83" s="37">
        <f t="shared" ca="1" si="778"/>
        <v>0</v>
      </c>
      <c r="AE83" s="37">
        <f t="shared" ref="AE83" ca="1" si="779">AE82/AE81</f>
        <v>0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0</v>
      </c>
    </row>
    <row r="84" spans="1:110" s="3" customFormat="1" x14ac:dyDescent="0.2">
      <c r="A84" s="3" t="s">
        <v>33</v>
      </c>
      <c r="B84" s="3">
        <f>+B81</f>
        <v>1.6464930619806304</v>
      </c>
      <c r="C84" s="3">
        <f t="shared" ref="C84:U84" si="780">+C81</f>
        <v>-5.4219805440417836</v>
      </c>
      <c r="D84" s="3">
        <f t="shared" si="780"/>
        <v>0.32373040033256151</v>
      </c>
      <c r="E84" s="3">
        <f t="shared" ca="1" si="780"/>
        <v>5.7723393925708459E-2</v>
      </c>
      <c r="F84" s="3">
        <f t="shared" ca="1" si="780"/>
        <v>3.2816762635956509E-2</v>
      </c>
      <c r="G84" s="3">
        <f t="shared" ca="1" si="780"/>
        <v>3.6745711489970231E-2</v>
      </c>
      <c r="H84" s="3">
        <f t="shared" ca="1" si="780"/>
        <v>8.0566109668435498E-2</v>
      </c>
      <c r="I84" s="3">
        <f t="shared" ca="1" si="780"/>
        <v>0.13817172857626736</v>
      </c>
      <c r="J84" s="3">
        <f t="shared" ca="1" si="780"/>
        <v>9.5312013096985462E-2</v>
      </c>
      <c r="K84" s="3">
        <f t="shared" ca="1" si="780"/>
        <v>4.0055767566143631E-2</v>
      </c>
      <c r="L84" s="3">
        <f t="shared" ca="1" si="780"/>
        <v>9.2432558052011421E-2</v>
      </c>
      <c r="M84" s="3">
        <f t="shared" ca="1" si="780"/>
        <v>0.14648899175793165</v>
      </c>
      <c r="N84" s="3">
        <f t="shared" ca="1" si="780"/>
        <v>0.24535116104023191</v>
      </c>
      <c r="O84" s="3">
        <f t="shared" ca="1" si="780"/>
        <v>-3.8903684468029012E-2</v>
      </c>
      <c r="P84" s="3">
        <f t="shared" ca="1" si="780"/>
        <v>3.3620646569568237E-2</v>
      </c>
      <c r="Q84" s="3">
        <f t="shared" ca="1" si="780"/>
        <v>2.2336479620639046E-2</v>
      </c>
      <c r="R84" s="3">
        <f t="shared" ca="1" si="780"/>
        <v>3.3259493432689913E-2</v>
      </c>
      <c r="S84" s="3">
        <f t="shared" ca="1" si="780"/>
        <v>0.6512449474991534</v>
      </c>
      <c r="T84" s="3">
        <f ca="1">+T81</f>
        <v>0.36088847615821784</v>
      </c>
      <c r="U84" s="3">
        <f t="shared" ca="1" si="780"/>
        <v>0.40485458959015475</v>
      </c>
      <c r="V84" s="3">
        <f ca="1">+V81</f>
        <v>0.57708403898987681</v>
      </c>
      <c r="W84" s="3">
        <f t="shared" ref="W84" ca="1" si="781">+W81</f>
        <v>0.67656467577434065</v>
      </c>
      <c r="X84" s="3">
        <f t="shared" ref="X84:Y84" ca="1" si="782">+X81</f>
        <v>1.0100447856685857</v>
      </c>
      <c r="Y84" s="3">
        <f t="shared" ca="1" si="782"/>
        <v>1.9779007188287971</v>
      </c>
      <c r="Z84" s="3">
        <f t="shared" ref="Z84:AA84" ca="1" si="783">+Z81</f>
        <v>2.1242934025817615</v>
      </c>
      <c r="AA84" s="3">
        <f t="shared" ref="AA84" ca="1" si="784">+AA81</f>
        <v>2.1242934025817615</v>
      </c>
      <c r="AB84" s="37">
        <f t="shared" ref="AB84:AD84" ca="1" si="785">+AB81</f>
        <v>0.59868769103840469</v>
      </c>
      <c r="AC84" s="37">
        <f t="shared" ca="1" si="785"/>
        <v>0.87104323964213959</v>
      </c>
      <c r="AD84" s="37">
        <f t="shared" ca="1" si="785"/>
        <v>1.1524967067264564</v>
      </c>
      <c r="AE84" s="37">
        <f t="shared" ref="AE84" ca="1" si="786">+AE81</f>
        <v>1.4520894629082526</v>
      </c>
      <c r="AL84" s="3">
        <f>SUM(AI81:AL81)</f>
        <v>0.24383432399282962</v>
      </c>
      <c r="AM84" s="3">
        <f t="shared" ref="AM84" si="787">SUM(AJ81:AM81)</f>
        <v>0.14718369657514865</v>
      </c>
      <c r="AN84" s="3">
        <f t="shared" ref="AN84" si="788">SUM(AK81:AN81)</f>
        <v>0.10042456835550531</v>
      </c>
      <c r="AO84" s="3">
        <f t="shared" ref="AO84" si="789">SUM(AL81:AO81)</f>
        <v>4.7249740541560621E-2</v>
      </c>
      <c r="AP84" s="3">
        <f t="shared" ref="AP84" si="790">SUM(AM81:AP81)</f>
        <v>-4.4909897160109444E-2</v>
      </c>
      <c r="AQ84" s="3">
        <f t="shared" ref="AQ84" si="791">SUM(AN81:AQ81)</f>
        <v>-5.5816586470421765E-2</v>
      </c>
      <c r="AR84" s="3">
        <f t="shared" ref="AR84" si="792">SUM(AO81:AR81)</f>
        <v>8.0724596660062237E-2</v>
      </c>
      <c r="AS84" s="3">
        <f t="shared" ref="AS84" si="793">SUM(AP81:AS81)</f>
        <v>7.2912538918765896E-2</v>
      </c>
      <c r="AT84" s="3">
        <f t="shared" ref="AT84" si="794">SUM(AQ81:AT81)</f>
        <v>3.3512595527879933E-2</v>
      </c>
      <c r="AU84" s="3">
        <f t="shared" ref="AU84" si="795">SUM(AR81:AU81)</f>
        <v>0.1034814605151429</v>
      </c>
      <c r="AV84" s="3">
        <f t="shared" ref="AV84" si="796">SUM(AS81:AV81)</f>
        <v>1.7284649495235418E-2</v>
      </c>
      <c r="AW84" s="3">
        <f t="shared" ref="AW84" si="797">SUM(AT81:AW81)</f>
        <v>1.7435607132748367E-2</v>
      </c>
      <c r="AX84" s="3">
        <f t="shared" ref="AX84" si="798">SUM(AU81:AX81)</f>
        <v>2.2379469761298169E-2</v>
      </c>
      <c r="AY84" s="3">
        <f t="shared" ref="AY84" si="799">SUM(AV81:AY81)</f>
        <v>2.9436739315029659E-2</v>
      </c>
      <c r="AZ84" s="3">
        <f t="shared" ref="AZ84" si="800">SUM(AW81:AZ81)</f>
        <v>3.5512784224926812E-2</v>
      </c>
      <c r="BA84" s="3">
        <f t="shared" ref="BA84" si="801">SUM(AX81:BA81)</f>
        <v>4.0230210397207235E-2</v>
      </c>
      <c r="BB84" s="3">
        <f t="shared" ref="BB84" si="802">SUM(AY81:BB81)</f>
        <v>3.3437116709123541E-2</v>
      </c>
      <c r="BC84" s="3">
        <f t="shared" ref="BC84" si="803">SUM(AZ81:BC81)</f>
        <v>0.47993206906311925</v>
      </c>
      <c r="BD84" s="3">
        <f t="shared" ref="BD84" si="804">SUM(BA81:BD81)</f>
        <v>0.59058401736012844</v>
      </c>
      <c r="BE84" s="3">
        <f t="shared" ref="BE84" si="805">SUM(BB81:BE81)</f>
        <v>0.6957637512972924</v>
      </c>
      <c r="BF84" s="3">
        <f t="shared" ref="BF84" si="806">SUM(BC81:BF81)</f>
        <v>0.65285404283422976</v>
      </c>
      <c r="BG84" s="3">
        <f t="shared" ref="BG84" si="807">SUM(BD81:BG81)</f>
        <v>0.28353618265874142</v>
      </c>
      <c r="BH84" s="3">
        <f t="shared" ref="BH84" si="808">SUM(BE81:BH81)</f>
        <v>0.18420605717520522</v>
      </c>
      <c r="BI84" s="3">
        <f t="shared" ref="BI84" si="809">SUM(BF81:BI81)</f>
        <v>0.19099915086328895</v>
      </c>
      <c r="BJ84" s="3">
        <f t="shared" ref="BJ84" si="810">SUM(BG81:BJ81)</f>
        <v>0.3617699782998397</v>
      </c>
      <c r="BK84" s="3">
        <f t="shared" ref="BK84" si="811">SUM(BH81:BK81)</f>
        <v>0.32172846494952367</v>
      </c>
      <c r="BL84" s="3">
        <f t="shared" ref="BL84" si="812">SUM(BI81:BL81)</f>
        <v>0.38811208604585351</v>
      </c>
      <c r="BM84" s="3">
        <f t="shared" ref="BM84" si="813">SUM(BJ81:BM81)</f>
        <v>0.37275214642890853</v>
      </c>
      <c r="BN84" s="3">
        <f t="shared" ref="BN84" si="814">SUM(BK81:BN81)</f>
        <v>0.40603830550051889</v>
      </c>
      <c r="BO84" s="3">
        <f t="shared" ref="BO84" si="815">SUM(BL81:BO81)</f>
        <v>0.40943485234456073</v>
      </c>
      <c r="BP84" s="3">
        <f t="shared" ref="BP84" si="816">SUM(BM81:BP81)</f>
        <v>0.44370223606000575</v>
      </c>
      <c r="BQ84" s="3">
        <f t="shared" ref="BQ84" si="817">SUM(BN81:BQ81)</f>
        <v>0.52174733465421275</v>
      </c>
      <c r="BR84" s="3">
        <f t="shared" ref="BR84" si="818">SUM(BO81:BR81)</f>
        <v>0.58141334088121521</v>
      </c>
      <c r="BS84" s="3">
        <f t="shared" ref="BS84" si="819">SUM(BP81:BS81)</f>
        <v>0.64281535993961691</v>
      </c>
      <c r="BT84" s="3">
        <f t="shared" ref="BT84" si="820">SUM(BQ81:BT81)</f>
        <v>0.64851401075573167</v>
      </c>
      <c r="BU84" s="3">
        <f t="shared" ref="BU84" si="821">SUM(BR81:BU81)</f>
        <v>0.66413812623832424</v>
      </c>
      <c r="BV84" s="3">
        <f t="shared" ref="BV84" si="822">SUM(BS81:BV81)</f>
        <v>0.67840362298330037</v>
      </c>
      <c r="BW84" s="3">
        <f t="shared" ref="BW84" si="823">SUM(BT81:BW81)</f>
        <v>0.72772903104066455</v>
      </c>
      <c r="BX84" s="3">
        <f t="shared" ref="BX84" si="824">SUM(BU81:BX81)</f>
        <v>0.82970091518067757</v>
      </c>
      <c r="BY84" s="3">
        <f t="shared" ref="BY84" si="825">SUM(BV81:BY81)</f>
        <v>0.87876214737239366</v>
      </c>
      <c r="BZ84" s="3">
        <f t="shared" ref="BZ84" si="826">SUM(BW81:BZ81)</f>
        <v>1.0128880083026699</v>
      </c>
      <c r="CA84" s="3">
        <f t="shared" ref="CA84" si="827">SUM(BX81:CA81)</f>
        <v>1.1499198037550706</v>
      </c>
      <c r="CB84" s="3">
        <f t="shared" ref="CB84" si="828">SUM(BY81:CB81)</f>
        <v>1.5246721388810258</v>
      </c>
      <c r="CC84" s="3">
        <f t="shared" ref="CC84" si="829">SUM(BZ81:CC81)</f>
        <v>1.8882913482403996</v>
      </c>
      <c r="CD84" s="3">
        <f t="shared" ref="CD84" si="830">SUM(CA81:CD81)</f>
        <v>1.9835078781017075</v>
      </c>
      <c r="CE84" s="3">
        <f t="shared" ref="CE84" si="831">SUM(CB81:CE81)</f>
        <v>1.9596943107840363</v>
      </c>
      <c r="CF84" s="3">
        <f t="shared" ref="CF84" si="832">SUM(CC81:CF81)</f>
        <v>2.2173035191999251</v>
      </c>
      <c r="CG84" s="3">
        <f t="shared" ref="CG84" si="833">SUM(CD81:CG81)</f>
        <v>2.3591659590527416</v>
      </c>
      <c r="CH84" s="3">
        <f t="shared" ref="CH84:CL84" si="834">SUM(CE81:CH81)</f>
        <v>2.1302009623549396</v>
      </c>
      <c r="CI84" s="3">
        <f t="shared" si="834"/>
        <v>1.9733937163883386</v>
      </c>
      <c r="CJ84" s="3">
        <f t="shared" si="834"/>
        <v>1.2701575620341536</v>
      </c>
      <c r="CK84" s="3">
        <f t="shared" si="834"/>
        <v>0.61567834407037492</v>
      </c>
      <c r="CL84" s="3">
        <f t="shared" si="834"/>
        <v>0.56570360256663421</v>
      </c>
      <c r="CM84" s="37">
        <f t="shared" ref="CM84" si="835">SUM(CJ81:CM81)</f>
        <v>0.56263304793898206</v>
      </c>
      <c r="CN84" s="37">
        <f t="shared" ref="CN84" si="836">SUM(CK81:CN81)</f>
        <v>0.54837921141204649</v>
      </c>
      <c r="CO84" s="37">
        <f t="shared" ref="CO84" si="837">SUM(CL81:CO81)</f>
        <v>0.57671509280847444</v>
      </c>
      <c r="CP84" s="37">
        <f t="shared" ref="CP84" si="838">SUM(CM81:CP81)</f>
        <v>0.59868769103840314</v>
      </c>
      <c r="CQ84" s="37">
        <f t="shared" ref="CQ84" si="839">SUM(CN81:CQ81)</f>
        <v>0.66977467622305087</v>
      </c>
      <c r="CR84" s="37">
        <f t="shared" ref="CR84" si="840">SUM(CO81:CR81)</f>
        <v>0.73706865691426249</v>
      </c>
      <c r="CS84" s="37">
        <f t="shared" ref="CS84" si="841">SUM(CP81:CS81)</f>
        <v>0.7997127086137108</v>
      </c>
      <c r="CT84" s="37">
        <f t="shared" ref="CT84" si="842">SUM(CQ81:CT81)</f>
        <v>0.87104323964213948</v>
      </c>
      <c r="CU84" s="37">
        <f t="shared" ref="CU84" si="843">SUM(CR81:CU81)</f>
        <v>0.94037588384458715</v>
      </c>
      <c r="CV84" s="37">
        <f t="shared" ref="CV84" si="844">SUM(CS81:CV81)</f>
        <v>1.0107542843151089</v>
      </c>
      <c r="CW84" s="37">
        <f t="shared" ref="CW84" si="845">SUM(CT81:CW81)</f>
        <v>1.076644004026257</v>
      </c>
      <c r="CX84" s="37">
        <f t="shared" ref="CX84" si="846">SUM(CU81:CX81)</f>
        <v>1.152496706726458</v>
      </c>
      <c r="CY84" s="37">
        <f t="shared" ref="CY84" si="847">SUM(CV81:CY81)</f>
        <v>1.2253086571717482</v>
      </c>
      <c r="CZ84" s="37">
        <f t="shared" ref="CZ84" si="848">SUM(CW81:CZ81)</f>
        <v>1.3003093746916718</v>
      </c>
      <c r="DA84" s="37">
        <f t="shared" ref="DA84" si="849">SUM(CX81:DA81)</f>
        <v>1.3702810792159117</v>
      </c>
      <c r="DB84" s="37">
        <f t="shared" ref="DB84" si="850">SUM(CY81:DB81)</f>
        <v>1.4520894629082524</v>
      </c>
      <c r="DE84" s="134"/>
      <c r="DF84" s="3">
        <v>0.5648263144029213</v>
      </c>
    </row>
    <row r="85" spans="1:110" s="97" customFormat="1" x14ac:dyDescent="0.2">
      <c r="A85" s="97" t="s">
        <v>425</v>
      </c>
      <c r="C85" s="101">
        <f t="shared" ref="C85:AA85" si="851">+C84/B84-1</f>
        <v>-4.2930479145290006</v>
      </c>
      <c r="D85" s="101">
        <f t="shared" si="851"/>
        <v>-1.0597070383604215</v>
      </c>
      <c r="E85" s="101">
        <f t="shared" ca="1" si="851"/>
        <v>-0.82169300792755195</v>
      </c>
      <c r="F85" s="101">
        <f t="shared" ca="1" si="851"/>
        <v>-0.43148244751179121</v>
      </c>
      <c r="G85" s="101">
        <f t="shared" ca="1" si="851"/>
        <v>0.11972384045307605</v>
      </c>
      <c r="H85" s="101">
        <f t="shared" ca="1" si="851"/>
        <v>1.1925309485550737</v>
      </c>
      <c r="I85" s="101">
        <f t="shared" ca="1" si="851"/>
        <v>0.71501055648465561</v>
      </c>
      <c r="J85" s="101">
        <f t="shared" ca="1" si="851"/>
        <v>-0.3101916428267335</v>
      </c>
      <c r="K85" s="101">
        <f t="shared" ca="1" si="851"/>
        <v>-0.57974061962803591</v>
      </c>
      <c r="L85" s="101">
        <f t="shared" ca="1" si="851"/>
        <v>1.307596724975463</v>
      </c>
      <c r="M85" s="101">
        <f t="shared" ca="1" si="851"/>
        <v>0.58482027161363304</v>
      </c>
      <c r="N85" s="101">
        <f t="shared" ca="1" si="851"/>
        <v>0.67487780546450082</v>
      </c>
      <c r="O85" s="101">
        <f t="shared" ca="1" si="851"/>
        <v>-1.1585632784580535</v>
      </c>
      <c r="P85" s="101">
        <f t="shared" ca="1" si="851"/>
        <v>-1.8642021193955969</v>
      </c>
      <c r="Q85" s="101">
        <f t="shared" ca="1" si="851"/>
        <v>-0.33563206244650468</v>
      </c>
      <c r="R85" s="101">
        <f t="shared" ca="1" si="851"/>
        <v>0.48902127808707752</v>
      </c>
      <c r="S85" s="101">
        <f t="shared" ca="1" si="851"/>
        <v>18.580723585496983</v>
      </c>
      <c r="T85" s="101">
        <f t="shared" ca="1" si="851"/>
        <v>-0.44584832858348278</v>
      </c>
      <c r="U85" s="101">
        <f t="shared" ca="1" si="851"/>
        <v>0.12182742408394787</v>
      </c>
      <c r="V85" s="101">
        <f t="shared" ca="1" si="851"/>
        <v>0.42541063835802029</v>
      </c>
      <c r="W85" s="101">
        <f t="shared" ca="1" si="851"/>
        <v>0.17238500818458591</v>
      </c>
      <c r="X85" s="101">
        <f t="shared" ca="1" si="851"/>
        <v>0.49290204149746808</v>
      </c>
      <c r="Y85" s="101">
        <f t="shared" ca="1" si="851"/>
        <v>0.958230711046691</v>
      </c>
      <c r="Z85" s="101">
        <f t="shared" ca="1" si="851"/>
        <v>7.4014171873930001E-2</v>
      </c>
      <c r="AA85" s="101">
        <f t="shared" ca="1" si="851"/>
        <v>7.4014171873930001E-2</v>
      </c>
      <c r="AB85" s="174">
        <f t="shared" ref="AB85" ca="1" si="852">+AB84/AA84-1</f>
        <v>5.9950069201854195E-2</v>
      </c>
      <c r="AC85" s="174">
        <f t="shared" ref="AC85" ca="1" si="853">+AC84/AB84-1</f>
        <v>0.45492090898234916</v>
      </c>
      <c r="AD85" s="174">
        <f t="shared" ref="AD85" ca="1" si="854">+AD84/AC84-1</f>
        <v>0.3231222679599115</v>
      </c>
      <c r="AE85" s="174">
        <f t="shared" ref="AE85" ca="1" si="855">+AE84/AD84-1</f>
        <v>0.25995107355469793</v>
      </c>
      <c r="AL85" s="176"/>
      <c r="AM85" s="176"/>
      <c r="AN85" s="176"/>
      <c r="AO85" s="176"/>
      <c r="AP85" s="176">
        <f t="shared" ref="AP85:CL85" si="856">+IF(AL84&lt;0,1-AP84/AL84,AP84/AL84-1)</f>
        <v>-1.1841820151679305</v>
      </c>
      <c r="AQ85" s="176">
        <f t="shared" si="856"/>
        <v>-1.3792307692307693</v>
      </c>
      <c r="AR85" s="176">
        <f t="shared" si="856"/>
        <v>-0.19616685456595362</v>
      </c>
      <c r="AS85" s="176">
        <f t="shared" si="856"/>
        <v>0.54313099041533186</v>
      </c>
      <c r="AT85" s="176">
        <f t="shared" si="856"/>
        <v>1.7462184873949567</v>
      </c>
      <c r="AU85" s="176">
        <f t="shared" si="856"/>
        <v>2.8539553752535483</v>
      </c>
      <c r="AV85" s="176">
        <f t="shared" si="856"/>
        <v>-0.78588125292192579</v>
      </c>
      <c r="AW85" s="176">
        <f t="shared" si="856"/>
        <v>-0.76086956521739135</v>
      </c>
      <c r="AX85" s="176">
        <f t="shared" si="856"/>
        <v>-0.33220720720720809</v>
      </c>
      <c r="AY85" s="176">
        <f t="shared" si="856"/>
        <v>-0.71553610503282328</v>
      </c>
      <c r="AZ85" s="176">
        <f t="shared" si="856"/>
        <v>1.0545851528384218</v>
      </c>
      <c r="BA85" s="176">
        <f t="shared" si="856"/>
        <v>1.3073593073593055</v>
      </c>
      <c r="BB85" s="176">
        <f t="shared" si="856"/>
        <v>0.49409780775717316</v>
      </c>
      <c r="BC85" s="176">
        <f t="shared" si="856"/>
        <v>15.303846153846191</v>
      </c>
      <c r="BD85" s="176">
        <f t="shared" si="856"/>
        <v>15.630180658873574</v>
      </c>
      <c r="BE85" s="176">
        <f t="shared" si="856"/>
        <v>16.294559099437173</v>
      </c>
      <c r="BF85" s="176">
        <f t="shared" si="856"/>
        <v>18.524830699774249</v>
      </c>
      <c r="BG85" s="176">
        <f t="shared" si="856"/>
        <v>-0.40921601006526698</v>
      </c>
      <c r="BH85" s="176">
        <f t="shared" si="856"/>
        <v>-0.68809508594798396</v>
      </c>
      <c r="BI85" s="176">
        <f t="shared" si="856"/>
        <v>-0.72548275113907579</v>
      </c>
      <c r="BJ85" s="176">
        <f t="shared" si="856"/>
        <v>-0.44586392277010223</v>
      </c>
      <c r="BK85" s="176">
        <f t="shared" si="856"/>
        <v>0.134699853587116</v>
      </c>
      <c r="BL85" s="176">
        <f t="shared" si="856"/>
        <v>1.1069452980946535</v>
      </c>
      <c r="BM85" s="176">
        <f t="shared" si="856"/>
        <v>0.95159059474412278</v>
      </c>
      <c r="BN85" s="176">
        <f t="shared" si="856"/>
        <v>0.12236595034425157</v>
      </c>
      <c r="BO85" s="176">
        <f t="shared" si="856"/>
        <v>0.272609970674486</v>
      </c>
      <c r="BP85" s="176">
        <f t="shared" si="856"/>
        <v>0.14323220536756121</v>
      </c>
      <c r="BQ85" s="176">
        <f t="shared" si="856"/>
        <v>0.39971651311126832</v>
      </c>
      <c r="BR85" s="176">
        <f t="shared" si="856"/>
        <v>0.43191746444836898</v>
      </c>
      <c r="BS85" s="176">
        <f t="shared" si="856"/>
        <v>0.57000645220757695</v>
      </c>
      <c r="BT85" s="176">
        <f t="shared" si="856"/>
        <v>0.46159734626180127</v>
      </c>
      <c r="BU85" s="176">
        <f t="shared" si="856"/>
        <v>0.27291139240506279</v>
      </c>
      <c r="BV85" s="176">
        <f t="shared" si="856"/>
        <v>0.16681812280929509</v>
      </c>
      <c r="BW85" s="176">
        <f t="shared" si="856"/>
        <v>0.13209651852286797</v>
      </c>
      <c r="BX85" s="176">
        <f t="shared" si="856"/>
        <v>0.27938780260707663</v>
      </c>
      <c r="BY85" s="176">
        <f t="shared" si="856"/>
        <v>0.32316172292305967</v>
      </c>
      <c r="BZ85" s="176">
        <f t="shared" si="856"/>
        <v>0.49304628393413408</v>
      </c>
      <c r="CA85" s="176">
        <f t="shared" si="856"/>
        <v>0.58014831717056325</v>
      </c>
      <c r="CB85" s="176">
        <f t="shared" si="856"/>
        <v>0.83761655674323277</v>
      </c>
      <c r="CC85" s="176">
        <f t="shared" si="856"/>
        <v>1.1488082456517064</v>
      </c>
      <c r="CD85" s="176">
        <f t="shared" si="856"/>
        <v>0.95826968217891872</v>
      </c>
      <c r="CE85" s="176">
        <f t="shared" si="856"/>
        <v>0.70420085329832727</v>
      </c>
      <c r="CF85" s="176">
        <f t="shared" si="856"/>
        <v>0.4542821782178228</v>
      </c>
      <c r="CG85" s="176">
        <f t="shared" si="856"/>
        <v>0.24936544418906847</v>
      </c>
      <c r="CH85" s="176">
        <f t="shared" si="856"/>
        <v>7.395639103466678E-2</v>
      </c>
      <c r="CI85" s="176">
        <f t="shared" si="856"/>
        <v>6.9905829337337799E-3</v>
      </c>
      <c r="CJ85" s="176">
        <f t="shared" si="856"/>
        <v>-0.42716116623832012</v>
      </c>
      <c r="CK85" s="176">
        <f t="shared" si="856"/>
        <v>-0.73902711604164395</v>
      </c>
      <c r="CL85" s="176">
        <f t="shared" si="856"/>
        <v>-0.73443650971725782</v>
      </c>
      <c r="CM85" s="102">
        <f t="shared" ref="CM85:DB85" si="857">+IF(CI84&lt;0,1-CM84/CI84,CM84/CI84-1)</f>
        <v>-0.71489062559259553</v>
      </c>
      <c r="CN85" s="102">
        <f t="shared" si="857"/>
        <v>-0.56825890912792043</v>
      </c>
      <c r="CO85" s="102">
        <f t="shared" si="857"/>
        <v>-6.3285076756649405E-2</v>
      </c>
      <c r="CP85" s="102">
        <f t="shared" si="857"/>
        <v>5.8306307971379256E-2</v>
      </c>
      <c r="CQ85" s="102">
        <f t="shared" si="857"/>
        <v>0.19042896373852614</v>
      </c>
      <c r="CR85" s="102">
        <f t="shared" si="857"/>
        <v>0.34408570123646909</v>
      </c>
      <c r="CS85" s="102">
        <f t="shared" si="857"/>
        <v>0.38666859700044864</v>
      </c>
      <c r="CT85" s="102">
        <f t="shared" si="857"/>
        <v>0.45492090898235271</v>
      </c>
      <c r="CU85" s="102">
        <f t="shared" si="857"/>
        <v>0.40401827245468991</v>
      </c>
      <c r="CV85" s="102">
        <f t="shared" si="857"/>
        <v>0.37131632831415073</v>
      </c>
      <c r="CW85" s="102">
        <f t="shared" si="857"/>
        <v>0.34628847638622906</v>
      </c>
      <c r="CX85" s="102">
        <f t="shared" si="857"/>
        <v>0.3231222679599135</v>
      </c>
      <c r="CY85" s="102">
        <f t="shared" si="857"/>
        <v>0.30299880954226066</v>
      </c>
      <c r="CZ85" s="102">
        <f t="shared" si="857"/>
        <v>0.28647426468517678</v>
      </c>
      <c r="DA85" s="102">
        <f t="shared" si="857"/>
        <v>0.27273367435434448</v>
      </c>
      <c r="DB85" s="102">
        <f t="shared" si="857"/>
        <v>0.25995107355469593</v>
      </c>
      <c r="DE85" s="135"/>
      <c r="DF85" s="97">
        <v>-0.73411096898551809</v>
      </c>
    </row>
    <row r="86" spans="1:110" s="144" customFormat="1" x14ac:dyDescent="0.2">
      <c r="A86" s="144" t="s">
        <v>424</v>
      </c>
      <c r="AB86" s="145"/>
      <c r="AC86" s="145"/>
      <c r="AD86" s="145"/>
      <c r="AE86" s="145"/>
      <c r="CM86" s="145"/>
      <c r="CN86" s="145"/>
      <c r="CO86" s="145"/>
      <c r="CP86" s="145"/>
      <c r="CQ86" s="145"/>
      <c r="CR86" s="145"/>
      <c r="CS86" s="145"/>
      <c r="CT86" s="145"/>
      <c r="CU86" s="145"/>
      <c r="CV86" s="145"/>
      <c r="CW86" s="145"/>
      <c r="CX86" s="145"/>
      <c r="CY86" s="145"/>
      <c r="CZ86" s="145"/>
      <c r="DA86" s="145"/>
      <c r="DB86" s="145"/>
      <c r="DE86" s="146"/>
    </row>
    <row r="87" spans="1:110" s="144" customFormat="1" x14ac:dyDescent="0.2">
      <c r="A87" s="144" t="s">
        <v>436</v>
      </c>
      <c r="AB87" s="145"/>
      <c r="AC87" s="145"/>
      <c r="AD87" s="145"/>
      <c r="AE87" s="145"/>
      <c r="CM87" s="145"/>
      <c r="CN87" s="145"/>
      <c r="CO87" s="145"/>
      <c r="CP87" s="145"/>
      <c r="CQ87" s="145"/>
      <c r="CR87" s="145"/>
      <c r="CS87" s="145"/>
      <c r="CT87" s="145"/>
      <c r="CU87" s="145"/>
      <c r="CV87" s="145"/>
      <c r="CW87" s="145"/>
      <c r="CX87" s="145"/>
      <c r="CY87" s="145"/>
      <c r="CZ87" s="145"/>
      <c r="DA87" s="145"/>
      <c r="DB87" s="145"/>
      <c r="DE87" s="146"/>
    </row>
    <row r="88" spans="1:110" s="3" customFormat="1" x14ac:dyDescent="0.2">
      <c r="A88" s="3" t="s">
        <v>34</v>
      </c>
      <c r="B88" s="3">
        <f>'Annual Raw'!C112</f>
        <v>31.45</v>
      </c>
      <c r="C88" s="3">
        <f>'Annual Raw'!D112</f>
        <v>34.03</v>
      </c>
      <c r="D88" s="3">
        <f>'Annual Raw'!E112</f>
        <v>34.03</v>
      </c>
      <c r="E88" s="3">
        <f>'Annual Raw'!F112</f>
        <v>33.409999999999997</v>
      </c>
      <c r="F88" s="3">
        <f>'Annual Raw'!G112</f>
        <v>33.340000000000003</v>
      </c>
      <c r="G88" s="3">
        <f>'Annual Raw'!H112</f>
        <v>31.72</v>
      </c>
      <c r="H88" s="3">
        <f>'Annual Raw'!I112</f>
        <v>31.43</v>
      </c>
      <c r="I88" s="3">
        <f>'Annual Raw'!J112</f>
        <v>30.49</v>
      </c>
      <c r="J88" s="3">
        <f>'Annual Raw'!K112</f>
        <v>30.38</v>
      </c>
      <c r="K88" s="3">
        <f>'Annual Raw'!L112</f>
        <v>32.590000000000003</v>
      </c>
      <c r="L88" s="3">
        <f>'Annual Raw'!M112</f>
        <v>31.33</v>
      </c>
      <c r="M88" s="3">
        <f>'Annual Raw'!N112</f>
        <v>33.85</v>
      </c>
      <c r="N88" s="3">
        <f>'Annual Raw'!O112</f>
        <v>35.549999999999997</v>
      </c>
      <c r="O88" s="3">
        <f>'Annual Raw'!P112</f>
        <v>39.83</v>
      </c>
      <c r="P88" s="3">
        <f>'Annual Raw'!Q112</f>
        <v>39.1</v>
      </c>
      <c r="Q88" s="3">
        <f>'Annual Raw'!R112</f>
        <v>38.46</v>
      </c>
      <c r="R88" s="3">
        <f>'Annual Raw'!S112</f>
        <v>37.47</v>
      </c>
      <c r="S88" s="3">
        <f>'Annual Raw'!T112</f>
        <v>36.299999999999997</v>
      </c>
      <c r="T88" s="3">
        <f>'Annual Raw'!U112</f>
        <v>38.26</v>
      </c>
      <c r="U88" s="3">
        <f>'Annual Raw'!V112</f>
        <v>40.869999999999997</v>
      </c>
      <c r="V88" s="3">
        <f>'Annual Raw'!W112</f>
        <v>40.36</v>
      </c>
      <c r="W88" s="3">
        <f>'Annual Raw'!X112</f>
        <v>40.14</v>
      </c>
      <c r="X88" s="3">
        <f>'Annual Raw'!Y112</f>
        <v>40.14</v>
      </c>
      <c r="Y88" s="3">
        <f>'Annual Raw'!Z112</f>
        <v>40.06</v>
      </c>
      <c r="Z88" s="3">
        <f>'Annual Raw'!AA112</f>
        <v>38.57</v>
      </c>
      <c r="AA88" s="3">
        <f>'Annual Raw'!AB112</f>
        <v>37.04</v>
      </c>
      <c r="AB88" s="37"/>
      <c r="AC88" s="37"/>
      <c r="AD88" s="37"/>
      <c r="AE88" s="37"/>
      <c r="AI88" s="3">
        <f>'QTR Raw'!C49</f>
        <v>33.869999999999997</v>
      </c>
      <c r="AJ88" s="3">
        <f>'QTR Raw'!D49</f>
        <v>33.74</v>
      </c>
      <c r="AK88" s="3">
        <f>'QTR Raw'!E49</f>
        <v>35.04</v>
      </c>
      <c r="AL88" s="3">
        <f>'QTR Raw'!F49</f>
        <v>35.549999999999997</v>
      </c>
      <c r="AM88" s="3">
        <f>'QTR Raw'!G49</f>
        <v>38.1</v>
      </c>
      <c r="AN88" s="3">
        <f>'QTR Raw'!H49</f>
        <v>39.9</v>
      </c>
      <c r="AO88" s="3">
        <f>'QTR Raw'!I49</f>
        <v>39.9</v>
      </c>
      <c r="AP88" s="3">
        <f>'QTR Raw'!J49</f>
        <v>39.83</v>
      </c>
      <c r="AQ88" s="3">
        <f>'QTR Raw'!K49</f>
        <v>39.83</v>
      </c>
      <c r="AR88" s="3">
        <f>'QTR Raw'!L49</f>
        <v>41.09</v>
      </c>
      <c r="AS88" s="3">
        <f>'QTR Raw'!M49</f>
        <v>39.1</v>
      </c>
      <c r="AT88" s="3">
        <f>'QTR Raw'!N49</f>
        <v>39.1</v>
      </c>
      <c r="AU88" s="3">
        <f>'QTR Raw'!O49</f>
        <v>38.46</v>
      </c>
      <c r="AV88" s="3">
        <f>'QTR Raw'!P49</f>
        <v>38.46</v>
      </c>
      <c r="AW88" s="3">
        <f>'QTR Raw'!Q49</f>
        <v>38.46</v>
      </c>
      <c r="AX88" s="3">
        <f>'QTR Raw'!R49</f>
        <v>38.46</v>
      </c>
      <c r="AY88" s="3">
        <f>'QTR Raw'!S49</f>
        <v>38.46</v>
      </c>
      <c r="AZ88" s="3">
        <f>'QTR Raw'!T49</f>
        <v>38.46</v>
      </c>
      <c r="BA88" s="3">
        <f>'QTR Raw'!U49</f>
        <v>38.46</v>
      </c>
      <c r="BB88" s="3">
        <f>'QTR Raw'!V49</f>
        <v>37.47</v>
      </c>
      <c r="BC88" s="3">
        <f>'QTR Raw'!W49</f>
        <v>37.14</v>
      </c>
      <c r="BD88" s="3">
        <f>'QTR Raw'!X49</f>
        <v>36.299999999999997</v>
      </c>
      <c r="BE88" s="3">
        <f>'QTR Raw'!Y49</f>
        <v>36.299999999999997</v>
      </c>
      <c r="BF88" s="3">
        <f>'QTR Raw'!Z49</f>
        <v>36.299999999999997</v>
      </c>
      <c r="BG88" s="3">
        <f>'QTR Raw'!AA49</f>
        <v>36.299999999999997</v>
      </c>
      <c r="BH88" s="3">
        <f>'QTR Raw'!AB49</f>
        <v>36.840000000000003</v>
      </c>
      <c r="BI88" s="3">
        <f>'QTR Raw'!AC49</f>
        <v>38.08</v>
      </c>
      <c r="BJ88" s="3">
        <f>'QTR Raw'!AD49</f>
        <v>38.26</v>
      </c>
      <c r="BK88" s="3">
        <f>'QTR Raw'!AE49</f>
        <v>38.69</v>
      </c>
      <c r="BL88" s="3">
        <f>'QTR Raw'!AF49</f>
        <v>39.520000000000003</v>
      </c>
      <c r="BM88" s="3">
        <f>'QTR Raw'!AG49</f>
        <v>40.869999999999997</v>
      </c>
      <c r="BN88" s="3">
        <f>'QTR Raw'!AH49</f>
        <v>40.869999999999997</v>
      </c>
      <c r="BO88" s="3">
        <f>'QTR Raw'!AI49</f>
        <v>40.869999999999997</v>
      </c>
      <c r="BP88" s="3">
        <f>'QTR Raw'!AJ49</f>
        <v>40.479999999999997</v>
      </c>
      <c r="BQ88" s="3">
        <f>'QTR Raw'!AK49</f>
        <v>40.479999999999997</v>
      </c>
      <c r="BR88" s="3">
        <f>'QTR Raw'!AL49</f>
        <v>40.36</v>
      </c>
      <c r="BS88" s="3">
        <f>'QTR Raw'!AM49</f>
        <v>40.36</v>
      </c>
      <c r="BT88" s="3">
        <f>'QTR Raw'!AN49</f>
        <v>40.14</v>
      </c>
      <c r="BU88" s="3">
        <f>'QTR Raw'!AO49</f>
        <v>40.14</v>
      </c>
      <c r="BV88" s="3">
        <f>'QTR Raw'!AP49</f>
        <v>40.14</v>
      </c>
      <c r="BW88" s="3">
        <f>'QTR Raw'!AQ49</f>
        <v>40.14</v>
      </c>
      <c r="BX88" s="3">
        <f>'QTR Raw'!AR49</f>
        <v>40.14</v>
      </c>
      <c r="BY88" s="3">
        <f>'QTR Raw'!AS49</f>
        <v>40.14</v>
      </c>
      <c r="BZ88" s="3">
        <f>'QTR Raw'!AT49</f>
        <v>40.14</v>
      </c>
      <c r="CA88" s="3">
        <f>'QTR Raw'!AU49</f>
        <v>40.1</v>
      </c>
      <c r="CB88" s="3">
        <f>'QTR Raw'!AV49</f>
        <v>40.1</v>
      </c>
      <c r="CC88" s="3">
        <f>'QTR Raw'!AW49</f>
        <v>40.1</v>
      </c>
      <c r="CD88" s="3">
        <f>'QTR Raw'!AX49</f>
        <v>40.06</v>
      </c>
      <c r="CE88" s="3">
        <f>'QTR Raw'!AY49</f>
        <v>40.06</v>
      </c>
      <c r="CF88" s="3">
        <f>'QTR Raw'!AZ49</f>
        <v>40.06</v>
      </c>
      <c r="CG88" s="3">
        <f>'QTR Raw'!BA49</f>
        <v>38.58</v>
      </c>
      <c r="CH88" s="3">
        <f>'QTR Raw'!BB49</f>
        <v>38.57</v>
      </c>
      <c r="CI88" s="3">
        <f>'QTR Raw'!BC49</f>
        <v>37.15</v>
      </c>
      <c r="CJ88" s="3">
        <f>'QTR Raw'!BD49</f>
        <v>37.15</v>
      </c>
      <c r="CK88" s="3">
        <f>'QTR Raw'!BE49</f>
        <v>37.08</v>
      </c>
      <c r="CL88" s="3">
        <f>'QTR Raw'!BF49</f>
        <v>37.04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  <c r="DF88" s="3">
        <v>0</v>
      </c>
    </row>
    <row r="89" spans="1:110" s="3" customFormat="1" x14ac:dyDescent="0.2">
      <c r="A89" s="3" t="s">
        <v>35</v>
      </c>
      <c r="B89" s="3">
        <f>'Annual Raw'!C113</f>
        <v>0</v>
      </c>
      <c r="C89" s="3">
        <f>'Annual Raw'!D113</f>
        <v>0</v>
      </c>
      <c r="D89" s="3">
        <f>'Annual Raw'!E113</f>
        <v>0</v>
      </c>
      <c r="E89" s="3">
        <f>'Annual Raw'!F113</f>
        <v>0</v>
      </c>
      <c r="F89" s="3">
        <f>'Annual Raw'!G113</f>
        <v>0</v>
      </c>
      <c r="G89" s="3">
        <f>'Annual Raw'!H113</f>
        <v>0</v>
      </c>
      <c r="H89" s="3">
        <f>'Annual Raw'!I113</f>
        <v>0</v>
      </c>
      <c r="I89" s="3">
        <f>'Annual Raw'!J113</f>
        <v>0</v>
      </c>
      <c r="J89" s="3">
        <f>'Annual Raw'!K113</f>
        <v>0</v>
      </c>
      <c r="K89" s="3">
        <f>'Annual Raw'!L113</f>
        <v>0</v>
      </c>
      <c r="L89" s="3">
        <f>'Annual Raw'!M113</f>
        <v>0</v>
      </c>
      <c r="M89" s="3">
        <f>'Annual Raw'!N113</f>
        <v>0</v>
      </c>
      <c r="N89" s="3">
        <f>'Annual Raw'!O113</f>
        <v>0</v>
      </c>
      <c r="O89" s="3">
        <f>'Annual Raw'!P113</f>
        <v>0</v>
      </c>
      <c r="P89" s="3">
        <f>'Annual Raw'!Q113</f>
        <v>0</v>
      </c>
      <c r="Q89" s="3">
        <f>'Annual Raw'!R113</f>
        <v>0</v>
      </c>
      <c r="R89" s="3">
        <f>'Annual Raw'!S113</f>
        <v>0</v>
      </c>
      <c r="S89" s="3">
        <f>'Annual Raw'!T113</f>
        <v>0</v>
      </c>
      <c r="T89" s="3">
        <f>'Annual Raw'!U113</f>
        <v>0</v>
      </c>
      <c r="U89" s="3">
        <f>'Annual Raw'!V113</f>
        <v>0</v>
      </c>
      <c r="V89" s="3">
        <f>'Annual Raw'!W113</f>
        <v>0</v>
      </c>
      <c r="W89" s="3">
        <f>'Annual Raw'!X113</f>
        <v>0</v>
      </c>
      <c r="X89" s="3">
        <f>'Annual Raw'!Y113</f>
        <v>0</v>
      </c>
      <c r="Y89" s="3">
        <f>'Annual Raw'!Z113</f>
        <v>0</v>
      </c>
      <c r="Z89" s="3">
        <f>'Annual Raw'!AA113</f>
        <v>0</v>
      </c>
      <c r="AA89" s="3">
        <f>'Annual Raw'!AB113</f>
        <v>0</v>
      </c>
      <c r="AB89" s="37"/>
      <c r="AC89" s="37"/>
      <c r="AD89" s="37"/>
      <c r="AE89" s="37"/>
      <c r="AI89" s="3">
        <f>'QTR Raw'!C50</f>
        <v>0</v>
      </c>
      <c r="AJ89" s="3">
        <f>'QTR Raw'!D50</f>
        <v>0</v>
      </c>
      <c r="AK89" s="3">
        <f>'QTR Raw'!E50</f>
        <v>0</v>
      </c>
      <c r="AL89" s="3">
        <f>'QTR Raw'!F50</f>
        <v>0</v>
      </c>
      <c r="AM89" s="3">
        <f>'QTR Raw'!G50</f>
        <v>0</v>
      </c>
      <c r="AN89" s="3">
        <f>'QTR Raw'!H50</f>
        <v>0</v>
      </c>
      <c r="AO89" s="3">
        <f>'QTR Raw'!I50</f>
        <v>0</v>
      </c>
      <c r="AP89" s="3">
        <f>'QTR Raw'!J50</f>
        <v>0</v>
      </c>
      <c r="AQ89" s="3">
        <f>'QTR Raw'!K50</f>
        <v>0</v>
      </c>
      <c r="AR89" s="3">
        <f>'QTR Raw'!L50</f>
        <v>0</v>
      </c>
      <c r="AS89" s="3">
        <f>'QTR Raw'!M50</f>
        <v>0</v>
      </c>
      <c r="AT89" s="3">
        <f>'QTR Raw'!N50</f>
        <v>0</v>
      </c>
      <c r="AU89" s="3">
        <f>'QTR Raw'!O50</f>
        <v>0</v>
      </c>
      <c r="AV89" s="3">
        <f>'QTR Raw'!P50</f>
        <v>0</v>
      </c>
      <c r="AW89" s="3">
        <f>'QTR Raw'!Q50</f>
        <v>0</v>
      </c>
      <c r="AX89" s="3">
        <f>'QTR Raw'!R50</f>
        <v>0</v>
      </c>
      <c r="AY89" s="3">
        <f>'QTR Raw'!S50</f>
        <v>0</v>
      </c>
      <c r="AZ89" s="3">
        <f>'QTR Raw'!T50</f>
        <v>0</v>
      </c>
      <c r="BA89" s="3">
        <f>'QTR Raw'!U50</f>
        <v>0</v>
      </c>
      <c r="BB89" s="3">
        <f>'QTR Raw'!V50</f>
        <v>0</v>
      </c>
      <c r="BC89" s="3">
        <f>'QTR Raw'!W50</f>
        <v>0</v>
      </c>
      <c r="BD89" s="3">
        <f>'QTR Raw'!X50</f>
        <v>0</v>
      </c>
      <c r="BE89" s="3">
        <f>'QTR Raw'!Y50</f>
        <v>0</v>
      </c>
      <c r="BF89" s="3">
        <f>'QTR Raw'!Z50</f>
        <v>0</v>
      </c>
      <c r="BG89" s="3">
        <f>'QTR Raw'!AA50</f>
        <v>0</v>
      </c>
      <c r="BH89" s="3">
        <f>'QTR Raw'!AB50</f>
        <v>0</v>
      </c>
      <c r="BI89" s="3">
        <f>'QTR Raw'!AC50</f>
        <v>0</v>
      </c>
      <c r="BJ89" s="3">
        <f>'QTR Raw'!AD50</f>
        <v>0</v>
      </c>
      <c r="BK89" s="3">
        <f>'QTR Raw'!AE50</f>
        <v>0</v>
      </c>
      <c r="BL89" s="3">
        <f>'QTR Raw'!AF50</f>
        <v>0</v>
      </c>
      <c r="BM89" s="3">
        <f>'QTR Raw'!AG50</f>
        <v>0</v>
      </c>
      <c r="BN89" s="3">
        <f>'QTR Raw'!AH50</f>
        <v>0</v>
      </c>
      <c r="BO89" s="3">
        <f>'QTR Raw'!AI50</f>
        <v>0</v>
      </c>
      <c r="BP89" s="3">
        <f>'QTR Raw'!AJ50</f>
        <v>0</v>
      </c>
      <c r="BQ89" s="3">
        <f>'QTR Raw'!AK50</f>
        <v>0</v>
      </c>
      <c r="BR89" s="3">
        <f>'QTR Raw'!AL50</f>
        <v>0</v>
      </c>
      <c r="BS89" s="3">
        <f>'QTR Raw'!AM50</f>
        <v>0</v>
      </c>
      <c r="BT89" s="3">
        <f>'QTR Raw'!AN50</f>
        <v>0</v>
      </c>
      <c r="BU89" s="3">
        <f>'QTR Raw'!AO50</f>
        <v>0</v>
      </c>
      <c r="BV89" s="3">
        <f>'QTR Raw'!AP50</f>
        <v>0</v>
      </c>
      <c r="BW89" s="3">
        <f>'QTR Raw'!AQ50</f>
        <v>0</v>
      </c>
      <c r="BX89" s="3">
        <f>'QTR Raw'!AR50</f>
        <v>0</v>
      </c>
      <c r="BY89" s="3">
        <f>'QTR Raw'!AS50</f>
        <v>0</v>
      </c>
      <c r="BZ89" s="3">
        <f>'QTR Raw'!AT50</f>
        <v>0</v>
      </c>
      <c r="CA89" s="3">
        <f>'QTR Raw'!AU50</f>
        <v>0</v>
      </c>
      <c r="CB89" s="3">
        <f>'QTR Raw'!AV50</f>
        <v>0</v>
      </c>
      <c r="CC89" s="3">
        <f>'QTR Raw'!AW50</f>
        <v>0</v>
      </c>
      <c r="CD89" s="3">
        <f>'QTR Raw'!AX50</f>
        <v>0</v>
      </c>
      <c r="CE89" s="3">
        <f>'QTR Raw'!AY50</f>
        <v>0</v>
      </c>
      <c r="CF89" s="3">
        <f>'QTR Raw'!AZ50</f>
        <v>0</v>
      </c>
      <c r="CG89" s="3">
        <f>'QTR Raw'!BA50</f>
        <v>0</v>
      </c>
      <c r="CH89" s="3">
        <f>'QTR Raw'!BB50</f>
        <v>0</v>
      </c>
      <c r="CI89" s="3">
        <f>'QTR Raw'!BC50</f>
        <v>0</v>
      </c>
      <c r="CJ89" s="3">
        <f>'QTR Raw'!BD50</f>
        <v>0</v>
      </c>
      <c r="CK89" s="3">
        <f>'QTR Raw'!BE50</f>
        <v>0</v>
      </c>
      <c r="CL89" s="3">
        <f>'QTR Raw'!BF50</f>
        <v>0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3">
        <v>0</v>
      </c>
    </row>
    <row r="90" spans="1:110" s="3" customFormat="1" x14ac:dyDescent="0.2"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36</v>
      </c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457</v>
      </c>
      <c r="B92" s="13">
        <f>'Annual Raw'!C106</f>
        <v>0.16788576583894599</v>
      </c>
      <c r="C92" s="13">
        <f>'Annual Raw'!D106</f>
        <v>0.110867958572889</v>
      </c>
      <c r="D92" s="13">
        <f>'Annual Raw'!E106</f>
        <v>6.3353119184507797E-2</v>
      </c>
      <c r="E92" s="13">
        <f>'Annual Raw'!F106</f>
        <v>0.213816777247714</v>
      </c>
      <c r="F92" s="13">
        <f>'Annual Raw'!G106</f>
        <v>1.5236425163874101</v>
      </c>
      <c r="G92" s="13">
        <f>'Annual Raw'!H106</f>
        <v>1.0366154126565099</v>
      </c>
      <c r="H92" s="13">
        <f>'Annual Raw'!I106</f>
        <v>0.58443252447708405</v>
      </c>
      <c r="I92" s="13">
        <f>'Annual Raw'!J106</f>
        <v>0.94871295978800396</v>
      </c>
      <c r="J92" s="13">
        <f>'Annual Raw'!K106</f>
        <v>0.616900998059145</v>
      </c>
      <c r="K92" s="13">
        <f>'Annual Raw'!L106</f>
        <v>1.0437426385647699</v>
      </c>
      <c r="L92" s="13">
        <f>'Annual Raw'!M106</f>
        <v>0.93525042196129604</v>
      </c>
      <c r="M92" s="13">
        <f>'Annual Raw'!N106</f>
        <v>1.0469102945239901</v>
      </c>
      <c r="N92" s="13">
        <f>'Annual Raw'!O106</f>
        <v>0.95663209968606799</v>
      </c>
      <c r="O92" s="13">
        <f>'Annual Raw'!P106</f>
        <v>0.73252044057087096</v>
      </c>
      <c r="P92" s="13">
        <f>'Annual Raw'!Q106</f>
        <v>1.87208467190221</v>
      </c>
      <c r="Q92" s="13">
        <f>'Annual Raw'!R106</f>
        <v>1.97661731855664</v>
      </c>
      <c r="R92" s="13">
        <f>'Annual Raw'!S106</f>
        <v>2.99185105348838</v>
      </c>
      <c r="S92" s="13">
        <f>'Annual Raw'!T106</f>
        <v>8.0783146100145498</v>
      </c>
      <c r="T92" s="13">
        <f>'Annual Raw'!U106</f>
        <v>3.56915635205721</v>
      </c>
      <c r="U92" s="13">
        <f>'Annual Raw'!V106</f>
        <v>2.6172757363099799</v>
      </c>
      <c r="V92" s="13">
        <f>'Annual Raw'!W106</f>
        <v>5.9916212468748196</v>
      </c>
      <c r="W92" s="13">
        <f>'Annual Raw'!X106</f>
        <v>16.200184489468398</v>
      </c>
      <c r="X92" s="13">
        <f>'Annual Raw'!Y106</f>
        <v>25.581989526704199</v>
      </c>
      <c r="Y92" s="13">
        <f>'Annual Raw'!Z106</f>
        <v>94.079381988994101</v>
      </c>
      <c r="Z92" s="13">
        <f>'Annual Raw'!AA106</f>
        <v>107.76365573284799</v>
      </c>
      <c r="AA92" s="13">
        <f>'Annual Raw'!AB106</f>
        <v>126.45</v>
      </c>
      <c r="AB92" s="37">
        <f>+CP92</f>
        <v>126.45</v>
      </c>
      <c r="AC92" s="37">
        <f>+CT92</f>
        <v>126.45</v>
      </c>
      <c r="AD92" s="37">
        <f>+CX92</f>
        <v>126.45</v>
      </c>
      <c r="AE92" s="37">
        <f>+DB92</f>
        <v>126.45</v>
      </c>
      <c r="AJ92" s="13">
        <f>'QTR Share Price'!HP21</f>
        <v>0.87902452868504599</v>
      </c>
      <c r="AK92" s="13">
        <f>'QTR Share Price'!HQ21</f>
        <v>0.97247037948219495</v>
      </c>
      <c r="AL92" s="13">
        <f>'QTR Share Price'!HR21</f>
        <v>0.95663209968606799</v>
      </c>
      <c r="AM92" s="13">
        <f>'QTR Share Price'!HS21</f>
        <v>1.0247367028094101</v>
      </c>
      <c r="AN92" s="13">
        <f>'QTR Share Price'!HT21</f>
        <v>0.88694366858310902</v>
      </c>
      <c r="AO92" s="13">
        <f>'QTR Share Price'!HU21</f>
        <v>0.71984981673396997</v>
      </c>
      <c r="AP92" s="13">
        <f>'QTR Share Price'!HV21</f>
        <v>0.73252044057087096</v>
      </c>
      <c r="AQ92" s="13">
        <f>'QTR Share Price'!HW21</f>
        <v>1.1292693494638499</v>
      </c>
      <c r="AR92" s="13">
        <f>'QTR Share Price'!HX21</f>
        <v>1.71053421798171</v>
      </c>
      <c r="AS92" s="13">
        <f>'QTR Share Price'!HY21</f>
        <v>2.3519845497248499</v>
      </c>
      <c r="AT92" s="13">
        <f>'QTR Share Price'!HZ21</f>
        <v>1.87208467190221</v>
      </c>
      <c r="AU92" s="13">
        <f>'QTR Share Price'!IA21</f>
        <v>1.59966625940882</v>
      </c>
      <c r="AV92" s="13">
        <f>'QTR Share Price'!IB21</f>
        <v>1.2575594158124801</v>
      </c>
      <c r="AW92" s="13">
        <f>'QTR Share Price'!IC21</f>
        <v>2.41533766890936</v>
      </c>
      <c r="AX92" s="13">
        <f>'QTR Share Price'!ID21</f>
        <v>1.97661731855664</v>
      </c>
      <c r="AY92" s="13">
        <f>'QTR Share Price'!IE21</f>
        <v>2.02729981390425</v>
      </c>
      <c r="AZ92" s="13">
        <f>'QTR Share Price'!IF21</f>
        <v>1.7754711651458299</v>
      </c>
      <c r="BA92" s="13">
        <f>'QTR Share Price'!IG21</f>
        <v>2.1056992988950798</v>
      </c>
      <c r="BB92" s="13">
        <f>'QTR Share Price'!IH21</f>
        <v>2.99185105348838</v>
      </c>
      <c r="BC92" s="13">
        <f>'QTR Share Price'!II21</f>
        <v>4.6105232486525596</v>
      </c>
      <c r="BD92" s="13">
        <f>'QTR Share Price'!IJ21</f>
        <v>3.7338744619369302</v>
      </c>
      <c r="BE92" s="13">
        <f>'QTR Share Price'!IK21</f>
        <v>7.2087930492071797</v>
      </c>
      <c r="BF92" s="13">
        <f>'QTR Share Price'!IL21</f>
        <v>8.0783146100145498</v>
      </c>
      <c r="BG92" s="13">
        <f>'QTR Share Price'!IM21</f>
        <v>5.3612577109889701</v>
      </c>
      <c r="BH92" s="13">
        <f>'QTR Share Price'!IN21</f>
        <v>4.0561834557881102</v>
      </c>
      <c r="BI92" s="13">
        <f>'QTR Share Price'!IO21</f>
        <v>3.6467639230582298</v>
      </c>
      <c r="BJ92" s="13">
        <f>'QTR Share Price'!IP21</f>
        <v>3.56915635205721</v>
      </c>
      <c r="BK92" s="13">
        <f>'QTR Share Price'!IQ21</f>
        <v>3.73466637592673</v>
      </c>
      <c r="BL92" s="13">
        <f>'QTR Share Price'!IR21</f>
        <v>3.1842861530113198</v>
      </c>
      <c r="BM92" s="13">
        <f>'QTR Share Price'!IS21</f>
        <v>4.6984257015210602</v>
      </c>
      <c r="BN92" s="13">
        <f>'QTR Share Price'!IT21</f>
        <v>2.6172757363099799</v>
      </c>
      <c r="BO92" s="13">
        <f>'QTR Share Price'!IU21</f>
        <v>4.1425020806769997</v>
      </c>
      <c r="BP92" s="13">
        <f>'QTR Share Price'!IV21</f>
        <v>6.3614450801143896</v>
      </c>
      <c r="BQ92" s="13">
        <f>'QTR Share Price'!IW21</f>
        <v>5.4364895400205704</v>
      </c>
      <c r="BR92" s="13">
        <f>'QTR Share Price'!IX21</f>
        <v>5.9916212468748196</v>
      </c>
      <c r="BS92" s="13">
        <f>'QTR Share Price'!IY21</f>
        <v>8.4703120349686891</v>
      </c>
      <c r="BT92" s="13">
        <f>'QTR Share Price'!IZ21</f>
        <v>13.478376106503999</v>
      </c>
      <c r="BU92" s="13">
        <f>'QTR Share Price'!JA21</f>
        <v>11.1897446759637</v>
      </c>
      <c r="BV92" s="13">
        <f>'QTR Share Price'!JB21</f>
        <v>16.200184489468398</v>
      </c>
      <c r="BW92" s="13">
        <f>'QTR Share Price'!JC21</f>
        <v>17.083168588102499</v>
      </c>
      <c r="BX92" s="13">
        <f>'QTR Share Price'!JD21</f>
        <v>18.838049989513401</v>
      </c>
      <c r="BY92" s="13">
        <f>'QTR Share Price'!JE21</f>
        <v>24.3117594870549</v>
      </c>
      <c r="BZ92" s="13">
        <f>'QTR Share Price'!JF21</f>
        <v>25.581989526704199</v>
      </c>
      <c r="CA92" s="13">
        <f>'QTR Share Price'!JG21</f>
        <v>47.150558953069897</v>
      </c>
      <c r="CB92" s="13">
        <f>'QTR Share Price'!JH21</f>
        <v>79.6982239341108</v>
      </c>
      <c r="CC92" s="13">
        <f>'QTR Share Price'!JI21</f>
        <v>107.09844798141</v>
      </c>
      <c r="CD92" s="13">
        <f>'QTR Share Price'!JJ21</f>
        <v>94.079381988994101</v>
      </c>
      <c r="CE92" s="13">
        <f>'QTR Share Price'!JK21</f>
        <v>163.97371072930201</v>
      </c>
      <c r="CF92" s="13">
        <f>'QTR Share Price'!JL21</f>
        <v>174.71206443107599</v>
      </c>
      <c r="CG92" s="13">
        <f>'QTR Share Price'!JM21</f>
        <v>145.20534917089199</v>
      </c>
      <c r="CH92" s="13">
        <f>'QTR Share Price'!JN21</f>
        <v>107.76365573284799</v>
      </c>
      <c r="CI92" s="13">
        <f>'QTR Share Price'!JO21</f>
        <v>158.25</v>
      </c>
      <c r="CJ92" s="13">
        <f>'QTR Share Price'!JP21</f>
        <v>174.3</v>
      </c>
      <c r="CK92" s="13">
        <f>'QTR Share Price'!JQ21</f>
        <v>157.6</v>
      </c>
      <c r="CL92" s="13">
        <f>'QTR Share Price'!JR21</f>
        <v>126.45</v>
      </c>
      <c r="CM92" s="37">
        <f t="shared" ref="CM92" si="858">+CL92</f>
        <v>126.45</v>
      </c>
      <c r="CN92" s="37">
        <f t="shared" ref="CN92" si="859">+CM92</f>
        <v>126.45</v>
      </c>
      <c r="CO92" s="37">
        <f t="shared" ref="CO92" si="860">+CN92</f>
        <v>126.45</v>
      </c>
      <c r="CP92" s="37">
        <f t="shared" ref="CP92" si="861">+CO92</f>
        <v>126.45</v>
      </c>
      <c r="CQ92" s="37">
        <f t="shared" ref="CQ92" si="862">+CP92</f>
        <v>126.45</v>
      </c>
      <c r="CR92" s="37">
        <f t="shared" ref="CR92" si="863">+CQ92</f>
        <v>126.45</v>
      </c>
      <c r="CS92" s="37">
        <f t="shared" ref="CS92" si="864">+CR92</f>
        <v>126.45</v>
      </c>
      <c r="CT92" s="37">
        <f t="shared" ref="CT92" si="865">+CS92</f>
        <v>126.45</v>
      </c>
      <c r="CU92" s="37">
        <f t="shared" ref="CU92" si="866">+CT92</f>
        <v>126.45</v>
      </c>
      <c r="CV92" s="37">
        <f t="shared" ref="CV92" si="867">+CU92</f>
        <v>126.45</v>
      </c>
      <c r="CW92" s="37">
        <f t="shared" ref="CW92" si="868">+CV92</f>
        <v>126.45</v>
      </c>
      <c r="CX92" s="37">
        <f t="shared" ref="CX92" si="869">+CW92</f>
        <v>126.45</v>
      </c>
      <c r="CY92" s="37">
        <f t="shared" ref="CY92" si="870">+CX92</f>
        <v>126.45</v>
      </c>
      <c r="CZ92" s="37">
        <f t="shared" ref="CZ92" si="871">+CY92</f>
        <v>126.45</v>
      </c>
      <c r="DA92" s="37">
        <f t="shared" ref="DA92" si="872">+CZ92</f>
        <v>126.45</v>
      </c>
      <c r="DB92" s="37">
        <f t="shared" ref="DB92" si="873">+DA92</f>
        <v>126.45</v>
      </c>
      <c r="DE92" s="134"/>
      <c r="DF92" s="13">
        <v>126.45</v>
      </c>
    </row>
    <row r="93" spans="1:110" s="13" customFormat="1" x14ac:dyDescent="0.2">
      <c r="A93" s="13" t="s">
        <v>458</v>
      </c>
      <c r="B93" s="13">
        <f>'Annual Raw'!C107</f>
        <v>0.61294142811011298</v>
      </c>
      <c r="C93" s="13">
        <f>'Annual Raw'!D107</f>
        <v>0.25895587466667602</v>
      </c>
      <c r="D93" s="13">
        <f>'Annual Raw'!E107</f>
        <v>0.19085127154333001</v>
      </c>
      <c r="E93" s="13">
        <f>'Annual Raw'!F107</f>
        <v>0.30187761291418003</v>
      </c>
      <c r="F93" s="13">
        <f>'Annual Raw'!G107</f>
        <v>2.0003747382508301</v>
      </c>
      <c r="G93" s="13">
        <f>'Annual Raw'!H107</f>
        <v>3.0092731612641201</v>
      </c>
      <c r="H93" s="13">
        <f>'Annual Raw'!I107</f>
        <v>1.5394807961835399</v>
      </c>
      <c r="I93" s="13">
        <f>'Annual Raw'!J107</f>
        <v>2.19360175176358</v>
      </c>
      <c r="J93" s="13">
        <f>'Annual Raw'!K107</f>
        <v>1.3430861267115699</v>
      </c>
      <c r="K93" s="13">
        <f>'Annual Raw'!L107</f>
        <v>1.3478376106504</v>
      </c>
      <c r="L93" s="13">
        <f>'Annual Raw'!M107</f>
        <v>1.34466995469118</v>
      </c>
      <c r="M93" s="13">
        <f>'Annual Raw'!N107</f>
        <v>1.1870790707197101</v>
      </c>
      <c r="N93" s="13">
        <f>'Annual Raw'!O107</f>
        <v>1.2654785557105399</v>
      </c>
      <c r="O93" s="13">
        <f>'Annual Raw'!P107</f>
        <v>1.1245178655250101</v>
      </c>
      <c r="P93" s="13">
        <f>'Annual Raw'!Q107</f>
        <v>3.0092731612641201</v>
      </c>
      <c r="Q93" s="13">
        <f>'Annual Raw'!R107</f>
        <v>2.6766692855454499</v>
      </c>
      <c r="R93" s="13">
        <f>'Annual Raw'!S107</f>
        <v>2.99185105348838</v>
      </c>
      <c r="S93" s="13">
        <f>'Annual Raw'!T107</f>
        <v>10.0652268104387</v>
      </c>
      <c r="T93" s="13">
        <f>'Annual Raw'!U107</f>
        <v>9.8902138186914694</v>
      </c>
      <c r="U93" s="13">
        <f>'Annual Raw'!V107</f>
        <v>5.3850151306831604</v>
      </c>
      <c r="V93" s="13">
        <f>'Annual Raw'!W107</f>
        <v>7.5849521943651901</v>
      </c>
      <c r="W93" s="13">
        <f>'Annual Raw'!X107</f>
        <v>16.788576583894599</v>
      </c>
      <c r="X93" s="13">
        <f>'Annual Raw'!Y107</f>
        <v>30.029378493456701</v>
      </c>
      <c r="Y93" s="13">
        <f>'Annual Raw'!Z107</f>
        <v>133.04155028746601</v>
      </c>
      <c r="Z93" s="13">
        <f>'Annual Raw'!AA107</f>
        <v>212.67642110239299</v>
      </c>
      <c r="AA93" s="13">
        <f>'Annual Raw'!AB107</f>
        <v>215</v>
      </c>
      <c r="AB93" s="37">
        <f>+MAX(CM93:CP93)</f>
        <v>179.33000388575019</v>
      </c>
      <c r="AC93" s="37">
        <f>+MAX(CQ93:CT93)</f>
        <v>260.91097226126453</v>
      </c>
      <c r="AD93" s="37">
        <f>+MAX(CU93:CX93)</f>
        <v>345.21711735395041</v>
      </c>
      <c r="AE93" s="37">
        <f>+MAX(CY93:DB93)</f>
        <v>434.9566776195673</v>
      </c>
      <c r="AJ93" s="13">
        <f>'QTR Share Price'!HP19</f>
        <v>1.1324370054230799</v>
      </c>
      <c r="AK93" s="13">
        <f>'QTR Share Price'!HQ19</f>
        <v>1.0738353701774099</v>
      </c>
      <c r="AL93" s="13">
        <f>'QTR Share Price'!HR19</f>
        <v>1.2654785557105399</v>
      </c>
      <c r="AM93" s="13">
        <f>'QTR Share Price'!HS19</f>
        <v>1.1245178655250101</v>
      </c>
      <c r="AN93" s="13">
        <f>'QTR Share Price'!HT19</f>
        <v>1.0516617784628299</v>
      </c>
      <c r="AO93" s="13">
        <f>'QTR Share Price'!HU19</f>
        <v>0.84734796909279197</v>
      </c>
      <c r="AP93" s="13">
        <f>'QTR Share Price'!HV19</f>
        <v>0.83230160328647096</v>
      </c>
      <c r="AQ93" s="13">
        <f>'QTR Share Price'!HW19</f>
        <v>1.3288316748950499</v>
      </c>
      <c r="AR93" s="13">
        <f>'QTR Share Price'!HX19</f>
        <v>1.71053421798171</v>
      </c>
      <c r="AS93" s="13">
        <f>'QTR Share Price'!HY19</f>
        <v>3.0092731612641201</v>
      </c>
      <c r="AT93" s="13">
        <f>'QTR Share Price'!HZ19</f>
        <v>2.9775966016718698</v>
      </c>
      <c r="AU93" s="13">
        <f>'QTR Share Price'!IA19</f>
        <v>2.4517657124404502</v>
      </c>
      <c r="AV93" s="13">
        <f>'QTR Share Price'!IB19</f>
        <v>1.88475529573911</v>
      </c>
      <c r="AW93" s="13">
        <f>'QTR Share Price'!IC19</f>
        <v>2.6766692855454499</v>
      </c>
      <c r="AX93" s="13">
        <f>'QTR Share Price'!ID19</f>
        <v>2.5958940585852099</v>
      </c>
      <c r="AY93" s="13">
        <f>'QTR Share Price'!IE19</f>
        <v>2.4913614119307699</v>
      </c>
      <c r="AZ93" s="13">
        <f>'QTR Share Price'!IF19</f>
        <v>2.1571737082324902</v>
      </c>
      <c r="BA93" s="13">
        <f>'QTR Share Price'!IG19</f>
        <v>2.3741581414394299</v>
      </c>
      <c r="BB93" s="13">
        <f>'QTR Share Price'!IH19</f>
        <v>2.99185105348838</v>
      </c>
      <c r="BC93" s="13">
        <f>'QTR Share Price'!II19</f>
        <v>5.1411056218228097</v>
      </c>
      <c r="BD93" s="13">
        <f>'QTR Share Price'!IJ19</f>
        <v>5.08250398657714</v>
      </c>
      <c r="BE93" s="13">
        <f>'QTR Share Price'!IK19</f>
        <v>7.5706977425486803</v>
      </c>
      <c r="BF93" s="13">
        <f>'QTR Share Price'!IL19</f>
        <v>10.0652268104387</v>
      </c>
      <c r="BG93" s="13">
        <f>'QTR Share Price'!IM19</f>
        <v>9.8902138186914694</v>
      </c>
      <c r="BH93" s="13">
        <f>'QTR Share Price'!IN19</f>
        <v>5.5909127680328101</v>
      </c>
      <c r="BI93" s="13">
        <f>'QTR Share Price'!IO19</f>
        <v>4.0973629832580398</v>
      </c>
      <c r="BJ93" s="13">
        <f>'QTR Share Price'!IP19</f>
        <v>3.9421478412559998</v>
      </c>
      <c r="BK93" s="13">
        <f>'QTR Share Price'!IQ19</f>
        <v>4.51390974189618</v>
      </c>
      <c r="BL93" s="13">
        <f>'QTR Share Price'!IR19</f>
        <v>3.93739635731716</v>
      </c>
      <c r="BM93" s="13">
        <f>'QTR Share Price'!IS19</f>
        <v>5.2266323327218904</v>
      </c>
      <c r="BN93" s="13">
        <f>'QTR Share Price'!IT19</f>
        <v>5.3850151306831604</v>
      </c>
      <c r="BO93" s="13">
        <f>'QTR Share Price'!IU19</f>
        <v>4.7483162828788599</v>
      </c>
      <c r="BP93" s="13">
        <f>'QTR Share Price'!IV19</f>
        <v>7.5849521943651901</v>
      </c>
      <c r="BQ93" s="13">
        <f>'QTR Share Price'!IW19</f>
        <v>6.4873594044936</v>
      </c>
      <c r="BR93" s="13">
        <f>'QTR Share Price'!IX19</f>
        <v>7.2064173072377598</v>
      </c>
      <c r="BS93" s="13">
        <f>'QTR Share Price'!IY19</f>
        <v>9.3430012517352896</v>
      </c>
      <c r="BT93" s="13">
        <f>'QTR Share Price'!IZ19</f>
        <v>14.094485190573399</v>
      </c>
      <c r="BU93" s="13">
        <f>'QTR Share Price'!JA19</f>
        <v>15.0305275265245</v>
      </c>
      <c r="BV93" s="13">
        <f>'QTR Share Price'!JB19</f>
        <v>16.788576583894599</v>
      </c>
      <c r="BW93" s="13">
        <f>'QTR Share Price'!JC19</f>
        <v>23.120720846386099</v>
      </c>
      <c r="BX93" s="13">
        <f>'QTR Share Price'!JD19</f>
        <v>20.779823092518601</v>
      </c>
      <c r="BY93" s="13">
        <f>'QTR Share Price'!JE19</f>
        <v>30.029378493456701</v>
      </c>
      <c r="BZ93" s="13">
        <f>'QTR Share Price'!JF19</f>
        <v>27.368547487707399</v>
      </c>
      <c r="CA93" s="13">
        <f>'QTR Share Price'!JG19</f>
        <v>52.266323327218899</v>
      </c>
      <c r="CB93" s="13">
        <f>'QTR Share Price'!JH19</f>
        <v>86.698743603998906</v>
      </c>
      <c r="CC93" s="13">
        <f>'QTR Share Price'!JI19</f>
        <v>129.24036313639601</v>
      </c>
      <c r="CD93" s="13">
        <f>'QTR Share Price'!JJ19</f>
        <v>133.04155028746601</v>
      </c>
      <c r="CE93" s="13">
        <f>'QTR Share Price'!JK19</f>
        <v>184.35757682691801</v>
      </c>
      <c r="CF93" s="13">
        <f>'QTR Share Price'!JL19</f>
        <v>212.67642110239299</v>
      </c>
      <c r="CG93" s="13">
        <f>'QTR Share Price'!JM19</f>
        <v>191.009654341291</v>
      </c>
      <c r="CH93" s="13">
        <f>'QTR Share Price'!JN19</f>
        <v>153.66299058202401</v>
      </c>
      <c r="CI93" s="13">
        <f>'QTR Share Price'!JO19</f>
        <v>189.75</v>
      </c>
      <c r="CJ93" s="13">
        <f>'QTR Share Price'!JP19</f>
        <v>196.4</v>
      </c>
      <c r="CK93" s="13">
        <f>'QTR Share Price'!JQ19</f>
        <v>215</v>
      </c>
      <c r="CL93" s="13">
        <f>'QTR Share Price'!JR19</f>
        <v>169.45</v>
      </c>
      <c r="CM93" s="37">
        <f t="shared" ref="CM93:DB93" si="874">+CM84*CM101</f>
        <v>168.53025071911333</v>
      </c>
      <c r="CN93" s="37">
        <f t="shared" si="874"/>
        <v>164.26067812220779</v>
      </c>
      <c r="CO93" s="37">
        <f t="shared" si="874"/>
        <v>172.74836510323448</v>
      </c>
      <c r="CP93" s="37">
        <f t="shared" si="874"/>
        <v>179.33000388575019</v>
      </c>
      <c r="CQ93" s="37">
        <f t="shared" si="874"/>
        <v>200.62329172214805</v>
      </c>
      <c r="CR93" s="37">
        <f t="shared" si="874"/>
        <v>220.78042873946561</v>
      </c>
      <c r="CS93" s="37">
        <f t="shared" si="874"/>
        <v>239.54473307182343</v>
      </c>
      <c r="CT93" s="37">
        <f t="shared" si="874"/>
        <v>260.91097226126453</v>
      </c>
      <c r="CU93" s="37">
        <f t="shared" si="874"/>
        <v>281.67876745790358</v>
      </c>
      <c r="CV93" s="37">
        <f t="shared" si="874"/>
        <v>302.75980690262799</v>
      </c>
      <c r="CW93" s="37">
        <f t="shared" si="874"/>
        <v>322.49631371361107</v>
      </c>
      <c r="CX93" s="37">
        <f t="shared" si="874"/>
        <v>345.21711735395041</v>
      </c>
      <c r="CY93" s="37">
        <f t="shared" si="874"/>
        <v>367.02709867097963</v>
      </c>
      <c r="CZ93" s="37">
        <f t="shared" si="874"/>
        <v>389.49269996128447</v>
      </c>
      <c r="DA93" s="37">
        <f t="shared" si="874"/>
        <v>410.45191831845557</v>
      </c>
      <c r="DB93" s="37">
        <f t="shared" si="874"/>
        <v>434.9566776195673</v>
      </c>
      <c r="DE93" s="134"/>
      <c r="DF93" s="13">
        <v>215</v>
      </c>
    </row>
    <row r="94" spans="1:110" s="13" customFormat="1" x14ac:dyDescent="0.2">
      <c r="A94" s="13" t="s">
        <v>459</v>
      </c>
      <c r="B94" s="13">
        <f>'Annual Raw'!C108</f>
        <v>0.166301937859333</v>
      </c>
      <c r="C94" s="13">
        <f>'Annual Raw'!D108</f>
        <v>6.4936947164120504E-2</v>
      </c>
      <c r="D94" s="13">
        <f>'Annual Raw'!E108</f>
        <v>5.7017807266057E-2</v>
      </c>
      <c r="E94" s="13">
        <f>'Annual Raw'!F108</f>
        <v>5.54339792864443E-2</v>
      </c>
      <c r="F94" s="13">
        <f>'Annual Raw'!G108</f>
        <v>0.159016329153115</v>
      </c>
      <c r="G94" s="13">
        <f>'Annual Raw'!H108</f>
        <v>0.91070108827729901</v>
      </c>
      <c r="H94" s="13">
        <f>'Annual Raw'!I108</f>
        <v>0.54800448094599197</v>
      </c>
      <c r="I94" s="13">
        <f>'Annual Raw'!J108</f>
        <v>0.57017807266056997</v>
      </c>
      <c r="J94" s="13">
        <f>'Annual Raw'!K108</f>
        <v>0.36428043531092003</v>
      </c>
      <c r="K94" s="13">
        <f>'Annual Raw'!L108</f>
        <v>0.594727406344567</v>
      </c>
      <c r="L94" s="13">
        <f>'Annual Raw'!M108</f>
        <v>0.64936947164120495</v>
      </c>
      <c r="M94" s="13">
        <f>'Annual Raw'!N108</f>
        <v>0.74835872036699802</v>
      </c>
      <c r="N94" s="13">
        <f>'Annual Raw'!O108</f>
        <v>0.79270590379615402</v>
      </c>
      <c r="O94" s="13">
        <f>'Annual Raw'!P108</f>
        <v>0.61769291204895105</v>
      </c>
      <c r="P94" s="13">
        <f>'Annual Raw'!Q108</f>
        <v>0.69688431102958603</v>
      </c>
      <c r="Q94" s="13">
        <f>'Annual Raw'!R108</f>
        <v>1.18945481268913</v>
      </c>
      <c r="R94" s="13">
        <f>'Annual Raw'!S108</f>
        <v>1.59966625940882</v>
      </c>
      <c r="S94" s="13">
        <f>'Annual Raw'!T108</f>
        <v>2.8833588368849101</v>
      </c>
      <c r="T94" s="13">
        <f>'Annual Raw'!U108</f>
        <v>2.8350520835067199</v>
      </c>
      <c r="U94" s="13">
        <f>'Annual Raw'!V108</f>
        <v>2.2173591714577698</v>
      </c>
      <c r="V94" s="13">
        <f>'Annual Raw'!W108</f>
        <v>2.5499630471764401</v>
      </c>
      <c r="W94" s="13">
        <f>'Annual Raw'!X108</f>
        <v>5.8760018043631002</v>
      </c>
      <c r="X94" s="13">
        <f>'Annual Raw'!Y108</f>
        <v>15.0083539348099</v>
      </c>
      <c r="Y94" s="13">
        <f>'Annual Raw'!Z108</f>
        <v>25.962108241811301</v>
      </c>
      <c r="Z94" s="13">
        <f>'Annual Raw'!AA108</f>
        <v>94.126896828382399</v>
      </c>
      <c r="AA94" s="13">
        <f>'Annual Raw'!AB108</f>
        <v>90.325709677312005</v>
      </c>
      <c r="AB94" s="37">
        <f>+MIN(CM94:CP94)</f>
        <v>114.09549610495048</v>
      </c>
      <c r="AC94" s="37">
        <f>+MIN(CQ94:CT94)</f>
        <v>139.35297394922884</v>
      </c>
      <c r="AD94" s="37">
        <f>+MIN(CU94:CX94)</f>
        <v>195.6541217456197</v>
      </c>
      <c r="AE94" s="37">
        <f>+MIN(CY94:DB94)</f>
        <v>254.93708771657899</v>
      </c>
      <c r="AJ94" s="13">
        <f>+'QTR Share Price'!HP20</f>
        <v>0.79270590379615402</v>
      </c>
      <c r="AK94" s="13">
        <f>+'QTR Share Price'!HQ20</f>
        <v>0.79349781778595996</v>
      </c>
      <c r="AL94" s="13">
        <f>+'QTR Share Price'!HR20</f>
        <v>0.84893179707240396</v>
      </c>
      <c r="AM94" s="13">
        <f>+'QTR Share Price'!HS20</f>
        <v>0.89565472247097899</v>
      </c>
      <c r="AN94" s="13">
        <f>+'QTR Share Price'!HT20</f>
        <v>0.76419700016312497</v>
      </c>
      <c r="AO94" s="13">
        <f>+'QTR Share Price'!HU20</f>
        <v>0.62086056800817602</v>
      </c>
      <c r="AP94" s="13">
        <f>+'QTR Share Price'!HV20</f>
        <v>0.61769291204895105</v>
      </c>
      <c r="AQ94" s="13">
        <f>+'QTR Share Price'!HW20</f>
        <v>0.69688431102958603</v>
      </c>
      <c r="AR94" s="13">
        <f>+'QTR Share Price'!HX20</f>
        <v>1.0730434561876001</v>
      </c>
      <c r="AS94" s="13">
        <f>+'QTR Share Price'!HY20</f>
        <v>1.59570668945979</v>
      </c>
      <c r="AT94" s="13">
        <f>+'QTR Share Price'!HZ20</f>
        <v>1.6313428190010799</v>
      </c>
      <c r="AU94" s="13">
        <f>+'QTR Share Price'!IA20</f>
        <v>1.3462537826707901</v>
      </c>
      <c r="AV94" s="13">
        <f>+'QTR Share Price'!IB20</f>
        <v>1.18945481268913</v>
      </c>
      <c r="AW94" s="13">
        <f>+'QTR Share Price'!IC20</f>
        <v>1.19262246864836</v>
      </c>
      <c r="AX94" s="13">
        <f>+'QTR Share Price'!ID20</f>
        <v>1.496717440734</v>
      </c>
      <c r="AY94" s="13">
        <f>+'QTR Share Price'!IE20</f>
        <v>1.7754711651458299</v>
      </c>
      <c r="AZ94" s="13">
        <f>+'QTR Share Price'!IF20</f>
        <v>1.59966625940882</v>
      </c>
      <c r="BA94" s="13">
        <f>+'QTR Share Price'!IG20</f>
        <v>1.6155045392049501</v>
      </c>
      <c r="BB94" s="13">
        <f>+'QTR Share Price'!IH20</f>
        <v>1.9037612314944601</v>
      </c>
      <c r="BC94" s="13">
        <f>+'QTR Share Price'!II20</f>
        <v>2.8833588368849101</v>
      </c>
      <c r="BD94" s="13">
        <f>+'QTR Share Price'!IJ20</f>
        <v>3.1716155291744199</v>
      </c>
      <c r="BE94" s="13">
        <f>+'QTR Share Price'!IK20</f>
        <v>3.4369067157595499</v>
      </c>
      <c r="BF94" s="13">
        <f>+'QTR Share Price'!IL20</f>
        <v>7.2064173072377598</v>
      </c>
      <c r="BG94" s="13">
        <f>+'QTR Share Price'!IM20</f>
        <v>5.1474409337412599</v>
      </c>
      <c r="BH94" s="13">
        <f>+'QTR Share Price'!IN20</f>
        <v>3.87483515212246</v>
      </c>
      <c r="BI94" s="13">
        <f>+'QTR Share Price'!IO20</f>
        <v>2.8350520835067199</v>
      </c>
      <c r="BJ94" s="13">
        <f>+'QTR Share Price'!IP20</f>
        <v>3.19141337891958</v>
      </c>
      <c r="BK94" s="13">
        <f>+'QTR Share Price'!IQ20</f>
        <v>3.19933251881764</v>
      </c>
      <c r="BL94" s="13">
        <f>+'QTR Share Price'!IR20</f>
        <v>2.9308736762732899</v>
      </c>
      <c r="BM94" s="13">
        <f>+'QTR Share Price'!IS20</f>
        <v>2.96255023586555</v>
      </c>
      <c r="BN94" s="13">
        <f>+'QTR Share Price'!IT20</f>
        <v>2.2173591714577698</v>
      </c>
      <c r="BO94" s="13">
        <f>+'QTR Share Price'!IU20</f>
        <v>2.5499630471764401</v>
      </c>
      <c r="BP94" s="13">
        <f>+'QTR Share Price'!IV20</f>
        <v>4.0070847884201202</v>
      </c>
      <c r="BQ94" s="13">
        <f>+'QTR Share Price'!IW20</f>
        <v>5.1490247617208702</v>
      </c>
      <c r="BR94" s="13">
        <f>+'QTR Share Price'!IX20</f>
        <v>5.4642065296637998</v>
      </c>
      <c r="BS94" s="13">
        <f>+'QTR Share Price'!IY20</f>
        <v>5.8760018043631002</v>
      </c>
      <c r="BT94" s="13">
        <f>+'QTR Share Price'!IZ20</f>
        <v>8.2058127623733697</v>
      </c>
      <c r="BU94" s="13">
        <f>+'QTR Share Price'!JA20</f>
        <v>10.3352694809626</v>
      </c>
      <c r="BV94" s="13">
        <f>+'QTR Share Price'!JB20</f>
        <v>10.4532646654438</v>
      </c>
      <c r="BW94" s="13">
        <f>+'QTR Share Price'!JC20</f>
        <v>16.155045392049502</v>
      </c>
      <c r="BX94" s="13">
        <f>+'QTR Share Price'!JD20</f>
        <v>15.0083539348099</v>
      </c>
      <c r="BY94" s="13">
        <f>+'QTR Share Price'!JE20</f>
        <v>18.252033637056702</v>
      </c>
      <c r="BZ94" s="13">
        <f>+'QTR Share Price'!JF20</f>
        <v>22.997182263976299</v>
      </c>
      <c r="CA94" s="13">
        <f>+'QTR Share Price'!JG20</f>
        <v>25.962108241811301</v>
      </c>
      <c r="CB94" s="13">
        <f>+'QTR Share Price'!JH20</f>
        <v>45.867658289583602</v>
      </c>
      <c r="CC94" s="13">
        <f>+'QTR Share Price'!JI20</f>
        <v>79.888283291664294</v>
      </c>
      <c r="CD94" s="13">
        <f>+'QTR Share Price'!JJ20</f>
        <v>81.773038587403406</v>
      </c>
      <c r="CE94" s="13">
        <f>+'QTR Share Price'!JK20</f>
        <v>94.126896828382399</v>
      </c>
      <c r="CF94" s="13">
        <f>+'QTR Share Price'!JL20</f>
        <v>157.749266769424</v>
      </c>
      <c r="CG94" s="13">
        <f>+'QTR Share Price'!JM20</f>
        <v>132.85149092991301</v>
      </c>
      <c r="CH94" s="13">
        <f>+'QTR Share Price'!JN20</f>
        <v>94.649560061654597</v>
      </c>
      <c r="CI94" s="13">
        <f>+'QTR Share Price'!JO20</f>
        <v>90.325709677312005</v>
      </c>
      <c r="CJ94" s="13">
        <f>+'QTR Share Price'!JP20</f>
        <v>123.35</v>
      </c>
      <c r="CK94" s="13">
        <f>+'QTR Share Price'!JQ20</f>
        <v>137.15</v>
      </c>
      <c r="CL94" s="13">
        <f>+'QTR Share Price'!JR20</f>
        <v>117.7</v>
      </c>
      <c r="CM94" s="37">
        <f t="shared" ref="CM94:DB94" si="875">+CM102*CM84</f>
        <v>117.0611419866606</v>
      </c>
      <c r="CN94" s="37">
        <f t="shared" si="875"/>
        <v>114.09549610495048</v>
      </c>
      <c r="CO94" s="37">
        <f t="shared" si="875"/>
        <v>119.99104498466038</v>
      </c>
      <c r="CP94" s="37">
        <f t="shared" si="875"/>
        <v>124.56265244823135</v>
      </c>
      <c r="CQ94" s="37">
        <f t="shared" si="875"/>
        <v>139.35297394922884</v>
      </c>
      <c r="CR94" s="37">
        <f t="shared" si="875"/>
        <v>153.35412489014521</v>
      </c>
      <c r="CS94" s="37">
        <f t="shared" si="875"/>
        <v>166.38781400149674</v>
      </c>
      <c r="CT94" s="37">
        <f t="shared" si="875"/>
        <v>181.22880752523363</v>
      </c>
      <c r="CU94" s="37">
        <f t="shared" si="875"/>
        <v>195.6541217456197</v>
      </c>
      <c r="CV94" s="37">
        <f t="shared" si="875"/>
        <v>210.29701547618365</v>
      </c>
      <c r="CW94" s="37">
        <f t="shared" si="875"/>
        <v>224.0059966013103</v>
      </c>
      <c r="CX94" s="37">
        <f t="shared" si="875"/>
        <v>239.78787083245777</v>
      </c>
      <c r="CY94" s="37">
        <f t="shared" si="875"/>
        <v>254.93708771657899</v>
      </c>
      <c r="CZ94" s="37">
        <f t="shared" si="875"/>
        <v>270.54169835021059</v>
      </c>
      <c r="DA94" s="37">
        <f t="shared" si="875"/>
        <v>285.09997513179246</v>
      </c>
      <c r="DB94" s="37">
        <f t="shared" si="875"/>
        <v>302.12098528074995</v>
      </c>
      <c r="DE94" s="134"/>
      <c r="DF94" s="13">
        <v>90.325709677312005</v>
      </c>
    </row>
    <row r="95" spans="1:110" s="14" customFormat="1" x14ac:dyDescent="0.2">
      <c r="AB95" s="16"/>
      <c r="AC95" s="16"/>
      <c r="AD95" s="16"/>
      <c r="AE95" s="16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51" customFormat="1" x14ac:dyDescent="0.2">
      <c r="A96" s="51" t="s">
        <v>346</v>
      </c>
      <c r="AB96" s="48">
        <f t="shared" ref="AB96:AD96" si="876">+AB93/AB92-1</f>
        <v>0.41818903824238984</v>
      </c>
      <c r="AC96" s="48">
        <f t="shared" si="876"/>
        <v>1.0633528846284266</v>
      </c>
      <c r="AD96" s="48">
        <f t="shared" si="876"/>
        <v>1.7300681483111933</v>
      </c>
      <c r="AE96" s="48">
        <f t="shared" ref="AE96" si="877">+AE93/AE92-1</f>
        <v>2.4397522943421692</v>
      </c>
      <c r="CM96" s="48">
        <f t="shared" ref="CM96:DB96" si="878">+CM93/CM92-1</f>
        <v>0.33278173759678387</v>
      </c>
      <c r="CN96" s="48">
        <f t="shared" si="878"/>
        <v>0.29901682975253285</v>
      </c>
      <c r="CO96" s="48">
        <f t="shared" si="878"/>
        <v>0.36613970030236831</v>
      </c>
      <c r="CP96" s="48">
        <f t="shared" si="878"/>
        <v>0.41818903824238984</v>
      </c>
      <c r="CQ96" s="48">
        <f t="shared" si="878"/>
        <v>0.5865819827769716</v>
      </c>
      <c r="CR96" s="48">
        <f t="shared" si="878"/>
        <v>0.74598994653590833</v>
      </c>
      <c r="CS96" s="48">
        <f t="shared" si="878"/>
        <v>0.89438302152489868</v>
      </c>
      <c r="CT96" s="48">
        <f t="shared" si="878"/>
        <v>1.0633528846284266</v>
      </c>
      <c r="CU96" s="48">
        <f t="shared" si="878"/>
        <v>1.2275900945662599</v>
      </c>
      <c r="CV96" s="48">
        <f t="shared" si="878"/>
        <v>1.3943045227570421</v>
      </c>
      <c r="CW96" s="48">
        <f t="shared" si="878"/>
        <v>1.5503860317406963</v>
      </c>
      <c r="CX96" s="48">
        <f t="shared" si="878"/>
        <v>1.7300681483111933</v>
      </c>
      <c r="CY96" s="48">
        <f t="shared" si="878"/>
        <v>1.9025472413679685</v>
      </c>
      <c r="CZ96" s="48">
        <f t="shared" si="878"/>
        <v>2.0802111503462593</v>
      </c>
      <c r="DA96" s="48">
        <f t="shared" si="878"/>
        <v>2.2459621851993323</v>
      </c>
      <c r="DB96" s="48">
        <f t="shared" si="878"/>
        <v>2.4397522943421692</v>
      </c>
      <c r="DE96" s="129"/>
      <c r="DF96" s="51">
        <v>0.70027678924476078</v>
      </c>
    </row>
    <row r="97" spans="1:110" s="51" customFormat="1" x14ac:dyDescent="0.2">
      <c r="A97" s="51" t="s">
        <v>347</v>
      </c>
      <c r="AB97" s="48">
        <f t="shared" ref="AB97:AD97" si="879">+AB94/AB92-1</f>
        <v>-9.7702680071566017E-2</v>
      </c>
      <c r="AC97" s="48">
        <f t="shared" si="879"/>
        <v>0.10204012613071445</v>
      </c>
      <c r="AD97" s="48">
        <f t="shared" si="879"/>
        <v>0.54728447406579428</v>
      </c>
      <c r="AE97" s="48">
        <f t="shared" ref="AE97" si="880">+AE94/AE92-1</f>
        <v>1.0161098277309528</v>
      </c>
      <c r="CM97" s="48">
        <f t="shared" ref="CM97:DB97" si="881">+CM94/CM92-1</f>
        <v>-7.4249569105096058E-2</v>
      </c>
      <c r="CN97" s="48">
        <f t="shared" si="881"/>
        <v>-9.7702680071566017E-2</v>
      </c>
      <c r="CO97" s="48">
        <f t="shared" si="881"/>
        <v>-5.1079122303990698E-2</v>
      </c>
      <c r="CP97" s="48">
        <f t="shared" si="881"/>
        <v>-1.4925642955861296E-2</v>
      </c>
      <c r="CQ97" s="48">
        <f t="shared" si="881"/>
        <v>0.10204012613071445</v>
      </c>
      <c r="CR97" s="48">
        <f t="shared" si="881"/>
        <v>0.21276492597979613</v>
      </c>
      <c r="CS97" s="48">
        <f t="shared" si="881"/>
        <v>0.3158387821391595</v>
      </c>
      <c r="CT97" s="48">
        <f t="shared" si="881"/>
        <v>0.43320527896586492</v>
      </c>
      <c r="CU97" s="48">
        <f t="shared" si="881"/>
        <v>0.54728447406579428</v>
      </c>
      <c r="CV97" s="48">
        <f t="shared" si="881"/>
        <v>0.66308434540279659</v>
      </c>
      <c r="CW97" s="48">
        <f t="shared" si="881"/>
        <v>0.77149858917604019</v>
      </c>
      <c r="CX97" s="48">
        <f t="shared" si="881"/>
        <v>0.89630581915743579</v>
      </c>
      <c r="CY97" s="48">
        <f t="shared" si="881"/>
        <v>1.0161098277309528</v>
      </c>
      <c r="CZ97" s="48">
        <f t="shared" si="881"/>
        <v>1.1395152103614916</v>
      </c>
      <c r="DA97" s="48">
        <f t="shared" si="881"/>
        <v>1.2546459085155592</v>
      </c>
      <c r="DB97" s="48">
        <f t="shared" si="881"/>
        <v>1.3892525526354285</v>
      </c>
      <c r="DE97" s="129"/>
      <c r="DF97" s="51">
        <v>-0.28568042959816531</v>
      </c>
    </row>
    <row r="98" spans="1:110" s="14" customFormat="1" x14ac:dyDescent="0.2">
      <c r="AB98" s="16"/>
      <c r="AC98" s="16"/>
      <c r="AD98" s="16"/>
      <c r="AE98" s="16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40</v>
      </c>
      <c r="AB99" s="37"/>
      <c r="AC99" s="37"/>
      <c r="AD99" s="37"/>
      <c r="AE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460</v>
      </c>
      <c r="B100" s="13">
        <f t="shared" ref="B100:D100" si="882">+B92/B84</f>
        <v>0.10196566855677465</v>
      </c>
      <c r="C100" s="13">
        <f t="shared" si="882"/>
        <v>-2.0447870971193698E-2</v>
      </c>
      <c r="D100" s="13">
        <f t="shared" si="882"/>
        <v>0.19569715763309981</v>
      </c>
      <c r="E100" s="13">
        <f t="shared" ref="E100:AE100" ca="1" si="883">+E92/E84</f>
        <v>3.7041615661563814</v>
      </c>
      <c r="F100" s="13">
        <f t="shared" ca="1" si="883"/>
        <v>46.428788034015064</v>
      </c>
      <c r="G100" s="13">
        <f t="shared" ca="1" si="883"/>
        <v>28.210514115081288</v>
      </c>
      <c r="H100" s="13">
        <f t="shared" ca="1" si="883"/>
        <v>7.2540740378588158</v>
      </c>
      <c r="I100" s="13">
        <f t="shared" ca="1" si="883"/>
        <v>6.8661872407881033</v>
      </c>
      <c r="J100" s="13">
        <f t="shared" ca="1" si="883"/>
        <v>6.4724369784469111</v>
      </c>
      <c r="K100" s="13">
        <f t="shared" ca="1" si="883"/>
        <v>26.057237246577529</v>
      </c>
      <c r="L100" s="13">
        <f t="shared" ca="1" si="883"/>
        <v>10.118192568413335</v>
      </c>
      <c r="M100" s="13">
        <f t="shared" ca="1" si="883"/>
        <v>7.1466823681466503</v>
      </c>
      <c r="N100" s="13">
        <f t="shared" ca="1" si="883"/>
        <v>3.8990322916352635</v>
      </c>
      <c r="O100" s="13">
        <f t="shared" ca="1" si="883"/>
        <v>-18.829076232428708</v>
      </c>
      <c r="P100" s="13">
        <f t="shared" ca="1" si="883"/>
        <v>55.682589804704392</v>
      </c>
      <c r="Q100" s="13">
        <f t="shared" ca="1" si="883"/>
        <v>88.492786335508001</v>
      </c>
      <c r="R100" s="13">
        <f t="shared" ca="1" si="883"/>
        <v>89.954799207728328</v>
      </c>
      <c r="S100" s="13">
        <f t="shared" ca="1" si="883"/>
        <v>12.404418093431813</v>
      </c>
      <c r="T100" s="13">
        <f t="shared" ca="1" si="883"/>
        <v>9.8899149954914307</v>
      </c>
      <c r="U100" s="13">
        <f t="shared" ca="1" si="883"/>
        <v>6.4647303096144197</v>
      </c>
      <c r="V100" s="13">
        <f t="shared" ca="1" si="883"/>
        <v>10.382580078566207</v>
      </c>
      <c r="W100" s="13">
        <f t="shared" ca="1" si="883"/>
        <v>23.944768430197737</v>
      </c>
      <c r="X100" s="13">
        <f t="shared" ca="1" si="883"/>
        <v>25.327579419926952</v>
      </c>
      <c r="Y100" s="13">
        <f t="shared" ca="1" si="883"/>
        <v>47.565270133832946</v>
      </c>
      <c r="Z100" s="13">
        <f t="shared" ref="Z100:AA100" ca="1" si="884">+Z92/Z84</f>
        <v>50.729176865058925</v>
      </c>
      <c r="AA100" s="13">
        <f t="shared" ref="AA100" ca="1" si="885">+AA92/AA84</f>
        <v>50.729176865058925</v>
      </c>
      <c r="AB100" s="37">
        <f t="shared" ca="1" si="883"/>
        <v>211.21195891079122</v>
      </c>
      <c r="AC100" s="37">
        <f t="shared" ca="1" si="883"/>
        <v>145.17074956227302</v>
      </c>
      <c r="AD100" s="37">
        <f t="shared" ca="1" si="883"/>
        <v>109.71831785894443</v>
      </c>
      <c r="AE100" s="37">
        <f t="shared" ca="1" si="883"/>
        <v>87.081411462586658</v>
      </c>
      <c r="AL100" s="13">
        <f t="shared" ref="AL100:BQ100" si="886">+AL92/AL84</f>
        <v>3.9232872715418008</v>
      </c>
      <c r="AM100" s="13">
        <f t="shared" si="886"/>
        <v>6.9622976365877776</v>
      </c>
      <c r="AN100" s="13">
        <f t="shared" si="886"/>
        <v>8.8319390673735114</v>
      </c>
      <c r="AO100" s="13">
        <f t="shared" si="886"/>
        <v>15.235000414463522</v>
      </c>
      <c r="AP100" s="13">
        <f t="shared" si="886"/>
        <v>-16.310891070610634</v>
      </c>
      <c r="AQ100" s="13">
        <f t="shared" si="886"/>
        <v>-20.231788091560748</v>
      </c>
      <c r="AR100" s="13">
        <f t="shared" si="886"/>
        <v>21.189752426821123</v>
      </c>
      <c r="AS100" s="13">
        <f t="shared" si="886"/>
        <v>32.257614185473209</v>
      </c>
      <c r="AT100" s="13">
        <f t="shared" si="886"/>
        <v>55.862121164109112</v>
      </c>
      <c r="AU100" s="13">
        <f t="shared" si="886"/>
        <v>15.458481658893225</v>
      </c>
      <c r="AV100" s="13">
        <f t="shared" si="886"/>
        <v>72.755852883168458</v>
      </c>
      <c r="AW100" s="13">
        <f t="shared" si="886"/>
        <v>138.52902571845408</v>
      </c>
      <c r="AX100" s="13">
        <f t="shared" si="886"/>
        <v>88.322794938372212</v>
      </c>
      <c r="AY100" s="13">
        <f t="shared" si="886"/>
        <v>68.869713870420483</v>
      </c>
      <c r="AZ100" s="13">
        <f t="shared" si="886"/>
        <v>49.995268011107036</v>
      </c>
      <c r="BA100" s="13">
        <f t="shared" si="886"/>
        <v>52.341245002319368</v>
      </c>
      <c r="BB100" s="13">
        <f t="shared" si="886"/>
        <v>89.476945022356944</v>
      </c>
      <c r="BC100" s="13">
        <f t="shared" si="886"/>
        <v>9.606616323124257</v>
      </c>
      <c r="BD100" s="13">
        <f t="shared" si="886"/>
        <v>6.3223425493752821</v>
      </c>
      <c r="BE100" s="13">
        <f t="shared" si="886"/>
        <v>10.360978185146843</v>
      </c>
      <c r="BF100" s="13">
        <f t="shared" si="886"/>
        <v>12.373844810616827</v>
      </c>
      <c r="BG100" s="13">
        <f t="shared" si="886"/>
        <v>18.908548675220313</v>
      </c>
      <c r="BH100" s="13">
        <f t="shared" si="886"/>
        <v>22.019815840964032</v>
      </c>
      <c r="BI100" s="13">
        <f t="shared" si="886"/>
        <v>19.093089715715365</v>
      </c>
      <c r="BJ100" s="13">
        <f t="shared" si="886"/>
        <v>9.8658168619482467</v>
      </c>
      <c r="BK100" s="13">
        <f t="shared" si="886"/>
        <v>11.608131647638531</v>
      </c>
      <c r="BL100" s="13">
        <f t="shared" si="886"/>
        <v>8.204552930709589</v>
      </c>
      <c r="BM100" s="13">
        <f t="shared" si="886"/>
        <v>12.604691204419789</v>
      </c>
      <c r="BN100" s="13">
        <f t="shared" si="886"/>
        <v>6.4458838017356346</v>
      </c>
      <c r="BO100" s="13">
        <f t="shared" si="886"/>
        <v>10.117609814981916</v>
      </c>
      <c r="BP100" s="13">
        <f t="shared" si="886"/>
        <v>14.337194098012333</v>
      </c>
      <c r="BQ100" s="13">
        <f t="shared" si="886"/>
        <v>10.419774436650636</v>
      </c>
      <c r="BR100" s="13">
        <f t="shared" ref="BR100:DB100" si="887">+BR92/BR84</f>
        <v>10.305269634497309</v>
      </c>
      <c r="BS100" s="13">
        <f t="shared" si="887"/>
        <v>13.176897384288313</v>
      </c>
      <c r="BT100" s="13">
        <f t="shared" si="887"/>
        <v>20.783477123026636</v>
      </c>
      <c r="BU100" s="13">
        <f t="shared" si="887"/>
        <v>16.848520260901704</v>
      </c>
      <c r="BV100" s="13">
        <f t="shared" si="887"/>
        <v>23.879861399070364</v>
      </c>
      <c r="BW100" s="13">
        <f t="shared" si="887"/>
        <v>23.474628411722541</v>
      </c>
      <c r="BX100" s="13">
        <f t="shared" si="887"/>
        <v>22.704627227524732</v>
      </c>
      <c r="BY100" s="13">
        <f t="shared" si="887"/>
        <v>27.665915697154269</v>
      </c>
      <c r="BZ100" s="13">
        <f t="shared" si="887"/>
        <v>25.256483754381481</v>
      </c>
      <c r="CA100" s="13">
        <f t="shared" si="887"/>
        <v>41.003345449916978</v>
      </c>
      <c r="CB100" s="13">
        <f t="shared" si="887"/>
        <v>52.272368532032225</v>
      </c>
      <c r="CC100" s="13">
        <f t="shared" si="887"/>
        <v>56.71712052338188</v>
      </c>
      <c r="CD100" s="13">
        <f t="shared" si="887"/>
        <v>47.4308083308606</v>
      </c>
      <c r="CE100" s="13">
        <f t="shared" si="887"/>
        <v>83.673106477356285</v>
      </c>
      <c r="CF100" s="13">
        <f t="shared" si="887"/>
        <v>78.794834770351045</v>
      </c>
      <c r="CG100" s="13">
        <f t="shared" si="887"/>
        <v>61.549442341561772</v>
      </c>
      <c r="CH100" s="13">
        <f t="shared" si="887"/>
        <v>50.588492652690924</v>
      </c>
      <c r="CI100" s="13">
        <f t="shared" ref="CI100:CJ100" si="888">+CI92/CI84</f>
        <v>80.191802925989663</v>
      </c>
      <c r="CJ100" s="13">
        <f t="shared" si="888"/>
        <v>137.22706946755414</v>
      </c>
      <c r="CK100" s="13">
        <f t="shared" ref="CK100:CL100" si="889">+CK92/CK84</f>
        <v>255.97781945370093</v>
      </c>
      <c r="CL100" s="13">
        <f t="shared" si="889"/>
        <v>223.5269484342827</v>
      </c>
      <c r="CM100" s="37">
        <f t="shared" si="887"/>
        <v>224.74684070409174</v>
      </c>
      <c r="CN100" s="37">
        <f t="shared" si="887"/>
        <v>230.58860979503245</v>
      </c>
      <c r="CO100" s="37">
        <f t="shared" si="887"/>
        <v>219.25904415682373</v>
      </c>
      <c r="CP100" s="37">
        <f t="shared" si="887"/>
        <v>211.21195891079176</v>
      </c>
      <c r="CQ100" s="37">
        <f t="shared" si="887"/>
        <v>188.79483576934931</v>
      </c>
      <c r="CR100" s="37">
        <f t="shared" si="887"/>
        <v>171.55796656634791</v>
      </c>
      <c r="CS100" s="37">
        <f t="shared" si="887"/>
        <v>158.11928288497384</v>
      </c>
      <c r="CT100" s="37">
        <f t="shared" si="887"/>
        <v>145.17074956227304</v>
      </c>
      <c r="CU100" s="37">
        <f t="shared" si="887"/>
        <v>134.46750620935529</v>
      </c>
      <c r="CV100" s="37">
        <f t="shared" si="887"/>
        <v>125.10458967352587</v>
      </c>
      <c r="CW100" s="37">
        <f t="shared" si="887"/>
        <v>117.44829258986535</v>
      </c>
      <c r="CX100" s="37">
        <f t="shared" si="887"/>
        <v>109.71831785894427</v>
      </c>
      <c r="CY100" s="37">
        <f t="shared" si="887"/>
        <v>103.19848738510615</v>
      </c>
      <c r="CZ100" s="37">
        <f t="shared" si="887"/>
        <v>97.246088093446005</v>
      </c>
      <c r="DA100" s="37">
        <f t="shared" si="887"/>
        <v>92.280337164369186</v>
      </c>
      <c r="DB100" s="37">
        <f t="shared" si="887"/>
        <v>87.081411462586672</v>
      </c>
      <c r="DE100" s="134"/>
      <c r="DF100" s="13">
        <v>223.87413046375235</v>
      </c>
    </row>
    <row r="101" spans="1:110" s="13" customFormat="1" x14ac:dyDescent="0.2">
      <c r="A101" s="13" t="s">
        <v>461</v>
      </c>
      <c r="B101" s="13">
        <f t="shared" ref="B101:D101" si="890">+B93/B84</f>
        <v>0.37227088425916716</v>
      </c>
      <c r="C101" s="13">
        <f t="shared" si="890"/>
        <v>-4.7760384339859484E-2</v>
      </c>
      <c r="D101" s="13">
        <f t="shared" si="890"/>
        <v>0.58953768736971401</v>
      </c>
      <c r="E101" s="13">
        <f t="shared" ref="E101:AE101" ca="1" si="891">+E93/E84</f>
        <v>5.2297273667363449</v>
      </c>
      <c r="F101" s="13">
        <f t="shared" ca="1" si="891"/>
        <v>60.955882834678803</v>
      </c>
      <c r="G101" s="13">
        <f t="shared" ca="1" si="891"/>
        <v>81.894540593818775</v>
      </c>
      <c r="H101" s="13">
        <f t="shared" ca="1" si="891"/>
        <v>19.108292587530556</v>
      </c>
      <c r="I101" s="13">
        <f t="shared" ca="1" si="891"/>
        <v>15.87590872870036</v>
      </c>
      <c r="J101" s="13">
        <f t="shared" ca="1" si="891"/>
        <v>14.091467413922969</v>
      </c>
      <c r="K101" s="13">
        <f t="shared" ca="1" si="891"/>
        <v>33.649027157568035</v>
      </c>
      <c r="L101" s="13">
        <f t="shared" ca="1" si="891"/>
        <v>14.54757915424714</v>
      </c>
      <c r="M101" s="13">
        <f t="shared" ca="1" si="891"/>
        <v>8.103537723034643</v>
      </c>
      <c r="N101" s="13">
        <f t="shared" ca="1" si="891"/>
        <v>5.1578258294976269</v>
      </c>
      <c r="O101" s="13">
        <f t="shared" ca="1" si="891"/>
        <v>-28.905176486539137</v>
      </c>
      <c r="P101" s="13">
        <f t="shared" ca="1" si="891"/>
        <v>89.50670103971072</v>
      </c>
      <c r="Q101" s="13">
        <f t="shared" ca="1" si="891"/>
        <v>119.83398149600042</v>
      </c>
      <c r="R101" s="13">
        <f t="shared" ca="1" si="891"/>
        <v>89.954799207728328</v>
      </c>
      <c r="S101" s="13">
        <f t="shared" ca="1" si="891"/>
        <v>15.455362608324551</v>
      </c>
      <c r="T101" s="13">
        <f t="shared" ca="1" si="891"/>
        <v>27.40518047008927</v>
      </c>
      <c r="U101" s="13">
        <f t="shared" ca="1" si="891"/>
        <v>13.301109260326175</v>
      </c>
      <c r="V101" s="13">
        <f t="shared" ca="1" si="891"/>
        <v>13.143583398428119</v>
      </c>
      <c r="W101" s="13">
        <f t="shared" ca="1" si="891"/>
        <v>24.814444479649733</v>
      </c>
      <c r="X101" s="13">
        <f t="shared" ca="1" si="891"/>
        <v>29.730739586541358</v>
      </c>
      <c r="Y101" s="13">
        <f t="shared" ca="1" si="891"/>
        <v>67.264018371076688</v>
      </c>
      <c r="Z101" s="13">
        <f t="shared" ref="Z101:AA101" ca="1" si="892">+Z93/Z84</f>
        <v>100.11631201411093</v>
      </c>
      <c r="AA101" s="13">
        <f t="shared" ref="AA101" ca="1" si="893">+AA93/AA84</f>
        <v>100.11631201411093</v>
      </c>
      <c r="AB101" s="60">
        <f t="shared" ca="1" si="891"/>
        <v>299.53848487298615</v>
      </c>
      <c r="AC101" s="60">
        <f t="shared" ca="1" si="891"/>
        <v>299.53848487298688</v>
      </c>
      <c r="AD101" s="60">
        <f t="shared" ca="1" si="891"/>
        <v>299.53848487298734</v>
      </c>
      <c r="AE101" s="60">
        <f t="shared" ca="1" si="891"/>
        <v>299.53848487298688</v>
      </c>
      <c r="AL101" s="13">
        <f t="shared" ref="AL101:BQ101" si="894">+AL93/AL84</f>
        <v>5.1899114734468377</v>
      </c>
      <c r="AM101" s="13">
        <f t="shared" si="894"/>
        <v>7.6402338824997296</v>
      </c>
      <c r="AN101" s="13">
        <f t="shared" si="894"/>
        <v>10.472156322742885</v>
      </c>
      <c r="AO101" s="13">
        <f t="shared" si="894"/>
        <v>17.933388826706238</v>
      </c>
      <c r="AP101" s="13">
        <f t="shared" si="894"/>
        <v>-18.532698935364088</v>
      </c>
      <c r="AQ101" s="13">
        <f t="shared" si="894"/>
        <v>-23.807111092313434</v>
      </c>
      <c r="AR101" s="13">
        <f t="shared" si="894"/>
        <v>21.189752426821123</v>
      </c>
      <c r="AS101" s="13">
        <f t="shared" si="894"/>
        <v>41.272368318113898</v>
      </c>
      <c r="AT101" s="13">
        <f t="shared" si="894"/>
        <v>88.850074271171735</v>
      </c>
      <c r="AU101" s="13">
        <f t="shared" si="894"/>
        <v>23.692801592046262</v>
      </c>
      <c r="AV101" s="13">
        <f t="shared" si="894"/>
        <v>109.04214726822492</v>
      </c>
      <c r="AW101" s="13">
        <f t="shared" si="894"/>
        <v>153.5174121076636</v>
      </c>
      <c r="AX101" s="13">
        <f t="shared" si="894"/>
        <v>115.99443982691704</v>
      </c>
      <c r="AY101" s="13">
        <f t="shared" si="894"/>
        <v>84.634421811071419</v>
      </c>
      <c r="AZ101" s="13">
        <f t="shared" si="894"/>
        <v>60.743581651318301</v>
      </c>
      <c r="BA101" s="13">
        <f t="shared" si="894"/>
        <v>59.01431083751536</v>
      </c>
      <c r="BB101" s="13">
        <f t="shared" si="894"/>
        <v>89.476945022356944</v>
      </c>
      <c r="BC101" s="13">
        <f t="shared" si="894"/>
        <v>10.71215272581976</v>
      </c>
      <c r="BD101" s="13">
        <f t="shared" si="894"/>
        <v>8.6058949060213266</v>
      </c>
      <c r="BE101" s="13">
        <f t="shared" si="894"/>
        <v>10.88113275293901</v>
      </c>
      <c r="BF101" s="13">
        <f t="shared" si="894"/>
        <v>15.417269634637806</v>
      </c>
      <c r="BG101" s="13">
        <f t="shared" si="894"/>
        <v>34.881663870727699</v>
      </c>
      <c r="BH101" s="13">
        <f t="shared" si="894"/>
        <v>30.351405669114808</v>
      </c>
      <c r="BI101" s="13">
        <f t="shared" si="894"/>
        <v>21.452257587211999</v>
      </c>
      <c r="BJ101" s="13">
        <f t="shared" si="894"/>
        <v>10.896835220496644</v>
      </c>
      <c r="BK101" s="13">
        <f t="shared" si="894"/>
        <v>14.030184561395188</v>
      </c>
      <c r="BL101" s="13">
        <f t="shared" si="894"/>
        <v>10.144998053093293</v>
      </c>
      <c r="BM101" s="13">
        <f t="shared" si="894"/>
        <v>14.02173638111757</v>
      </c>
      <c r="BN101" s="13">
        <f t="shared" si="894"/>
        <v>13.262332784206437</v>
      </c>
      <c r="BO101" s="13">
        <f t="shared" si="894"/>
        <v>11.597244972401384</v>
      </c>
      <c r="BP101" s="13">
        <f t="shared" si="894"/>
        <v>17.09469003744081</v>
      </c>
      <c r="BQ101" s="13">
        <f t="shared" si="894"/>
        <v>12.433910005104458</v>
      </c>
      <c r="BR101" s="13">
        <f t="shared" ref="BR101:CH101" si="895">+BR93/BR84</f>
        <v>12.394654199567217</v>
      </c>
      <c r="BS101" s="13">
        <f t="shared" si="895"/>
        <v>14.534502182108604</v>
      </c>
      <c r="BT101" s="13">
        <f t="shared" si="895"/>
        <v>21.73350915602995</v>
      </c>
      <c r="BU101" s="13">
        <f t="shared" si="895"/>
        <v>22.631628772251563</v>
      </c>
      <c r="BV101" s="13">
        <f t="shared" si="895"/>
        <v>24.747180019567597</v>
      </c>
      <c r="BW101" s="13">
        <f t="shared" si="895"/>
        <v>31.771057440601325</v>
      </c>
      <c r="BX101" s="13">
        <f t="shared" si="895"/>
        <v>25.044956215329158</v>
      </c>
      <c r="BY101" s="13">
        <f t="shared" si="895"/>
        <v>34.172362320393766</v>
      </c>
      <c r="BZ101" s="13">
        <f t="shared" si="895"/>
        <v>27.020309514345801</v>
      </c>
      <c r="CA101" s="13">
        <f t="shared" si="895"/>
        <v>45.452146451033265</v>
      </c>
      <c r="CB101" s="13">
        <f t="shared" si="895"/>
        <v>56.863860362548564</v>
      </c>
      <c r="CC101" s="13">
        <f t="shared" si="895"/>
        <v>68.443020329902154</v>
      </c>
      <c r="CD101" s="13">
        <f t="shared" si="895"/>
        <v>67.073870366873379</v>
      </c>
      <c r="CE101" s="13">
        <f t="shared" si="895"/>
        <v>94.074660426584614</v>
      </c>
      <c r="CF101" s="13">
        <f t="shared" si="895"/>
        <v>95.916693073726563</v>
      </c>
      <c r="CG101" s="13">
        <f t="shared" si="895"/>
        <v>80.964907792237597</v>
      </c>
      <c r="CH101" s="13">
        <f t="shared" si="895"/>
        <v>72.135443226985217</v>
      </c>
      <c r="CI101" s="13">
        <f t="shared" ref="CI101:CJ101" si="896">+CI93/CI84</f>
        <v>96.154152323580035</v>
      </c>
      <c r="CJ101" s="13">
        <f t="shared" si="896"/>
        <v>154.62648561920616</v>
      </c>
      <c r="CK101" s="13">
        <f t="shared" ref="CK101:CL101" si="897">+CK93/CK84</f>
        <v>349.20831968620371</v>
      </c>
      <c r="CL101" s="13">
        <f t="shared" si="897"/>
        <v>299.53848487298694</v>
      </c>
      <c r="CM101" s="60">
        <f t="shared" ref="CM101:CM102" si="898">+CL101</f>
        <v>299.53848487298694</v>
      </c>
      <c r="CN101" s="60">
        <f t="shared" ref="CN101:CN102" si="899">+CM101</f>
        <v>299.53848487298694</v>
      </c>
      <c r="CO101" s="60">
        <f t="shared" ref="CO101:CO102" si="900">+CN101</f>
        <v>299.53848487298694</v>
      </c>
      <c r="CP101" s="60">
        <f t="shared" ref="CP101:CP102" si="901">+CO101</f>
        <v>299.53848487298694</v>
      </c>
      <c r="CQ101" s="60">
        <f t="shared" ref="CQ101:CQ102" si="902">+CP101</f>
        <v>299.53848487298694</v>
      </c>
      <c r="CR101" s="60">
        <f t="shared" ref="CR101:CR102" si="903">+CQ101</f>
        <v>299.53848487298694</v>
      </c>
      <c r="CS101" s="60">
        <f t="shared" ref="CS101:CS102" si="904">+CR101</f>
        <v>299.53848487298694</v>
      </c>
      <c r="CT101" s="60">
        <f t="shared" ref="CT101:CT102" si="905">+CS101</f>
        <v>299.53848487298694</v>
      </c>
      <c r="CU101" s="60">
        <f t="shared" ref="CU101:CU102" si="906">+CT101</f>
        <v>299.53848487298694</v>
      </c>
      <c r="CV101" s="60">
        <f t="shared" ref="CV101:CV102" si="907">+CU101</f>
        <v>299.53848487298694</v>
      </c>
      <c r="CW101" s="60">
        <f t="shared" ref="CW101:CW102" si="908">+CV101</f>
        <v>299.53848487298694</v>
      </c>
      <c r="CX101" s="60">
        <f t="shared" ref="CX101:CX102" si="909">+CW101</f>
        <v>299.53848487298694</v>
      </c>
      <c r="CY101" s="60">
        <f t="shared" ref="CY101:CY102" si="910">+CX101</f>
        <v>299.53848487298694</v>
      </c>
      <c r="CZ101" s="60">
        <f t="shared" ref="CZ101:CZ102" si="911">+CY101</f>
        <v>299.53848487298694</v>
      </c>
      <c r="DA101" s="60">
        <f t="shared" ref="DA101:DA102" si="912">+CZ101</f>
        <v>299.53848487298694</v>
      </c>
      <c r="DB101" s="60">
        <f t="shared" ref="DB101:DB102" si="913">+DA101</f>
        <v>299.53848487298694</v>
      </c>
      <c r="DE101" s="136"/>
      <c r="DF101" s="13">
        <v>380.6479877398715</v>
      </c>
    </row>
    <row r="102" spans="1:110" s="13" customFormat="1" x14ac:dyDescent="0.2">
      <c r="A102" s="13" t="s">
        <v>462</v>
      </c>
      <c r="B102" s="13">
        <f t="shared" ref="B102:D102" si="914">+B94/B84</f>
        <v>0.10100372828737095</v>
      </c>
      <c r="C102" s="13">
        <f t="shared" si="914"/>
        <v>-1.1976610140270558E-2</v>
      </c>
      <c r="D102" s="13">
        <f t="shared" si="914"/>
        <v>0.17612744186978976</v>
      </c>
      <c r="E102" s="13">
        <f t="shared" ref="E102:AE102" ca="1" si="915">+E94/E84</f>
        <v>0.96033818381831992</v>
      </c>
      <c r="F102" s="13">
        <f t="shared" ca="1" si="915"/>
        <v>4.8455824517828816</v>
      </c>
      <c r="G102" s="13">
        <f t="shared" ca="1" si="915"/>
        <v>24.783874127076722</v>
      </c>
      <c r="H102" s="13">
        <f t="shared" ca="1" si="915"/>
        <v>6.8019230815695115</v>
      </c>
      <c r="I102" s="13">
        <f t="shared" ca="1" si="915"/>
        <v>4.1265899944636351</v>
      </c>
      <c r="J102" s="13">
        <f t="shared" ca="1" si="915"/>
        <v>3.8219781900970204</v>
      </c>
      <c r="K102" s="13">
        <f t="shared" ca="1" si="915"/>
        <v>14.847484956130236</v>
      </c>
      <c r="L102" s="13">
        <f t="shared" ca="1" si="915"/>
        <v>7.0253326893301757</v>
      </c>
      <c r="M102" s="13">
        <f t="shared" ca="1" si="915"/>
        <v>5.1086345218597504</v>
      </c>
      <c r="N102" s="13">
        <f t="shared" ca="1" si="915"/>
        <v>3.2309034138467703</v>
      </c>
      <c r="O102" s="13">
        <f t="shared" ca="1" si="915"/>
        <v>-15.877491309507461</v>
      </c>
      <c r="P102" s="13">
        <f t="shared" ca="1" si="915"/>
        <v>20.727867609196178</v>
      </c>
      <c r="Q102" s="13">
        <f t="shared" ca="1" si="915"/>
        <v>53.251668700293592</v>
      </c>
      <c r="R102" s="13">
        <f t="shared" ca="1" si="915"/>
        <v>48.096531074539719</v>
      </c>
      <c r="S102" s="13">
        <f t="shared" ca="1" si="915"/>
        <v>4.4274567471998063</v>
      </c>
      <c r="T102" s="13">
        <f t="shared" ca="1" si="915"/>
        <v>7.8557567525758261</v>
      </c>
      <c r="U102" s="13">
        <f t="shared" ca="1" si="915"/>
        <v>5.4769273424872438</v>
      </c>
      <c r="V102" s="13">
        <f t="shared" ca="1" si="915"/>
        <v>4.4187031262203584</v>
      </c>
      <c r="W102" s="13">
        <f t="shared" ca="1" si="915"/>
        <v>8.6850555678773933</v>
      </c>
      <c r="X102" s="13">
        <f t="shared" ca="1" si="915"/>
        <v>14.85909748534103</v>
      </c>
      <c r="Y102" s="13">
        <f t="shared" ca="1" si="915"/>
        <v>13.126092727841577</v>
      </c>
      <c r="Z102" s="13">
        <f t="shared" ref="Z102:AA102" ca="1" si="916">+Z94/Z84</f>
        <v>44.309743990159369</v>
      </c>
      <c r="AA102" s="13">
        <f t="shared" ref="AA102" ca="1" si="917">+AA94/AA84</f>
        <v>44.309743990159369</v>
      </c>
      <c r="AB102" s="60">
        <f t="shared" ca="1" si="915"/>
        <v>190.57598446204145</v>
      </c>
      <c r="AC102" s="60">
        <f t="shared" ca="1" si="915"/>
        <v>159.98399115809769</v>
      </c>
      <c r="AD102" s="60">
        <f t="shared" ca="1" si="915"/>
        <v>169.76544974376048</v>
      </c>
      <c r="AE102" s="60">
        <f t="shared" ca="1" si="915"/>
        <v>175.56568946240378</v>
      </c>
      <c r="AL102" s="13">
        <f t="shared" ref="AL102:BQ102" si="918">+AL94/AL84</f>
        <v>3.4815926780569595</v>
      </c>
      <c r="AM102" s="13">
        <f t="shared" si="918"/>
        <v>6.0852848740191687</v>
      </c>
      <c r="AN102" s="13">
        <f t="shared" si="918"/>
        <v>7.6096617857280684</v>
      </c>
      <c r="AO102" s="13">
        <f t="shared" si="918"/>
        <v>13.139978355268859</v>
      </c>
      <c r="AP102" s="13">
        <f t="shared" si="918"/>
        <v>-13.754048686568975</v>
      </c>
      <c r="AQ102" s="13">
        <f t="shared" si="918"/>
        <v>-12.485254923263318</v>
      </c>
      <c r="AR102" s="13">
        <f t="shared" si="918"/>
        <v>13.292645619603061</v>
      </c>
      <c r="AS102" s="13">
        <f t="shared" si="918"/>
        <v>21.885216358157763</v>
      </c>
      <c r="AT102" s="13">
        <f t="shared" si="918"/>
        <v>48.678498137929267</v>
      </c>
      <c r="AU102" s="13">
        <f t="shared" si="918"/>
        <v>13.009613277286388</v>
      </c>
      <c r="AV102" s="13">
        <f t="shared" si="918"/>
        <v>68.815674452467661</v>
      </c>
      <c r="AW102" s="13">
        <f t="shared" si="918"/>
        <v>68.401545158030146</v>
      </c>
      <c r="AX102" s="13">
        <f t="shared" si="918"/>
        <v>66.879039436508066</v>
      </c>
      <c r="AY102" s="13">
        <f t="shared" si="918"/>
        <v>60.314804100579138</v>
      </c>
      <c r="AZ102" s="13">
        <f t="shared" si="918"/>
        <v>45.044799902959923</v>
      </c>
      <c r="BA102" s="13">
        <f t="shared" si="918"/>
        <v>40.1565023710912</v>
      </c>
      <c r="BB102" s="13">
        <f t="shared" si="918"/>
        <v>56.93556798140451</v>
      </c>
      <c r="BC102" s="13">
        <f t="shared" si="918"/>
        <v>6.0078478242005104</v>
      </c>
      <c r="BD102" s="13">
        <f t="shared" si="918"/>
        <v>5.3703036925234313</v>
      </c>
      <c r="BE102" s="13">
        <f t="shared" si="918"/>
        <v>4.9397611033216879</v>
      </c>
      <c r="BF102" s="13">
        <f t="shared" si="918"/>
        <v>11.038328377278022</v>
      </c>
      <c r="BG102" s="13">
        <f t="shared" si="918"/>
        <v>18.154441120964865</v>
      </c>
      <c r="BH102" s="13">
        <f t="shared" si="918"/>
        <v>21.03532973639928</v>
      </c>
      <c r="BI102" s="13">
        <f t="shared" si="918"/>
        <v>14.843270615040373</v>
      </c>
      <c r="BJ102" s="13">
        <f t="shared" si="918"/>
        <v>8.8216645115712033</v>
      </c>
      <c r="BK102" s="13">
        <f t="shared" si="918"/>
        <v>9.9442009873748241</v>
      </c>
      <c r="BL102" s="13">
        <f t="shared" si="918"/>
        <v>7.5516166119264367</v>
      </c>
      <c r="BM102" s="13">
        <f t="shared" si="918"/>
        <v>7.9477751214789292</v>
      </c>
      <c r="BN102" s="13">
        <f t="shared" si="918"/>
        <v>5.460960558202645</v>
      </c>
      <c r="BO102" s="13">
        <f t="shared" si="918"/>
        <v>6.2280068063930072</v>
      </c>
      <c r="BP102" s="13">
        <f t="shared" si="918"/>
        <v>9.0310223000052829</v>
      </c>
      <c r="BQ102" s="13">
        <f t="shared" si="918"/>
        <v>9.8688089420396921</v>
      </c>
      <c r="BR102" s="13">
        <f t="shared" ref="BR102:CH102" si="919">+BR94/BR84</f>
        <v>9.3981443930784465</v>
      </c>
      <c r="BS102" s="13">
        <f t="shared" si="919"/>
        <v>9.1410413791528953</v>
      </c>
      <c r="BT102" s="13">
        <f t="shared" si="919"/>
        <v>12.653254403572413</v>
      </c>
      <c r="BU102" s="13">
        <f t="shared" si="919"/>
        <v>15.561927666314725</v>
      </c>
      <c r="BV102" s="13">
        <f t="shared" si="919"/>
        <v>15.408621521617549</v>
      </c>
      <c r="BW102" s="13">
        <f t="shared" si="919"/>
        <v>22.199259206338819</v>
      </c>
      <c r="BX102" s="13">
        <f t="shared" si="919"/>
        <v>18.088872339669106</v>
      </c>
      <c r="BY102" s="13">
        <f t="shared" si="919"/>
        <v>20.770163680391235</v>
      </c>
      <c r="BZ102" s="13">
        <f t="shared" si="919"/>
        <v>22.704565633582177</v>
      </c>
      <c r="CA102" s="13">
        <f t="shared" si="919"/>
        <v>22.577320746222359</v>
      </c>
      <c r="CB102" s="13">
        <f t="shared" si="919"/>
        <v>30.08362068139213</v>
      </c>
      <c r="CC102" s="13">
        <f t="shared" si="919"/>
        <v>42.307180703924757</v>
      </c>
      <c r="CD102" s="13">
        <f t="shared" si="919"/>
        <v>41.226475321924767</v>
      </c>
      <c r="CE102" s="13">
        <f t="shared" si="919"/>
        <v>48.031418119861776</v>
      </c>
      <c r="CF102" s="13">
        <f t="shared" si="919"/>
        <v>71.144642762459981</v>
      </c>
      <c r="CG102" s="13">
        <f t="shared" si="919"/>
        <v>56.312906016690697</v>
      </c>
      <c r="CH102" s="13">
        <f t="shared" si="919"/>
        <v>44.432221060035296</v>
      </c>
      <c r="CI102" s="13">
        <f t="shared" ref="CI102:CJ102" si="920">+CI94/CI84</f>
        <v>45.771763093795656</v>
      </c>
      <c r="CJ102" s="13">
        <f t="shared" si="920"/>
        <v>97.113935850962719</v>
      </c>
      <c r="CK102" s="13">
        <f t="shared" ref="CK102:CL102" si="921">+CK94/CK84</f>
        <v>222.76242346494345</v>
      </c>
      <c r="CL102" s="13">
        <f t="shared" si="921"/>
        <v>208.05948462408125</v>
      </c>
      <c r="CM102" s="60">
        <f t="shared" si="898"/>
        <v>208.05948462408125</v>
      </c>
      <c r="CN102" s="60">
        <f t="shared" si="899"/>
        <v>208.05948462408125</v>
      </c>
      <c r="CO102" s="60">
        <f t="shared" si="900"/>
        <v>208.05948462408125</v>
      </c>
      <c r="CP102" s="60">
        <f t="shared" si="901"/>
        <v>208.05948462408125</v>
      </c>
      <c r="CQ102" s="60">
        <f t="shared" si="902"/>
        <v>208.05948462408125</v>
      </c>
      <c r="CR102" s="60">
        <f t="shared" si="903"/>
        <v>208.05948462408125</v>
      </c>
      <c r="CS102" s="60">
        <f t="shared" si="904"/>
        <v>208.05948462408125</v>
      </c>
      <c r="CT102" s="60">
        <f t="shared" si="905"/>
        <v>208.05948462408125</v>
      </c>
      <c r="CU102" s="60">
        <f t="shared" si="906"/>
        <v>208.05948462408125</v>
      </c>
      <c r="CV102" s="60">
        <f t="shared" si="907"/>
        <v>208.05948462408125</v>
      </c>
      <c r="CW102" s="60">
        <f t="shared" si="908"/>
        <v>208.05948462408125</v>
      </c>
      <c r="CX102" s="60">
        <f t="shared" si="909"/>
        <v>208.05948462408125</v>
      </c>
      <c r="CY102" s="60">
        <f t="shared" si="910"/>
        <v>208.05948462408125</v>
      </c>
      <c r="CZ102" s="60">
        <f t="shared" si="911"/>
        <v>208.05948462408125</v>
      </c>
      <c r="DA102" s="60">
        <f t="shared" si="912"/>
        <v>208.05948462408125</v>
      </c>
      <c r="DB102" s="60">
        <f t="shared" si="913"/>
        <v>208.05948462408125</v>
      </c>
      <c r="DE102" s="136"/>
      <c r="DF102" s="13">
        <v>159.91767269695188</v>
      </c>
    </row>
    <row r="103" spans="1:110" s="13" customFormat="1" x14ac:dyDescent="0.2">
      <c r="AB103" s="60"/>
      <c r="AC103" s="60"/>
      <c r="AD103" s="60"/>
      <c r="AE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E103" s="136"/>
    </row>
    <row r="104" spans="1:110" s="13" customFormat="1" x14ac:dyDescent="0.2">
      <c r="A104" s="13" t="s">
        <v>463</v>
      </c>
      <c r="B104" s="13">
        <f t="shared" ref="B104:AD104" si="922">+B93/C84</f>
        <v>-0.11304751522645623</v>
      </c>
      <c r="C104" s="13">
        <f t="shared" si="922"/>
        <v>0.79991213182529675</v>
      </c>
      <c r="D104" s="13">
        <f t="shared" ca="1" si="922"/>
        <v>3.3063071757173645</v>
      </c>
      <c r="E104" s="13">
        <f t="shared" ca="1" si="922"/>
        <v>9.1988846146396011</v>
      </c>
      <c r="F104" s="13">
        <f t="shared" ca="1" si="922"/>
        <v>54.438318299996283</v>
      </c>
      <c r="G104" s="13">
        <f t="shared" ca="1" si="922"/>
        <v>37.35160073694243</v>
      </c>
      <c r="H104" s="13">
        <f t="shared" ca="1" si="922"/>
        <v>11.141792985051822</v>
      </c>
      <c r="I104" s="13">
        <f t="shared" ca="1" si="922"/>
        <v>23.014955622975499</v>
      </c>
      <c r="J104" s="13">
        <f t="shared" ca="1" si="922"/>
        <v>33.530405440209009</v>
      </c>
      <c r="K104" s="13">
        <f t="shared" ca="1" si="922"/>
        <v>14.58184906980479</v>
      </c>
      <c r="L104" s="13">
        <f t="shared" ca="1" si="922"/>
        <v>9.1793242519765847</v>
      </c>
      <c r="M104" s="13">
        <f t="shared" ca="1" si="922"/>
        <v>4.8382859314248634</v>
      </c>
      <c r="N104" s="13">
        <f t="shared" ca="1" si="922"/>
        <v>-32.5285014264011</v>
      </c>
      <c r="O104" s="13">
        <f t="shared" ca="1" si="922"/>
        <v>33.447240914839178</v>
      </c>
      <c r="P104" s="13">
        <f t="shared" ca="1" si="922"/>
        <v>134.72459458130245</v>
      </c>
      <c r="Q104" s="13">
        <f t="shared" ca="1" si="922"/>
        <v>80.478353976209974</v>
      </c>
      <c r="R104" s="13">
        <f t="shared" ca="1" si="922"/>
        <v>4.5940487753147128</v>
      </c>
      <c r="S104" s="13">
        <f t="shared" ca="1" si="922"/>
        <v>27.890130817105902</v>
      </c>
      <c r="T104" s="13">
        <f t="shared" ca="1" si="922"/>
        <v>24.429051992972589</v>
      </c>
      <c r="U104" s="13">
        <f t="shared" ca="1" si="922"/>
        <v>9.3314227510243519</v>
      </c>
      <c r="V104" s="13">
        <f t="shared" ca="1" si="922"/>
        <v>11.210978737079458</v>
      </c>
      <c r="W104" s="13">
        <f t="shared" ca="1" si="922"/>
        <v>16.62161601357273</v>
      </c>
      <c r="X104" s="13">
        <f t="shared" ca="1" si="922"/>
        <v>15.182449860900212</v>
      </c>
      <c r="Y104" s="13">
        <f t="shared" ca="1" si="922"/>
        <v>62.628613413652687</v>
      </c>
      <c r="Z104" s="13">
        <f t="shared" ref="Z104:AA104" ca="1" si="923">+Z93/AA84</f>
        <v>376.53419410392297</v>
      </c>
      <c r="AA104" s="13">
        <f t="shared" ca="1" si="923"/>
        <v>376.53419410392297</v>
      </c>
      <c r="AB104" s="37">
        <f t="shared" ca="1" si="922"/>
        <v>205.8795657026468</v>
      </c>
      <c r="AC104" s="37">
        <f t="shared" ca="1" si="922"/>
        <v>226.3876076508316</v>
      </c>
      <c r="AD104" s="37">
        <f t="shared" ca="1" si="922"/>
        <v>237.73818774398907</v>
      </c>
      <c r="AE104" s="37"/>
      <c r="AL104" s="13">
        <f t="shared" ref="AL104:BQ104" si="924">+AL93/AP84</f>
        <v>-28.178166411714312</v>
      </c>
      <c r="AM104" s="13">
        <f t="shared" si="924"/>
        <v>-20.146661353447559</v>
      </c>
      <c r="AN104" s="13">
        <f t="shared" si="924"/>
        <v>13.027773714267811</v>
      </c>
      <c r="AO104" s="13">
        <f t="shared" si="924"/>
        <v>11.621430026416286</v>
      </c>
      <c r="AP104" s="13">
        <f t="shared" si="924"/>
        <v>24.835486185904617</v>
      </c>
      <c r="AQ104" s="13">
        <f t="shared" si="924"/>
        <v>12.841253576050912</v>
      </c>
      <c r="AR104" s="13">
        <f t="shared" si="924"/>
        <v>98.962621050153516</v>
      </c>
      <c r="AS104" s="13">
        <f t="shared" si="924"/>
        <v>172.59354023938539</v>
      </c>
      <c r="AT104" s="13">
        <f t="shared" si="924"/>
        <v>133.05036416998416</v>
      </c>
      <c r="AU104" s="13">
        <f t="shared" si="924"/>
        <v>83.289310212039695</v>
      </c>
      <c r="AV104" s="13">
        <f t="shared" si="924"/>
        <v>53.072586024279666</v>
      </c>
      <c r="AW104" s="13">
        <f t="shared" si="924"/>
        <v>66.533812752101923</v>
      </c>
      <c r="AX104" s="13">
        <f t="shared" si="924"/>
        <v>77.635104760001724</v>
      </c>
      <c r="AY104" s="13">
        <f t="shared" si="924"/>
        <v>5.1910709296717439</v>
      </c>
      <c r="AZ104" s="13">
        <f t="shared" si="924"/>
        <v>3.6526110507949645</v>
      </c>
      <c r="BA104" s="13">
        <f t="shared" si="924"/>
        <v>3.4123050202208329</v>
      </c>
      <c r="BB104" s="13">
        <f t="shared" si="924"/>
        <v>4.5827257812479525</v>
      </c>
      <c r="BC104" s="13">
        <f t="shared" si="924"/>
        <v>18.13209719343137</v>
      </c>
      <c r="BD104" s="13">
        <f t="shared" si="924"/>
        <v>27.591405323566434</v>
      </c>
      <c r="BE104" s="13">
        <f t="shared" si="924"/>
        <v>39.637337173124621</v>
      </c>
      <c r="BF104" s="13">
        <f t="shared" si="924"/>
        <v>27.822172690340015</v>
      </c>
      <c r="BG104" s="13">
        <f t="shared" si="924"/>
        <v>30.740872804783237</v>
      </c>
      <c r="BH104" s="13">
        <f t="shared" si="924"/>
        <v>14.405407533153378</v>
      </c>
      <c r="BI104" s="13">
        <f t="shared" si="924"/>
        <v>10.992191520591259</v>
      </c>
      <c r="BJ104" s="13">
        <f t="shared" si="924"/>
        <v>9.7088077352617219</v>
      </c>
      <c r="BK104" s="13">
        <f t="shared" si="924"/>
        <v>11.024732545478297</v>
      </c>
      <c r="BL104" s="13">
        <f t="shared" si="924"/>
        <v>8.8739610426138835</v>
      </c>
      <c r="BM104" s="13">
        <f t="shared" si="924"/>
        <v>10.017554447471845</v>
      </c>
      <c r="BN104" s="13">
        <f t="shared" si="924"/>
        <v>9.2619394018744021</v>
      </c>
      <c r="BO104" s="13">
        <f t="shared" si="924"/>
        <v>7.3867498799731459</v>
      </c>
      <c r="BP104" s="13">
        <f t="shared" si="924"/>
        <v>11.695895645378934</v>
      </c>
      <c r="BQ104" s="13">
        <f t="shared" si="924"/>
        <v>9.7680876133974994</v>
      </c>
      <c r="BR104" s="13">
        <f t="shared" ref="BR104:CL104" si="925">+BR93/BV84</f>
        <v>10.622610291418143</v>
      </c>
      <c r="BS104" s="13">
        <f t="shared" si="925"/>
        <v>12.83857157433261</v>
      </c>
      <c r="BT104" s="13">
        <f t="shared" si="925"/>
        <v>16.987428762211444</v>
      </c>
      <c r="BU104" s="13">
        <f t="shared" si="925"/>
        <v>17.104204558045218</v>
      </c>
      <c r="BV104" s="13">
        <f t="shared" si="925"/>
        <v>16.574958382642691</v>
      </c>
      <c r="BW104" s="13">
        <f t="shared" si="925"/>
        <v>20.106376784611619</v>
      </c>
      <c r="BX104" s="13">
        <f t="shared" si="925"/>
        <v>13.629043623614155</v>
      </c>
      <c r="BY104" s="13">
        <f t="shared" si="925"/>
        <v>15.902937076653725</v>
      </c>
      <c r="BZ104" s="13">
        <f t="shared" si="925"/>
        <v>13.798053332614005</v>
      </c>
      <c r="CA104" s="13">
        <f t="shared" si="925"/>
        <v>26.670651151866711</v>
      </c>
      <c r="CB104" s="13">
        <f t="shared" si="925"/>
        <v>39.100981373665356</v>
      </c>
      <c r="CC104" s="13">
        <f t="shared" si="925"/>
        <v>54.7822261678822</v>
      </c>
      <c r="CD104" s="13">
        <f t="shared" si="925"/>
        <v>62.454929200852682</v>
      </c>
      <c r="CE104" s="13">
        <f t="shared" si="925"/>
        <v>93.421589060456299</v>
      </c>
      <c r="CF104" s="13">
        <f t="shared" si="925"/>
        <v>167.44097540291955</v>
      </c>
      <c r="CG104" s="13">
        <f t="shared" si="925"/>
        <v>310.24260668076658</v>
      </c>
      <c r="CH104" s="13">
        <f t="shared" si="925"/>
        <v>271.63162809083235</v>
      </c>
      <c r="CI104" s="13">
        <f t="shared" si="925"/>
        <v>337.25356285963943</v>
      </c>
      <c r="CJ104" s="13">
        <f t="shared" si="925"/>
        <v>358.14632632458978</v>
      </c>
      <c r="CK104" s="13">
        <f t="shared" si="925"/>
        <v>372.80106361183948</v>
      </c>
      <c r="CL104" s="13">
        <f t="shared" si="925"/>
        <v>283.03571718017923</v>
      </c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  <c r="DF104" s="13">
        <v>359.11879134693646</v>
      </c>
    </row>
    <row r="105" spans="1:110" s="98" customFormat="1" x14ac:dyDescent="0.2">
      <c r="A105" s="98" t="s">
        <v>426</v>
      </c>
      <c r="AB105" s="99"/>
      <c r="AC105" s="99"/>
      <c r="AD105" s="99"/>
      <c r="AE105" s="99"/>
      <c r="AL105" s="175"/>
      <c r="AM105" s="175"/>
      <c r="AN105" s="175"/>
      <c r="AO105" s="175">
        <f t="shared" ref="AO105:CI105" si="926">+CORREL(AL84:AO84,AL101:AO101)</f>
        <v>-0.91460102822885936</v>
      </c>
      <c r="AP105" s="175">
        <f t="shared" si="926"/>
        <v>0.70334272787202479</v>
      </c>
      <c r="AQ105" s="175">
        <f t="shared" si="926"/>
        <v>0.90358092226602271</v>
      </c>
      <c r="AR105" s="175">
        <f t="shared" si="926"/>
        <v>0.98887116515270079</v>
      </c>
      <c r="AS105" s="175">
        <f t="shared" si="926"/>
        <v>0.95309120308004669</v>
      </c>
      <c r="AT105" s="175">
        <f t="shared" si="926"/>
        <v>0.55150420008033429</v>
      </c>
      <c r="AU105" s="175">
        <f t="shared" si="926"/>
        <v>-0.93590058393364284</v>
      </c>
      <c r="AV105" s="175">
        <f t="shared" si="926"/>
        <v>-0.98897174576805513</v>
      </c>
      <c r="AW105" s="175">
        <f t="shared" si="926"/>
        <v>-0.91890106480505995</v>
      </c>
      <c r="AX105" s="175">
        <f t="shared" si="926"/>
        <v>-0.93981757569607549</v>
      </c>
      <c r="AY105" s="175">
        <f t="shared" si="926"/>
        <v>-0.76085429616007283</v>
      </c>
      <c r="AZ105" s="175">
        <f t="shared" si="926"/>
        <v>-0.98924470089035466</v>
      </c>
      <c r="BA105" s="175">
        <f t="shared" si="926"/>
        <v>-0.96923475530740966</v>
      </c>
      <c r="BB105" s="175">
        <f t="shared" si="926"/>
        <v>-0.79345100137656677</v>
      </c>
      <c r="BC105" s="175">
        <f t="shared" si="926"/>
        <v>-0.9080083300532682</v>
      </c>
      <c r="BD105" s="175">
        <f t="shared" si="926"/>
        <v>-0.94329211274018376</v>
      </c>
      <c r="BE105" s="175">
        <f t="shared" si="926"/>
        <v>-0.95241423989872609</v>
      </c>
      <c r="BF105" s="175">
        <f t="shared" si="926"/>
        <v>0.33639173881692647</v>
      </c>
      <c r="BG105" s="175">
        <f t="shared" si="926"/>
        <v>-0.92184265717287472</v>
      </c>
      <c r="BH105" s="175">
        <f t="shared" si="926"/>
        <v>-0.94528343338318666</v>
      </c>
      <c r="BI105" s="175">
        <f t="shared" si="926"/>
        <v>-0.66033440845704139</v>
      </c>
      <c r="BJ105" s="175">
        <f t="shared" si="926"/>
        <v>-0.51358351240731892</v>
      </c>
      <c r="BK105" s="175">
        <f t="shared" si="926"/>
        <v>-0.92006314496074049</v>
      </c>
      <c r="BL105" s="175">
        <f t="shared" si="926"/>
        <v>-0.99740715727033646</v>
      </c>
      <c r="BM105" s="175">
        <f t="shared" si="926"/>
        <v>-0.61525572646417048</v>
      </c>
      <c r="BN105" s="175">
        <f t="shared" si="926"/>
        <v>-0.43755701533308838</v>
      </c>
      <c r="BO105" s="175">
        <f t="shared" si="926"/>
        <v>-0.26133915353620601</v>
      </c>
      <c r="BP105" s="175">
        <f t="shared" si="926"/>
        <v>0.53791512222319393</v>
      </c>
      <c r="BQ105" s="175">
        <f t="shared" si="926"/>
        <v>-2.460984404072172E-2</v>
      </c>
      <c r="BR105" s="175">
        <f t="shared" si="926"/>
        <v>-0.25495575091146949</v>
      </c>
      <c r="BS105" s="175">
        <f t="shared" si="926"/>
        <v>-0.50139724041200529</v>
      </c>
      <c r="BT105" s="175">
        <f t="shared" si="926"/>
        <v>0.7055622196564626</v>
      </c>
      <c r="BU105" s="175">
        <f t="shared" si="926"/>
        <v>0.82050595957024108</v>
      </c>
      <c r="BV105" s="175">
        <f t="shared" si="926"/>
        <v>0.83236548915389064</v>
      </c>
      <c r="BW105" s="175">
        <f t="shared" si="926"/>
        <v>0.9933824454975464</v>
      </c>
      <c r="BX105" s="175">
        <f t="shared" si="926"/>
        <v>0.201064714077479</v>
      </c>
      <c r="BY105" s="175">
        <f t="shared" si="926"/>
        <v>0.45808644815727811</v>
      </c>
      <c r="BZ105" s="175">
        <f t="shared" si="926"/>
        <v>-0.30583349578901325</v>
      </c>
      <c r="CA105" s="175">
        <f t="shared" si="926"/>
        <v>0.75071097097232919</v>
      </c>
      <c r="CB105" s="175">
        <f t="shared" si="926"/>
        <v>0.88856863204336367</v>
      </c>
      <c r="CC105" s="175">
        <f t="shared" si="926"/>
        <v>0.95232854631416552</v>
      </c>
      <c r="CD105" s="175">
        <f t="shared" si="926"/>
        <v>0.98739501585329914</v>
      </c>
      <c r="CE105" s="175">
        <f t="shared" si="926"/>
        <v>0.64426829180816969</v>
      </c>
      <c r="CF105" s="175">
        <f t="shared" si="926"/>
        <v>0.64229269011398538</v>
      </c>
      <c r="CG105" s="175">
        <f t="shared" si="926"/>
        <v>0.14371208809869199</v>
      </c>
      <c r="CH105" s="175">
        <f t="shared" si="926"/>
        <v>-0.28902573997099379</v>
      </c>
      <c r="CI105" s="175">
        <f t="shared" si="926"/>
        <v>-0.33681292038433797</v>
      </c>
      <c r="CJ105" s="175">
        <f>+CORREL(CG84:CJ84,CG101:CJ101)</f>
        <v>-0.95562109148353835</v>
      </c>
      <c r="CK105" s="175">
        <f>+CORREL(CH84:CK84,CH101:CK101)</f>
        <v>-0.95802188893062035</v>
      </c>
      <c r="CL105" s="175">
        <f>+CORREL(CI84:CL84,CI101:CL101)</f>
        <v>-0.95037884916354598</v>
      </c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  <c r="CW105" s="99"/>
      <c r="CX105" s="99"/>
      <c r="CY105" s="99"/>
      <c r="CZ105" s="99"/>
      <c r="DA105" s="99"/>
      <c r="DB105" s="99"/>
      <c r="DE105" s="137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505</v>
      </c>
      <c r="E107" s="162">
        <f t="shared" ref="E107:AE107" ca="1" si="927">+E$135/E$80</f>
        <v>0.36948972940423763</v>
      </c>
      <c r="F107" s="162">
        <f t="shared" ca="1" si="927"/>
        <v>0.39931728952617512</v>
      </c>
      <c r="G107" s="162">
        <f t="shared" ca="1" si="927"/>
        <v>0.43317729479507727</v>
      </c>
      <c r="H107" s="162">
        <f t="shared" ca="1" si="927"/>
        <v>0.48806623762748857</v>
      </c>
      <c r="I107" s="162">
        <f t="shared" ca="1" si="927"/>
        <v>0.59204731850513714</v>
      </c>
      <c r="J107" s="162">
        <f t="shared" ca="1" si="927"/>
        <v>0.65523397689210039</v>
      </c>
      <c r="K107" s="162">
        <f t="shared" ca="1" si="927"/>
        <v>0.59559978171690942</v>
      </c>
      <c r="L107" s="162">
        <f t="shared" ca="1" si="927"/>
        <v>0.65406109292085346</v>
      </c>
      <c r="M107" s="162">
        <f t="shared" ca="1" si="927"/>
        <v>0.70445226750969092</v>
      </c>
      <c r="N107" s="162">
        <f t="shared" ca="1" si="927"/>
        <v>0.89746638816755098</v>
      </c>
      <c r="O107" s="162">
        <f t="shared" ca="1" si="927"/>
        <v>0.77940562267133329</v>
      </c>
      <c r="P107" s="162">
        <f t="shared" ca="1" si="927"/>
        <v>0.74200549094877877</v>
      </c>
      <c r="Q107" s="162">
        <f t="shared" ca="1" si="927"/>
        <v>0.74298730194573026</v>
      </c>
      <c r="R107" s="162">
        <f t="shared" ca="1" si="927"/>
        <v>0.7763956230476835</v>
      </c>
      <c r="S107" s="162">
        <f t="shared" ca="1" si="927"/>
        <v>1.3909096270369952</v>
      </c>
      <c r="T107" s="162">
        <f t="shared" ca="1" si="927"/>
        <v>1.6199702721011628</v>
      </c>
      <c r="U107" s="162">
        <f t="shared" ca="1" si="927"/>
        <v>1.9447565428474654</v>
      </c>
      <c r="V107" s="162">
        <f t="shared" ca="1" si="927"/>
        <v>2.4929321440668395</v>
      </c>
      <c r="W107" s="162">
        <f t="shared" ca="1" si="927"/>
        <v>3.105603853825599</v>
      </c>
      <c r="X107" s="162">
        <f t="shared" ca="1" si="927"/>
        <v>4.0450754582063144</v>
      </c>
      <c r="Y107" s="162">
        <f t="shared" ca="1" si="927"/>
        <v>6.1766286553008918</v>
      </c>
      <c r="Z107" s="162">
        <f t="shared" ca="1" si="927"/>
        <v>8.9287606789356815</v>
      </c>
      <c r="AA107" s="162">
        <f t="shared" ca="1" si="927"/>
        <v>8.9287606789356815</v>
      </c>
      <c r="AB107" s="21">
        <f t="shared" ca="1" si="927"/>
        <v>13.328091928741161</v>
      </c>
      <c r="AC107" s="21">
        <f t="shared" ca="1" si="927"/>
        <v>14.199135168383298</v>
      </c>
      <c r="AD107" s="21">
        <f t="shared" ca="1" si="927"/>
        <v>15.351631875109756</v>
      </c>
      <c r="AE107" s="21">
        <f t="shared" ca="1" si="927"/>
        <v>16.803721338018011</v>
      </c>
      <c r="AL107" s="162">
        <f t="shared" ref="AL107:BQ107" si="928">+AL$135/AL$80</f>
        <v>0.8999716954429664</v>
      </c>
      <c r="AM107" s="162">
        <f t="shared" si="928"/>
        <v>0.8479290499103691</v>
      </c>
      <c r="AN107" s="162">
        <f t="shared" si="928"/>
        <v>0.72912538918765923</v>
      </c>
      <c r="AO107" s="162">
        <f t="shared" si="928"/>
        <v>0.7450514199452779</v>
      </c>
      <c r="AP107" s="162">
        <f t="shared" si="928"/>
        <v>0.78158316822341733</v>
      </c>
      <c r="AQ107" s="162">
        <f t="shared" si="928"/>
        <v>0.71863383338050768</v>
      </c>
      <c r="AR107" s="162">
        <f t="shared" si="928"/>
        <v>0.76882724785357115</v>
      </c>
      <c r="AS107" s="162">
        <f t="shared" si="928"/>
        <v>0.77694122086989337</v>
      </c>
      <c r="AT107" s="162">
        <f t="shared" si="928"/>
        <v>0.74407019530144358</v>
      </c>
      <c r="AU107" s="162">
        <f t="shared" si="928"/>
        <v>0.75108972544579689</v>
      </c>
      <c r="AV107" s="162">
        <f t="shared" si="928"/>
        <v>0.75573167279932063</v>
      </c>
      <c r="AW107" s="162">
        <f t="shared" si="928"/>
        <v>0.76399660345315601</v>
      </c>
      <c r="AX107" s="162">
        <f t="shared" si="928"/>
        <v>0.74505141994527779</v>
      </c>
      <c r="AY107" s="162">
        <f t="shared" si="928"/>
        <v>0.75912821964336252</v>
      </c>
      <c r="AZ107" s="162">
        <f t="shared" si="928"/>
        <v>0.76920464194735361</v>
      </c>
      <c r="BA107" s="162">
        <f t="shared" si="928"/>
        <v>0.78218699877346931</v>
      </c>
      <c r="BB107" s="162">
        <f t="shared" si="928"/>
        <v>0.7785640154731579</v>
      </c>
      <c r="BC107" s="162">
        <f t="shared" si="928"/>
        <v>1.2391357675252384</v>
      </c>
      <c r="BD107" s="162">
        <f t="shared" si="928"/>
        <v>1.3251061420888761</v>
      </c>
      <c r="BE107" s="162">
        <f t="shared" si="928"/>
        <v>1.443268232852156</v>
      </c>
      <c r="BF107" s="162">
        <f t="shared" si="928"/>
        <v>1.3947730918011134</v>
      </c>
      <c r="BG107" s="162">
        <f t="shared" si="928"/>
        <v>1.4860269836777054</v>
      </c>
      <c r="BH107" s="162">
        <f t="shared" si="928"/>
        <v>1.4357958297952638</v>
      </c>
      <c r="BI107" s="162">
        <f t="shared" si="928"/>
        <v>1.5607510142466272</v>
      </c>
      <c r="BJ107" s="162">
        <f t="shared" si="928"/>
        <v>1.6244551372771017</v>
      </c>
      <c r="BK107" s="162">
        <f t="shared" si="928"/>
        <v>1.6756675158033776</v>
      </c>
      <c r="BL107" s="162">
        <f t="shared" si="928"/>
        <v>1.7285781677516747</v>
      </c>
      <c r="BM107" s="162">
        <f t="shared" si="928"/>
        <v>1.8381734125860931</v>
      </c>
      <c r="BN107" s="162">
        <f t="shared" si="928"/>
        <v>1.9501462402113408</v>
      </c>
      <c r="BO107" s="162">
        <f t="shared" si="928"/>
        <v>2.0047551655816589</v>
      </c>
      <c r="BP107" s="162">
        <f t="shared" si="928"/>
        <v>2.0983111614303236</v>
      </c>
      <c r="BQ107" s="162">
        <f t="shared" si="928"/>
        <v>2.2859515048589492</v>
      </c>
      <c r="BR107" s="162">
        <f t="shared" ref="BR107:DB107" si="929">+BR$135/BR$80</f>
        <v>2.4998584772148322</v>
      </c>
      <c r="BS107" s="162">
        <f t="shared" si="929"/>
        <v>2.6158694216435512</v>
      </c>
      <c r="BT107" s="162">
        <f t="shared" si="929"/>
        <v>2.6845174073025762</v>
      </c>
      <c r="BU107" s="162">
        <f t="shared" si="929"/>
        <v>2.887781866213794</v>
      </c>
      <c r="BV107" s="162">
        <f t="shared" si="929"/>
        <v>3.1142183224832536</v>
      </c>
      <c r="BW107" s="162">
        <f t="shared" si="929"/>
        <v>3.2795546749693369</v>
      </c>
      <c r="BX107" s="162">
        <f t="shared" si="929"/>
        <v>3.4502122841777525</v>
      </c>
      <c r="BY107" s="162">
        <f t="shared" si="929"/>
        <v>3.7025379752806873</v>
      </c>
      <c r="BZ107" s="162">
        <f t="shared" si="929"/>
        <v>4.0563071987923394</v>
      </c>
      <c r="CA107" s="162">
        <f t="shared" si="929"/>
        <v>4.3586753467308235</v>
      </c>
      <c r="CB107" s="162">
        <f t="shared" si="929"/>
        <v>4.9039343334276824</v>
      </c>
      <c r="CC107" s="162">
        <f t="shared" si="929"/>
        <v>5.5198792338899905</v>
      </c>
      <c r="CD107" s="162">
        <f t="shared" si="929"/>
        <v>6.1937541277479014</v>
      </c>
      <c r="CE107" s="162">
        <f t="shared" si="929"/>
        <v>6.4723087083687147</v>
      </c>
      <c r="CF107" s="162">
        <f t="shared" si="929"/>
        <v>7.4291159543353151</v>
      </c>
      <c r="CG107" s="162">
        <f t="shared" si="929"/>
        <v>8.1869232946504393</v>
      </c>
      <c r="CH107" s="162">
        <f t="shared" si="929"/>
        <v>8.9535276912916313</v>
      </c>
      <c r="CI107" s="162">
        <f t="shared" si="929"/>
        <v>9.0752750259458441</v>
      </c>
      <c r="CJ107" s="162">
        <f t="shared" si="929"/>
        <v>12.214020190584019</v>
      </c>
      <c r="CK107" s="162">
        <f t="shared" si="929"/>
        <v>12.294803458082987</v>
      </c>
      <c r="CL107" s="162">
        <f t="shared" si="929"/>
        <v>12.729404237702756</v>
      </c>
      <c r="CM107" s="21">
        <f t="shared" si="929"/>
        <v>12.848081017729315</v>
      </c>
      <c r="CN107" s="21">
        <f t="shared" si="929"/>
        <v>12.994785762200589</v>
      </c>
      <c r="CO107" s="21">
        <f t="shared" si="929"/>
        <v>13.126449765948362</v>
      </c>
      <c r="CP107" s="21">
        <f t="shared" si="929"/>
        <v>13.328091928741161</v>
      </c>
      <c r="CQ107" s="21">
        <f t="shared" si="929"/>
        <v>13.51785569395237</v>
      </c>
      <c r="CR107" s="21">
        <f t="shared" si="929"/>
        <v>13.731854419114851</v>
      </c>
      <c r="CS107" s="21">
        <f t="shared" si="929"/>
        <v>13.926162474562073</v>
      </c>
      <c r="CT107" s="21">
        <f t="shared" si="929"/>
        <v>14.199135168383298</v>
      </c>
      <c r="CU107" s="21">
        <f t="shared" si="929"/>
        <v>14.458231577796957</v>
      </c>
      <c r="CV107" s="21">
        <f t="shared" si="929"/>
        <v>14.742608703429958</v>
      </c>
      <c r="CW107" s="21">
        <f t="shared" si="929"/>
        <v>15.002806478588331</v>
      </c>
      <c r="CX107" s="21">
        <f t="shared" si="929"/>
        <v>15.351631875109756</v>
      </c>
      <c r="CY107" s="21">
        <f t="shared" si="929"/>
        <v>15.683540234968703</v>
      </c>
      <c r="CZ107" s="21">
        <f t="shared" si="929"/>
        <v>16.042918078121634</v>
      </c>
      <c r="DA107" s="21">
        <f t="shared" si="929"/>
        <v>16.37308755780424</v>
      </c>
      <c r="DB107" s="21">
        <f t="shared" si="929"/>
        <v>16.803721338018011</v>
      </c>
      <c r="DE107" s="22"/>
      <c r="DF107" s="162">
        <v>12.729404237702756</v>
      </c>
    </row>
    <row r="108" spans="1:110" s="162" customFormat="1" x14ac:dyDescent="0.2">
      <c r="A108" s="49" t="s">
        <v>501</v>
      </c>
      <c r="AB108" s="21"/>
      <c r="AC108" s="21"/>
      <c r="AD108" s="21"/>
      <c r="AE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E108" s="22"/>
    </row>
    <row r="109" spans="1:110" s="162" customFormat="1" x14ac:dyDescent="0.2">
      <c r="A109" s="49" t="s">
        <v>502</v>
      </c>
      <c r="E109" s="162">
        <f t="shared" ref="E109:AE111" ca="1" si="930">+E92/E$107</f>
        <v>0.57868124668166154</v>
      </c>
      <c r="F109" s="162">
        <f t="shared" ca="1" si="930"/>
        <v>3.8156186980917988</v>
      </c>
      <c r="G109" s="162">
        <f t="shared" ca="1" si="930"/>
        <v>2.3930511250523887</v>
      </c>
      <c r="H109" s="162">
        <f t="shared" ca="1" si="930"/>
        <v>1.1974450994972246</v>
      </c>
      <c r="I109" s="162">
        <f t="shared" ca="1" si="930"/>
        <v>1.6024275934285346</v>
      </c>
      <c r="J109" s="162">
        <f t="shared" ca="1" si="930"/>
        <v>0.9414972663432748</v>
      </c>
      <c r="K109" s="162">
        <f t="shared" ca="1" si="930"/>
        <v>1.7524228023657409</v>
      </c>
      <c r="L109" s="162">
        <f t="shared" ca="1" si="930"/>
        <v>1.4299129425123422</v>
      </c>
      <c r="M109" s="162">
        <f t="shared" ca="1" si="930"/>
        <v>1.4861337564075454</v>
      </c>
      <c r="N109" s="162">
        <f t="shared" ca="1" si="930"/>
        <v>1.0659252672841839</v>
      </c>
      <c r="O109" s="162">
        <f t="shared" ca="1" si="930"/>
        <v>0.9398449526964302</v>
      </c>
      <c r="P109" s="162">
        <f t="shared" ca="1" si="930"/>
        <v>2.5230064935347514</v>
      </c>
      <c r="Q109" s="162">
        <f t="shared" ca="1" si="930"/>
        <v>2.6603648721590365</v>
      </c>
      <c r="R109" s="162">
        <f t="shared" ca="1" si="930"/>
        <v>3.8535135498885094</v>
      </c>
      <c r="S109" s="162">
        <f t="shared" ca="1" si="930"/>
        <v>5.8079363698297879</v>
      </c>
      <c r="T109" s="162">
        <f t="shared" ca="1" si="930"/>
        <v>2.2032233637398044</v>
      </c>
      <c r="U109" s="162">
        <f t="shared" ca="1" si="930"/>
        <v>1.3458115083535487</v>
      </c>
      <c r="V109" s="162">
        <f t="shared" ca="1" si="930"/>
        <v>2.4034433753581439</v>
      </c>
      <c r="W109" s="162">
        <f t="shared" ca="1" si="930"/>
        <v>5.2164362397710207</v>
      </c>
      <c r="X109" s="162">
        <f t="shared" ca="1" si="930"/>
        <v>6.3242304849482043</v>
      </c>
      <c r="Y109" s="162">
        <f t="shared" ca="1" si="930"/>
        <v>15.231510139152288</v>
      </c>
      <c r="Z109" s="162">
        <f t="shared" ca="1" si="930"/>
        <v>12.069273621262917</v>
      </c>
      <c r="AA109" s="162">
        <f t="shared" ref="AA109" ca="1" si="931">+AA92/AA$107</f>
        <v>12.069273621262917</v>
      </c>
      <c r="AB109" s="21">
        <f t="shared" ca="1" si="930"/>
        <v>9.4874795789274859</v>
      </c>
      <c r="AC109" s="21">
        <f t="shared" ca="1" si="930"/>
        <v>8.9054719530779352</v>
      </c>
      <c r="AD109" s="21">
        <f t="shared" ca="1" si="930"/>
        <v>8.2369093415416437</v>
      </c>
      <c r="AE109" s="21">
        <f t="shared" ca="1" si="930"/>
        <v>7.5251188386414114</v>
      </c>
      <c r="AL109" s="162">
        <f t="shared" ref="AL109:CI111" si="932">+AL92/AL$107</f>
        <v>1.0629579847121895</v>
      </c>
      <c r="AM109" s="162">
        <f t="shared" si="932"/>
        <v>1.2085170367942113</v>
      </c>
      <c r="AN109" s="162">
        <f t="shared" si="932"/>
        <v>1.2164487504286197</v>
      </c>
      <c r="AO109" s="162">
        <f t="shared" si="932"/>
        <v>0.96617467930849799</v>
      </c>
      <c r="AP109" s="162">
        <f t="shared" si="932"/>
        <v>0.93722647870722608</v>
      </c>
      <c r="AQ109" s="162">
        <f t="shared" si="932"/>
        <v>1.5714113321824577</v>
      </c>
      <c r="AR109" s="162">
        <f t="shared" si="932"/>
        <v>2.2248615963562908</v>
      </c>
      <c r="AS109" s="162">
        <f t="shared" si="932"/>
        <v>3.0272361493337647</v>
      </c>
      <c r="AT109" s="162">
        <f t="shared" si="932"/>
        <v>2.5160054571783732</v>
      </c>
      <c r="AU109" s="162">
        <f t="shared" si="932"/>
        <v>2.1297938251776305</v>
      </c>
      <c r="AV109" s="162">
        <f t="shared" si="932"/>
        <v>1.6640289947810833</v>
      </c>
      <c r="AW109" s="162">
        <f t="shared" si="932"/>
        <v>3.1614507944045527</v>
      </c>
      <c r="AX109" s="162">
        <f t="shared" si="932"/>
        <v>2.6529944989593037</v>
      </c>
      <c r="AY109" s="162">
        <f t="shared" si="932"/>
        <v>2.6705631031035479</v>
      </c>
      <c r="AZ109" s="162">
        <f t="shared" si="932"/>
        <v>2.3081909134752046</v>
      </c>
      <c r="BA109" s="162">
        <f t="shared" si="932"/>
        <v>2.6920663501144633</v>
      </c>
      <c r="BB109" s="162">
        <f t="shared" si="932"/>
        <v>3.8427810610668125</v>
      </c>
      <c r="BC109" s="162">
        <f t="shared" si="932"/>
        <v>3.720757135322263</v>
      </c>
      <c r="BD109" s="162">
        <f t="shared" si="932"/>
        <v>2.8177927362489696</v>
      </c>
      <c r="BE109" s="162">
        <f t="shared" si="932"/>
        <v>4.9947701231955453</v>
      </c>
      <c r="BF109" s="162">
        <f t="shared" si="932"/>
        <v>5.7918486221889856</v>
      </c>
      <c r="BG109" s="162">
        <f t="shared" si="932"/>
        <v>3.6077795153629175</v>
      </c>
      <c r="BH109" s="162">
        <f t="shared" si="932"/>
        <v>2.825041953469456</v>
      </c>
      <c r="BI109" s="162">
        <f t="shared" si="932"/>
        <v>2.3365443237072112</v>
      </c>
      <c r="BJ109" s="162">
        <f t="shared" si="932"/>
        <v>2.1971406105063638</v>
      </c>
      <c r="BK109" s="162">
        <f t="shared" si="932"/>
        <v>2.2287633678547452</v>
      </c>
      <c r="BL109" s="162">
        <f t="shared" si="932"/>
        <v>1.8421418321816789</v>
      </c>
      <c r="BM109" s="162">
        <f t="shared" si="932"/>
        <v>2.5560296266666862</v>
      </c>
      <c r="BN109" s="162">
        <f t="shared" si="932"/>
        <v>1.3420920351216026</v>
      </c>
      <c r="BO109" s="162">
        <f t="shared" si="932"/>
        <v>2.0663381503122831</v>
      </c>
      <c r="BP109" s="162">
        <f t="shared" si="932"/>
        <v>3.0316976800419253</v>
      </c>
      <c r="BQ109" s="162">
        <f t="shared" si="932"/>
        <v>2.378217354333604</v>
      </c>
      <c r="BR109" s="162">
        <f t="shared" si="932"/>
        <v>2.396784178578887</v>
      </c>
      <c r="BS109" s="162">
        <f t="shared" si="932"/>
        <v>3.2380484915974095</v>
      </c>
      <c r="BT109" s="162">
        <f t="shared" si="932"/>
        <v>5.0207817873854559</v>
      </c>
      <c r="BU109" s="162">
        <f t="shared" si="932"/>
        <v>3.8748580032586433</v>
      </c>
      <c r="BV109" s="162">
        <f t="shared" si="932"/>
        <v>5.2020066713082906</v>
      </c>
      <c r="BW109" s="162">
        <f t="shared" si="932"/>
        <v>5.2089903298417255</v>
      </c>
      <c r="BX109" s="162">
        <f t="shared" si="932"/>
        <v>5.4599683839462205</v>
      </c>
      <c r="BY109" s="162">
        <f t="shared" si="932"/>
        <v>6.5662417642622124</v>
      </c>
      <c r="BZ109" s="162">
        <f t="shared" si="932"/>
        <v>6.3067189620945312</v>
      </c>
      <c r="CA109" s="162">
        <f t="shared" si="932"/>
        <v>10.817634992804559</v>
      </c>
      <c r="CB109" s="162">
        <f t="shared" si="932"/>
        <v>16.251894604470461</v>
      </c>
      <c r="CC109" s="162">
        <f t="shared" si="932"/>
        <v>19.402317232570173</v>
      </c>
      <c r="CD109" s="162">
        <f t="shared" si="932"/>
        <v>15.189395647386171</v>
      </c>
      <c r="CE109" s="162">
        <f t="shared" si="932"/>
        <v>25.334655393875682</v>
      </c>
      <c r="CF109" s="162">
        <f t="shared" si="932"/>
        <v>23.517207902660541</v>
      </c>
      <c r="CG109" s="162">
        <f t="shared" si="932"/>
        <v>17.736253772619705</v>
      </c>
      <c r="CH109" s="162">
        <f t="shared" si="932"/>
        <v>12.035887914621735</v>
      </c>
      <c r="CI109" s="162">
        <f t="shared" si="932"/>
        <v>17.437488070341633</v>
      </c>
      <c r="CJ109" s="162">
        <f>+CJ92/CJ$107</f>
        <v>14.270485661581812</v>
      </c>
      <c r="CK109" s="162">
        <f>+CK92/CK$107</f>
        <v>12.81842369724006</v>
      </c>
      <c r="CL109" s="162">
        <f>+CL92/CL$107</f>
        <v>9.933693489399321</v>
      </c>
      <c r="CM109" s="21">
        <f t="shared" ref="CM109:DB109" si="933">+CM92/CM$107</f>
        <v>9.8419366927644063</v>
      </c>
      <c r="CN109" s="21">
        <f t="shared" si="933"/>
        <v>9.7308260646989275</v>
      </c>
      <c r="CO109" s="21">
        <f t="shared" si="933"/>
        <v>9.6332216444409049</v>
      </c>
      <c r="CP109" s="21">
        <f t="shared" si="933"/>
        <v>9.4874795789274859</v>
      </c>
      <c r="CQ109" s="21">
        <f t="shared" si="933"/>
        <v>9.3542942655151524</v>
      </c>
      <c r="CR109" s="21">
        <f t="shared" si="933"/>
        <v>9.2085159178486915</v>
      </c>
      <c r="CS109" s="21">
        <f t="shared" si="933"/>
        <v>9.0800319349265948</v>
      </c>
      <c r="CT109" s="21">
        <f t="shared" si="933"/>
        <v>8.9054719530779352</v>
      </c>
      <c r="CU109" s="21">
        <f t="shared" si="933"/>
        <v>8.7458828778330826</v>
      </c>
      <c r="CV109" s="21">
        <f t="shared" si="933"/>
        <v>8.5771794221588902</v>
      </c>
      <c r="CW109" s="21">
        <f t="shared" si="933"/>
        <v>8.4284230540776885</v>
      </c>
      <c r="CX109" s="21">
        <f t="shared" si="933"/>
        <v>8.2369093415416437</v>
      </c>
      <c r="CY109" s="21">
        <f t="shared" si="933"/>
        <v>8.0625928907340434</v>
      </c>
      <c r="CZ109" s="21">
        <f t="shared" si="933"/>
        <v>7.8819825286301812</v>
      </c>
      <c r="DA109" s="21">
        <f t="shared" si="933"/>
        <v>7.7230393811537121</v>
      </c>
      <c r="DB109" s="21">
        <f t="shared" si="933"/>
        <v>7.5251188386414114</v>
      </c>
      <c r="DE109" s="22"/>
      <c r="DF109" s="162">
        <v>9.933693489399321</v>
      </c>
    </row>
    <row r="110" spans="1:110" s="162" customFormat="1" x14ac:dyDescent="0.2">
      <c r="A110" s="49" t="s">
        <v>503</v>
      </c>
      <c r="E110" s="162">
        <f t="shared" ca="1" si="930"/>
        <v>0.81701218975944245</v>
      </c>
      <c r="F110" s="162">
        <f t="shared" ca="1" si="930"/>
        <v>5.009486918596612</v>
      </c>
      <c r="G110" s="162">
        <f t="shared" ca="1" si="930"/>
        <v>6.9469780559198373</v>
      </c>
      <c r="H110" s="162">
        <f t="shared" ca="1" si="930"/>
        <v>3.1542456279439115</v>
      </c>
      <c r="I110" s="162">
        <f t="shared" ca="1" si="930"/>
        <v>3.7051122151895131</v>
      </c>
      <c r="J110" s="162">
        <f t="shared" ca="1" si="930"/>
        <v>2.0497809547088557</v>
      </c>
      <c r="K110" s="162">
        <f t="shared" ca="1" si="930"/>
        <v>2.2629921165602975</v>
      </c>
      <c r="L110" s="162">
        <f t="shared" ca="1" si="930"/>
        <v>2.0558782187857423</v>
      </c>
      <c r="M110" s="162">
        <f t="shared" ca="1" si="930"/>
        <v>1.6851093047313952</v>
      </c>
      <c r="N110" s="162">
        <f t="shared" ca="1" si="930"/>
        <v>1.410056769139173</v>
      </c>
      <c r="O110" s="162">
        <f t="shared" ca="1" si="930"/>
        <v>1.4427890084637056</v>
      </c>
      <c r="P110" s="162">
        <f t="shared" ca="1" si="930"/>
        <v>4.0555941943451908</v>
      </c>
      <c r="Q110" s="162">
        <f t="shared" ca="1" si="930"/>
        <v>3.6025774310486951</v>
      </c>
      <c r="R110" s="162">
        <f t="shared" ca="1" si="930"/>
        <v>3.8535135498885094</v>
      </c>
      <c r="S110" s="162">
        <f t="shared" ca="1" si="930"/>
        <v>7.2364347868382302</v>
      </c>
      <c r="T110" s="162">
        <f t="shared" ca="1" si="930"/>
        <v>6.1051822919339669</v>
      </c>
      <c r="U110" s="162">
        <f t="shared" ca="1" si="930"/>
        <v>2.7689919082614587</v>
      </c>
      <c r="V110" s="162">
        <f t="shared" ca="1" si="930"/>
        <v>3.0425826921993533</v>
      </c>
      <c r="W110" s="162">
        <f t="shared" ca="1" si="930"/>
        <v>5.405897652791035</v>
      </c>
      <c r="X110" s="162">
        <f t="shared" ca="1" si="930"/>
        <v>7.4236880878292597</v>
      </c>
      <c r="Y110" s="162">
        <f t="shared" ca="1" si="930"/>
        <v>21.539509287690041</v>
      </c>
      <c r="Z110" s="162">
        <f t="shared" ca="1" si="930"/>
        <v>23.819254289582354</v>
      </c>
      <c r="AA110" s="162">
        <f t="shared" ref="AA110" ca="1" si="934">+AA93/AA$107</f>
        <v>23.819254289582354</v>
      </c>
      <c r="AB110" s="21">
        <f t="shared" ca="1" si="930"/>
        <v>13.455039539383483</v>
      </c>
      <c r="AC110" s="21">
        <f t="shared" ca="1" si="930"/>
        <v>18.375131243360904</v>
      </c>
      <c r="AD110" s="21">
        <f t="shared" ca="1" si="930"/>
        <v>22.487323833869766</v>
      </c>
      <c r="AE110" s="21">
        <f t="shared" ca="1" si="930"/>
        <v>25.884544790414274</v>
      </c>
      <c r="AL110" s="162">
        <f t="shared" si="932"/>
        <v>1.4061315062666175</v>
      </c>
      <c r="AM110" s="162">
        <f t="shared" si="932"/>
        <v>1.3261933479503716</v>
      </c>
      <c r="AN110" s="162">
        <f t="shared" si="932"/>
        <v>1.4423606612225071</v>
      </c>
      <c r="AO110" s="162">
        <f t="shared" si="932"/>
        <v>1.1373013276788702</v>
      </c>
      <c r="AP110" s="162">
        <f t="shared" si="932"/>
        <v>1.064891923374373</v>
      </c>
      <c r="AQ110" s="162">
        <f t="shared" si="932"/>
        <v>1.8491081454433138</v>
      </c>
      <c r="AR110" s="162">
        <f t="shared" si="932"/>
        <v>2.2248615963562908</v>
      </c>
      <c r="AS110" s="162">
        <f t="shared" si="932"/>
        <v>3.8732314368580183</v>
      </c>
      <c r="AT110" s="162">
        <f t="shared" si="932"/>
        <v>4.0017684090485073</v>
      </c>
      <c r="AU110" s="162">
        <f t="shared" si="932"/>
        <v>3.2642780607673005</v>
      </c>
      <c r="AV110" s="162">
        <f t="shared" si="932"/>
        <v>2.4939477377701409</v>
      </c>
      <c r="AW110" s="162">
        <f t="shared" si="932"/>
        <v>3.5035094049466782</v>
      </c>
      <c r="AX110" s="162">
        <f t="shared" si="932"/>
        <v>3.4841810767582619</v>
      </c>
      <c r="AY110" s="162">
        <f t="shared" si="932"/>
        <v>3.2818716884233448</v>
      </c>
      <c r="AZ110" s="162">
        <f t="shared" si="932"/>
        <v>2.8044210741777258</v>
      </c>
      <c r="BA110" s="162">
        <f t="shared" si="932"/>
        <v>3.0352820299522958</v>
      </c>
      <c r="BB110" s="162">
        <f t="shared" si="932"/>
        <v>3.8427810610668125</v>
      </c>
      <c r="BC110" s="162">
        <f t="shared" si="932"/>
        <v>4.1489445761786525</v>
      </c>
      <c r="BD110" s="162">
        <f t="shared" si="932"/>
        <v>3.8355448104445142</v>
      </c>
      <c r="BE110" s="162">
        <f t="shared" si="932"/>
        <v>5.24552371501147</v>
      </c>
      <c r="BF110" s="162">
        <f t="shared" si="932"/>
        <v>7.2163901566534836</v>
      </c>
      <c r="BG110" s="162">
        <f t="shared" si="932"/>
        <v>6.6554739095077515</v>
      </c>
      <c r="BH110" s="162">
        <f t="shared" si="932"/>
        <v>3.8939469331304872</v>
      </c>
      <c r="BI110" s="162">
        <f t="shared" si="932"/>
        <v>2.6252508861804791</v>
      </c>
      <c r="BJ110" s="162">
        <f t="shared" si="932"/>
        <v>2.4267508229644283</v>
      </c>
      <c r="BK110" s="162">
        <f t="shared" si="932"/>
        <v>2.6937979636921248</v>
      </c>
      <c r="BL110" s="162">
        <f t="shared" si="932"/>
        <v>2.2778237228568314</v>
      </c>
      <c r="BM110" s="162">
        <f t="shared" si="932"/>
        <v>2.8433837073993118</v>
      </c>
      <c r="BN110" s="162">
        <f t="shared" si="932"/>
        <v>2.7613391342895275</v>
      </c>
      <c r="BO110" s="162">
        <f t="shared" si="932"/>
        <v>2.3685267729444583</v>
      </c>
      <c r="BP110" s="162">
        <f t="shared" si="932"/>
        <v>3.6147890426293459</v>
      </c>
      <c r="BQ110" s="162">
        <f t="shared" si="932"/>
        <v>2.8379252100074153</v>
      </c>
      <c r="BR110" s="162">
        <f t="shared" si="932"/>
        <v>2.8827301116928212</v>
      </c>
      <c r="BS110" s="162">
        <f t="shared" si="932"/>
        <v>3.5716619394041009</v>
      </c>
      <c r="BT110" s="162">
        <f t="shared" si="932"/>
        <v>5.2502863837771301</v>
      </c>
      <c r="BU110" s="162">
        <f t="shared" si="932"/>
        <v>5.2048694198053154</v>
      </c>
      <c r="BV110" s="162">
        <f t="shared" si="932"/>
        <v>5.3909440011603031</v>
      </c>
      <c r="BW110" s="162">
        <f t="shared" si="932"/>
        <v>7.0499574295410312</v>
      </c>
      <c r="BX110" s="162">
        <f t="shared" si="932"/>
        <v>6.0227665375293871</v>
      </c>
      <c r="BY110" s="162">
        <f t="shared" si="932"/>
        <v>8.1104849413948799</v>
      </c>
      <c r="BZ110" s="162">
        <f t="shared" si="932"/>
        <v>6.7471584735632639</v>
      </c>
      <c r="CA110" s="162">
        <f t="shared" si="932"/>
        <v>11.991332037707439</v>
      </c>
      <c r="CB110" s="162">
        <f t="shared" si="932"/>
        <v>17.679425887295569</v>
      </c>
      <c r="CC110" s="162">
        <f t="shared" si="932"/>
        <v>23.413621505142469</v>
      </c>
      <c r="CD110" s="162">
        <f t="shared" si="932"/>
        <v>21.479953440748055</v>
      </c>
      <c r="CE110" s="162">
        <f t="shared" si="932"/>
        <v>28.484051848228916</v>
      </c>
      <c r="CF110" s="162">
        <f t="shared" si="932"/>
        <v>28.627419791218106</v>
      </c>
      <c r="CG110" s="162">
        <f t="shared" si="932"/>
        <v>23.331066808223543</v>
      </c>
      <c r="CH110" s="162">
        <f t="shared" si="932"/>
        <v>17.162284618997663</v>
      </c>
      <c r="CI110" s="162">
        <f t="shared" si="932"/>
        <v>20.908457259698732</v>
      </c>
      <c r="CJ110" s="162">
        <f t="shared" ref="CJ110:CK111" si="935">+CJ93/CJ$107</f>
        <v>16.079881720795569</v>
      </c>
      <c r="CK110" s="162">
        <f t="shared" si="935"/>
        <v>17.487062784940438</v>
      </c>
      <c r="CL110" s="162">
        <f t="shared" ref="CL110" si="936">+CL93/CL$107</f>
        <v>13.311699183698813</v>
      </c>
      <c r="CM110" s="94">
        <f t="shared" ref="CM110:DB110" si="937">+CL110</f>
        <v>13.311699183698813</v>
      </c>
      <c r="CN110" s="94">
        <f t="shared" si="937"/>
        <v>13.311699183698813</v>
      </c>
      <c r="CO110" s="94">
        <f t="shared" si="937"/>
        <v>13.311699183698813</v>
      </c>
      <c r="CP110" s="94">
        <f t="shared" si="937"/>
        <v>13.311699183698813</v>
      </c>
      <c r="CQ110" s="94">
        <f t="shared" si="937"/>
        <v>13.311699183698813</v>
      </c>
      <c r="CR110" s="94">
        <f t="shared" si="937"/>
        <v>13.311699183698813</v>
      </c>
      <c r="CS110" s="94">
        <f t="shared" si="937"/>
        <v>13.311699183698813</v>
      </c>
      <c r="CT110" s="94">
        <f t="shared" si="937"/>
        <v>13.311699183698813</v>
      </c>
      <c r="CU110" s="94">
        <f t="shared" si="937"/>
        <v>13.311699183698813</v>
      </c>
      <c r="CV110" s="94">
        <f t="shared" si="937"/>
        <v>13.311699183698813</v>
      </c>
      <c r="CW110" s="94">
        <f t="shared" si="937"/>
        <v>13.311699183698813</v>
      </c>
      <c r="CX110" s="94">
        <f t="shared" si="937"/>
        <v>13.311699183698813</v>
      </c>
      <c r="CY110" s="94">
        <f t="shared" si="937"/>
        <v>13.311699183698813</v>
      </c>
      <c r="CZ110" s="94">
        <f t="shared" si="937"/>
        <v>13.311699183698813</v>
      </c>
      <c r="DA110" s="94">
        <f t="shared" si="937"/>
        <v>13.311699183698813</v>
      </c>
      <c r="DB110" s="94">
        <f t="shared" si="937"/>
        <v>13.311699183698813</v>
      </c>
      <c r="DC110" s="94"/>
      <c r="DE110" s="22"/>
      <c r="DF110" s="162">
        <v>16.890028471497462</v>
      </c>
    </row>
    <row r="111" spans="1:110" s="162" customFormat="1" x14ac:dyDescent="0.2">
      <c r="A111" s="49" t="s">
        <v>504</v>
      </c>
      <c r="E111" s="162">
        <f t="shared" ca="1" si="930"/>
        <v>0.15002847136191205</v>
      </c>
      <c r="F111" s="162">
        <f t="shared" ca="1" si="930"/>
        <v>0.39822049614180688</v>
      </c>
      <c r="G111" s="162">
        <f t="shared" ca="1" si="930"/>
        <v>2.102374937975739</v>
      </c>
      <c r="H111" s="162">
        <f t="shared" ca="1" si="930"/>
        <v>1.122807600070568</v>
      </c>
      <c r="I111" s="162">
        <f t="shared" ca="1" si="930"/>
        <v>0.96306165882182371</v>
      </c>
      <c r="J111" s="162">
        <f t="shared" ca="1" si="930"/>
        <v>0.55595474007433432</v>
      </c>
      <c r="K111" s="162">
        <f t="shared" ca="1" si="930"/>
        <v>0.99853529937531604</v>
      </c>
      <c r="L111" s="162">
        <f t="shared" ca="1" si="930"/>
        <v>0.99282693722279514</v>
      </c>
      <c r="M111" s="162">
        <f t="shared" ca="1" si="930"/>
        <v>1.0623270800341389</v>
      </c>
      <c r="N111" s="162">
        <f t="shared" ca="1" si="930"/>
        <v>0.88327085476114919</v>
      </c>
      <c r="O111" s="162">
        <f t="shared" ca="1" si="930"/>
        <v>0.79251790605753081</v>
      </c>
      <c r="P111" s="162">
        <f t="shared" ca="1" si="930"/>
        <v>0.93919023447993932</v>
      </c>
      <c r="Q111" s="162">
        <f t="shared" ca="1" si="930"/>
        <v>1.6009086690636483</v>
      </c>
      <c r="R111" s="162">
        <f t="shared" ca="1" si="930"/>
        <v>2.0603751643130708</v>
      </c>
      <c r="S111" s="162">
        <f t="shared" ca="1" si="930"/>
        <v>2.0730022863003876</v>
      </c>
      <c r="T111" s="162">
        <f t="shared" ca="1" si="930"/>
        <v>1.7500642649630538</v>
      </c>
      <c r="U111" s="162">
        <f t="shared" ca="1" si="930"/>
        <v>1.1401731386958938</v>
      </c>
      <c r="V111" s="162">
        <f t="shared" ca="1" si="930"/>
        <v>1.0228770378870253</v>
      </c>
      <c r="W111" s="162">
        <f t="shared" ca="1" si="930"/>
        <v>1.8920641784768593</v>
      </c>
      <c r="X111" s="162">
        <f t="shared" ca="1" si="930"/>
        <v>3.7102778649931469</v>
      </c>
      <c r="Y111" s="162">
        <f t="shared" ca="1" si="930"/>
        <v>4.2032813838549545</v>
      </c>
      <c r="Z111" s="162">
        <f t="shared" ca="1" si="930"/>
        <v>10.541988996349987</v>
      </c>
      <c r="AA111" s="162">
        <f t="shared" ref="AA111" ca="1" si="938">+AA94/AA$107</f>
        <v>10.541988996349987</v>
      </c>
      <c r="AB111" s="21">
        <f t="shared" ca="1" si="930"/>
        <v>8.5605273969420175</v>
      </c>
      <c r="AC111" s="21">
        <f t="shared" ca="1" si="930"/>
        <v>9.8141874344235465</v>
      </c>
      <c r="AD111" s="21">
        <f t="shared" ca="1" si="930"/>
        <v>12.74484193845489</v>
      </c>
      <c r="AE111" s="21">
        <f t="shared" ca="1" si="930"/>
        <v>15.171466045428284</v>
      </c>
      <c r="AL111" s="162">
        <f t="shared" si="932"/>
        <v>0.94328721822141237</v>
      </c>
      <c r="AM111" s="162">
        <f t="shared" si="932"/>
        <v>1.0562849834731511</v>
      </c>
      <c r="AN111" s="162">
        <f t="shared" si="932"/>
        <v>1.0481009322889443</v>
      </c>
      <c r="AO111" s="162">
        <f t="shared" si="932"/>
        <v>0.83331237467311536</v>
      </c>
      <c r="AP111" s="162">
        <f t="shared" si="932"/>
        <v>0.79030989555852627</v>
      </c>
      <c r="AQ111" s="162">
        <f t="shared" si="932"/>
        <v>0.96973490345060676</v>
      </c>
      <c r="AR111" s="162">
        <f t="shared" si="932"/>
        <v>1.3956886403068394</v>
      </c>
      <c r="AS111" s="162">
        <f t="shared" si="932"/>
        <v>2.0538319329655019</v>
      </c>
      <c r="AT111" s="162">
        <f t="shared" si="932"/>
        <v>2.1924582241063661</v>
      </c>
      <c r="AU111" s="162">
        <f t="shared" si="932"/>
        <v>1.7924007439613734</v>
      </c>
      <c r="AV111" s="162">
        <f t="shared" si="932"/>
        <v>1.5739115555171148</v>
      </c>
      <c r="AW111" s="162">
        <f t="shared" si="932"/>
        <v>1.5610311135650028</v>
      </c>
      <c r="AX111" s="162">
        <f t="shared" si="932"/>
        <v>2.0088780460869806</v>
      </c>
      <c r="AY111" s="162">
        <f t="shared" si="932"/>
        <v>2.338829092639902</v>
      </c>
      <c r="AZ111" s="162">
        <f t="shared" si="932"/>
        <v>2.0796367730686489</v>
      </c>
      <c r="BA111" s="162">
        <f t="shared" si="932"/>
        <v>2.0653686928294488</v>
      </c>
      <c r="BB111" s="162">
        <f t="shared" si="932"/>
        <v>2.4452211939662845</v>
      </c>
      <c r="BC111" s="162">
        <f t="shared" si="932"/>
        <v>2.3269111524748096</v>
      </c>
      <c r="BD111" s="162">
        <f t="shared" si="932"/>
        <v>2.3934803623917524</v>
      </c>
      <c r="BE111" s="162">
        <f t="shared" si="932"/>
        <v>2.3813360798273844</v>
      </c>
      <c r="BF111" s="162">
        <f t="shared" si="932"/>
        <v>5.1667309540162485</v>
      </c>
      <c r="BG111" s="162">
        <f t="shared" si="932"/>
        <v>3.4638946602450487</v>
      </c>
      <c r="BH111" s="162">
        <f t="shared" si="932"/>
        <v>2.6987368758934127</v>
      </c>
      <c r="BI111" s="162">
        <f t="shared" si="932"/>
        <v>1.8164665969319882</v>
      </c>
      <c r="BJ111" s="162">
        <f t="shared" si="932"/>
        <v>1.9646054271889595</v>
      </c>
      <c r="BK111" s="162">
        <f t="shared" si="932"/>
        <v>1.9092883812835391</v>
      </c>
      <c r="BL111" s="162">
        <f t="shared" si="932"/>
        <v>1.6955401444676439</v>
      </c>
      <c r="BM111" s="162">
        <f t="shared" si="932"/>
        <v>1.6116815832395222</v>
      </c>
      <c r="BN111" s="162">
        <f t="shared" si="932"/>
        <v>1.1370219964721573</v>
      </c>
      <c r="BO111" s="162">
        <f t="shared" si="932"/>
        <v>1.2719573397066644</v>
      </c>
      <c r="BP111" s="162">
        <f t="shared" si="932"/>
        <v>1.9096713881503982</v>
      </c>
      <c r="BQ111" s="162">
        <f t="shared" si="932"/>
        <v>2.2524645648764898</v>
      </c>
      <c r="BR111" s="162">
        <f t="shared" si="932"/>
        <v>2.1858063484264267</v>
      </c>
      <c r="BS111" s="162">
        <f t="shared" si="932"/>
        <v>2.2462901839615554</v>
      </c>
      <c r="BT111" s="162">
        <f t="shared" si="932"/>
        <v>3.0567180306044781</v>
      </c>
      <c r="BU111" s="162">
        <f t="shared" si="932"/>
        <v>3.5789647417217485</v>
      </c>
      <c r="BV111" s="162">
        <f t="shared" si="932"/>
        <v>3.3566255101564133</v>
      </c>
      <c r="BW111" s="162">
        <f t="shared" si="932"/>
        <v>4.9259875175584771</v>
      </c>
      <c r="BX111" s="162">
        <f t="shared" si="932"/>
        <v>4.3499798559167964</v>
      </c>
      <c r="BY111" s="162">
        <f t="shared" si="932"/>
        <v>4.9296006574174367</v>
      </c>
      <c r="BZ111" s="162">
        <f t="shared" si="932"/>
        <v>5.6694873284802281</v>
      </c>
      <c r="CA111" s="162">
        <f t="shared" si="932"/>
        <v>5.9564216594575905</v>
      </c>
      <c r="CB111" s="162">
        <f t="shared" si="932"/>
        <v>9.3532366404106551</v>
      </c>
      <c r="CC111" s="162">
        <f t="shared" si="932"/>
        <v>14.472831724502262</v>
      </c>
      <c r="CD111" s="162">
        <f t="shared" si="932"/>
        <v>13.202499954116961</v>
      </c>
      <c r="CE111" s="162">
        <f t="shared" si="932"/>
        <v>14.543017193644678</v>
      </c>
      <c r="CF111" s="162">
        <f t="shared" si="932"/>
        <v>21.233921739688054</v>
      </c>
      <c r="CG111" s="162">
        <f t="shared" si="932"/>
        <v>16.227279302436095</v>
      </c>
      <c r="CH111" s="162">
        <f t="shared" si="932"/>
        <v>10.571203141942872</v>
      </c>
      <c r="CI111" s="162">
        <f t="shared" si="932"/>
        <v>9.9529446125957008</v>
      </c>
      <c r="CJ111" s="162">
        <f t="shared" si="935"/>
        <v>10.099049950408011</v>
      </c>
      <c r="CK111" s="162">
        <f t="shared" si="935"/>
        <v>11.155119353277122</v>
      </c>
      <c r="CL111" s="162">
        <f t="shared" ref="CL111" si="939">+CL94/CL$107</f>
        <v>9.2463086097453555</v>
      </c>
      <c r="CM111" s="94">
        <f t="shared" ref="CM111:DB111" si="940">+CL111</f>
        <v>9.2463086097453555</v>
      </c>
      <c r="CN111" s="94">
        <f t="shared" si="940"/>
        <v>9.2463086097453555</v>
      </c>
      <c r="CO111" s="94">
        <f t="shared" si="940"/>
        <v>9.2463086097453555</v>
      </c>
      <c r="CP111" s="94">
        <f t="shared" si="940"/>
        <v>9.2463086097453555</v>
      </c>
      <c r="CQ111" s="94">
        <f t="shared" si="940"/>
        <v>9.2463086097453555</v>
      </c>
      <c r="CR111" s="94">
        <f t="shared" si="940"/>
        <v>9.2463086097453555</v>
      </c>
      <c r="CS111" s="94">
        <f t="shared" si="940"/>
        <v>9.2463086097453555</v>
      </c>
      <c r="CT111" s="94">
        <f t="shared" si="940"/>
        <v>9.2463086097453555</v>
      </c>
      <c r="CU111" s="94">
        <f t="shared" si="940"/>
        <v>9.2463086097453555</v>
      </c>
      <c r="CV111" s="94">
        <f t="shared" si="940"/>
        <v>9.2463086097453555</v>
      </c>
      <c r="CW111" s="94">
        <f t="shared" si="940"/>
        <v>9.2463086097453555</v>
      </c>
      <c r="CX111" s="94">
        <f t="shared" si="940"/>
        <v>9.2463086097453555</v>
      </c>
      <c r="CY111" s="94">
        <f t="shared" si="940"/>
        <v>9.2463086097453555</v>
      </c>
      <c r="CZ111" s="94">
        <f t="shared" si="940"/>
        <v>9.2463086097453555</v>
      </c>
      <c r="DA111" s="94">
        <f t="shared" si="940"/>
        <v>9.2463086097453555</v>
      </c>
      <c r="DB111" s="94">
        <f t="shared" si="940"/>
        <v>9.2463086097453555</v>
      </c>
      <c r="DC111" s="94"/>
      <c r="DE111" s="22"/>
      <c r="DF111" s="162">
        <v>7.0958316658512262</v>
      </c>
    </row>
    <row r="112" spans="1:110" s="4" customFormat="1" x14ac:dyDescent="0.2">
      <c r="A112" s="3"/>
      <c r="AB112" s="17"/>
      <c r="AC112" s="17"/>
      <c r="AD112" s="17"/>
      <c r="AE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E112" s="119"/>
    </row>
    <row r="113" spans="1:110" s="177" customFormat="1" x14ac:dyDescent="0.2">
      <c r="A113" s="177" t="s">
        <v>510</v>
      </c>
      <c r="E113" s="177">
        <f t="shared" ref="E113:Y113" si="941">+E25</f>
        <v>9.3147976000000003</v>
      </c>
      <c r="F113" s="177">
        <f t="shared" si="941"/>
        <v>11.787589199999999</v>
      </c>
      <c r="G113" s="177">
        <f t="shared" si="941"/>
        <v>16.1201966</v>
      </c>
      <c r="H113" s="177">
        <f t="shared" si="941"/>
        <v>22.646121100000002</v>
      </c>
      <c r="I113" s="177">
        <f t="shared" si="941"/>
        <v>24.0395805</v>
      </c>
      <c r="J113" s="177">
        <f t="shared" si="941"/>
        <v>25.7454106</v>
      </c>
      <c r="K113" s="177">
        <f t="shared" si="941"/>
        <v>21.544033200000001</v>
      </c>
      <c r="L113" s="177">
        <f t="shared" si="941"/>
        <v>22.261236699999998</v>
      </c>
      <c r="M113" s="177">
        <f t="shared" si="941"/>
        <v>26.013829399999999</v>
      </c>
      <c r="N113" s="177">
        <f t="shared" si="941"/>
        <v>42.946007399999999</v>
      </c>
      <c r="O113" s="177">
        <f t="shared" si="941"/>
        <v>13.005380300000001</v>
      </c>
      <c r="P113" s="177">
        <f t="shared" si="941"/>
        <v>25.2825998</v>
      </c>
      <c r="Q113" s="177">
        <f t="shared" si="941"/>
        <v>24.6309568</v>
      </c>
      <c r="R113" s="177">
        <f t="shared" si="941"/>
        <v>33.587682900000004</v>
      </c>
      <c r="S113" s="177">
        <f t="shared" si="941"/>
        <v>51.694111300000003</v>
      </c>
      <c r="T113" s="177">
        <f t="shared" si="941"/>
        <v>50.5112223</v>
      </c>
      <c r="U113" s="177">
        <f t="shared" si="941"/>
        <v>51.919305300000005</v>
      </c>
      <c r="V113" s="177">
        <f t="shared" si="941"/>
        <v>77.696000000000012</v>
      </c>
      <c r="W113" s="177">
        <f t="shared" si="941"/>
        <v>104.95350000000001</v>
      </c>
      <c r="X113" s="177">
        <f t="shared" si="941"/>
        <v>154.4511</v>
      </c>
      <c r="Y113" s="177">
        <f t="shared" si="941"/>
        <v>224.36699999999999</v>
      </c>
      <c r="Z113" s="177">
        <f>+Z25</f>
        <v>249.12619999999998</v>
      </c>
      <c r="AA113" s="177">
        <f>+AA25</f>
        <v>222.87239999999997</v>
      </c>
      <c r="AB113" s="178">
        <f t="shared" ref="AB113:AE113" si="942">+AB25</f>
        <v>259.06727999999998</v>
      </c>
      <c r="AC113" s="178">
        <f t="shared" si="942"/>
        <v>297.83818399999996</v>
      </c>
      <c r="AD113" s="178">
        <f t="shared" si="942"/>
        <v>342.41580479999988</v>
      </c>
      <c r="AE113" s="178">
        <f t="shared" si="942"/>
        <v>393.67025803999985</v>
      </c>
      <c r="AL113" s="177">
        <f t="shared" ref="AL113:BQ113" si="943">+SUM(AI23:AL23)</f>
        <v>42.947000000000003</v>
      </c>
      <c r="AM113" s="177">
        <f t="shared" si="943"/>
        <v>40.423000000000002</v>
      </c>
      <c r="AN113" s="177">
        <f t="shared" si="943"/>
        <v>40.698</v>
      </c>
      <c r="AO113" s="177">
        <f t="shared" si="943"/>
        <v>35.590000000000003</v>
      </c>
      <c r="AP113" s="177">
        <f t="shared" si="943"/>
        <v>13.004999999999999</v>
      </c>
      <c r="AQ113" s="177">
        <f t="shared" si="943"/>
        <v>15.286</v>
      </c>
      <c r="AR113" s="177">
        <f t="shared" si="943"/>
        <v>22.576999999999998</v>
      </c>
      <c r="AS113" s="177">
        <f t="shared" si="943"/>
        <v>24.143000000000001</v>
      </c>
      <c r="AT113" s="177">
        <f t="shared" si="943"/>
        <v>25.254999999999999</v>
      </c>
      <c r="AU113" s="177">
        <f t="shared" si="943"/>
        <v>24.692</v>
      </c>
      <c r="AV113" s="177">
        <f t="shared" si="943"/>
        <v>18.222000000000001</v>
      </c>
      <c r="AW113" s="177">
        <f t="shared" si="943"/>
        <v>15.611000000000001</v>
      </c>
      <c r="AX113" s="177">
        <f t="shared" si="943"/>
        <v>24.597999999999999</v>
      </c>
      <c r="AY113" s="177">
        <f t="shared" si="943"/>
        <v>29.247</v>
      </c>
      <c r="AZ113" s="177">
        <f t="shared" si="943"/>
        <v>33.216999999999999</v>
      </c>
      <c r="BA113" s="177">
        <f t="shared" si="943"/>
        <v>37.871000000000002</v>
      </c>
      <c r="BB113" s="177">
        <f t="shared" si="943"/>
        <v>34.975999999999999</v>
      </c>
      <c r="BC113" s="177">
        <f t="shared" si="943"/>
        <v>36.370999999999995</v>
      </c>
      <c r="BD113" s="177">
        <f t="shared" si="943"/>
        <v>40.229999999999997</v>
      </c>
      <c r="BE113" s="177">
        <f t="shared" si="943"/>
        <v>48.140999999999998</v>
      </c>
      <c r="BF113" s="177">
        <f t="shared" si="943"/>
        <v>52.080999999999989</v>
      </c>
      <c r="BG113" s="177">
        <f t="shared" si="943"/>
        <v>54.5</v>
      </c>
      <c r="BH113" s="177">
        <f t="shared" si="943"/>
        <v>52.902000000000001</v>
      </c>
      <c r="BI113" s="177">
        <f t="shared" si="943"/>
        <v>50.561999999999998</v>
      </c>
      <c r="BJ113" s="177">
        <f t="shared" si="943"/>
        <v>50.78</v>
      </c>
      <c r="BK113" s="177">
        <f t="shared" si="943"/>
        <v>47.283000000000001</v>
      </c>
      <c r="BL113" s="177">
        <f t="shared" si="943"/>
        <v>45.268000000000001</v>
      </c>
      <c r="BM113" s="177">
        <f t="shared" si="943"/>
        <v>44.701999999999998</v>
      </c>
      <c r="BN113" s="177">
        <f t="shared" si="943"/>
        <v>51.92</v>
      </c>
      <c r="BO113" s="177">
        <f t="shared" si="943"/>
        <v>54.365000000000002</v>
      </c>
      <c r="BP113" s="177">
        <f t="shared" si="943"/>
        <v>58.819000000000003</v>
      </c>
      <c r="BQ113" s="177">
        <f t="shared" si="943"/>
        <v>70.325999999999993</v>
      </c>
      <c r="BR113" s="177">
        <f t="shared" ref="BR113:CW113" si="944">+SUM(BO23:BR23)</f>
        <v>77.695000000000007</v>
      </c>
      <c r="BS113" s="177">
        <f t="shared" si="944"/>
        <v>80.280999999999992</v>
      </c>
      <c r="BT113" s="177">
        <f t="shared" si="944"/>
        <v>83.201999999999998</v>
      </c>
      <c r="BU113" s="177">
        <f t="shared" si="944"/>
        <v>87.307999999999993</v>
      </c>
      <c r="BV113" s="177">
        <f t="shared" si="944"/>
        <v>104.95400000000001</v>
      </c>
      <c r="BW113" s="177">
        <f t="shared" si="944"/>
        <v>118.227</v>
      </c>
      <c r="BX113" s="177">
        <f t="shared" si="944"/>
        <v>139.01600000000002</v>
      </c>
      <c r="BY113" s="177">
        <f t="shared" si="944"/>
        <v>148.62799999999999</v>
      </c>
      <c r="BZ113" s="177">
        <f t="shared" si="944"/>
        <v>154.44999999999999</v>
      </c>
      <c r="CA113" s="177">
        <f t="shared" si="944"/>
        <v>196.40899999999999</v>
      </c>
      <c r="CB113" s="177">
        <f t="shared" si="944"/>
        <v>214.51699999999997</v>
      </c>
      <c r="CC113" s="177">
        <f t="shared" si="944"/>
        <v>235.137</v>
      </c>
      <c r="CD113" s="177">
        <f t="shared" si="944"/>
        <v>224.36699999999999</v>
      </c>
      <c r="CE113" s="177">
        <f t="shared" si="944"/>
        <v>207.18300000000002</v>
      </c>
      <c r="CF113" s="177">
        <f t="shared" si="944"/>
        <v>230.27000000000004</v>
      </c>
      <c r="CG113" s="177">
        <f t="shared" si="944"/>
        <v>241.62599999999998</v>
      </c>
      <c r="CH113" s="177">
        <f t="shared" si="944"/>
        <v>249.126</v>
      </c>
      <c r="CI113" s="177">
        <f t="shared" si="944"/>
        <v>249.27499999999998</v>
      </c>
      <c r="CJ113" s="177">
        <f t="shared" si="944"/>
        <v>227.27300000000002</v>
      </c>
      <c r="CK113" s="177">
        <f t="shared" si="944"/>
        <v>208.30800000000002</v>
      </c>
      <c r="CL113" s="177">
        <f t="shared" si="944"/>
        <v>222.87299999999999</v>
      </c>
      <c r="CM113" s="178">
        <f t="shared" si="944"/>
        <v>230.70589999999999</v>
      </c>
      <c r="CN113" s="178">
        <f t="shared" si="944"/>
        <v>240.05026999999995</v>
      </c>
      <c r="CO113" s="178">
        <f t="shared" si="944"/>
        <v>248.25919999999999</v>
      </c>
      <c r="CP113" s="178">
        <f t="shared" si="944"/>
        <v>259.06727999999998</v>
      </c>
      <c r="CQ113" s="178">
        <f t="shared" si="944"/>
        <v>268.02506199999993</v>
      </c>
      <c r="CR113" s="178">
        <f t="shared" si="944"/>
        <v>277.72323099999994</v>
      </c>
      <c r="CS113" s="178">
        <f t="shared" si="944"/>
        <v>286.68608199999994</v>
      </c>
      <c r="CT113" s="178">
        <f t="shared" si="944"/>
        <v>297.83818399999996</v>
      </c>
      <c r="CU113" s="178">
        <f t="shared" si="944"/>
        <v>308.1392229999999</v>
      </c>
      <c r="CV113" s="178">
        <f t="shared" si="944"/>
        <v>319.29049869999989</v>
      </c>
      <c r="CW113" s="178">
        <f t="shared" si="944"/>
        <v>329.59518849999989</v>
      </c>
      <c r="CX113" s="178">
        <f t="shared" ref="CX113:DB113" si="945">+SUM(CU23:CX23)</f>
        <v>342.41580479999988</v>
      </c>
      <c r="CY113" s="178">
        <f t="shared" si="945"/>
        <v>354.26154831999986</v>
      </c>
      <c r="CZ113" s="178">
        <f t="shared" si="945"/>
        <v>367.08373485999982</v>
      </c>
      <c r="DA113" s="178">
        <f t="shared" si="945"/>
        <v>378.93128039499987</v>
      </c>
      <c r="DB113" s="178">
        <f t="shared" si="945"/>
        <v>393.67025803999985</v>
      </c>
      <c r="DE113" s="179"/>
      <c r="DF113" s="177">
        <v>222.87299999999999</v>
      </c>
    </row>
    <row r="114" spans="1:110" s="163" customFormat="1" x14ac:dyDescent="0.2">
      <c r="A114" s="163" t="s">
        <v>511</v>
      </c>
      <c r="E114" s="163">
        <f t="shared" ref="E114:AE114" ca="1" si="946">+E113/E80</f>
        <v>0.35056255315945956</v>
      </c>
      <c r="F114" s="163">
        <f t="shared" ca="1" si="946"/>
        <v>0.44362610364683297</v>
      </c>
      <c r="G114" s="163">
        <f t="shared" ca="1" si="946"/>
        <v>0.60668385081479803</v>
      </c>
      <c r="H114" s="163">
        <f t="shared" ca="1" si="946"/>
        <v>0.85228712129765538</v>
      </c>
      <c r="I114" s="163">
        <f t="shared" ca="1" si="946"/>
        <v>0.90472998758044476</v>
      </c>
      <c r="J114" s="163">
        <f t="shared" ca="1" si="946"/>
        <v>0.96892893003650593</v>
      </c>
      <c r="K114" s="163">
        <f t="shared" ca="1" si="946"/>
        <v>0.81081002596816076</v>
      </c>
      <c r="L114" s="163">
        <f t="shared" ca="1" si="946"/>
        <v>0.8378019908923261</v>
      </c>
      <c r="M114" s="163">
        <f t="shared" ca="1" si="946"/>
        <v>0.97903087576681336</v>
      </c>
      <c r="N114" s="163">
        <f t="shared" ca="1" si="946"/>
        <v>1.6162736592525684</v>
      </c>
      <c r="O114" s="163">
        <f t="shared" ca="1" si="946"/>
        <v>0.48945769071544165</v>
      </c>
      <c r="P114" s="163">
        <f t="shared" ca="1" si="946"/>
        <v>0.95151103835008088</v>
      </c>
      <c r="Q114" s="163">
        <f t="shared" ca="1" si="946"/>
        <v>0.92698644386737417</v>
      </c>
      <c r="R114" s="163">
        <f t="shared" ca="1" si="946"/>
        <v>1.2640729705317828</v>
      </c>
      <c r="S114" s="163">
        <f t="shared" ca="1" si="946"/>
        <v>1.9455086861616047</v>
      </c>
      <c r="T114" s="163">
        <f t="shared" ca="1" si="946"/>
        <v>1.9009906401716155</v>
      </c>
      <c r="U114" s="163">
        <f t="shared" ca="1" si="946"/>
        <v>1.9539838658688045</v>
      </c>
      <c r="V114" s="163">
        <f t="shared" ca="1" si="946"/>
        <v>2.9240901734974223</v>
      </c>
      <c r="W114" s="163">
        <f t="shared" ca="1" si="946"/>
        <v>3.949926611719544</v>
      </c>
      <c r="X114" s="163">
        <f t="shared" ca="1" si="946"/>
        <v>5.8127695607993672</v>
      </c>
      <c r="Y114" s="163">
        <f t="shared" ca="1" si="946"/>
        <v>8.4440555492830516</v>
      </c>
      <c r="Z114" s="163">
        <f t="shared" ref="Z114:AA114" ca="1" si="947">+Z113/Z80</f>
        <v>9.375868427985397</v>
      </c>
      <c r="AA114" s="163">
        <f t="shared" ref="AA114" ca="1" si="948">+AA113/AA80</f>
        <v>9.375868427985397</v>
      </c>
      <c r="AB114" s="94">
        <f t="shared" ca="1" si="946"/>
        <v>9.7500011290504673</v>
      </c>
      <c r="AC114" s="94">
        <f t="shared" ca="1" si="946"/>
        <v>11.209144706635051</v>
      </c>
      <c r="AD114" s="94">
        <f t="shared" ca="1" si="946"/>
        <v>12.886824161680021</v>
      </c>
      <c r="AE114" s="94">
        <f t="shared" ca="1" si="946"/>
        <v>14.815786309886713</v>
      </c>
      <c r="AL114" s="163">
        <f t="shared" ref="AL114:BQ114" si="949">+AL113/AL80</f>
        <v>1.6207944145674122</v>
      </c>
      <c r="AM114" s="163">
        <f t="shared" si="949"/>
        <v>1.5255401452967263</v>
      </c>
      <c r="AN114" s="163">
        <f t="shared" si="949"/>
        <v>1.5359184828757431</v>
      </c>
      <c r="AO114" s="163">
        <f t="shared" si="949"/>
        <v>1.3431455797716767</v>
      </c>
      <c r="AP114" s="163">
        <f t="shared" si="949"/>
        <v>0.4908010189640532</v>
      </c>
      <c r="AQ114" s="163">
        <f t="shared" si="949"/>
        <v>0.57688461175582606</v>
      </c>
      <c r="AR114" s="163">
        <f t="shared" si="949"/>
        <v>0.85204264553259734</v>
      </c>
      <c r="AS114" s="163">
        <f t="shared" si="949"/>
        <v>0.9111425606189264</v>
      </c>
      <c r="AT114" s="163">
        <f t="shared" si="949"/>
        <v>0.95310878384753284</v>
      </c>
      <c r="AU114" s="163">
        <f t="shared" si="949"/>
        <v>0.93186149636758187</v>
      </c>
      <c r="AV114" s="163">
        <f t="shared" si="949"/>
        <v>0.68768751769034819</v>
      </c>
      <c r="AW114" s="163">
        <f t="shared" si="949"/>
        <v>0.58914991980375508</v>
      </c>
      <c r="AX114" s="163">
        <f t="shared" si="949"/>
        <v>0.92831399188602703</v>
      </c>
      <c r="AY114" s="163">
        <f t="shared" si="949"/>
        <v>1.1037645060854797</v>
      </c>
      <c r="AZ114" s="163">
        <f t="shared" si="949"/>
        <v>1.2535899613171053</v>
      </c>
      <c r="BA114" s="163">
        <f t="shared" si="949"/>
        <v>1.4292291725634496</v>
      </c>
      <c r="BB114" s="163">
        <f t="shared" si="949"/>
        <v>1.3199735824134353</v>
      </c>
      <c r="BC114" s="163">
        <f t="shared" si="949"/>
        <v>1.3726200584960844</v>
      </c>
      <c r="BD114" s="163">
        <f t="shared" si="949"/>
        <v>1.518256439286725</v>
      </c>
      <c r="BE114" s="163">
        <f t="shared" si="949"/>
        <v>1.8168129068780074</v>
      </c>
      <c r="BF114" s="163">
        <f t="shared" si="949"/>
        <v>1.9655061798282853</v>
      </c>
      <c r="BG114" s="163">
        <f t="shared" si="949"/>
        <v>2.0567978111142562</v>
      </c>
      <c r="BH114" s="163">
        <f t="shared" si="949"/>
        <v>1.9964902349278235</v>
      </c>
      <c r="BI114" s="163">
        <f t="shared" si="949"/>
        <v>1.9081800169827343</v>
      </c>
      <c r="BJ114" s="163">
        <f t="shared" si="949"/>
        <v>1.9164072082271915</v>
      </c>
      <c r="BK114" s="163">
        <f t="shared" si="949"/>
        <v>1.7844324936314748</v>
      </c>
      <c r="BL114" s="163">
        <f t="shared" si="949"/>
        <v>1.7083875837343148</v>
      </c>
      <c r="BM114" s="163">
        <f t="shared" si="949"/>
        <v>1.6870270780262289</v>
      </c>
      <c r="BN114" s="163">
        <f t="shared" si="949"/>
        <v>1.9594301349183887</v>
      </c>
      <c r="BO114" s="163">
        <f t="shared" si="949"/>
        <v>2.0517029908481934</v>
      </c>
      <c r="BP114" s="163">
        <f t="shared" si="949"/>
        <v>2.2197943202188886</v>
      </c>
      <c r="BQ114" s="163">
        <f t="shared" si="949"/>
        <v>2.6540617039343335</v>
      </c>
      <c r="BR114" s="163">
        <f t="shared" ref="BR114:CW114" si="950">+BR113/BR80</f>
        <v>2.9321634116426081</v>
      </c>
      <c r="BS114" s="163">
        <f t="shared" si="950"/>
        <v>3.0297575242947445</v>
      </c>
      <c r="BT114" s="163">
        <f t="shared" si="950"/>
        <v>3.1399943390885934</v>
      </c>
      <c r="BU114" s="163">
        <f t="shared" si="950"/>
        <v>3.2949523539956598</v>
      </c>
      <c r="BV114" s="163">
        <f t="shared" si="950"/>
        <v>3.9609019718841405</v>
      </c>
      <c r="BW114" s="163">
        <f t="shared" si="950"/>
        <v>4.4618171525615624</v>
      </c>
      <c r="BX114" s="163">
        <f t="shared" si="950"/>
        <v>5.2463817341258618</v>
      </c>
      <c r="BY114" s="163">
        <f t="shared" si="950"/>
        <v>5.6091329370695346</v>
      </c>
      <c r="BZ114" s="163">
        <f t="shared" si="950"/>
        <v>5.8288517784696667</v>
      </c>
      <c r="CA114" s="163">
        <f t="shared" si="950"/>
        <v>7.4123596565713745</v>
      </c>
      <c r="CB114" s="163">
        <f t="shared" si="950"/>
        <v>8.0957448815926014</v>
      </c>
      <c r="CC114" s="163">
        <f t="shared" si="950"/>
        <v>8.8739315029719794</v>
      </c>
      <c r="CD114" s="163">
        <f t="shared" si="950"/>
        <v>8.4674780639682989</v>
      </c>
      <c r="CE114" s="163">
        <f t="shared" si="950"/>
        <v>7.8189640532125688</v>
      </c>
      <c r="CF114" s="163">
        <f t="shared" si="950"/>
        <v>8.6902537975280705</v>
      </c>
      <c r="CG114" s="163">
        <f t="shared" si="950"/>
        <v>9.1188225304273978</v>
      </c>
      <c r="CH114" s="163">
        <f t="shared" si="950"/>
        <v>9.401868100764224</v>
      </c>
      <c r="CI114" s="163">
        <f t="shared" si="950"/>
        <v>9.4074912727615807</v>
      </c>
      <c r="CJ114" s="163">
        <f t="shared" si="950"/>
        <v>8.5771487876214749</v>
      </c>
      <c r="CK114" s="163">
        <f t="shared" ref="CK114:CL114" si="951">+CK113/CK80</f>
        <v>7.8469101388130262</v>
      </c>
      <c r="CL114" s="163">
        <f t="shared" si="951"/>
        <v>8.3878288359489659</v>
      </c>
      <c r="CM114" s="50">
        <f t="shared" si="950"/>
        <v>8.6826201497873612</v>
      </c>
      <c r="CN114" s="50">
        <f t="shared" si="950"/>
        <v>9.0342956606826963</v>
      </c>
      <c r="CO114" s="50">
        <f t="shared" si="950"/>
        <v>9.3432388694441304</v>
      </c>
      <c r="CP114" s="50">
        <f t="shared" si="950"/>
        <v>9.7500011290504673</v>
      </c>
      <c r="CQ114" s="50">
        <f t="shared" si="950"/>
        <v>10.087127394527865</v>
      </c>
      <c r="CR114" s="50">
        <f t="shared" si="950"/>
        <v>10.452118136314024</v>
      </c>
      <c r="CS114" s="50">
        <f t="shared" si="950"/>
        <v>10.789435173685595</v>
      </c>
      <c r="CT114" s="50">
        <f t="shared" si="950"/>
        <v>11.209144706635051</v>
      </c>
      <c r="CU114" s="50">
        <f t="shared" si="950"/>
        <v>11.596824470287151</v>
      </c>
      <c r="CV114" s="50">
        <f t="shared" si="950"/>
        <v>12.0165029054232</v>
      </c>
      <c r="CW114" s="50">
        <f t="shared" si="950"/>
        <v>12.404320066990323</v>
      </c>
      <c r="CX114" s="50">
        <f t="shared" ref="CX114:DB114" si="952">+CX113/CX80</f>
        <v>12.886824161680021</v>
      </c>
      <c r="CY114" s="50">
        <f t="shared" si="952"/>
        <v>13.33263890406834</v>
      </c>
      <c r="CZ114" s="50">
        <f t="shared" si="952"/>
        <v>13.815202094764961</v>
      </c>
      <c r="DA114" s="50">
        <f t="shared" si="952"/>
        <v>14.261084656015951</v>
      </c>
      <c r="DB114" s="50">
        <f t="shared" si="952"/>
        <v>14.815786309886713</v>
      </c>
      <c r="DE114" s="164"/>
      <c r="DF114" s="163">
        <v>8.3878288359489659</v>
      </c>
    </row>
    <row r="115" spans="1:110" s="163" customFormat="1" x14ac:dyDescent="0.2"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506</v>
      </c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507</v>
      </c>
      <c r="E117" s="163">
        <f t="shared" ref="E117:AE119" ca="1" si="953">+E92/E$114</f>
        <v>0.60992474900893268</v>
      </c>
      <c r="F117" s="163">
        <f t="shared" ca="1" si="953"/>
        <v>3.4345195286352426</v>
      </c>
      <c r="G117" s="163">
        <f t="shared" ca="1" si="953"/>
        <v>1.7086583255253927</v>
      </c>
      <c r="H117" s="163">
        <f t="shared" ca="1" si="953"/>
        <v>0.68572258089181548</v>
      </c>
      <c r="I117" s="163">
        <f t="shared" ca="1" si="953"/>
        <v>1.0486144737229111</v>
      </c>
      <c r="J117" s="163">
        <f t="shared" ca="1" si="953"/>
        <v>0.63668343356813828</v>
      </c>
      <c r="K117" s="163">
        <f t="shared" ca="1" si="953"/>
        <v>1.2872838336186978</v>
      </c>
      <c r="L117" s="163">
        <f t="shared" ca="1" si="953"/>
        <v>1.1163143942462819</v>
      </c>
      <c r="M117" s="163">
        <f t="shared" ca="1" si="953"/>
        <v>1.0693332768530013</v>
      </c>
      <c r="N117" s="163">
        <f t="shared" ca="1" si="953"/>
        <v>0.59187507895689773</v>
      </c>
      <c r="O117" s="163">
        <f t="shared" ca="1" si="953"/>
        <v>1.4965960377497467</v>
      </c>
      <c r="P117" s="163">
        <f t="shared" ca="1" si="953"/>
        <v>1.9674860263822087</v>
      </c>
      <c r="Q117" s="163">
        <f t="shared" ca="1" si="953"/>
        <v>2.132304449146226</v>
      </c>
      <c r="R117" s="163">
        <f t="shared" ca="1" si="953"/>
        <v>2.3668341331827847</v>
      </c>
      <c r="S117" s="163">
        <f t="shared" ca="1" si="953"/>
        <v>4.1522891506347763</v>
      </c>
      <c r="T117" s="163">
        <f t="shared" ca="1" si="953"/>
        <v>1.8775244215484395</v>
      </c>
      <c r="U117" s="163">
        <f t="shared" ca="1" si="953"/>
        <v>1.3394561654408821</v>
      </c>
      <c r="V117" s="163">
        <f t="shared" ca="1" si="953"/>
        <v>2.049054882499882</v>
      </c>
      <c r="W117" s="163">
        <f t="shared" ca="1" si="953"/>
        <v>4.1013887299581704</v>
      </c>
      <c r="X117" s="163">
        <f t="shared" ca="1" si="953"/>
        <v>4.4009983982895386</v>
      </c>
      <c r="Y117" s="163">
        <f t="shared" ca="1" si="953"/>
        <v>11.14149254939257</v>
      </c>
      <c r="Z117" s="163">
        <f ca="1">+Z92/Z$114</f>
        <v>11.493725254419264</v>
      </c>
      <c r="AA117" s="163">
        <f ca="1">+AA92/AA$114</f>
        <v>11.493725254419264</v>
      </c>
      <c r="AB117" s="50">
        <f t="shared" ref="AB117:AE117" ca="1" si="954">+AB92/AB$114</f>
        <v>12.969229267393398</v>
      </c>
      <c r="AC117" s="50">
        <f t="shared" ca="1" si="954"/>
        <v>11.280967755296281</v>
      </c>
      <c r="AD117" s="50">
        <f t="shared" ca="1" si="954"/>
        <v>9.8123477447615812</v>
      </c>
      <c r="AE117" s="50">
        <f t="shared" ca="1" si="954"/>
        <v>8.5348153216558433</v>
      </c>
      <c r="AL117" s="163">
        <f t="shared" ref="AL117:BQ117" si="955">+AL92/AL114</f>
        <v>0.59022420801060804</v>
      </c>
      <c r="AM117" s="163">
        <f t="shared" si="955"/>
        <v>0.67172057449205502</v>
      </c>
      <c r="AN117" s="163">
        <f t="shared" si="955"/>
        <v>0.57746793106002581</v>
      </c>
      <c r="AO117" s="163">
        <f t="shared" si="955"/>
        <v>0.53594325706401702</v>
      </c>
      <c r="AP117" s="163">
        <f t="shared" si="955"/>
        <v>1.4924998365264632</v>
      </c>
      <c r="AQ117" s="163">
        <f t="shared" si="955"/>
        <v>1.9575307200980219</v>
      </c>
      <c r="AR117" s="163">
        <f t="shared" si="955"/>
        <v>2.0075687842038521</v>
      </c>
      <c r="AS117" s="163">
        <f t="shared" si="955"/>
        <v>2.5813573543608586</v>
      </c>
      <c r="AT117" s="163">
        <f t="shared" si="955"/>
        <v>1.964187827904526</v>
      </c>
      <c r="AU117" s="163">
        <f t="shared" si="955"/>
        <v>1.716635214186182</v>
      </c>
      <c r="AV117" s="163">
        <f t="shared" si="955"/>
        <v>1.8286785545215227</v>
      </c>
      <c r="AW117" s="163">
        <f t="shared" si="955"/>
        <v>4.0996995632519226</v>
      </c>
      <c r="AX117" s="163">
        <f t="shared" si="955"/>
        <v>2.1292551182394734</v>
      </c>
      <c r="AY117" s="163">
        <f t="shared" si="955"/>
        <v>1.8367140841429161</v>
      </c>
      <c r="AZ117" s="163">
        <f t="shared" si="955"/>
        <v>1.4163093355345646</v>
      </c>
      <c r="BA117" s="163">
        <f t="shared" si="955"/>
        <v>1.4733111661290266</v>
      </c>
      <c r="BB117" s="163">
        <f t="shared" si="955"/>
        <v>2.2665991905823519</v>
      </c>
      <c r="BC117" s="163">
        <f t="shared" si="955"/>
        <v>3.3589216623455833</v>
      </c>
      <c r="BD117" s="163">
        <f t="shared" si="955"/>
        <v>2.4593173888932096</v>
      </c>
      <c r="BE117" s="163">
        <f t="shared" si="955"/>
        <v>3.9678235562486703</v>
      </c>
      <c r="BF117" s="163">
        <f t="shared" si="955"/>
        <v>4.1100428443935515</v>
      </c>
      <c r="BG117" s="163">
        <f t="shared" si="955"/>
        <v>2.6066041504023896</v>
      </c>
      <c r="BH117" s="163">
        <f t="shared" si="955"/>
        <v>2.031657047365798</v>
      </c>
      <c r="BI117" s="163">
        <f t="shared" si="955"/>
        <v>1.9111215349716277</v>
      </c>
      <c r="BJ117" s="163">
        <f t="shared" si="955"/>
        <v>1.8624206466844411</v>
      </c>
      <c r="BK117" s="163">
        <f t="shared" si="955"/>
        <v>2.0929154727093993</v>
      </c>
      <c r="BL117" s="163">
        <f t="shared" si="955"/>
        <v>1.8639131912038844</v>
      </c>
      <c r="BM117" s="163">
        <f t="shared" si="955"/>
        <v>2.7850327731657263</v>
      </c>
      <c r="BN117" s="163">
        <f t="shared" si="955"/>
        <v>1.3357331244775363</v>
      </c>
      <c r="BO117" s="163">
        <f t="shared" si="955"/>
        <v>2.0190554379240098</v>
      </c>
      <c r="BP117" s="163">
        <f t="shared" si="955"/>
        <v>2.8657813123366775</v>
      </c>
      <c r="BQ117" s="163">
        <f t="shared" si="955"/>
        <v>2.0483659185321939</v>
      </c>
      <c r="BR117" s="163">
        <f t="shared" ref="BR117:DB117" si="956">+BR92/BR114</f>
        <v>2.0434131409880369</v>
      </c>
      <c r="BS117" s="163">
        <f t="shared" si="956"/>
        <v>2.7957062461427094</v>
      </c>
      <c r="BT117" s="163">
        <f t="shared" si="956"/>
        <v>4.2924842056932491</v>
      </c>
      <c r="BU117" s="163">
        <f t="shared" si="956"/>
        <v>3.396026246751136</v>
      </c>
      <c r="BV117" s="163">
        <f t="shared" si="956"/>
        <v>4.0900240915990702</v>
      </c>
      <c r="BW117" s="163">
        <f t="shared" si="956"/>
        <v>3.8287468992975038</v>
      </c>
      <c r="BX117" s="163">
        <f t="shared" si="956"/>
        <v>3.5906746676435177</v>
      </c>
      <c r="BY117" s="163">
        <f t="shared" si="956"/>
        <v>4.3343168649799315</v>
      </c>
      <c r="BZ117" s="163">
        <f t="shared" si="956"/>
        <v>4.3888557299051119</v>
      </c>
      <c r="CA117" s="163">
        <f t="shared" si="956"/>
        <v>6.3610727403477929</v>
      </c>
      <c r="CB117" s="163">
        <f t="shared" si="956"/>
        <v>9.8444584284420404</v>
      </c>
      <c r="CC117" s="163">
        <f t="shared" si="956"/>
        <v>12.06888378004062</v>
      </c>
      <c r="CD117" s="163">
        <f t="shared" si="956"/>
        <v>11.110673246303472</v>
      </c>
      <c r="CE117" s="163">
        <f t="shared" si="956"/>
        <v>20.97128335843037</v>
      </c>
      <c r="CF117" s="163">
        <f t="shared" si="956"/>
        <v>20.104368468590938</v>
      </c>
      <c r="CG117" s="163">
        <f t="shared" si="956"/>
        <v>15.923695047948941</v>
      </c>
      <c r="CH117" s="163">
        <f t="shared" si="956"/>
        <v>11.461940816218057</v>
      </c>
      <c r="CI117" s="163">
        <f t="shared" si="956"/>
        <v>16.821700431250626</v>
      </c>
      <c r="CJ117" s="163">
        <f t="shared" si="956"/>
        <v>20.321438314274022</v>
      </c>
      <c r="CK117" s="163">
        <f t="shared" ref="CK117:CL117" si="957">+CK92/CK114</f>
        <v>20.08433857557079</v>
      </c>
      <c r="CL117" s="163">
        <f t="shared" si="957"/>
        <v>15.075414922399755</v>
      </c>
      <c r="CM117" s="50">
        <f t="shared" si="956"/>
        <v>14.563576180756542</v>
      </c>
      <c r="CN117" s="50">
        <f t="shared" si="956"/>
        <v>13.996663907105795</v>
      </c>
      <c r="CO117" s="50">
        <f t="shared" si="956"/>
        <v>13.533850709258711</v>
      </c>
      <c r="CP117" s="50">
        <f t="shared" si="956"/>
        <v>12.969229267393398</v>
      </c>
      <c r="CQ117" s="50">
        <f t="shared" si="956"/>
        <v>12.535779023530274</v>
      </c>
      <c r="CR117" s="50">
        <f t="shared" si="956"/>
        <v>12.098026290065741</v>
      </c>
      <c r="CS117" s="50">
        <f t="shared" si="956"/>
        <v>11.719797928662615</v>
      </c>
      <c r="CT117" s="50">
        <f t="shared" si="956"/>
        <v>11.280967755296281</v>
      </c>
      <c r="CU117" s="50">
        <f t="shared" si="956"/>
        <v>10.903847025018303</v>
      </c>
      <c r="CV117" s="50">
        <f t="shared" si="956"/>
        <v>10.523028288282735</v>
      </c>
      <c r="CW117" s="50">
        <f t="shared" si="956"/>
        <v>10.194029121878403</v>
      </c>
      <c r="CX117" s="50">
        <f t="shared" si="956"/>
        <v>9.8123477447615812</v>
      </c>
      <c r="CY117" s="50">
        <f t="shared" si="956"/>
        <v>9.4842439602421749</v>
      </c>
      <c r="CZ117" s="50">
        <f t="shared" si="956"/>
        <v>9.152960567107165</v>
      </c>
      <c r="DA117" s="50">
        <f t="shared" si="956"/>
        <v>8.8667869976255869</v>
      </c>
      <c r="DB117" s="50">
        <f t="shared" si="956"/>
        <v>8.5348153216558433</v>
      </c>
      <c r="DE117" s="106"/>
      <c r="DF117" s="163">
        <v>15.075414922399755</v>
      </c>
    </row>
    <row r="118" spans="1:110" s="163" customFormat="1" x14ac:dyDescent="0.2">
      <c r="A118" s="163" t="s">
        <v>508</v>
      </c>
      <c r="E118" s="163">
        <f t="shared" ca="1" si="953"/>
        <v>0.86112338637853791</v>
      </c>
      <c r="F118" s="163">
        <f t="shared" ca="1" si="953"/>
        <v>4.5091457013163314</v>
      </c>
      <c r="G118" s="163">
        <f t="shared" ca="1" si="953"/>
        <v>4.9601998754747783</v>
      </c>
      <c r="H118" s="163">
        <f t="shared" ca="1" si="953"/>
        <v>1.8062936277150279</v>
      </c>
      <c r="I118" s="163">
        <f t="shared" ca="1" si="953"/>
        <v>2.4245927313960447</v>
      </c>
      <c r="J118" s="163">
        <f t="shared" ca="1" si="953"/>
        <v>1.3861554599891728</v>
      </c>
      <c r="K118" s="163">
        <f t="shared" ca="1" si="953"/>
        <v>1.6623346622299013</v>
      </c>
      <c r="L118" s="163">
        <f t="shared" ca="1" si="953"/>
        <v>1.6049973255124388</v>
      </c>
      <c r="M118" s="163">
        <f t="shared" ca="1" si="953"/>
        <v>1.2125042223923179</v>
      </c>
      <c r="N118" s="163">
        <f t="shared" ca="1" si="953"/>
        <v>0.78296057630225158</v>
      </c>
      <c r="O118" s="163">
        <f t="shared" ca="1" si="953"/>
        <v>2.2974771606536599</v>
      </c>
      <c r="P118" s="163">
        <f t="shared" ca="1" si="953"/>
        <v>3.1626255923233391</v>
      </c>
      <c r="Q118" s="163">
        <f t="shared" ca="1" si="953"/>
        <v>2.8874956082188472</v>
      </c>
      <c r="R118" s="163">
        <f t="shared" ca="1" si="953"/>
        <v>2.3668341331827847</v>
      </c>
      <c r="S118" s="163">
        <f t="shared" ca="1" si="953"/>
        <v>5.1735707386107386</v>
      </c>
      <c r="T118" s="163">
        <f t="shared" ca="1" si="953"/>
        <v>5.2026630798132771</v>
      </c>
      <c r="U118" s="163">
        <f t="shared" ca="1" si="953"/>
        <v>2.7559158623291951</v>
      </c>
      <c r="V118" s="163">
        <f t="shared" ca="1" si="953"/>
        <v>2.5939529030642174</v>
      </c>
      <c r="W118" s="163">
        <f t="shared" ca="1" si="953"/>
        <v>4.2503515214896446</v>
      </c>
      <c r="X118" s="163">
        <f t="shared" ca="1" si="953"/>
        <v>5.1661051034899597</v>
      </c>
      <c r="Y118" s="163">
        <f t="shared" ca="1" si="953"/>
        <v>15.755646029443991</v>
      </c>
      <c r="Z118" s="163">
        <f t="shared" ref="Z118:AA119" ca="1" si="958">+Z93/Z$114</f>
        <v>22.683383703166044</v>
      </c>
      <c r="AA118" s="163">
        <f t="shared" ref="AA118" ca="1" si="959">+AA93/AA$114</f>
        <v>22.683383703166044</v>
      </c>
      <c r="AB118" s="94">
        <f t="shared" ca="1" si="953"/>
        <v>18.392818781469696</v>
      </c>
      <c r="AC118" s="94">
        <f t="shared" ca="1" si="953"/>
        <v>23.276617359290846</v>
      </c>
      <c r="AD118" s="94">
        <f t="shared" ca="1" si="953"/>
        <v>26.788378038126762</v>
      </c>
      <c r="AE118" s="94">
        <f t="shared" ca="1" si="953"/>
        <v>29.357650584452387</v>
      </c>
      <c r="AL118" s="163">
        <f t="shared" ref="AL118:BQ118" si="960">+AL93/AL114</f>
        <v>0.78077672549747423</v>
      </c>
      <c r="AM118" s="163">
        <f t="shared" si="960"/>
        <v>0.73712767834522308</v>
      </c>
      <c r="AN118" s="163">
        <f t="shared" si="960"/>
        <v>0.68471197539974527</v>
      </c>
      <c r="AO118" s="163">
        <f t="shared" si="960"/>
        <v>0.63086830039438757</v>
      </c>
      <c r="AP118" s="163">
        <f t="shared" si="960"/>
        <v>1.6958025169614197</v>
      </c>
      <c r="AQ118" s="163">
        <f t="shared" si="960"/>
        <v>2.3034618150943076</v>
      </c>
      <c r="AR118" s="163">
        <f t="shared" si="960"/>
        <v>2.0075687842038521</v>
      </c>
      <c r="AS118" s="163">
        <f t="shared" si="960"/>
        <v>3.3027467833573301</v>
      </c>
      <c r="AT118" s="163">
        <f t="shared" si="960"/>
        <v>3.1240889310156548</v>
      </c>
      <c r="AU118" s="163">
        <f t="shared" si="960"/>
        <v>2.6310409025348624</v>
      </c>
      <c r="AV118" s="163">
        <f t="shared" si="960"/>
        <v>2.7407147101770972</v>
      </c>
      <c r="AW118" s="163">
        <f t="shared" si="960"/>
        <v>4.5432736143578607</v>
      </c>
      <c r="AX118" s="163">
        <f t="shared" si="960"/>
        <v>2.7963534765981621</v>
      </c>
      <c r="AY118" s="163">
        <f t="shared" si="960"/>
        <v>2.2571494174662554</v>
      </c>
      <c r="AZ118" s="163">
        <f t="shared" si="960"/>
        <v>1.7207968911668847</v>
      </c>
      <c r="BA118" s="163">
        <f t="shared" si="960"/>
        <v>1.6611458729051591</v>
      </c>
      <c r="BB118" s="163">
        <f t="shared" si="960"/>
        <v>2.2665991905823519</v>
      </c>
      <c r="BC118" s="163">
        <f t="shared" si="960"/>
        <v>3.7454688134571477</v>
      </c>
      <c r="BD118" s="163">
        <f t="shared" si="960"/>
        <v>3.347592577288784</v>
      </c>
      <c r="BE118" s="163">
        <f t="shared" si="960"/>
        <v>4.1670211136699207</v>
      </c>
      <c r="BF118" s="163">
        <f t="shared" si="960"/>
        <v>5.1209336880935368</v>
      </c>
      <c r="BG118" s="163">
        <f t="shared" si="960"/>
        <v>4.8085493699225177</v>
      </c>
      <c r="BH118" s="163">
        <f t="shared" si="960"/>
        <v>2.800370705662345</v>
      </c>
      <c r="BI118" s="163">
        <f t="shared" si="960"/>
        <v>2.147262284895374</v>
      </c>
      <c r="BJ118" s="163">
        <f t="shared" si="960"/>
        <v>2.0570512489893824</v>
      </c>
      <c r="BK118" s="163">
        <f t="shared" si="960"/>
        <v>2.5296052151067832</v>
      </c>
      <c r="BL118" s="163">
        <f t="shared" si="960"/>
        <v>2.30474418967066</v>
      </c>
      <c r="BM118" s="163">
        <f t="shared" si="960"/>
        <v>3.0981318562099749</v>
      </c>
      <c r="BN118" s="163">
        <f t="shared" si="960"/>
        <v>2.7482557477903895</v>
      </c>
      <c r="BO118" s="163">
        <f t="shared" si="960"/>
        <v>2.3143292689337365</v>
      </c>
      <c r="BP118" s="163">
        <f t="shared" si="960"/>
        <v>3.4169617091448616</v>
      </c>
      <c r="BQ118" s="163">
        <f t="shared" si="960"/>
        <v>2.4443137078828481</v>
      </c>
      <c r="BR118" s="163">
        <f t="shared" ref="BR118:CJ118" si="961">+BR93/BR114</f>
        <v>2.4577133998137914</v>
      </c>
      <c r="BS118" s="163">
        <f t="shared" si="961"/>
        <v>3.083745539640212</v>
      </c>
      <c r="BT118" s="163">
        <f t="shared" si="961"/>
        <v>4.4886976435328316</v>
      </c>
      <c r="BU118" s="163">
        <f t="shared" si="961"/>
        <v>4.561682814107332</v>
      </c>
      <c r="BV118" s="163">
        <f t="shared" si="961"/>
        <v>4.2385741184875956</v>
      </c>
      <c r="BW118" s="163">
        <f t="shared" si="961"/>
        <v>5.1819068455354165</v>
      </c>
      <c r="BX118" s="163">
        <f t="shared" si="961"/>
        <v>3.9607912930454878</v>
      </c>
      <c r="BY118" s="163">
        <f t="shared" si="961"/>
        <v>5.3536578345289509</v>
      </c>
      <c r="BZ118" s="163">
        <f t="shared" si="961"/>
        <v>4.695358284593893</v>
      </c>
      <c r="CA118" s="163">
        <f t="shared" si="961"/>
        <v>7.0512395173489137</v>
      </c>
      <c r="CB118" s="163">
        <f t="shared" si="961"/>
        <v>10.709174371480868</v>
      </c>
      <c r="CC118" s="163">
        <f t="shared" si="961"/>
        <v>14.564047862338352</v>
      </c>
      <c r="CD118" s="163">
        <f t="shared" si="961"/>
        <v>15.712063176590723</v>
      </c>
      <c r="CE118" s="163">
        <f t="shared" si="961"/>
        <v>23.578261208551179</v>
      </c>
      <c r="CF118" s="163">
        <f t="shared" si="961"/>
        <v>24.472981578845083</v>
      </c>
      <c r="CG118" s="163">
        <f t="shared" si="961"/>
        <v>20.946745449199831</v>
      </c>
      <c r="CH118" s="163">
        <f t="shared" si="961"/>
        <v>16.343878571273898</v>
      </c>
      <c r="CI118" s="163">
        <f t="shared" si="961"/>
        <v>20.170095777755492</v>
      </c>
      <c r="CJ118" s="163">
        <f t="shared" si="961"/>
        <v>22.89805212233745</v>
      </c>
      <c r="CK118" s="163">
        <f t="shared" ref="CK118:CL118" si="962">+CK93/CK114</f>
        <v>27.399319757282484</v>
      </c>
      <c r="CL118" s="163">
        <f t="shared" si="962"/>
        <v>20.201890538557834</v>
      </c>
      <c r="CM118" s="94">
        <f t="shared" ref="CM118:DB118" si="963">+CL118</f>
        <v>20.201890538557834</v>
      </c>
      <c r="CN118" s="94">
        <f t="shared" si="963"/>
        <v>20.201890538557834</v>
      </c>
      <c r="CO118" s="94">
        <f t="shared" si="963"/>
        <v>20.201890538557834</v>
      </c>
      <c r="CP118" s="94">
        <f t="shared" si="963"/>
        <v>20.201890538557834</v>
      </c>
      <c r="CQ118" s="94">
        <f t="shared" si="963"/>
        <v>20.201890538557834</v>
      </c>
      <c r="CR118" s="94">
        <f t="shared" si="963"/>
        <v>20.201890538557834</v>
      </c>
      <c r="CS118" s="94">
        <f t="shared" si="963"/>
        <v>20.201890538557834</v>
      </c>
      <c r="CT118" s="94">
        <f t="shared" si="963"/>
        <v>20.201890538557834</v>
      </c>
      <c r="CU118" s="94">
        <f t="shared" si="963"/>
        <v>20.201890538557834</v>
      </c>
      <c r="CV118" s="94">
        <f t="shared" si="963"/>
        <v>20.201890538557834</v>
      </c>
      <c r="CW118" s="94">
        <f t="shared" si="963"/>
        <v>20.201890538557834</v>
      </c>
      <c r="CX118" s="94">
        <f t="shared" si="963"/>
        <v>20.201890538557834</v>
      </c>
      <c r="CY118" s="94">
        <f t="shared" si="963"/>
        <v>20.201890538557834</v>
      </c>
      <c r="CZ118" s="94">
        <f t="shared" si="963"/>
        <v>20.201890538557834</v>
      </c>
      <c r="DA118" s="94">
        <f t="shared" si="963"/>
        <v>20.201890538557834</v>
      </c>
      <c r="DB118" s="94">
        <f t="shared" si="963"/>
        <v>20.201890538557834</v>
      </c>
      <c r="DE118" s="164"/>
      <c r="DF118" s="163">
        <v>25.63237808079041</v>
      </c>
    </row>
    <row r="119" spans="1:110" s="163" customFormat="1" x14ac:dyDescent="0.2">
      <c r="A119" s="163" t="s">
        <v>509</v>
      </c>
      <c r="E119" s="163">
        <f t="shared" ca="1" si="953"/>
        <v>0.15812863863194532</v>
      </c>
      <c r="F119" s="163">
        <f t="shared" ca="1" si="953"/>
        <v>0.35844673666837823</v>
      </c>
      <c r="G119" s="163">
        <f t="shared" ca="1" si="953"/>
        <v>1.5011131202094716</v>
      </c>
      <c r="H119" s="163">
        <f t="shared" ca="1" si="953"/>
        <v>0.64298106500966967</v>
      </c>
      <c r="I119" s="163">
        <f t="shared" ca="1" si="953"/>
        <v>0.63021904931593986</v>
      </c>
      <c r="J119" s="163">
        <f t="shared" ca="1" si="953"/>
        <v>0.37596197617630756</v>
      </c>
      <c r="K119" s="163">
        <f t="shared" ca="1" si="953"/>
        <v>0.73349784449744948</v>
      </c>
      <c r="L119" s="163">
        <f t="shared" ca="1" si="953"/>
        <v>0.77508704765618253</v>
      </c>
      <c r="M119" s="163">
        <f t="shared" ca="1" si="953"/>
        <v>0.76438725160823517</v>
      </c>
      <c r="N119" s="163">
        <f t="shared" ca="1" si="953"/>
        <v>0.49045277651974722</v>
      </c>
      <c r="O119" s="163">
        <f t="shared" ca="1" si="953"/>
        <v>1.2619944966970846</v>
      </c>
      <c r="P119" s="163">
        <f t="shared" ca="1" si="953"/>
        <v>0.73239750559066841</v>
      </c>
      <c r="Q119" s="163">
        <f t="shared" ca="1" si="953"/>
        <v>1.2831415395102668</v>
      </c>
      <c r="R119" s="163">
        <f t="shared" ca="1" si="953"/>
        <v>1.2654856932316625</v>
      </c>
      <c r="S119" s="163">
        <f t="shared" ca="1" si="953"/>
        <v>1.4820590919969825</v>
      </c>
      <c r="T119" s="163">
        <f t="shared" ca="1" si="953"/>
        <v>1.4913550985452408</v>
      </c>
      <c r="U119" s="163">
        <f t="shared" ca="1" si="953"/>
        <v>1.134788884488491</v>
      </c>
      <c r="V119" s="163">
        <f t="shared" ca="1" si="953"/>
        <v>0.87205349215564743</v>
      </c>
      <c r="W119" s="163">
        <f t="shared" ca="1" si="953"/>
        <v>1.4876230325213731</v>
      </c>
      <c r="X119" s="163">
        <f t="shared" ca="1" si="953"/>
        <v>2.581962656153526</v>
      </c>
      <c r="Y119" s="163">
        <f t="shared" ca="1" si="953"/>
        <v>3.074601782317222</v>
      </c>
      <c r="Z119" s="163">
        <f t="shared" ca="1" si="958"/>
        <v>10.039272367285934</v>
      </c>
      <c r="AA119" s="163">
        <f t="shared" ref="AA119" ca="1" si="964">+AA94/AA$114</f>
        <v>10.039272367285934</v>
      </c>
      <c r="AB119" s="94">
        <f t="shared" ca="1" si="953"/>
        <v>11.702100809506472</v>
      </c>
      <c r="AC119" s="94">
        <f t="shared" ca="1" si="953"/>
        <v>12.432079127923236</v>
      </c>
      <c r="AD119" s="94">
        <f t="shared" ca="1" si="953"/>
        <v>15.182493319604106</v>
      </c>
      <c r="AE119" s="94">
        <f t="shared" ca="1" si="953"/>
        <v>17.207125047859058</v>
      </c>
      <c r="AL119" s="163">
        <f t="shared" ref="AL119:BQ119" si="965">+AL94/AL114</f>
        <v>0.5237751249895457</v>
      </c>
      <c r="AM119" s="163">
        <f t="shared" si="965"/>
        <v>0.58710662268200686</v>
      </c>
      <c r="AN119" s="163">
        <f t="shared" si="965"/>
        <v>0.49755049417225422</v>
      </c>
      <c r="AO119" s="163">
        <f t="shared" si="965"/>
        <v>0.46224368926093407</v>
      </c>
      <c r="AP119" s="163">
        <f t="shared" si="965"/>
        <v>1.2585404026925859</v>
      </c>
      <c r="AQ119" s="163">
        <f t="shared" si="965"/>
        <v>1.2080133476060746</v>
      </c>
      <c r="AR119" s="163">
        <f t="shared" si="965"/>
        <v>1.2593776400908419</v>
      </c>
      <c r="AS119" s="163">
        <f t="shared" si="965"/>
        <v>1.7513249390697421</v>
      </c>
      <c r="AT119" s="163">
        <f t="shared" si="965"/>
        <v>1.7116019143330474</v>
      </c>
      <c r="AU119" s="163">
        <f t="shared" si="965"/>
        <v>1.444693002037877</v>
      </c>
      <c r="AV119" s="163">
        <f t="shared" si="965"/>
        <v>1.7296443254983109</v>
      </c>
      <c r="AW119" s="163">
        <f t="shared" si="965"/>
        <v>2.0243106695925897</v>
      </c>
      <c r="AX119" s="163">
        <f t="shared" si="965"/>
        <v>1.6122965438592229</v>
      </c>
      <c r="AY119" s="163">
        <f t="shared" si="965"/>
        <v>1.6085597565032868</v>
      </c>
      <c r="AZ119" s="163">
        <f t="shared" si="965"/>
        <v>1.2760681792059851</v>
      </c>
      <c r="BA119" s="163">
        <f t="shared" si="965"/>
        <v>1.1303327487413366</v>
      </c>
      <c r="BB119" s="163">
        <f t="shared" si="965"/>
        <v>1.4422722218528263</v>
      </c>
      <c r="BC119" s="163">
        <f t="shared" si="965"/>
        <v>2.1006241450704657</v>
      </c>
      <c r="BD119" s="163">
        <f t="shared" si="965"/>
        <v>2.08898539608002</v>
      </c>
      <c r="BE119" s="163">
        <f t="shared" si="965"/>
        <v>1.891722974197434</v>
      </c>
      <c r="BF119" s="163">
        <f t="shared" si="965"/>
        <v>3.6664434745594856</v>
      </c>
      <c r="BG119" s="163">
        <f t="shared" si="965"/>
        <v>2.5026480026020006</v>
      </c>
      <c r="BH119" s="163">
        <f t="shared" si="965"/>
        <v>1.9408234933152788</v>
      </c>
      <c r="BI119" s="163">
        <f t="shared" si="965"/>
        <v>1.4857361770246293</v>
      </c>
      <c r="BJ119" s="163">
        <f t="shared" si="965"/>
        <v>1.6653106736494991</v>
      </c>
      <c r="BK119" s="163">
        <f t="shared" si="965"/>
        <v>1.7929131700055074</v>
      </c>
      <c r="BL119" s="163">
        <f t="shared" si="965"/>
        <v>1.71557889098373</v>
      </c>
      <c r="BM119" s="163">
        <f t="shared" si="965"/>
        <v>1.7560774657699301</v>
      </c>
      <c r="BN119" s="163">
        <f t="shared" si="965"/>
        <v>1.1316347196783947</v>
      </c>
      <c r="BO119" s="163">
        <f t="shared" si="965"/>
        <v>1.2428519422892985</v>
      </c>
      <c r="BP119" s="163">
        <f t="shared" si="965"/>
        <v>1.8051603934300504</v>
      </c>
      <c r="BQ119" s="163">
        <f t="shared" si="965"/>
        <v>1.9400546543767418</v>
      </c>
      <c r="BR119" s="163">
        <f t="shared" ref="BR119:CJ119" si="966">+BR94/BR114</f>
        <v>1.8635409295291399</v>
      </c>
      <c r="BS119" s="163">
        <f t="shared" si="966"/>
        <v>1.9394297257272737</v>
      </c>
      <c r="BT119" s="163">
        <f t="shared" si="966"/>
        <v>2.6133208777552026</v>
      </c>
      <c r="BU119" s="163">
        <f t="shared" si="966"/>
        <v>3.1366977032094026</v>
      </c>
      <c r="BV119" s="163">
        <f t="shared" si="966"/>
        <v>2.6391121869828407</v>
      </c>
      <c r="BW119" s="163">
        <f t="shared" si="966"/>
        <v>3.6207322800699644</v>
      </c>
      <c r="BX119" s="163">
        <f t="shared" si="966"/>
        <v>2.860705662568519</v>
      </c>
      <c r="BY119" s="163">
        <f t="shared" si="966"/>
        <v>3.2539848568096859</v>
      </c>
      <c r="BZ119" s="163">
        <f t="shared" si="966"/>
        <v>3.9454052252490257</v>
      </c>
      <c r="CA119" s="163">
        <f t="shared" si="966"/>
        <v>3.5025429747994998</v>
      </c>
      <c r="CB119" s="163">
        <f t="shared" si="966"/>
        <v>5.6656501607249856</v>
      </c>
      <c r="CC119" s="163">
        <f t="shared" si="966"/>
        <v>9.0025805658865874</v>
      </c>
      <c r="CD119" s="163">
        <f t="shared" si="966"/>
        <v>9.6573074024688204</v>
      </c>
      <c r="CE119" s="163">
        <f t="shared" si="966"/>
        <v>12.038282333541179</v>
      </c>
      <c r="CF119" s="163">
        <f t="shared" si="966"/>
        <v>18.152434951243372</v>
      </c>
      <c r="CG119" s="163">
        <f t="shared" si="966"/>
        <v>14.568930416906172</v>
      </c>
      <c r="CH119" s="163">
        <f t="shared" si="966"/>
        <v>10.067101457630647</v>
      </c>
      <c r="CI119" s="163">
        <f t="shared" si="966"/>
        <v>9.6014662207384411</v>
      </c>
      <c r="CJ119" s="163">
        <f t="shared" si="966"/>
        <v>14.381235892516926</v>
      </c>
      <c r="CK119" s="163">
        <f t="shared" ref="CK119:CL119" si="967">+CK94/CK114</f>
        <v>17.478217231215318</v>
      </c>
      <c r="CL119" s="163">
        <f t="shared" si="967"/>
        <v>14.032236744693169</v>
      </c>
      <c r="CM119" s="94">
        <f t="shared" ref="CM119:DB119" si="968">+CL119</f>
        <v>14.032236744693169</v>
      </c>
      <c r="CN119" s="94">
        <f t="shared" si="968"/>
        <v>14.032236744693169</v>
      </c>
      <c r="CO119" s="94">
        <f t="shared" si="968"/>
        <v>14.032236744693169</v>
      </c>
      <c r="CP119" s="94">
        <f t="shared" si="968"/>
        <v>14.032236744693169</v>
      </c>
      <c r="CQ119" s="94">
        <f t="shared" si="968"/>
        <v>14.032236744693169</v>
      </c>
      <c r="CR119" s="94">
        <f t="shared" si="968"/>
        <v>14.032236744693169</v>
      </c>
      <c r="CS119" s="94">
        <f t="shared" si="968"/>
        <v>14.032236744693169</v>
      </c>
      <c r="CT119" s="94">
        <f t="shared" si="968"/>
        <v>14.032236744693169</v>
      </c>
      <c r="CU119" s="94">
        <f t="shared" si="968"/>
        <v>14.032236744693169</v>
      </c>
      <c r="CV119" s="94">
        <f t="shared" si="968"/>
        <v>14.032236744693169</v>
      </c>
      <c r="CW119" s="94">
        <f t="shared" si="968"/>
        <v>14.032236744693169</v>
      </c>
      <c r="CX119" s="94">
        <f t="shared" si="968"/>
        <v>14.032236744693169</v>
      </c>
      <c r="CY119" s="94">
        <f t="shared" si="968"/>
        <v>14.032236744693169</v>
      </c>
      <c r="CZ119" s="94">
        <f t="shared" si="968"/>
        <v>14.032236744693169</v>
      </c>
      <c r="DA119" s="94">
        <f t="shared" si="968"/>
        <v>14.032236744693169</v>
      </c>
      <c r="DB119" s="94">
        <f t="shared" si="968"/>
        <v>14.032236744693169</v>
      </c>
      <c r="DE119" s="164"/>
      <c r="DF119" s="163">
        <v>10.768663910998001</v>
      </c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162" customFormat="1" x14ac:dyDescent="0.2">
      <c r="A122" s="49" t="s">
        <v>340</v>
      </c>
      <c r="B122" s="162">
        <f t="shared" ref="B122:AE122" si="969">+B93*B80</f>
        <v>0.34648144648122908</v>
      </c>
      <c r="C122" s="162">
        <f t="shared" si="969"/>
        <v>0.13343390264827096</v>
      </c>
      <c r="D122" s="162">
        <f t="shared" si="969"/>
        <v>9.8341194306523841E-2</v>
      </c>
      <c r="E122" s="162">
        <f t="shared" ca="1" si="969"/>
        <v>8.0211900527426785</v>
      </c>
      <c r="F122" s="162">
        <f t="shared" ca="1" si="969"/>
        <v>53.151957170062808</v>
      </c>
      <c r="G122" s="162">
        <f t="shared" ca="1" si="969"/>
        <v>79.959397167948936</v>
      </c>
      <c r="H122" s="162">
        <f t="shared" ca="1" si="969"/>
        <v>40.905544235392846</v>
      </c>
      <c r="I122" s="162">
        <f t="shared" ca="1" si="969"/>
        <v>58.286192146110089</v>
      </c>
      <c r="J122" s="162">
        <f t="shared" ca="1" si="969"/>
        <v>35.687141472853128</v>
      </c>
      <c r="K122" s="162">
        <f t="shared" ca="1" si="969"/>
        <v>35.813393152591779</v>
      </c>
      <c r="L122" s="162">
        <f t="shared" ca="1" si="969"/>
        <v>35.729225366099342</v>
      </c>
      <c r="M122" s="162">
        <f t="shared" ca="1" si="969"/>
        <v>31.541877988093418</v>
      </c>
      <c r="N122" s="162">
        <f t="shared" ca="1" si="969"/>
        <v>33.625030703784759</v>
      </c>
      <c r="O122" s="162">
        <f t="shared" ca="1" si="969"/>
        <v>29.879564204865044</v>
      </c>
      <c r="P122" s="162">
        <f t="shared" ca="1" si="969"/>
        <v>79.959397167948936</v>
      </c>
      <c r="Q122" s="162">
        <f t="shared" ca="1" si="969"/>
        <v>71.121779586228158</v>
      </c>
      <c r="R122" s="162">
        <f t="shared" ca="1" si="969"/>
        <v>79.49647434223975</v>
      </c>
      <c r="S122" s="162">
        <f t="shared" ca="1" si="969"/>
        <v>267.4431415801667</v>
      </c>
      <c r="T122" s="162">
        <f t="shared" ca="1" si="969"/>
        <v>262.79287137645105</v>
      </c>
      <c r="U122" s="162">
        <f t="shared" ca="1" si="969"/>
        <v>143.08523703738226</v>
      </c>
      <c r="V122" s="162">
        <f t="shared" ca="1" si="969"/>
        <v>201.53976475647747</v>
      </c>
      <c r="W122" s="162">
        <f t="shared" ca="1" si="969"/>
        <v>446.08926841066341</v>
      </c>
      <c r="X122" s="162">
        <f t="shared" ca="1" si="969"/>
        <v>797.91061594963799</v>
      </c>
      <c r="Y122" s="162">
        <f t="shared" ca="1" si="969"/>
        <v>3535.0470326882596</v>
      </c>
      <c r="Z122" s="162">
        <f t="shared" ca="1" si="969"/>
        <v>5651.0251851116846</v>
      </c>
      <c r="AA122" s="162">
        <f t="shared" ref="AA122" ca="1" si="970">+AA93*AA80</f>
        <v>5651.0251851116846</v>
      </c>
      <c r="AB122" s="21">
        <f t="shared" ca="1" si="969"/>
        <v>4764.9775332482686</v>
      </c>
      <c r="AC122" s="21">
        <f t="shared" ca="1" si="969"/>
        <v>6932.6654439540607</v>
      </c>
      <c r="AD122" s="21">
        <f t="shared" ca="1" si="969"/>
        <v>9172.7640252118163</v>
      </c>
      <c r="AE122" s="21">
        <f t="shared" ca="1" si="969"/>
        <v>11557.233881029524</v>
      </c>
      <c r="AL122" s="162">
        <f t="shared" ref="AL122:BQ122" si="971">+AL93*AL80</f>
        <v>33.532018029940026</v>
      </c>
      <c r="AM122" s="162">
        <f t="shared" si="971"/>
        <v>29.796912141748955</v>
      </c>
      <c r="AN122" s="162">
        <f t="shared" si="971"/>
        <v>27.866407974818834</v>
      </c>
      <c r="AO122" s="162">
        <f t="shared" si="971"/>
        <v>22.452602811036254</v>
      </c>
      <c r="AP122" s="162">
        <f t="shared" si="971"/>
        <v>22.053911733083265</v>
      </c>
      <c r="AQ122" s="162">
        <f t="shared" si="971"/>
        <v>35.210717305531581</v>
      </c>
      <c r="AR122" s="162">
        <f t="shared" si="971"/>
        <v>45.324880440970361</v>
      </c>
      <c r="AS122" s="162">
        <f t="shared" si="971"/>
        <v>79.738215590596013</v>
      </c>
      <c r="AT122" s="162">
        <f t="shared" si="971"/>
        <v>78.898865952800364</v>
      </c>
      <c r="AU122" s="162">
        <f t="shared" si="971"/>
        <v>64.965661965390822</v>
      </c>
      <c r="AV122" s="162">
        <f t="shared" si="971"/>
        <v>49.941303448847066</v>
      </c>
      <c r="AW122" s="162">
        <f t="shared" si="971"/>
        <v>70.925044393740549</v>
      </c>
      <c r="AX122" s="162">
        <f t="shared" si="971"/>
        <v>68.784702817361591</v>
      </c>
      <c r="AY122" s="162">
        <f t="shared" si="971"/>
        <v>66.014849012635565</v>
      </c>
      <c r="AZ122" s="162">
        <f t="shared" si="971"/>
        <v>57.159710333890409</v>
      </c>
      <c r="BA122" s="162">
        <f t="shared" si="971"/>
        <v>62.909255352791291</v>
      </c>
      <c r="BB122" s="162">
        <f t="shared" si="971"/>
        <v>79.27657328980834</v>
      </c>
      <c r="BC122" s="162">
        <f t="shared" si="971"/>
        <v>136.2264462142499</v>
      </c>
      <c r="BD122" s="162">
        <f t="shared" si="971"/>
        <v>134.67364938432777</v>
      </c>
      <c r="BE122" s="162">
        <f t="shared" si="971"/>
        <v>200.60456343318364</v>
      </c>
      <c r="BF122" s="162">
        <f t="shared" si="971"/>
        <v>266.70334740959942</v>
      </c>
      <c r="BG122" s="162">
        <f t="shared" si="971"/>
        <v>262.06594066077719</v>
      </c>
      <c r="BH122" s="162">
        <f t="shared" si="971"/>
        <v>148.14521107094939</v>
      </c>
      <c r="BI122" s="162">
        <f t="shared" si="971"/>
        <v>108.5698756488799</v>
      </c>
      <c r="BJ122" s="162">
        <f t="shared" si="971"/>
        <v>104.45706242368085</v>
      </c>
      <c r="BK122" s="162">
        <f t="shared" si="971"/>
        <v>119.60732338589402</v>
      </c>
      <c r="BL122" s="162">
        <f t="shared" si="971"/>
        <v>104.33115997801144</v>
      </c>
      <c r="BM122" s="162">
        <f t="shared" si="971"/>
        <v>138.49269023629827</v>
      </c>
      <c r="BN122" s="162">
        <f t="shared" si="971"/>
        <v>142.68943842527705</v>
      </c>
      <c r="BO122" s="162">
        <f t="shared" si="971"/>
        <v>125.81851070558258</v>
      </c>
      <c r="BP122" s="162">
        <f t="shared" si="971"/>
        <v>200.9822707701916</v>
      </c>
      <c r="BQ122" s="162">
        <f t="shared" si="971"/>
        <v>171.89880582056915</v>
      </c>
      <c r="BR122" s="162">
        <f t="shared" ref="BR122:CJ122" si="972">+BR93*BR80</f>
        <v>190.95204259853253</v>
      </c>
      <c r="BS122" s="162">
        <f t="shared" si="972"/>
        <v>247.56617566785582</v>
      </c>
      <c r="BT122" s="162">
        <f t="shared" si="972"/>
        <v>373.46862133721862</v>
      </c>
      <c r="BU122" s="162">
        <f t="shared" si="972"/>
        <v>398.2714031340829</v>
      </c>
      <c r="BV122" s="162">
        <f t="shared" si="972"/>
        <v>444.85530803174714</v>
      </c>
      <c r="BW122" s="162">
        <f t="shared" si="972"/>
        <v>612.64130062711558</v>
      </c>
      <c r="BX122" s="162">
        <f t="shared" si="972"/>
        <v>550.61336239401157</v>
      </c>
      <c r="BY122" s="162">
        <f t="shared" si="972"/>
        <v>795.70345663036892</v>
      </c>
      <c r="BZ122" s="162">
        <f t="shared" si="972"/>
        <v>725.1980870555268</v>
      </c>
      <c r="CA122" s="162">
        <f t="shared" si="972"/>
        <v>1384.9269023629827</v>
      </c>
      <c r="CB122" s="162">
        <f t="shared" si="972"/>
        <v>2297.2999586469609</v>
      </c>
      <c r="CC122" s="162">
        <f t="shared" si="972"/>
        <v>3424.5465222066532</v>
      </c>
      <c r="CD122" s="162">
        <f t="shared" si="972"/>
        <v>3525.2684787421304</v>
      </c>
      <c r="CE122" s="162">
        <f t="shared" si="972"/>
        <v>4885.0148919712592</v>
      </c>
      <c r="CF122" s="162">
        <f t="shared" si="972"/>
        <v>5635.3934681606579</v>
      </c>
      <c r="CG122" s="162">
        <f t="shared" si="972"/>
        <v>5061.2783159083583</v>
      </c>
      <c r="CH122" s="162">
        <f t="shared" si="972"/>
        <v>4071.6850929471811</v>
      </c>
      <c r="CI122" s="162">
        <f t="shared" si="972"/>
        <v>5027.9006249999993</v>
      </c>
      <c r="CJ122" s="162">
        <f t="shared" si="972"/>
        <v>5204.1089999999995</v>
      </c>
      <c r="CK122" s="162">
        <f t="shared" ref="CK122:CL122" si="973">+CK93*CK80</f>
        <v>5707.4975000000004</v>
      </c>
      <c r="CL122" s="162">
        <f t="shared" si="973"/>
        <v>4502.4559499999996</v>
      </c>
      <c r="CM122" s="21">
        <f t="shared" ref="CM122:DB122" si="974">+CM93*CM80</f>
        <v>4478.0172918575608</v>
      </c>
      <c r="CN122" s="21">
        <f t="shared" si="974"/>
        <v>4364.5704783851834</v>
      </c>
      <c r="CO122" s="21">
        <f t="shared" si="974"/>
        <v>4590.0968091580435</v>
      </c>
      <c r="CP122" s="21">
        <f t="shared" si="974"/>
        <v>4764.9775332482686</v>
      </c>
      <c r="CQ122" s="21">
        <f t="shared" si="974"/>
        <v>5330.7614843491965</v>
      </c>
      <c r="CR122" s="21">
        <f t="shared" si="974"/>
        <v>5866.3567720363408</v>
      </c>
      <c r="CS122" s="21">
        <f t="shared" si="974"/>
        <v>6364.9431024514206</v>
      </c>
      <c r="CT122" s="21">
        <f t="shared" si="974"/>
        <v>6932.6654439540607</v>
      </c>
      <c r="CU122" s="21">
        <f t="shared" si="974"/>
        <v>7484.4865301239561</v>
      </c>
      <c r="CV122" s="21">
        <f t="shared" si="974"/>
        <v>8044.6308292097283</v>
      </c>
      <c r="CW122" s="21">
        <f t="shared" si="974"/>
        <v>8569.0495516843603</v>
      </c>
      <c r="CX122" s="21">
        <f t="shared" si="974"/>
        <v>9172.7640252118163</v>
      </c>
      <c r="CY122" s="21">
        <f t="shared" si="974"/>
        <v>9752.2770387866003</v>
      </c>
      <c r="CZ122" s="21">
        <f t="shared" si="974"/>
        <v>10349.210530671291</v>
      </c>
      <c r="DA122" s="21">
        <f t="shared" si="974"/>
        <v>10906.117921639683</v>
      </c>
      <c r="DB122" s="21">
        <f t="shared" si="974"/>
        <v>11557.233881029524</v>
      </c>
      <c r="DE122" s="22"/>
      <c r="DF122" s="162">
        <v>5712.7650000000003</v>
      </c>
    </row>
    <row r="123" spans="1:110" s="162" customFormat="1" x14ac:dyDescent="0.2">
      <c r="A123" s="49" t="s">
        <v>341</v>
      </c>
      <c r="B123" s="162">
        <f t="shared" ref="B123:AE123" si="975">+B94*B80</f>
        <v>9.4006594006535035E-2</v>
      </c>
      <c r="C123" s="162">
        <f t="shared" si="975"/>
        <v>3.3460489349107655E-2</v>
      </c>
      <c r="D123" s="162">
        <f t="shared" si="975"/>
        <v>2.9379941867509144E-2</v>
      </c>
      <c r="E123" s="162">
        <f t="shared" ca="1" si="975"/>
        <v>1.4729362636201115</v>
      </c>
      <c r="F123" s="162">
        <f t="shared" ca="1" si="975"/>
        <v>4.2252228819274187</v>
      </c>
      <c r="G123" s="162">
        <f t="shared" ca="1" si="975"/>
        <v>24.198238616616113</v>
      </c>
      <c r="H123" s="162">
        <f t="shared" ca="1" si="975"/>
        <v>14.561027063215953</v>
      </c>
      <c r="I123" s="162">
        <f t="shared" ca="1" si="975"/>
        <v>15.150201568664006</v>
      </c>
      <c r="J123" s="162">
        <f t="shared" ca="1" si="975"/>
        <v>9.6792954466464565</v>
      </c>
      <c r="K123" s="162">
        <f t="shared" ca="1" si="975"/>
        <v>15.802501913981491</v>
      </c>
      <c r="L123" s="162">
        <f t="shared" ca="1" si="975"/>
        <v>17.254396230978458</v>
      </c>
      <c r="M123" s="162">
        <f t="shared" ca="1" si="975"/>
        <v>19.884639558871505</v>
      </c>
      <c r="N123" s="162">
        <f t="shared" ca="1" si="975"/>
        <v>21.062988569767608</v>
      </c>
      <c r="O123" s="162">
        <f t="shared" ca="1" si="975"/>
        <v>16.41271836605268</v>
      </c>
      <c r="P123" s="162">
        <f t="shared" ca="1" si="975"/>
        <v>18.516913028367131</v>
      </c>
      <c r="Q123" s="162">
        <f t="shared" ca="1" si="975"/>
        <v>31.605003827962875</v>
      </c>
      <c r="R123" s="162">
        <f t="shared" ca="1" si="975"/>
        <v>42.504732178751759</v>
      </c>
      <c r="S123" s="162">
        <f t="shared" ca="1" si="975"/>
        <v>76.613727654868953</v>
      </c>
      <c r="T123" s="162">
        <f t="shared" ca="1" si="975"/>
        <v>75.330168910857054</v>
      </c>
      <c r="U123" s="162">
        <f t="shared" ca="1" si="975"/>
        <v>58.917450544804403</v>
      </c>
      <c r="V123" s="162">
        <f t="shared" ca="1" si="975"/>
        <v>67.755068126525188</v>
      </c>
      <c r="W123" s="162">
        <f t="shared" ca="1" si="975"/>
        <v>156.13124394373193</v>
      </c>
      <c r="X123" s="162">
        <f t="shared" ca="1" si="975"/>
        <v>398.78697240183391</v>
      </c>
      <c r="Y123" s="162">
        <f t="shared" ca="1" si="975"/>
        <v>689.83917809316813</v>
      </c>
      <c r="Z123" s="162">
        <f t="shared" ca="1" si="975"/>
        <v>2501.0457756269489</v>
      </c>
      <c r="AA123" s="162">
        <f t="shared" ref="AA123" ca="1" si="976">+AA94*AA80</f>
        <v>2501.0457756269489</v>
      </c>
      <c r="AB123" s="21">
        <f t="shared" ca="1" si="975"/>
        <v>3031.6314270046396</v>
      </c>
      <c r="AC123" s="21">
        <f t="shared" ca="1" si="975"/>
        <v>3702.7478708049598</v>
      </c>
      <c r="AD123" s="21">
        <f t="shared" ca="1" si="975"/>
        <v>5198.7256689028618</v>
      </c>
      <c r="AE123" s="21">
        <f t="shared" ca="1" si="975"/>
        <v>6773.933357717221</v>
      </c>
      <c r="AL123" s="162">
        <f t="shared" ref="AL123:BQ123" si="977">+AL94*AL80</f>
        <v>22.494570292926024</v>
      </c>
      <c r="AM123" s="162">
        <f t="shared" si="977"/>
        <v>23.732611008674766</v>
      </c>
      <c r="AN123" s="162">
        <f t="shared" si="977"/>
        <v>20.249310011822402</v>
      </c>
      <c r="AO123" s="162">
        <f t="shared" si="977"/>
        <v>16.451252900796643</v>
      </c>
      <c r="AP123" s="162">
        <f t="shared" si="977"/>
        <v>16.367317937017081</v>
      </c>
      <c r="AQ123" s="162">
        <f t="shared" si="977"/>
        <v>18.465692031506457</v>
      </c>
      <c r="AR123" s="162">
        <f t="shared" si="977"/>
        <v>28.432968980330934</v>
      </c>
      <c r="AS123" s="162">
        <f t="shared" si="977"/>
        <v>42.282238003960785</v>
      </c>
      <c r="AT123" s="162">
        <f t="shared" si="977"/>
        <v>43.226506346481116</v>
      </c>
      <c r="AU123" s="162">
        <f t="shared" si="977"/>
        <v>35.672359606319262</v>
      </c>
      <c r="AV123" s="162">
        <f t="shared" si="977"/>
        <v>31.517578899230219</v>
      </c>
      <c r="AW123" s="162">
        <f t="shared" si="977"/>
        <v>31.601513863009917</v>
      </c>
      <c r="AX123" s="162">
        <f t="shared" si="977"/>
        <v>39.659270385849162</v>
      </c>
      <c r="AY123" s="162">
        <f t="shared" si="977"/>
        <v>47.045547198451629</v>
      </c>
      <c r="AZ123" s="162">
        <f t="shared" si="977"/>
        <v>42.387156708685204</v>
      </c>
      <c r="BA123" s="162">
        <f t="shared" si="977"/>
        <v>42.806831527583164</v>
      </c>
      <c r="BB123" s="162">
        <f t="shared" si="977"/>
        <v>50.444913231524453</v>
      </c>
      <c r="BC123" s="162">
        <f t="shared" si="977"/>
        <v>76.401800780357902</v>
      </c>
      <c r="BD123" s="162">
        <f t="shared" si="977"/>
        <v>84.039882484299184</v>
      </c>
      <c r="BE123" s="162">
        <f t="shared" si="977"/>
        <v>91.069435700838667</v>
      </c>
      <c r="BF123" s="162">
        <f t="shared" si="977"/>
        <v>190.95204259853253</v>
      </c>
      <c r="BG123" s="162">
        <f t="shared" si="977"/>
        <v>136.39431614180901</v>
      </c>
      <c r="BH123" s="162">
        <f t="shared" si="977"/>
        <v>102.67344444336487</v>
      </c>
      <c r="BI123" s="162">
        <f t="shared" si="977"/>
        <v>75.121792582719308</v>
      </c>
      <c r="BJ123" s="162">
        <f t="shared" si="977"/>
        <v>84.56447600792157</v>
      </c>
      <c r="BK123" s="162">
        <f t="shared" si="977"/>
        <v>84.774313417370408</v>
      </c>
      <c r="BL123" s="162">
        <f t="shared" si="977"/>
        <v>77.660825237051498</v>
      </c>
      <c r="BM123" s="162">
        <f t="shared" si="977"/>
        <v>78.500174874847403</v>
      </c>
      <c r="BN123" s="162">
        <f t="shared" si="977"/>
        <v>58.754474645702253</v>
      </c>
      <c r="BO123" s="162">
        <f t="shared" si="977"/>
        <v>67.567645842557724</v>
      </c>
      <c r="BP123" s="162">
        <f t="shared" si="977"/>
        <v>106.17772918116214</v>
      </c>
      <c r="BQ123" s="162">
        <f t="shared" si="977"/>
        <v>136.43628362369876</v>
      </c>
      <c r="BR123" s="162">
        <f t="shared" ref="BR123:CJ123" si="978">+BR94*BR80</f>
        <v>144.78781251976653</v>
      </c>
      <c r="BS123" s="162">
        <f t="shared" si="978"/>
        <v>155.69935781111124</v>
      </c>
      <c r="BT123" s="162">
        <f t="shared" si="978"/>
        <v>217.43352367098836</v>
      </c>
      <c r="BU123" s="162">
        <f t="shared" si="978"/>
        <v>273.85880307180645</v>
      </c>
      <c r="BV123" s="162">
        <f t="shared" si="978"/>
        <v>276.98538047259711</v>
      </c>
      <c r="BW123" s="162">
        <f t="shared" si="978"/>
        <v>428.06831527583165</v>
      </c>
      <c r="BX123" s="162">
        <f t="shared" si="978"/>
        <v>397.68385838762532</v>
      </c>
      <c r="BY123" s="162">
        <f t="shared" si="978"/>
        <v>483.63326129790994</v>
      </c>
      <c r="BZ123" s="162">
        <f t="shared" si="978"/>
        <v>609.36783703971196</v>
      </c>
      <c r="CA123" s="162">
        <f t="shared" si="978"/>
        <v>687.93096313739488</v>
      </c>
      <c r="CB123" s="162">
        <f t="shared" si="978"/>
        <v>1215.3782755282414</v>
      </c>
      <c r="CC123" s="162">
        <f t="shared" si="978"/>
        <v>2116.8397865208744</v>
      </c>
      <c r="CD123" s="162">
        <f t="shared" si="978"/>
        <v>2166.7810899697215</v>
      </c>
      <c r="CE123" s="162">
        <f t="shared" si="978"/>
        <v>2494.1274487100627</v>
      </c>
      <c r="CF123" s="162">
        <f t="shared" si="978"/>
        <v>4179.9611962228119</v>
      </c>
      <c r="CG123" s="162">
        <f t="shared" si="978"/>
        <v>3520.23238091537</v>
      </c>
      <c r="CH123" s="162">
        <f t="shared" si="978"/>
        <v>2507.9767177336926</v>
      </c>
      <c r="CI123" s="162">
        <f t="shared" si="978"/>
        <v>2393.4054921745746</v>
      </c>
      <c r="CJ123" s="162">
        <f t="shared" si="978"/>
        <v>3268.4666249999996</v>
      </c>
      <c r="CK123" s="162">
        <f t="shared" ref="CK123:CL123" si="979">+CK94*CK80</f>
        <v>3640.8524750000006</v>
      </c>
      <c r="CL123" s="162">
        <f t="shared" si="979"/>
        <v>3127.4067000000005</v>
      </c>
      <c r="CM123" s="21">
        <f t="shared" ref="CM123:DB123" si="980">+CM94*CM80</f>
        <v>3110.4316037275589</v>
      </c>
      <c r="CN123" s="21">
        <f t="shared" si="980"/>
        <v>3031.6314270046396</v>
      </c>
      <c r="CO123" s="21">
        <f t="shared" si="980"/>
        <v>3188.2820562874113</v>
      </c>
      <c r="CP123" s="21">
        <f t="shared" si="980"/>
        <v>3309.7542382019551</v>
      </c>
      <c r="CQ123" s="21">
        <f t="shared" si="980"/>
        <v>3702.7478708049598</v>
      </c>
      <c r="CR123" s="21">
        <f t="shared" si="980"/>
        <v>4074.7724524560485</v>
      </c>
      <c r="CS123" s="21">
        <f t="shared" si="980"/>
        <v>4421.0906058337696</v>
      </c>
      <c r="CT123" s="21">
        <f t="shared" si="980"/>
        <v>4815.4306447529834</v>
      </c>
      <c r="CU123" s="21">
        <f t="shared" si="980"/>
        <v>5198.7256689028618</v>
      </c>
      <c r="CV123" s="21">
        <f t="shared" si="980"/>
        <v>5587.8019982176756</v>
      </c>
      <c r="CW123" s="21">
        <f t="shared" si="980"/>
        <v>5952.0633356934168</v>
      </c>
      <c r="CX123" s="21">
        <f t="shared" si="980"/>
        <v>6371.4035158892357</v>
      </c>
      <c r="CY123" s="21">
        <f t="shared" si="980"/>
        <v>6773.933357717221</v>
      </c>
      <c r="CZ123" s="21">
        <f t="shared" si="980"/>
        <v>7188.5634668634457</v>
      </c>
      <c r="DA123" s="21">
        <f t="shared" si="980"/>
        <v>7575.391439226858</v>
      </c>
      <c r="DB123" s="21">
        <f t="shared" si="980"/>
        <v>8027.6566998948074</v>
      </c>
      <c r="DE123" s="22"/>
      <c r="DF123" s="162">
        <v>2400.0444318358573</v>
      </c>
    </row>
    <row r="124" spans="1:110" s="162" customFormat="1" x14ac:dyDescent="0.2">
      <c r="A124" s="49" t="s">
        <v>80</v>
      </c>
      <c r="B124" s="162">
        <f>+B183</f>
        <v>4.926952</v>
      </c>
      <c r="C124" s="162">
        <f t="shared" ref="C124:W124" si="981">+C183</f>
        <v>4.3623892</v>
      </c>
      <c r="D124" s="162">
        <f t="shared" si="981"/>
        <v>4.0970407</v>
      </c>
      <c r="E124" s="162">
        <f t="shared" si="981"/>
        <v>2.0096995</v>
      </c>
      <c r="F124" s="162">
        <f t="shared" si="981"/>
        <v>2.1944583</v>
      </c>
      <c r="G124" s="162">
        <f t="shared" si="981"/>
        <v>-3.2707857000000002</v>
      </c>
      <c r="H124" s="162">
        <f t="shared" si="981"/>
        <v>-0.90717139999999996</v>
      </c>
      <c r="I124" s="162">
        <f t="shared" si="981"/>
        <v>-2.7811903999999998</v>
      </c>
      <c r="J124" s="162">
        <f t="shared" si="981"/>
        <v>-2.4181287</v>
      </c>
      <c r="K124" s="162">
        <f t="shared" si="981"/>
        <v>-1.1879820999999999</v>
      </c>
      <c r="L124" s="162">
        <f t="shared" si="981"/>
        <v>1.7338678999999999</v>
      </c>
      <c r="M124" s="162">
        <f t="shared" si="981"/>
        <v>2.2353166</v>
      </c>
      <c r="N124" s="162">
        <f t="shared" si="981"/>
        <v>2.4531833000000001</v>
      </c>
      <c r="O124" s="162">
        <f t="shared" si="981"/>
        <v>10.133029299999999</v>
      </c>
      <c r="P124" s="162">
        <f t="shared" si="981"/>
        <v>8.8374007000000017</v>
      </c>
      <c r="Q124" s="162">
        <f t="shared" si="981"/>
        <v>9.0131941999999992</v>
      </c>
      <c r="R124" s="162">
        <f t="shared" si="981"/>
        <v>11.133100499999999</v>
      </c>
      <c r="S124" s="162">
        <f t="shared" si="981"/>
        <v>-10.963350800000001</v>
      </c>
      <c r="T124" s="162">
        <f t="shared" si="981"/>
        <v>-10.1011864</v>
      </c>
      <c r="U124" s="162">
        <f t="shared" si="981"/>
        <v>-7.9235727000000002</v>
      </c>
      <c r="V124" s="162">
        <f t="shared" si="981"/>
        <v>-42.970500000000001</v>
      </c>
      <c r="W124" s="162">
        <f t="shared" si="981"/>
        <v>11.533300000000001</v>
      </c>
      <c r="X124" s="162">
        <f t="shared" ref="X124:Y124" si="982">+X183</f>
        <v>26.651700000000002</v>
      </c>
      <c r="Y124" s="162">
        <f t="shared" si="982"/>
        <v>-1.782</v>
      </c>
      <c r="Z124" s="162">
        <f t="shared" ref="Z124:AA124" si="983">+Z183</f>
        <v>13.342899999999997</v>
      </c>
      <c r="AA124" s="162">
        <f t="shared" ref="AA124" si="984">+AA183</f>
        <v>23.330100000000002</v>
      </c>
      <c r="AB124" s="21">
        <f t="shared" ref="AB124:AD124" si="985">+AB183</f>
        <v>6.7352055429371767</v>
      </c>
      <c r="AC124" s="21">
        <f t="shared" si="985"/>
        <v>-11.109738166204778</v>
      </c>
      <c r="AD124" s="21">
        <f t="shared" si="985"/>
        <v>-27.667538406022409</v>
      </c>
      <c r="AE124" s="21">
        <f t="shared" ref="AE124" si="986">+AE183</f>
        <v>-43.43867650568658</v>
      </c>
      <c r="AL124" s="162">
        <f t="shared" ref="AL124:AM124" si="987">+AL183</f>
        <v>2.4530000000000003</v>
      </c>
      <c r="AM124" s="162">
        <f t="shared" si="987"/>
        <v>-7.6873360052920363</v>
      </c>
      <c r="AN124" s="162">
        <f t="shared" ref="AN124:AO124" si="988">+AN183</f>
        <v>5.5659999999999998</v>
      </c>
      <c r="AO124" s="162">
        <f t="shared" si="988"/>
        <v>9.7745833333333323</v>
      </c>
      <c r="AP124" s="162">
        <f t="shared" ref="AP124:CD124" si="989">+AP183</f>
        <v>9.1129999999999995</v>
      </c>
      <c r="AQ124" s="162">
        <f t="shared" si="989"/>
        <v>16.540732819524727</v>
      </c>
      <c r="AR124" s="162">
        <f t="shared" si="989"/>
        <v>11.266</v>
      </c>
      <c r="AS124" s="162">
        <f t="shared" si="989"/>
        <v>5.5492990790111492</v>
      </c>
      <c r="AT124" s="162">
        <f t="shared" si="989"/>
        <v>7.8169999999999993</v>
      </c>
      <c r="AU124" s="162">
        <f t="shared" si="989"/>
        <v>5.8640582110743003</v>
      </c>
      <c r="AV124" s="162">
        <f t="shared" si="989"/>
        <v>12.011000000000001</v>
      </c>
      <c r="AW124" s="162">
        <f t="shared" si="989"/>
        <v>11.674128478543562</v>
      </c>
      <c r="AX124" s="162">
        <f t="shared" si="989"/>
        <v>7.995000000000001</v>
      </c>
      <c r="AY124" s="162">
        <f t="shared" si="989"/>
        <v>1.0756929539090354</v>
      </c>
      <c r="AZ124" s="162">
        <f t="shared" si="989"/>
        <v>7.7949999999999999</v>
      </c>
      <c r="BA124" s="162">
        <f t="shared" si="989"/>
        <v>8.3567581573896348</v>
      </c>
      <c r="BB124" s="162">
        <f t="shared" si="989"/>
        <v>10.113</v>
      </c>
      <c r="BC124" s="162">
        <f t="shared" si="989"/>
        <v>-3.4486818181818215</v>
      </c>
      <c r="BD124" s="162">
        <f t="shared" si="989"/>
        <v>-2.7759999999999998</v>
      </c>
      <c r="BE124" s="162">
        <f t="shared" si="989"/>
        <v>3.6376859688195946</v>
      </c>
      <c r="BF124" s="162">
        <f t="shared" si="989"/>
        <v>-10.964</v>
      </c>
      <c r="BG124" s="162">
        <f t="shared" si="989"/>
        <v>-15.353020620002804</v>
      </c>
      <c r="BH124" s="162">
        <f t="shared" si="989"/>
        <v>-15.704000000000001</v>
      </c>
      <c r="BI124" s="162">
        <f t="shared" si="989"/>
        <v>-14.921676260420805</v>
      </c>
      <c r="BJ124" s="162">
        <f t="shared" si="989"/>
        <v>-10.101000000000001</v>
      </c>
      <c r="BK124" s="162">
        <f t="shared" si="989"/>
        <v>-20.072092497927606</v>
      </c>
      <c r="BL124" s="162">
        <f t="shared" si="989"/>
        <v>-17.321999999999999</v>
      </c>
      <c r="BM124" s="162">
        <f t="shared" si="989"/>
        <v>-9.4458134226522841</v>
      </c>
      <c r="BN124" s="162">
        <f t="shared" si="989"/>
        <v>-7.9240000000000004</v>
      </c>
      <c r="BO124" s="162">
        <f t="shared" si="989"/>
        <v>-25.530598967456434</v>
      </c>
      <c r="BP124" s="162">
        <f t="shared" si="989"/>
        <v>-18.928000000000001</v>
      </c>
      <c r="BQ124" s="162">
        <f t="shared" si="989"/>
        <v>-1.5600220535357607</v>
      </c>
      <c r="BR124" s="162">
        <f t="shared" si="989"/>
        <v>-42.970999999999997</v>
      </c>
      <c r="BS124" s="162">
        <f t="shared" si="989"/>
        <v>-54.131178680796864</v>
      </c>
      <c r="BT124" s="162">
        <f t="shared" si="989"/>
        <v>-25.989000000000001</v>
      </c>
      <c r="BU124" s="162">
        <f t="shared" si="989"/>
        <v>-1.9924546514641079</v>
      </c>
      <c r="BV124" s="162">
        <f t="shared" si="989"/>
        <v>11.534000000000001</v>
      </c>
      <c r="BW124" s="162">
        <f t="shared" si="989"/>
        <v>-14.894102699693843</v>
      </c>
      <c r="BX124" s="162">
        <f t="shared" si="989"/>
        <v>28.089999999999996</v>
      </c>
      <c r="BY124" s="162">
        <f t="shared" si="989"/>
        <v>26.11274810213941</v>
      </c>
      <c r="BZ124" s="162">
        <f t="shared" si="989"/>
        <v>26.651</v>
      </c>
      <c r="CA124" s="162">
        <f t="shared" si="989"/>
        <v>44.073146085168744</v>
      </c>
      <c r="CB124" s="162">
        <f t="shared" si="989"/>
        <v>10.856999999999999</v>
      </c>
      <c r="CC124" s="162">
        <f t="shared" si="989"/>
        <v>3.7476746728507742</v>
      </c>
      <c r="CD124" s="162">
        <f t="shared" si="989"/>
        <v>-1.782</v>
      </c>
      <c r="CE124" s="162">
        <f t="shared" ref="CE124:CF124" si="990">+CE183</f>
        <v>15.838391992528907</v>
      </c>
      <c r="CF124" s="162">
        <f t="shared" si="990"/>
        <v>3.1169999999999991</v>
      </c>
      <c r="CG124" s="162">
        <f t="shared" ref="CG124:CH124" si="991">+CG183</f>
        <v>-29.593532885559313</v>
      </c>
      <c r="CH124" s="162">
        <f t="shared" si="991"/>
        <v>13.342899999999997</v>
      </c>
      <c r="CI124" s="162">
        <f t="shared" ref="CI124:CJ124" si="992">+CI183</f>
        <v>12.767756486876014</v>
      </c>
      <c r="CJ124" s="162">
        <f t="shared" si="992"/>
        <v>-18.873000000000001</v>
      </c>
      <c r="CK124" s="162">
        <f t="shared" ref="CK124:CL124" si="993">+CK183</f>
        <v>-37.372976000577438</v>
      </c>
      <c r="CL124" s="162">
        <f t="shared" si="993"/>
        <v>23.33</v>
      </c>
      <c r="CM124" s="21">
        <f t="shared" ref="CM124:DB124" si="994">+CM183</f>
        <v>0.93741949403219138</v>
      </c>
      <c r="CN124" s="21">
        <f t="shared" si="994"/>
        <v>3.030812506896531</v>
      </c>
      <c r="CO124" s="21">
        <f t="shared" si="994"/>
        <v>-21.072066003000899</v>
      </c>
      <c r="CP124" s="21">
        <f t="shared" si="994"/>
        <v>6.7352055429371767</v>
      </c>
      <c r="CQ124" s="21">
        <f t="shared" si="994"/>
        <v>-21.255776037052762</v>
      </c>
      <c r="CR124" s="21">
        <f t="shared" si="994"/>
        <v>-17.637278942212866</v>
      </c>
      <c r="CS124" s="21">
        <f t="shared" si="994"/>
        <v>-44.183584886899176</v>
      </c>
      <c r="CT124" s="21">
        <f t="shared" si="994"/>
        <v>-11.109738166204778</v>
      </c>
      <c r="CU124" s="21">
        <f t="shared" si="994"/>
        <v>-42.145759463472849</v>
      </c>
      <c r="CV124" s="21">
        <f t="shared" si="994"/>
        <v>-36.99889647488245</v>
      </c>
      <c r="CW124" s="21">
        <f t="shared" si="994"/>
        <v>-66.584588768604959</v>
      </c>
      <c r="CX124" s="21">
        <f t="shared" si="994"/>
        <v>-27.667538406022409</v>
      </c>
      <c r="CY124" s="21">
        <f t="shared" si="994"/>
        <v>-62.367124845897074</v>
      </c>
      <c r="CZ124" s="21">
        <f t="shared" si="994"/>
        <v>-55.64887945732368</v>
      </c>
      <c r="DA124" s="21">
        <f t="shared" si="994"/>
        <v>-88.903737535528109</v>
      </c>
      <c r="DB124" s="21">
        <f t="shared" si="994"/>
        <v>-43.43867650568658</v>
      </c>
      <c r="DE124" s="22"/>
      <c r="DF124" s="162">
        <v>23.33</v>
      </c>
    </row>
    <row r="125" spans="1:110" s="162" customFormat="1" x14ac:dyDescent="0.2">
      <c r="A125" s="49" t="s">
        <v>342</v>
      </c>
      <c r="B125" s="162">
        <f>+B122+B124</f>
        <v>5.2734334464812287</v>
      </c>
      <c r="C125" s="162">
        <f t="shared" ref="C125:W125" si="995">+C122+C124</f>
        <v>4.4958231026482709</v>
      </c>
      <c r="D125" s="162">
        <f t="shared" si="995"/>
        <v>4.1953818943065242</v>
      </c>
      <c r="E125" s="162">
        <f t="shared" ca="1" si="995"/>
        <v>10.030889552742678</v>
      </c>
      <c r="F125" s="162">
        <f t="shared" ca="1" si="995"/>
        <v>55.346415470062809</v>
      </c>
      <c r="G125" s="162">
        <f t="shared" ca="1" si="995"/>
        <v>76.688611467948931</v>
      </c>
      <c r="H125" s="162">
        <f t="shared" ca="1" si="995"/>
        <v>39.998372835392843</v>
      </c>
      <c r="I125" s="162">
        <f t="shared" ca="1" si="995"/>
        <v>55.505001746110089</v>
      </c>
      <c r="J125" s="162">
        <f t="shared" ca="1" si="995"/>
        <v>33.269012772853131</v>
      </c>
      <c r="K125" s="162">
        <f t="shared" ca="1" si="995"/>
        <v>34.62541105259178</v>
      </c>
      <c r="L125" s="162">
        <f t="shared" ca="1" si="995"/>
        <v>37.463093266099342</v>
      </c>
      <c r="M125" s="162">
        <f t="shared" ca="1" si="995"/>
        <v>33.777194588093415</v>
      </c>
      <c r="N125" s="162">
        <f t="shared" ca="1" si="995"/>
        <v>36.078214003784758</v>
      </c>
      <c r="O125" s="162">
        <f t="shared" ca="1" si="995"/>
        <v>40.012593504865045</v>
      </c>
      <c r="P125" s="162">
        <f t="shared" ca="1" si="995"/>
        <v>88.796797867948939</v>
      </c>
      <c r="Q125" s="162">
        <f t="shared" ca="1" si="995"/>
        <v>80.134973786228159</v>
      </c>
      <c r="R125" s="162">
        <f t="shared" ca="1" si="995"/>
        <v>90.629574842239748</v>
      </c>
      <c r="S125" s="162">
        <f t="shared" ca="1" si="995"/>
        <v>256.4797907801667</v>
      </c>
      <c r="T125" s="162">
        <f t="shared" ca="1" si="995"/>
        <v>252.69168497645106</v>
      </c>
      <c r="U125" s="162">
        <f t="shared" ca="1" si="995"/>
        <v>135.16166433738226</v>
      </c>
      <c r="V125" s="162">
        <f t="shared" ca="1" si="995"/>
        <v>158.56926475647748</v>
      </c>
      <c r="W125" s="162">
        <f t="shared" ca="1" si="995"/>
        <v>457.6225684106634</v>
      </c>
      <c r="X125" s="162">
        <f t="shared" ref="X125:Y125" ca="1" si="996">+X122+X124</f>
        <v>824.56231594963799</v>
      </c>
      <c r="Y125" s="162">
        <f t="shared" ca="1" si="996"/>
        <v>3533.2650326882595</v>
      </c>
      <c r="Z125" s="162">
        <f t="shared" ref="Z125:AA125" ca="1" si="997">+Z122+Z124</f>
        <v>5664.3680851116842</v>
      </c>
      <c r="AA125" s="162">
        <f t="shared" ref="AA125" ca="1" si="998">+AA122+AA124</f>
        <v>5664.3680851116842</v>
      </c>
      <c r="AB125" s="21">
        <f t="shared" ref="AB125:AD125" ca="1" si="999">+AB122+AB124</f>
        <v>4771.712738791206</v>
      </c>
      <c r="AC125" s="21">
        <f t="shared" ca="1" si="999"/>
        <v>6921.5557057878559</v>
      </c>
      <c r="AD125" s="21">
        <f t="shared" ca="1" si="999"/>
        <v>9145.0964868057945</v>
      </c>
      <c r="AE125" s="21">
        <f t="shared" ref="AE125" ca="1" si="1000">+AE122+AE124</f>
        <v>11513.795204523838</v>
      </c>
      <c r="AL125" s="162">
        <f t="shared" ref="AL125" si="1001">+AL122+AL124</f>
        <v>35.985018029940029</v>
      </c>
      <c r="AM125" s="162">
        <f t="shared" ref="AM125:AO125" si="1002">+AM122+AM124</f>
        <v>22.109576136456919</v>
      </c>
      <c r="AN125" s="162">
        <f t="shared" si="1002"/>
        <v>33.432407974818837</v>
      </c>
      <c r="AO125" s="162">
        <f t="shared" si="1002"/>
        <v>32.227186144369583</v>
      </c>
      <c r="AP125" s="162">
        <f t="shared" ref="AP125:CD125" si="1003">+AP122+AP124</f>
        <v>31.166911733083264</v>
      </c>
      <c r="AQ125" s="162">
        <f t="shared" si="1003"/>
        <v>51.751450125056309</v>
      </c>
      <c r="AR125" s="162">
        <f t="shared" si="1003"/>
        <v>56.590880440970359</v>
      </c>
      <c r="AS125" s="162">
        <f t="shared" si="1003"/>
        <v>85.287514669607162</v>
      </c>
      <c r="AT125" s="162">
        <f t="shared" si="1003"/>
        <v>86.715865952800357</v>
      </c>
      <c r="AU125" s="162">
        <f t="shared" si="1003"/>
        <v>70.829720176465116</v>
      </c>
      <c r="AV125" s="162">
        <f t="shared" si="1003"/>
        <v>61.952303448847069</v>
      </c>
      <c r="AW125" s="162">
        <f t="shared" si="1003"/>
        <v>82.599172872284115</v>
      </c>
      <c r="AX125" s="162">
        <f t="shared" si="1003"/>
        <v>76.779702817361596</v>
      </c>
      <c r="AY125" s="162">
        <f t="shared" si="1003"/>
        <v>67.090541966544606</v>
      </c>
      <c r="AZ125" s="162">
        <f t="shared" si="1003"/>
        <v>64.954710333890404</v>
      </c>
      <c r="BA125" s="162">
        <f t="shared" si="1003"/>
        <v>71.266013510180926</v>
      </c>
      <c r="BB125" s="162">
        <f t="shared" si="1003"/>
        <v>89.389573289808339</v>
      </c>
      <c r="BC125" s="162">
        <f t="shared" si="1003"/>
        <v>132.77776439606808</v>
      </c>
      <c r="BD125" s="162">
        <f t="shared" si="1003"/>
        <v>131.89764938432776</v>
      </c>
      <c r="BE125" s="162">
        <f t="shared" si="1003"/>
        <v>204.24224940200324</v>
      </c>
      <c r="BF125" s="162">
        <f t="shared" si="1003"/>
        <v>255.73934740959942</v>
      </c>
      <c r="BG125" s="162">
        <f t="shared" si="1003"/>
        <v>246.71292004077438</v>
      </c>
      <c r="BH125" s="162">
        <f t="shared" si="1003"/>
        <v>132.44121107094938</v>
      </c>
      <c r="BI125" s="162">
        <f t="shared" si="1003"/>
        <v>93.648199388459091</v>
      </c>
      <c r="BJ125" s="162">
        <f t="shared" si="1003"/>
        <v>94.356062423680854</v>
      </c>
      <c r="BK125" s="162">
        <f t="shared" si="1003"/>
        <v>99.535230887966406</v>
      </c>
      <c r="BL125" s="162">
        <f t="shared" si="1003"/>
        <v>87.009159978011439</v>
      </c>
      <c r="BM125" s="162">
        <f t="shared" si="1003"/>
        <v>129.04687681364598</v>
      </c>
      <c r="BN125" s="162">
        <f t="shared" si="1003"/>
        <v>134.76543842527704</v>
      </c>
      <c r="BO125" s="162">
        <f t="shared" si="1003"/>
        <v>100.28791173812616</v>
      </c>
      <c r="BP125" s="162">
        <f t="shared" si="1003"/>
        <v>182.05427077019161</v>
      </c>
      <c r="BQ125" s="162">
        <f t="shared" si="1003"/>
        <v>170.33878376703339</v>
      </c>
      <c r="BR125" s="162">
        <f t="shared" si="1003"/>
        <v>147.98104259853253</v>
      </c>
      <c r="BS125" s="162">
        <f t="shared" si="1003"/>
        <v>193.43499698705895</v>
      </c>
      <c r="BT125" s="162">
        <f t="shared" si="1003"/>
        <v>347.47962133721865</v>
      </c>
      <c r="BU125" s="162">
        <f t="shared" si="1003"/>
        <v>396.27894848261877</v>
      </c>
      <c r="BV125" s="162">
        <f t="shared" si="1003"/>
        <v>456.38930803174713</v>
      </c>
      <c r="BW125" s="162">
        <f t="shared" si="1003"/>
        <v>597.74719792742178</v>
      </c>
      <c r="BX125" s="162">
        <f t="shared" si="1003"/>
        <v>578.70336239401161</v>
      </c>
      <c r="BY125" s="162">
        <f t="shared" si="1003"/>
        <v>821.81620473250837</v>
      </c>
      <c r="BZ125" s="162">
        <f t="shared" si="1003"/>
        <v>751.84908705552675</v>
      </c>
      <c r="CA125" s="162">
        <f t="shared" si="1003"/>
        <v>1429.0000484481513</v>
      </c>
      <c r="CB125" s="162">
        <f t="shared" si="1003"/>
        <v>2308.1569586469609</v>
      </c>
      <c r="CC125" s="162">
        <f t="shared" si="1003"/>
        <v>3428.2941968795039</v>
      </c>
      <c r="CD125" s="162">
        <f t="shared" si="1003"/>
        <v>3523.4864787421302</v>
      </c>
      <c r="CE125" s="162">
        <f t="shared" ref="CE125:CF125" si="1004">+CE122+CE124</f>
        <v>4900.8532839637883</v>
      </c>
      <c r="CF125" s="162">
        <f t="shared" si="1004"/>
        <v>5638.5104681606581</v>
      </c>
      <c r="CG125" s="162">
        <f t="shared" ref="CG125:CH125" si="1005">+CG122+CG124</f>
        <v>5031.6847830227989</v>
      </c>
      <c r="CH125" s="162">
        <f t="shared" si="1005"/>
        <v>4085.0279929471812</v>
      </c>
      <c r="CI125" s="162">
        <f t="shared" ref="CI125:CJ125" si="1006">+CI122+CI124</f>
        <v>5040.6683814868757</v>
      </c>
      <c r="CJ125" s="162">
        <f t="shared" si="1006"/>
        <v>5185.2359999999999</v>
      </c>
      <c r="CK125" s="162">
        <f t="shared" ref="CK125:CL125" si="1007">+CK122+CK124</f>
        <v>5670.1245239994232</v>
      </c>
      <c r="CL125" s="162">
        <f t="shared" si="1007"/>
        <v>4525.7859499999995</v>
      </c>
      <c r="CM125" s="21">
        <f t="shared" ref="CM125:DB125" si="1008">+CM122+CM124</f>
        <v>4478.9547113515928</v>
      </c>
      <c r="CN125" s="21">
        <f t="shared" si="1008"/>
        <v>4367.6012908920802</v>
      </c>
      <c r="CO125" s="21">
        <f t="shared" si="1008"/>
        <v>4569.0247431550424</v>
      </c>
      <c r="CP125" s="21">
        <f t="shared" si="1008"/>
        <v>4771.712738791206</v>
      </c>
      <c r="CQ125" s="21">
        <f t="shared" si="1008"/>
        <v>5309.5057083121437</v>
      </c>
      <c r="CR125" s="21">
        <f t="shared" si="1008"/>
        <v>5848.7194930941278</v>
      </c>
      <c r="CS125" s="21">
        <f t="shared" si="1008"/>
        <v>6320.759517564521</v>
      </c>
      <c r="CT125" s="21">
        <f t="shared" si="1008"/>
        <v>6921.5557057878559</v>
      </c>
      <c r="CU125" s="21">
        <f t="shared" si="1008"/>
        <v>7442.340770660483</v>
      </c>
      <c r="CV125" s="21">
        <f t="shared" si="1008"/>
        <v>8007.6319327348456</v>
      </c>
      <c r="CW125" s="21">
        <f t="shared" si="1008"/>
        <v>8502.4649629157557</v>
      </c>
      <c r="CX125" s="21">
        <f t="shared" si="1008"/>
        <v>9145.0964868057945</v>
      </c>
      <c r="CY125" s="21">
        <f t="shared" si="1008"/>
        <v>9689.9099139407026</v>
      </c>
      <c r="CZ125" s="21">
        <f t="shared" si="1008"/>
        <v>10293.561651213968</v>
      </c>
      <c r="DA125" s="21">
        <f t="shared" si="1008"/>
        <v>10817.214184104156</v>
      </c>
      <c r="DB125" s="21">
        <f t="shared" si="1008"/>
        <v>11513.795204523838</v>
      </c>
      <c r="DE125" s="22"/>
      <c r="DF125" s="162">
        <v>5736.0950000000003</v>
      </c>
    </row>
    <row r="126" spans="1:110" s="162" customFormat="1" x14ac:dyDescent="0.2">
      <c r="A126" s="49" t="s">
        <v>345</v>
      </c>
      <c r="B126" s="162">
        <f>+B123+B124</f>
        <v>5.0209585940065349</v>
      </c>
      <c r="C126" s="162">
        <f t="shared" ref="C126:W126" si="1009">+C123+C124</f>
        <v>4.3958496893491077</v>
      </c>
      <c r="D126" s="162">
        <f t="shared" si="1009"/>
        <v>4.1264206418675089</v>
      </c>
      <c r="E126" s="162">
        <f t="shared" ca="1" si="1009"/>
        <v>3.4826357636201113</v>
      </c>
      <c r="F126" s="162">
        <f t="shared" ca="1" si="1009"/>
        <v>6.4196811819274187</v>
      </c>
      <c r="G126" s="162">
        <f t="shared" ca="1" si="1009"/>
        <v>20.927452916616112</v>
      </c>
      <c r="H126" s="162">
        <f t="shared" ca="1" si="1009"/>
        <v>13.653855663215953</v>
      </c>
      <c r="I126" s="162">
        <f t="shared" ca="1" si="1009"/>
        <v>12.369011168664006</v>
      </c>
      <c r="J126" s="162">
        <f t="shared" ca="1" si="1009"/>
        <v>7.261166746646456</v>
      </c>
      <c r="K126" s="162">
        <f t="shared" ca="1" si="1009"/>
        <v>14.614519813981492</v>
      </c>
      <c r="L126" s="162">
        <f t="shared" ca="1" si="1009"/>
        <v>18.988264130978457</v>
      </c>
      <c r="M126" s="162">
        <f t="shared" ca="1" si="1009"/>
        <v>22.119956158871506</v>
      </c>
      <c r="N126" s="162">
        <f t="shared" ca="1" si="1009"/>
        <v>23.516171869767607</v>
      </c>
      <c r="O126" s="162">
        <f t="shared" ca="1" si="1009"/>
        <v>26.545747666052677</v>
      </c>
      <c r="P126" s="162">
        <f t="shared" ca="1" si="1009"/>
        <v>27.354313728367131</v>
      </c>
      <c r="Q126" s="162">
        <f t="shared" ca="1" si="1009"/>
        <v>40.618198027962876</v>
      </c>
      <c r="R126" s="162">
        <f t="shared" ca="1" si="1009"/>
        <v>53.637832678751757</v>
      </c>
      <c r="S126" s="162">
        <f t="shared" ca="1" si="1009"/>
        <v>65.650376854868952</v>
      </c>
      <c r="T126" s="162">
        <f t="shared" ca="1" si="1009"/>
        <v>65.228982510857051</v>
      </c>
      <c r="U126" s="162">
        <f t="shared" ca="1" si="1009"/>
        <v>50.993877844804402</v>
      </c>
      <c r="V126" s="162">
        <f t="shared" ca="1" si="1009"/>
        <v>24.784568126525187</v>
      </c>
      <c r="W126" s="162">
        <f t="shared" ca="1" si="1009"/>
        <v>167.66454394373193</v>
      </c>
      <c r="X126" s="162">
        <f t="shared" ref="X126:Y126" ca="1" si="1010">+X123+X124</f>
        <v>425.43867240183391</v>
      </c>
      <c r="Y126" s="162">
        <f t="shared" ca="1" si="1010"/>
        <v>688.05717809316809</v>
      </c>
      <c r="Z126" s="162">
        <f t="shared" ref="Z126:AA126" ca="1" si="1011">+Z123+Z124</f>
        <v>2514.388675626949</v>
      </c>
      <c r="AA126" s="162">
        <f t="shared" ref="AA126" ca="1" si="1012">+AA123+AA124</f>
        <v>2514.388675626949</v>
      </c>
      <c r="AB126" s="21">
        <f t="shared" ref="AB126:AD126" ca="1" si="1013">+AB123+AB124</f>
        <v>3038.366632547577</v>
      </c>
      <c r="AC126" s="21">
        <f t="shared" ca="1" si="1013"/>
        <v>3691.638132638755</v>
      </c>
      <c r="AD126" s="21">
        <f t="shared" ca="1" si="1013"/>
        <v>5171.0581304968391</v>
      </c>
      <c r="AE126" s="21">
        <f t="shared" ref="AE126" ca="1" si="1014">+AE123+AE124</f>
        <v>6730.494681211534</v>
      </c>
      <c r="AL126" s="162">
        <f t="shared" ref="AL126:AM126" si="1015">+AL123+AL124</f>
        <v>24.947570292926024</v>
      </c>
      <c r="AM126" s="162">
        <f t="shared" si="1015"/>
        <v>16.045275003382731</v>
      </c>
      <c r="AN126" s="162">
        <f t="shared" ref="AN126:AO126" si="1016">+AN123+AN124</f>
        <v>25.815310011822401</v>
      </c>
      <c r="AO126" s="162">
        <f t="shared" si="1016"/>
        <v>26.225836234129975</v>
      </c>
      <c r="AP126" s="162">
        <f t="shared" ref="AP126:CD126" si="1017">+AP123+AP124</f>
        <v>25.48031793701708</v>
      </c>
      <c r="AQ126" s="162">
        <f t="shared" si="1017"/>
        <v>35.006424851031184</v>
      </c>
      <c r="AR126" s="162">
        <f t="shared" si="1017"/>
        <v>39.698968980330932</v>
      </c>
      <c r="AS126" s="162">
        <f t="shared" si="1017"/>
        <v>47.831537082971934</v>
      </c>
      <c r="AT126" s="162">
        <f t="shared" si="1017"/>
        <v>51.043506346481117</v>
      </c>
      <c r="AU126" s="162">
        <f t="shared" si="1017"/>
        <v>41.536417817393563</v>
      </c>
      <c r="AV126" s="162">
        <f t="shared" si="1017"/>
        <v>43.528578899230219</v>
      </c>
      <c r="AW126" s="162">
        <f t="shared" si="1017"/>
        <v>43.275642341553478</v>
      </c>
      <c r="AX126" s="162">
        <f t="shared" si="1017"/>
        <v>47.654270385849159</v>
      </c>
      <c r="AY126" s="162">
        <f t="shared" si="1017"/>
        <v>48.121240152360663</v>
      </c>
      <c r="AZ126" s="162">
        <f t="shared" si="1017"/>
        <v>50.182156708685206</v>
      </c>
      <c r="BA126" s="162">
        <f t="shared" si="1017"/>
        <v>51.163589684972798</v>
      </c>
      <c r="BB126" s="162">
        <f t="shared" si="1017"/>
        <v>60.557913231524452</v>
      </c>
      <c r="BC126" s="162">
        <f t="shared" si="1017"/>
        <v>72.953118962176077</v>
      </c>
      <c r="BD126" s="162">
        <f t="shared" si="1017"/>
        <v>81.263882484299188</v>
      </c>
      <c r="BE126" s="162">
        <f t="shared" si="1017"/>
        <v>94.707121669658264</v>
      </c>
      <c r="BF126" s="162">
        <f t="shared" si="1017"/>
        <v>179.98804259853253</v>
      </c>
      <c r="BG126" s="162">
        <f t="shared" si="1017"/>
        <v>121.04129552180621</v>
      </c>
      <c r="BH126" s="162">
        <f t="shared" si="1017"/>
        <v>86.969444443364864</v>
      </c>
      <c r="BI126" s="162">
        <f t="shared" si="1017"/>
        <v>60.200116322298506</v>
      </c>
      <c r="BJ126" s="162">
        <f t="shared" si="1017"/>
        <v>74.463476007921571</v>
      </c>
      <c r="BK126" s="162">
        <f t="shared" si="1017"/>
        <v>64.702220919442794</v>
      </c>
      <c r="BL126" s="162">
        <f t="shared" si="1017"/>
        <v>60.338825237051495</v>
      </c>
      <c r="BM126" s="162">
        <f t="shared" si="1017"/>
        <v>69.054361452195124</v>
      </c>
      <c r="BN126" s="162">
        <f t="shared" si="1017"/>
        <v>50.830474645702253</v>
      </c>
      <c r="BO126" s="162">
        <f t="shared" si="1017"/>
        <v>42.037046875101289</v>
      </c>
      <c r="BP126" s="162">
        <f t="shared" si="1017"/>
        <v>87.249729181162138</v>
      </c>
      <c r="BQ126" s="162">
        <f t="shared" si="1017"/>
        <v>134.876261570163</v>
      </c>
      <c r="BR126" s="162">
        <f t="shared" si="1017"/>
        <v>101.81681251976653</v>
      </c>
      <c r="BS126" s="162">
        <f t="shared" si="1017"/>
        <v>101.56817913031438</v>
      </c>
      <c r="BT126" s="162">
        <f t="shared" si="1017"/>
        <v>191.44452367098836</v>
      </c>
      <c r="BU126" s="162">
        <f t="shared" si="1017"/>
        <v>271.86634842034232</v>
      </c>
      <c r="BV126" s="162">
        <f t="shared" si="1017"/>
        <v>288.51938047259711</v>
      </c>
      <c r="BW126" s="162">
        <f t="shared" si="1017"/>
        <v>413.17421257613779</v>
      </c>
      <c r="BX126" s="162">
        <f t="shared" si="1017"/>
        <v>425.7738583876253</v>
      </c>
      <c r="BY126" s="162">
        <f t="shared" si="1017"/>
        <v>509.74600940004933</v>
      </c>
      <c r="BZ126" s="162">
        <f t="shared" si="1017"/>
        <v>636.01883703971191</v>
      </c>
      <c r="CA126" s="162">
        <f t="shared" si="1017"/>
        <v>732.00410922256367</v>
      </c>
      <c r="CB126" s="162">
        <f t="shared" si="1017"/>
        <v>1226.2352755282413</v>
      </c>
      <c r="CC126" s="162">
        <f t="shared" si="1017"/>
        <v>2120.5874611937252</v>
      </c>
      <c r="CD126" s="162">
        <f t="shared" si="1017"/>
        <v>2164.9990899697214</v>
      </c>
      <c r="CE126" s="162">
        <f t="shared" ref="CE126:CF126" si="1018">+CE123+CE124</f>
        <v>2509.9658407025918</v>
      </c>
      <c r="CF126" s="162">
        <f t="shared" si="1018"/>
        <v>4183.078196222812</v>
      </c>
      <c r="CG126" s="162">
        <f t="shared" ref="CG126:CH126" si="1019">+CG123+CG124</f>
        <v>3490.6388480298106</v>
      </c>
      <c r="CH126" s="162">
        <f t="shared" si="1019"/>
        <v>2521.3196177336927</v>
      </c>
      <c r="CI126" s="162">
        <f t="shared" ref="CI126:CJ126" si="1020">+CI123+CI124</f>
        <v>2406.1732486614505</v>
      </c>
      <c r="CJ126" s="162">
        <f t="shared" si="1020"/>
        <v>3249.5936249999995</v>
      </c>
      <c r="CK126" s="162">
        <f t="shared" ref="CK126:CL126" si="1021">+CK123+CK124</f>
        <v>3603.479498999423</v>
      </c>
      <c r="CL126" s="162">
        <f t="shared" si="1021"/>
        <v>3150.7367000000004</v>
      </c>
      <c r="CM126" s="21">
        <f t="shared" ref="CM126:DB126" si="1022">+CM123+CM124</f>
        <v>3111.3690232215913</v>
      </c>
      <c r="CN126" s="21">
        <f t="shared" si="1022"/>
        <v>3034.662239511536</v>
      </c>
      <c r="CO126" s="21">
        <f t="shared" si="1022"/>
        <v>3167.2099902844102</v>
      </c>
      <c r="CP126" s="21">
        <f t="shared" si="1022"/>
        <v>3316.4894437448925</v>
      </c>
      <c r="CQ126" s="21">
        <f t="shared" si="1022"/>
        <v>3681.492094767907</v>
      </c>
      <c r="CR126" s="21">
        <f t="shared" si="1022"/>
        <v>4057.1351735138355</v>
      </c>
      <c r="CS126" s="21">
        <f t="shared" si="1022"/>
        <v>4376.90702094687</v>
      </c>
      <c r="CT126" s="21">
        <f t="shared" si="1022"/>
        <v>4804.3209065867786</v>
      </c>
      <c r="CU126" s="21">
        <f t="shared" si="1022"/>
        <v>5156.5799094393888</v>
      </c>
      <c r="CV126" s="21">
        <f t="shared" si="1022"/>
        <v>5550.8031017427929</v>
      </c>
      <c r="CW126" s="21">
        <f t="shared" si="1022"/>
        <v>5885.4787469248122</v>
      </c>
      <c r="CX126" s="21">
        <f t="shared" si="1022"/>
        <v>6343.735977483213</v>
      </c>
      <c r="CY126" s="21">
        <f t="shared" si="1022"/>
        <v>6711.5662328713242</v>
      </c>
      <c r="CZ126" s="21">
        <f t="shared" si="1022"/>
        <v>7132.9145874061223</v>
      </c>
      <c r="DA126" s="21">
        <f t="shared" si="1022"/>
        <v>7486.4877016913297</v>
      </c>
      <c r="DB126" s="21">
        <f t="shared" si="1022"/>
        <v>7984.2180233891204</v>
      </c>
      <c r="DE126" s="22"/>
      <c r="DF126" s="162">
        <v>2423.3744318358572</v>
      </c>
    </row>
    <row r="127" spans="1:110" s="162" customFormat="1" x14ac:dyDescent="0.2">
      <c r="A127" s="49" t="s">
        <v>13</v>
      </c>
      <c r="B127" s="162">
        <f t="shared" ref="B127:AE127" si="1023">+B43</f>
        <v>1.8056158</v>
      </c>
      <c r="C127" s="162">
        <f t="shared" si="1023"/>
        <v>-1.1207671000000001</v>
      </c>
      <c r="D127" s="162">
        <f t="shared" si="1023"/>
        <v>1.2757987000000011</v>
      </c>
      <c r="E127" s="162">
        <f t="shared" si="1023"/>
        <v>1.9374430999999994</v>
      </c>
      <c r="F127" s="162">
        <f t="shared" si="1023"/>
        <v>1.8388945000000003</v>
      </c>
      <c r="G127" s="162">
        <f t="shared" si="1023"/>
        <v>2.002372199999999</v>
      </c>
      <c r="H127" s="162">
        <f t="shared" si="1023"/>
        <v>4.9091038999999999</v>
      </c>
      <c r="I127" s="162">
        <f t="shared" si="1023"/>
        <v>6.9221199999999996</v>
      </c>
      <c r="J127" s="162">
        <f t="shared" si="1023"/>
        <v>4.4333842000000008</v>
      </c>
      <c r="K127" s="162">
        <f t="shared" si="1023"/>
        <v>2.5748326000000024</v>
      </c>
      <c r="L127" s="162">
        <f t="shared" si="1023"/>
        <v>4.597761399999996</v>
      </c>
      <c r="M127" s="162">
        <f t="shared" si="1023"/>
        <v>6.2680052000000011</v>
      </c>
      <c r="N127" s="162">
        <f t="shared" si="1023"/>
        <v>10.239765200000003</v>
      </c>
      <c r="O127" s="162">
        <f t="shared" si="1023"/>
        <v>1.7768971000000011</v>
      </c>
      <c r="P127" s="162">
        <f t="shared" si="1023"/>
        <v>4.0692056999999977</v>
      </c>
      <c r="Q127" s="162">
        <f t="shared" si="1023"/>
        <v>3.9326673000000003</v>
      </c>
      <c r="R127" s="162">
        <f t="shared" si="1023"/>
        <v>3.8562913000000041</v>
      </c>
      <c r="S127" s="162">
        <f t="shared" si="1023"/>
        <v>11.254520200000005</v>
      </c>
      <c r="T127" s="162">
        <f t="shared" si="1023"/>
        <v>14.216035000000005</v>
      </c>
      <c r="U127" s="162">
        <f t="shared" si="1023"/>
        <v>15.380585300000003</v>
      </c>
      <c r="V127" s="162">
        <f t="shared" si="1023"/>
        <v>22.175500000000017</v>
      </c>
      <c r="W127" s="162">
        <f t="shared" si="1023"/>
        <v>26.638900000000007</v>
      </c>
      <c r="X127" s="162">
        <f t="shared" si="1023"/>
        <v>46.820199999999986</v>
      </c>
      <c r="Y127" s="162">
        <f t="shared" si="1023"/>
        <v>81.79679999999999</v>
      </c>
      <c r="Z127" s="162">
        <f t="shared" si="1023"/>
        <v>92.501199999999983</v>
      </c>
      <c r="AA127" s="162">
        <f t="shared" ref="AA127" si="1024">+AA43</f>
        <v>47.879799999999989</v>
      </c>
      <c r="AB127" s="21">
        <f t="shared" si="1023"/>
        <v>56.560444274246237</v>
      </c>
      <c r="AC127" s="21">
        <f t="shared" si="1023"/>
        <v>65.174927028717548</v>
      </c>
      <c r="AD127" s="21">
        <f t="shared" si="1023"/>
        <v>74.94500735786508</v>
      </c>
      <c r="AE127" s="21">
        <f t="shared" si="1023"/>
        <v>86.162237686577271</v>
      </c>
      <c r="AL127" s="162">
        <f t="shared" ref="AL127:BQ127" si="1025">+SUM(AI43:AL43)</f>
        <v>10.223000000000003</v>
      </c>
      <c r="AM127" s="162">
        <f t="shared" si="1025"/>
        <v>7.4420000000000019</v>
      </c>
      <c r="AN127" s="162">
        <f t="shared" si="1025"/>
        <v>6.2540000000000013</v>
      </c>
      <c r="AO127" s="162">
        <f t="shared" si="1025"/>
        <v>4.6190000000000024</v>
      </c>
      <c r="AP127" s="162">
        <f t="shared" si="1025"/>
        <v>1.7770000000000001</v>
      </c>
      <c r="AQ127" s="162">
        <f t="shared" si="1025"/>
        <v>1.7399999999999998</v>
      </c>
      <c r="AR127" s="162">
        <f t="shared" si="1025"/>
        <v>5.548</v>
      </c>
      <c r="AS127" s="162">
        <f t="shared" si="1025"/>
        <v>5.3670000000000009</v>
      </c>
      <c r="AT127" s="162">
        <f t="shared" si="1025"/>
        <v>4.036999999999999</v>
      </c>
      <c r="AU127" s="162">
        <f t="shared" si="1025"/>
        <v>5.7449999999999992</v>
      </c>
      <c r="AV127" s="162">
        <f t="shared" si="1025"/>
        <v>3.4280000000000004</v>
      </c>
      <c r="AW127" s="162">
        <f t="shared" si="1025"/>
        <v>3.4029999999999996</v>
      </c>
      <c r="AX127" s="162">
        <f t="shared" si="1025"/>
        <v>3.8999999999999981</v>
      </c>
      <c r="AY127" s="162">
        <f t="shared" si="1025"/>
        <v>4.0529999999999982</v>
      </c>
      <c r="AZ127" s="162">
        <f t="shared" si="1025"/>
        <v>4.0089999999999986</v>
      </c>
      <c r="BA127" s="162">
        <f t="shared" si="1025"/>
        <v>4.036999999999999</v>
      </c>
      <c r="BB127" s="162">
        <f t="shared" si="1025"/>
        <v>3.854000000000001</v>
      </c>
      <c r="BC127" s="162">
        <f t="shared" si="1025"/>
        <v>4.1780000000000008</v>
      </c>
      <c r="BD127" s="162">
        <f t="shared" si="1025"/>
        <v>7.734</v>
      </c>
      <c r="BE127" s="162">
        <f t="shared" si="1025"/>
        <v>11.313000000000001</v>
      </c>
      <c r="BF127" s="162">
        <f t="shared" si="1025"/>
        <v>11.254999999999999</v>
      </c>
      <c r="BG127" s="162">
        <f t="shared" si="1025"/>
        <v>13.515000000000001</v>
      </c>
      <c r="BH127" s="162">
        <f t="shared" si="1025"/>
        <v>10.550999999999998</v>
      </c>
      <c r="BI127" s="162">
        <f t="shared" si="1025"/>
        <v>10.747</v>
      </c>
      <c r="BJ127" s="162">
        <f t="shared" si="1025"/>
        <v>14.215000000000002</v>
      </c>
      <c r="BK127" s="162">
        <f t="shared" si="1025"/>
        <v>12.578000000000005</v>
      </c>
      <c r="BL127" s="162">
        <f t="shared" si="1025"/>
        <v>14.178000000000003</v>
      </c>
      <c r="BM127" s="162">
        <f t="shared" si="1025"/>
        <v>13.530000000000003</v>
      </c>
      <c r="BN127" s="162">
        <f t="shared" si="1025"/>
        <v>15.148999999999999</v>
      </c>
      <c r="BO127" s="162">
        <f t="shared" si="1025"/>
        <v>15.778999999999998</v>
      </c>
      <c r="BP127" s="162">
        <f t="shared" si="1025"/>
        <v>17.625</v>
      </c>
      <c r="BQ127" s="162">
        <f t="shared" si="1025"/>
        <v>20.554000000000002</v>
      </c>
      <c r="BR127" s="162">
        <f t="shared" ref="BR127:CW127" si="1026">+SUM(BO43:BR43)</f>
        <v>22.149000000000001</v>
      </c>
      <c r="BS127" s="162">
        <f t="shared" si="1026"/>
        <v>24.181999999999995</v>
      </c>
      <c r="BT127" s="162">
        <f t="shared" si="1026"/>
        <v>24.248999999999999</v>
      </c>
      <c r="BU127" s="162">
        <f t="shared" si="1026"/>
        <v>25.046999999999997</v>
      </c>
      <c r="BV127" s="162">
        <f t="shared" si="1026"/>
        <v>26.638000000000002</v>
      </c>
      <c r="BW127" s="162">
        <f t="shared" si="1026"/>
        <v>29.347000000000005</v>
      </c>
      <c r="BX127" s="162">
        <f t="shared" si="1026"/>
        <v>34.332000000000008</v>
      </c>
      <c r="BY127" s="162">
        <f t="shared" si="1026"/>
        <v>37.652000000000001</v>
      </c>
      <c r="BZ127" s="162">
        <f t="shared" si="1026"/>
        <v>46.745999999999995</v>
      </c>
      <c r="CA127" s="162">
        <f t="shared" si="1026"/>
        <v>53.627999999999986</v>
      </c>
      <c r="CB127" s="162">
        <f t="shared" si="1026"/>
        <v>68.545999999999978</v>
      </c>
      <c r="CC127" s="162">
        <f t="shared" si="1026"/>
        <v>81.786999999999978</v>
      </c>
      <c r="CD127" s="162">
        <f t="shared" si="1026"/>
        <v>81.798999999999992</v>
      </c>
      <c r="CE127" s="162">
        <f t="shared" si="1026"/>
        <v>81.711000000000013</v>
      </c>
      <c r="CF127" s="162">
        <f t="shared" si="1026"/>
        <v>91.442000000000007</v>
      </c>
      <c r="CG127" s="162">
        <f t="shared" si="1026"/>
        <v>99.046000000000021</v>
      </c>
      <c r="CH127" s="162">
        <f t="shared" si="1026"/>
        <v>92.501000000000019</v>
      </c>
      <c r="CI127" s="162">
        <f t="shared" si="1026"/>
        <v>88.793000000000006</v>
      </c>
      <c r="CJ127" s="162">
        <f t="shared" si="1026"/>
        <v>65.421999999999997</v>
      </c>
      <c r="CK127" s="162">
        <f t="shared" si="1026"/>
        <v>45.913999999999973</v>
      </c>
      <c r="CL127" s="162">
        <f t="shared" si="1026"/>
        <v>47.896999999999977</v>
      </c>
      <c r="CM127" s="21">
        <f t="shared" si="1026"/>
        <v>50.301149914790273</v>
      </c>
      <c r="CN127" s="21">
        <f t="shared" si="1026"/>
        <v>53.148011474482679</v>
      </c>
      <c r="CO127" s="21">
        <f t="shared" si="1026"/>
        <v>53.931144158900061</v>
      </c>
      <c r="CP127" s="21">
        <f t="shared" si="1026"/>
        <v>56.560444274246194</v>
      </c>
      <c r="CQ127" s="21">
        <f t="shared" si="1026"/>
        <v>58.70465764739938</v>
      </c>
      <c r="CR127" s="21">
        <f t="shared" si="1026"/>
        <v>60.860914991812514</v>
      </c>
      <c r="CS127" s="21">
        <f t="shared" si="1026"/>
        <v>62.644729818034143</v>
      </c>
      <c r="CT127" s="21">
        <f t="shared" si="1026"/>
        <v>65.174927028717548</v>
      </c>
      <c r="CU127" s="21">
        <f t="shared" si="1026"/>
        <v>67.460794411392698</v>
      </c>
      <c r="CV127" s="21">
        <f t="shared" si="1026"/>
        <v>69.886636047279538</v>
      </c>
      <c r="CW127" s="21">
        <f t="shared" si="1026"/>
        <v>72.115923463186846</v>
      </c>
      <c r="CX127" s="21">
        <f t="shared" ref="CX127:DB127" si="1027">+SUM(CU43:CX43)</f>
        <v>74.945007357865109</v>
      </c>
      <c r="CY127" s="21">
        <f t="shared" si="1027"/>
        <v>77.540561765347462</v>
      </c>
      <c r="CZ127" s="21">
        <f t="shared" si="1027"/>
        <v>80.341105708586468</v>
      </c>
      <c r="DA127" s="21">
        <f t="shared" si="1027"/>
        <v>82.931361393338705</v>
      </c>
      <c r="DB127" s="21">
        <f t="shared" si="1027"/>
        <v>86.162237686577271</v>
      </c>
      <c r="DE127" s="22"/>
      <c r="DF127" s="162">
        <v>47.89700000000002</v>
      </c>
    </row>
    <row r="128" spans="1:110" s="162" customFormat="1" x14ac:dyDescent="0.2">
      <c r="A128" s="49" t="s">
        <v>343</v>
      </c>
      <c r="B128" s="162">
        <f>+B125/B127</f>
        <v>2.92057338359646</v>
      </c>
      <c r="C128" s="162">
        <f t="shared" ref="C128:W128" si="1028">+C125/C127</f>
        <v>-4.0113803328526245</v>
      </c>
      <c r="D128" s="162">
        <f t="shared" si="1028"/>
        <v>3.2884356241360968</v>
      </c>
      <c r="E128" s="162">
        <f t="shared" ca="1" si="1028"/>
        <v>5.1773853656619293</v>
      </c>
      <c r="F128" s="162">
        <f t="shared" ca="1" si="1028"/>
        <v>30.097656755220488</v>
      </c>
      <c r="G128" s="162">
        <f t="shared" ca="1" si="1028"/>
        <v>38.298879433078909</v>
      </c>
      <c r="H128" s="162">
        <f t="shared" ca="1" si="1028"/>
        <v>8.1477951272110669</v>
      </c>
      <c r="I128" s="162">
        <f t="shared" ca="1" si="1028"/>
        <v>8.0184974756447573</v>
      </c>
      <c r="J128" s="162">
        <f t="shared" ca="1" si="1028"/>
        <v>7.5042024945307304</v>
      </c>
      <c r="K128" s="162">
        <f t="shared" ca="1" si="1028"/>
        <v>13.447635800708655</v>
      </c>
      <c r="L128" s="162">
        <f t="shared" ca="1" si="1028"/>
        <v>8.1481160083903816</v>
      </c>
      <c r="M128" s="162">
        <f t="shared" ca="1" si="1028"/>
        <v>5.388826829322575</v>
      </c>
      <c r="N128" s="162">
        <f t="shared" ca="1" si="1028"/>
        <v>3.5233438754811242</v>
      </c>
      <c r="O128" s="162">
        <f t="shared" ca="1" si="1028"/>
        <v>22.518238959850304</v>
      </c>
      <c r="P128" s="162">
        <f t="shared" ca="1" si="1028"/>
        <v>21.821653761064226</v>
      </c>
      <c r="Q128" s="162">
        <f t="shared" ca="1" si="1028"/>
        <v>20.376748825467171</v>
      </c>
      <c r="R128" s="162">
        <f t="shared" ca="1" si="1028"/>
        <v>23.501745016575811</v>
      </c>
      <c r="S128" s="162">
        <f t="shared" ca="1" si="1028"/>
        <v>22.789047087068766</v>
      </c>
      <c r="T128" s="162">
        <f t="shared" ca="1" si="1028"/>
        <v>17.775116970129222</v>
      </c>
      <c r="U128" s="162">
        <f t="shared" ca="1" si="1028"/>
        <v>8.7878101971439424</v>
      </c>
      <c r="V128" s="162">
        <f t="shared" ca="1" si="1028"/>
        <v>7.1506511581013896</v>
      </c>
      <c r="W128" s="162">
        <f t="shared" ca="1" si="1028"/>
        <v>17.178733671835673</v>
      </c>
      <c r="X128" s="162">
        <f t="shared" ref="X128:Y128" ca="1" si="1029">+X125/X127</f>
        <v>17.611251467307664</v>
      </c>
      <c r="Y128" s="162">
        <f t="shared" ca="1" si="1029"/>
        <v>43.195638859811872</v>
      </c>
      <c r="Z128" s="162">
        <f t="shared" ref="Z128:AA128" ca="1" si="1030">+Z125/Z127</f>
        <v>61.235617322928626</v>
      </c>
      <c r="AA128" s="162">
        <f t="shared" ref="AA128" ca="1" si="1031">+AA125/AA127</f>
        <v>61.235617322928626</v>
      </c>
      <c r="AB128" s="21">
        <f t="shared" ref="AB128:AD128" ca="1" si="1032">+AB125/AB127</f>
        <v>84.364838360435542</v>
      </c>
      <c r="AC128" s="21">
        <f t="shared" ca="1" si="1032"/>
        <v>106.19966943327856</v>
      </c>
      <c r="AD128" s="21">
        <f t="shared" ca="1" si="1032"/>
        <v>122.02409218719045</v>
      </c>
      <c r="AE128" s="21">
        <f t="shared" ref="AE128" ca="1" si="1033">+AE125/AE127</f>
        <v>133.62925004810438</v>
      </c>
      <c r="AL128" s="162">
        <f t="shared" ref="AL128" si="1034">+AL125/AL127</f>
        <v>3.5200056764100576</v>
      </c>
      <c r="AM128" s="162">
        <f t="shared" ref="AM128:AO128" si="1035">+AM125/AM127</f>
        <v>2.9709185886128613</v>
      </c>
      <c r="AN128" s="162">
        <f t="shared" si="1035"/>
        <v>5.3457639870193203</v>
      </c>
      <c r="AO128" s="162">
        <f t="shared" si="1035"/>
        <v>6.9770916095192828</v>
      </c>
      <c r="AP128" s="162">
        <f t="shared" ref="AP128:CD128" si="1036">+AP125/AP127</f>
        <v>17.53906118912958</v>
      </c>
      <c r="AQ128" s="162">
        <f t="shared" si="1036"/>
        <v>29.742212715549606</v>
      </c>
      <c r="AR128" s="162">
        <f t="shared" si="1036"/>
        <v>10.200230793253489</v>
      </c>
      <c r="AS128" s="162">
        <f t="shared" si="1036"/>
        <v>15.891096454184302</v>
      </c>
      <c r="AT128" s="162">
        <f t="shared" si="1036"/>
        <v>21.480273954124442</v>
      </c>
      <c r="AU128" s="162">
        <f t="shared" si="1036"/>
        <v>12.328933015920823</v>
      </c>
      <c r="AV128" s="162">
        <f t="shared" si="1036"/>
        <v>18.072433911565653</v>
      </c>
      <c r="AW128" s="162">
        <f t="shared" si="1036"/>
        <v>24.272457499936564</v>
      </c>
      <c r="AX128" s="162">
        <f t="shared" si="1036"/>
        <v>19.687103286502982</v>
      </c>
      <c r="AY128" s="162">
        <f t="shared" si="1036"/>
        <v>16.553304210842494</v>
      </c>
      <c r="AZ128" s="162">
        <f t="shared" si="1036"/>
        <v>16.202222582661619</v>
      </c>
      <c r="BA128" s="162">
        <f t="shared" si="1036"/>
        <v>17.653211174184033</v>
      </c>
      <c r="BB128" s="162">
        <f t="shared" si="1036"/>
        <v>23.193973349716739</v>
      </c>
      <c r="BC128" s="162">
        <f t="shared" si="1036"/>
        <v>31.7802212532475</v>
      </c>
      <c r="BD128" s="162">
        <f t="shared" si="1036"/>
        <v>17.054260328979542</v>
      </c>
      <c r="BE128" s="162">
        <f t="shared" si="1036"/>
        <v>18.053765526562646</v>
      </c>
      <c r="BF128" s="162">
        <f t="shared" si="1036"/>
        <v>22.722287641901328</v>
      </c>
      <c r="BG128" s="162">
        <f t="shared" si="1036"/>
        <v>18.254748060730623</v>
      </c>
      <c r="BH128" s="162">
        <f t="shared" si="1036"/>
        <v>12.552479487342374</v>
      </c>
      <c r="BI128" s="162">
        <f t="shared" si="1036"/>
        <v>8.7138921920963153</v>
      </c>
      <c r="BJ128" s="162">
        <f t="shared" si="1036"/>
        <v>6.6377813875259122</v>
      </c>
      <c r="BK128" s="162">
        <f t="shared" si="1036"/>
        <v>7.9134386140854165</v>
      </c>
      <c r="BL128" s="162">
        <f t="shared" si="1036"/>
        <v>6.1369135264502344</v>
      </c>
      <c r="BM128" s="162">
        <f t="shared" si="1036"/>
        <v>9.5378327282812965</v>
      </c>
      <c r="BN128" s="162">
        <f t="shared" si="1036"/>
        <v>8.8959956713497288</v>
      </c>
      <c r="BO128" s="162">
        <f t="shared" si="1036"/>
        <v>6.3557837466332572</v>
      </c>
      <c r="BP128" s="162">
        <f t="shared" si="1036"/>
        <v>10.329320327386759</v>
      </c>
      <c r="BQ128" s="162">
        <f t="shared" si="1036"/>
        <v>8.2873787957104881</v>
      </c>
      <c r="BR128" s="162">
        <f t="shared" si="1036"/>
        <v>6.6811613435609969</v>
      </c>
      <c r="BS128" s="162">
        <f t="shared" si="1036"/>
        <v>7.9991314608824329</v>
      </c>
      <c r="BT128" s="162">
        <f t="shared" si="1036"/>
        <v>14.329647463285854</v>
      </c>
      <c r="BU128" s="162">
        <f t="shared" si="1036"/>
        <v>15.821413681583376</v>
      </c>
      <c r="BV128" s="162">
        <f t="shared" si="1036"/>
        <v>17.13301704451337</v>
      </c>
      <c r="BW128" s="162">
        <f t="shared" si="1036"/>
        <v>20.36825562842613</v>
      </c>
      <c r="BX128" s="162">
        <f t="shared" si="1036"/>
        <v>16.856092345159368</v>
      </c>
      <c r="BY128" s="162">
        <f t="shared" si="1036"/>
        <v>21.826628193256887</v>
      </c>
      <c r="BZ128" s="162">
        <f t="shared" si="1036"/>
        <v>16.083709559224893</v>
      </c>
      <c r="CA128" s="162">
        <f t="shared" si="1036"/>
        <v>26.646528836580735</v>
      </c>
      <c r="CB128" s="162">
        <f t="shared" si="1036"/>
        <v>33.673109425013301</v>
      </c>
      <c r="CC128" s="162">
        <f t="shared" si="1036"/>
        <v>41.917348684748248</v>
      </c>
      <c r="CD128" s="162">
        <f t="shared" si="1036"/>
        <v>43.074933419016496</v>
      </c>
      <c r="CE128" s="162">
        <f t="shared" ref="CE128:CF128" si="1037">+CE125/CE127</f>
        <v>59.977888949636984</v>
      </c>
      <c r="CF128" s="162">
        <f t="shared" si="1037"/>
        <v>61.662151616988446</v>
      </c>
      <c r="CG128" s="162">
        <f t="shared" ref="CG128:CH128" si="1038">+CG125/CG127</f>
        <v>50.801494083787311</v>
      </c>
      <c r="CH128" s="162">
        <f t="shared" si="1038"/>
        <v>44.161987361727768</v>
      </c>
      <c r="CI128" s="162">
        <f t="shared" ref="CI128:CJ128" si="1039">+CI125/CI127</f>
        <v>56.768758590056372</v>
      </c>
      <c r="CJ128" s="162">
        <f t="shared" si="1039"/>
        <v>79.258292317569015</v>
      </c>
      <c r="CK128" s="162">
        <f t="shared" ref="CK128:CL128" si="1040">+CK125/CK127</f>
        <v>123.49445755106126</v>
      </c>
      <c r="CL128" s="162">
        <f t="shared" si="1040"/>
        <v>94.489967012547794</v>
      </c>
      <c r="CM128" s="21">
        <f t="shared" ref="CM128:DB128" si="1041">+CM125/CM127</f>
        <v>89.042789656675936</v>
      </c>
      <c r="CN128" s="21">
        <f t="shared" si="1041"/>
        <v>82.178075335688604</v>
      </c>
      <c r="CO128" s="21">
        <f t="shared" si="1041"/>
        <v>84.719595966536389</v>
      </c>
      <c r="CP128" s="21">
        <f t="shared" si="1041"/>
        <v>84.364838360435613</v>
      </c>
      <c r="CQ128" s="21">
        <f t="shared" si="1041"/>
        <v>90.444368830202265</v>
      </c>
      <c r="CR128" s="21">
        <f t="shared" si="1041"/>
        <v>96.099762776832108</v>
      </c>
      <c r="CS128" s="21">
        <f t="shared" si="1041"/>
        <v>100.89850392721948</v>
      </c>
      <c r="CT128" s="21">
        <f t="shared" si="1041"/>
        <v>106.19966943327856</v>
      </c>
      <c r="CU128" s="21">
        <f t="shared" si="1041"/>
        <v>110.32097732610794</v>
      </c>
      <c r="CV128" s="21">
        <f t="shared" si="1041"/>
        <v>114.58030298264094</v>
      </c>
      <c r="CW128" s="21">
        <f t="shared" si="1041"/>
        <v>117.89996653452029</v>
      </c>
      <c r="CX128" s="21">
        <f t="shared" si="1041"/>
        <v>122.02409218719039</v>
      </c>
      <c r="CY128" s="21">
        <f t="shared" si="1041"/>
        <v>124.96569141792162</v>
      </c>
      <c r="CZ128" s="21">
        <f t="shared" si="1041"/>
        <v>128.12322609239172</v>
      </c>
      <c r="DA128" s="21">
        <f t="shared" si="1041"/>
        <v>130.43574833890315</v>
      </c>
      <c r="DB128" s="21">
        <f t="shared" si="1041"/>
        <v>133.62925004810438</v>
      </c>
      <c r="DE128" s="22"/>
      <c r="DF128" s="162">
        <v>119.75896193916107</v>
      </c>
    </row>
    <row r="129" spans="1:110" s="162" customFormat="1" x14ac:dyDescent="0.2">
      <c r="A129" s="49" t="s">
        <v>344</v>
      </c>
      <c r="B129" s="162">
        <f>+B126/B127</f>
        <v>2.7807458231183704</v>
      </c>
      <c r="C129" s="162">
        <f t="shared" ref="C129:W129" si="1042">+C126/C127</f>
        <v>-3.9221794513321342</v>
      </c>
      <c r="D129" s="162">
        <f t="shared" si="1042"/>
        <v>3.2343822280642751</v>
      </c>
      <c r="E129" s="162">
        <f t="shared" ca="1" si="1042"/>
        <v>1.7975422161404959</v>
      </c>
      <c r="F129" s="162">
        <f t="shared" ca="1" si="1042"/>
        <v>3.4910546428451537</v>
      </c>
      <c r="G129" s="162">
        <f t="shared" ca="1" si="1042"/>
        <v>10.451330135634185</v>
      </c>
      <c r="H129" s="162">
        <f t="shared" ca="1" si="1042"/>
        <v>2.7813336082000535</v>
      </c>
      <c r="I129" s="162">
        <f t="shared" ca="1" si="1042"/>
        <v>1.7868819333764809</v>
      </c>
      <c r="J129" s="162">
        <f t="shared" ca="1" si="1042"/>
        <v>1.6378383688574645</v>
      </c>
      <c r="K129" s="162">
        <f t="shared" ca="1" si="1042"/>
        <v>5.6759106646317425</v>
      </c>
      <c r="L129" s="162">
        <f t="shared" ca="1" si="1042"/>
        <v>4.1298933283006978</v>
      </c>
      <c r="M129" s="162">
        <f t="shared" ca="1" si="1042"/>
        <v>3.5290264530845481</v>
      </c>
      <c r="N129" s="162">
        <f t="shared" ca="1" si="1042"/>
        <v>2.2965538184183756</v>
      </c>
      <c r="O129" s="162">
        <f t="shared" ca="1" si="1042"/>
        <v>14.93938375275229</v>
      </c>
      <c r="P129" s="162">
        <f t="shared" ca="1" si="1042"/>
        <v>6.722273520939761</v>
      </c>
      <c r="Q129" s="162">
        <f t="shared" ca="1" si="1042"/>
        <v>10.328409430404365</v>
      </c>
      <c r="R129" s="162">
        <f t="shared" ca="1" si="1042"/>
        <v>13.909175553919306</v>
      </c>
      <c r="S129" s="162">
        <f t="shared" ca="1" si="1042"/>
        <v>5.8332452817374589</v>
      </c>
      <c r="T129" s="162">
        <f t="shared" ca="1" si="1042"/>
        <v>4.5884089699312804</v>
      </c>
      <c r="U129" s="162">
        <f t="shared" ca="1" si="1042"/>
        <v>3.3154705656620487</v>
      </c>
      <c r="V129" s="162">
        <f t="shared" ca="1" si="1042"/>
        <v>1.1176554362483446</v>
      </c>
      <c r="W129" s="162">
        <f t="shared" ca="1" si="1042"/>
        <v>6.2939739983156917</v>
      </c>
      <c r="X129" s="162">
        <f t="shared" ref="X129:Y129" ca="1" si="1043">+X126/X127</f>
        <v>9.0866479084205967</v>
      </c>
      <c r="Y129" s="162">
        <f t="shared" ca="1" si="1043"/>
        <v>8.4117860123277222</v>
      </c>
      <c r="Z129" s="162">
        <f t="shared" ref="Z129:AA129" ca="1" si="1044">+Z126/Z127</f>
        <v>27.182227642743548</v>
      </c>
      <c r="AA129" s="162">
        <f t="shared" ref="AA129" ca="1" si="1045">+AA126/AA127</f>
        <v>27.182227642743548</v>
      </c>
      <c r="AB129" s="21">
        <f t="shared" ref="AB129:AD129" ca="1" si="1046">+AB126/AB127</f>
        <v>53.71893151714584</v>
      </c>
      <c r="AC129" s="21">
        <f t="shared" ca="1" si="1046"/>
        <v>56.641998709291009</v>
      </c>
      <c r="AD129" s="21">
        <f t="shared" ca="1" si="1046"/>
        <v>68.998033528836046</v>
      </c>
      <c r="AE129" s="21">
        <f t="shared" ref="AE129" ca="1" si="1047">+AE126/AE127</f>
        <v>78.114204806220343</v>
      </c>
      <c r="AL129" s="162">
        <f t="shared" ref="AL129:AM129" si="1048">+AL126/AL127</f>
        <v>2.4403375029762318</v>
      </c>
      <c r="AM129" s="162">
        <f t="shared" si="1048"/>
        <v>2.1560434027657522</v>
      </c>
      <c r="AN129" s="162">
        <f t="shared" ref="AN129:AO129" si="1049">+AN126/AN127</f>
        <v>4.1278078048964497</v>
      </c>
      <c r="AO129" s="162">
        <f t="shared" si="1049"/>
        <v>5.6778168941610652</v>
      </c>
      <c r="AP129" s="162">
        <f t="shared" ref="AP129:CD129" si="1050">+AP126/AP127</f>
        <v>14.338952131129476</v>
      </c>
      <c r="AQ129" s="162">
        <f t="shared" si="1050"/>
        <v>20.118634971857006</v>
      </c>
      <c r="AR129" s="162">
        <f t="shared" si="1050"/>
        <v>7.1555459589637582</v>
      </c>
      <c r="AS129" s="162">
        <f t="shared" si="1050"/>
        <v>8.9121552232107177</v>
      </c>
      <c r="AT129" s="162">
        <f t="shared" si="1050"/>
        <v>12.643920323626736</v>
      </c>
      <c r="AU129" s="162">
        <f t="shared" si="1050"/>
        <v>7.2300118045941808</v>
      </c>
      <c r="AV129" s="162">
        <f t="shared" si="1050"/>
        <v>12.697951837581742</v>
      </c>
      <c r="AW129" s="162">
        <f t="shared" si="1050"/>
        <v>12.716909298135024</v>
      </c>
      <c r="AX129" s="162">
        <f t="shared" si="1050"/>
        <v>12.219043688679278</v>
      </c>
      <c r="AY129" s="162">
        <f t="shared" si="1050"/>
        <v>11.872992882398393</v>
      </c>
      <c r="AZ129" s="162">
        <f t="shared" si="1050"/>
        <v>12.517375083234029</v>
      </c>
      <c r="BA129" s="162">
        <f t="shared" si="1050"/>
        <v>12.673666010644739</v>
      </c>
      <c r="BB129" s="162">
        <f t="shared" si="1050"/>
        <v>15.71300291425128</v>
      </c>
      <c r="BC129" s="162">
        <f t="shared" si="1050"/>
        <v>17.461253940204898</v>
      </c>
      <c r="BD129" s="162">
        <f t="shared" si="1050"/>
        <v>10.507354859619756</v>
      </c>
      <c r="BE129" s="162">
        <f t="shared" si="1050"/>
        <v>8.371530245704788</v>
      </c>
      <c r="BF129" s="162">
        <f t="shared" si="1050"/>
        <v>15.991829640029547</v>
      </c>
      <c r="BG129" s="162">
        <f t="shared" si="1050"/>
        <v>8.9560707008365661</v>
      </c>
      <c r="BH129" s="162">
        <f t="shared" si="1050"/>
        <v>8.2427679313207172</v>
      </c>
      <c r="BI129" s="162">
        <f t="shared" si="1050"/>
        <v>5.601574050646553</v>
      </c>
      <c r="BJ129" s="162">
        <f t="shared" si="1050"/>
        <v>5.2383732682322588</v>
      </c>
      <c r="BK129" s="162">
        <f t="shared" si="1050"/>
        <v>5.1440786229482249</v>
      </c>
      <c r="BL129" s="162">
        <f t="shared" si="1050"/>
        <v>4.2558065479652623</v>
      </c>
      <c r="BM129" s="162">
        <f t="shared" si="1050"/>
        <v>5.1037961162006731</v>
      </c>
      <c r="BN129" s="162">
        <f t="shared" si="1050"/>
        <v>3.3553683177570965</v>
      </c>
      <c r="BO129" s="162">
        <f t="shared" si="1050"/>
        <v>2.6641134973763414</v>
      </c>
      <c r="BP129" s="162">
        <f t="shared" si="1050"/>
        <v>4.9503392443212562</v>
      </c>
      <c r="BQ129" s="162">
        <f t="shared" si="1050"/>
        <v>6.5620444473174553</v>
      </c>
      <c r="BR129" s="162">
        <f t="shared" si="1050"/>
        <v>4.5969033599605638</v>
      </c>
      <c r="BS129" s="162">
        <f t="shared" si="1050"/>
        <v>4.2001562786500042</v>
      </c>
      <c r="BT129" s="162">
        <f t="shared" si="1050"/>
        <v>7.8949450975705542</v>
      </c>
      <c r="BU129" s="162">
        <f t="shared" si="1050"/>
        <v>10.854247950666441</v>
      </c>
      <c r="BV129" s="162">
        <f t="shared" si="1050"/>
        <v>10.831120221960999</v>
      </c>
      <c r="BW129" s="162">
        <f t="shared" si="1050"/>
        <v>14.078925020483787</v>
      </c>
      <c r="BX129" s="162">
        <f t="shared" si="1050"/>
        <v>12.40166195932731</v>
      </c>
      <c r="BY129" s="162">
        <f t="shared" si="1050"/>
        <v>13.53835146605889</v>
      </c>
      <c r="BZ129" s="162">
        <f t="shared" si="1050"/>
        <v>13.605845142679843</v>
      </c>
      <c r="CA129" s="162">
        <f t="shared" si="1050"/>
        <v>13.649662661717086</v>
      </c>
      <c r="CB129" s="162">
        <f t="shared" si="1050"/>
        <v>17.889231691539138</v>
      </c>
      <c r="CC129" s="162">
        <f t="shared" si="1050"/>
        <v>25.928172707077234</v>
      </c>
      <c r="CD129" s="162">
        <f t="shared" si="1050"/>
        <v>26.467305101159202</v>
      </c>
      <c r="CE129" s="162">
        <f t="shared" ref="CE129:CF129" si="1051">+CE126/CE127</f>
        <v>30.717600331688406</v>
      </c>
      <c r="CF129" s="162">
        <f t="shared" si="1051"/>
        <v>45.745698871665226</v>
      </c>
      <c r="CG129" s="162">
        <f t="shared" ref="CG129:CH129" si="1052">+CG126/CG127</f>
        <v>35.242602912079334</v>
      </c>
      <c r="CH129" s="162">
        <f t="shared" si="1052"/>
        <v>27.257214708313338</v>
      </c>
      <c r="CI129" s="162">
        <f t="shared" ref="CI129:CJ129" si="1053">+CI126/CI127</f>
        <v>27.098681750379537</v>
      </c>
      <c r="CJ129" s="162">
        <f t="shared" si="1053"/>
        <v>49.671266928556136</v>
      </c>
      <c r="CK129" s="162">
        <f t="shared" ref="CK129:CL129" si="1054">+CK126/CK127</f>
        <v>78.483240384184015</v>
      </c>
      <c r="CL129" s="162">
        <f t="shared" si="1054"/>
        <v>65.781504060797161</v>
      </c>
      <c r="CM129" s="21">
        <f t="shared" ref="CM129:DB129" si="1055">+CM126/CM127</f>
        <v>61.854828935167973</v>
      </c>
      <c r="CN129" s="21">
        <f t="shared" si="1055"/>
        <v>57.098321373105975</v>
      </c>
      <c r="CO129" s="21">
        <f t="shared" si="1055"/>
        <v>58.726920032564095</v>
      </c>
      <c r="CP129" s="21">
        <f t="shared" si="1055"/>
        <v>58.636198606647042</v>
      </c>
      <c r="CQ129" s="21">
        <f t="shared" si="1055"/>
        <v>62.712095467453892</v>
      </c>
      <c r="CR129" s="21">
        <f t="shared" si="1055"/>
        <v>66.662408444888371</v>
      </c>
      <c r="CS129" s="21">
        <f t="shared" si="1055"/>
        <v>69.868718943486414</v>
      </c>
      <c r="CT129" s="21">
        <f t="shared" si="1055"/>
        <v>73.714250642273612</v>
      </c>
      <c r="CU129" s="21">
        <f t="shared" si="1055"/>
        <v>76.438173526289688</v>
      </c>
      <c r="CV129" s="21">
        <f t="shared" si="1055"/>
        <v>79.425816088609224</v>
      </c>
      <c r="CW129" s="21">
        <f t="shared" si="1055"/>
        <v>81.611362155393934</v>
      </c>
      <c r="CX129" s="21">
        <f t="shared" si="1055"/>
        <v>84.645211217228194</v>
      </c>
      <c r="CY129" s="21">
        <f t="shared" si="1055"/>
        <v>86.555553378395743</v>
      </c>
      <c r="CZ129" s="21">
        <f t="shared" si="1055"/>
        <v>88.782878011147304</v>
      </c>
      <c r="DA129" s="21">
        <f t="shared" si="1055"/>
        <v>90.273300424713241</v>
      </c>
      <c r="DB129" s="21">
        <f t="shared" si="1055"/>
        <v>92.664933476222103</v>
      </c>
      <c r="DE129" s="22"/>
      <c r="DF129" s="162">
        <v>50.595536919553545</v>
      </c>
    </row>
    <row r="130" spans="1:110" s="10" customFormat="1" x14ac:dyDescent="0.2">
      <c r="A130" s="149" t="s">
        <v>490</v>
      </c>
      <c r="AB130" s="20"/>
      <c r="AC130" s="20"/>
      <c r="AD130" s="20"/>
      <c r="AE130" s="20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E130" s="126"/>
    </row>
    <row r="131" spans="1:110" x14ac:dyDescent="0.2">
      <c r="A131" s="152" t="s">
        <v>491</v>
      </c>
      <c r="AA131" s="2"/>
      <c r="CL131" s="2"/>
    </row>
    <row r="132" spans="1:110" s="23" customFormat="1" outlineLevel="1" x14ac:dyDescent="0.2">
      <c r="A132" s="23" t="s">
        <v>41</v>
      </c>
      <c r="B132" s="23">
        <f>'Annual Raw'!C41</f>
        <v>5.6527659999999997</v>
      </c>
      <c r="C132" s="23">
        <f>'Annual Raw'!D41</f>
        <v>5.1527659999999997</v>
      </c>
      <c r="D132" s="23">
        <f>'Annual Raw'!E41</f>
        <v>5.1527659999999997</v>
      </c>
      <c r="E132" s="23">
        <f>'Annual Raw'!F41</f>
        <v>5.1527659999999997</v>
      </c>
      <c r="F132" s="23">
        <f>'Annual Raw'!G41</f>
        <v>5.1527659999999997</v>
      </c>
      <c r="G132" s="23">
        <f>'Annual Raw'!H41</f>
        <v>5.1533160000000002</v>
      </c>
      <c r="H132" s="23">
        <f>'Annual Raw'!I41</f>
        <v>5.1533160000000002</v>
      </c>
      <c r="I132" s="23">
        <f>'Annual Raw'!J41</f>
        <v>5.1533160000000002</v>
      </c>
      <c r="J132" s="23">
        <f>'Annual Raw'!K41</f>
        <v>5.1533160000000002</v>
      </c>
      <c r="K132" s="23">
        <f>'Annual Raw'!L41</f>
        <v>4.7070730000000003</v>
      </c>
      <c r="L132" s="23">
        <f>'Annual Raw'!M41</f>
        <v>4.7070730000000003</v>
      </c>
      <c r="M132" s="23">
        <f>'Annual Raw'!N41</f>
        <v>4.4836</v>
      </c>
      <c r="N132" s="23">
        <f>'Annual Raw'!O41</f>
        <v>4.4836</v>
      </c>
      <c r="O132" s="23">
        <f>'Annual Raw'!P41</f>
        <v>4.1836000000000002</v>
      </c>
      <c r="P132" s="23">
        <f>'Annual Raw'!Q41</f>
        <v>4.0550930000000003</v>
      </c>
      <c r="Q132" s="23">
        <f>'Annual Raw'!R41</f>
        <v>4.0550930000000003</v>
      </c>
      <c r="R132" s="23">
        <f>'Annual Raw'!S41</f>
        <v>4.0550930000000003</v>
      </c>
      <c r="S132" s="23">
        <f>'Annual Raw'!T41</f>
        <v>4.0550930000000003</v>
      </c>
      <c r="T132" s="23">
        <f>'Annual Raw'!U41</f>
        <v>4.0550930000000003</v>
      </c>
      <c r="U132" s="23">
        <f>'Annual Raw'!V41</f>
        <v>4.0550930000000003</v>
      </c>
      <c r="V132" s="23">
        <f>'Annual Raw'!W41</f>
        <v>4.0551000000000004</v>
      </c>
      <c r="W132" s="23">
        <f>'Annual Raw'!X41</f>
        <v>4.0551000000000004</v>
      </c>
      <c r="X132" s="23">
        <f>'Annual Raw'!Y41</f>
        <v>16.218599999999999</v>
      </c>
      <c r="Y132" s="23">
        <f>'Annual Raw'!Z41</f>
        <v>48.654499999999999</v>
      </c>
      <c r="Z132" s="23">
        <f>'Annual Raw'!AA41</f>
        <v>48.947800000000001</v>
      </c>
      <c r="AA132" s="23">
        <f>'Annual Raw'!AB41</f>
        <v>53.142800000000001</v>
      </c>
      <c r="AB132" s="24">
        <f>+CP132</f>
        <v>53.143000000000001</v>
      </c>
      <c r="AC132" s="24">
        <f>+CT132</f>
        <v>53.143000000000001</v>
      </c>
      <c r="AD132" s="24">
        <f>+CX132</f>
        <v>53.143000000000001</v>
      </c>
      <c r="AE132" s="24">
        <f>+DB132</f>
        <v>53.143000000000001</v>
      </c>
      <c r="AJ132" s="23">
        <f>+'QTR Raw'!D56</f>
        <v>4.484</v>
      </c>
      <c r="AK132" s="23">
        <f t="shared" ref="AK132:CE132" si="1056">+AJ132</f>
        <v>4.484</v>
      </c>
      <c r="AL132" s="23">
        <f>+'QTR Raw'!F56</f>
        <v>4.484</v>
      </c>
      <c r="AM132" s="23">
        <f t="shared" si="1056"/>
        <v>4.484</v>
      </c>
      <c r="AN132" s="23">
        <f>+'QTR Raw'!H56</f>
        <v>4.1840000000000002</v>
      </c>
      <c r="AO132" s="23">
        <f t="shared" si="1056"/>
        <v>4.1840000000000002</v>
      </c>
      <c r="AP132" s="23">
        <f>+'QTR Raw'!J56</f>
        <v>4.1840000000000002</v>
      </c>
      <c r="AQ132" s="23">
        <f t="shared" si="1056"/>
        <v>4.1840000000000002</v>
      </c>
      <c r="AR132" s="23">
        <f>+'QTR Raw'!L56</f>
        <v>4.0549999999999997</v>
      </c>
      <c r="AS132" s="23">
        <f t="shared" si="1056"/>
        <v>4.0549999999999997</v>
      </c>
      <c r="AT132" s="23">
        <f>+'QTR Raw'!N56</f>
        <v>4.0549999999999997</v>
      </c>
      <c r="AU132" s="23">
        <f t="shared" si="1056"/>
        <v>4.0549999999999997</v>
      </c>
      <c r="AV132" s="23">
        <f>+'QTR Raw'!P56</f>
        <v>4.0549999999999997</v>
      </c>
      <c r="AW132" s="23">
        <f t="shared" si="1056"/>
        <v>4.0549999999999997</v>
      </c>
      <c r="AX132" s="23">
        <f>+'QTR Raw'!R56</f>
        <v>4.0549999999999997</v>
      </c>
      <c r="AY132" s="23">
        <f t="shared" si="1056"/>
        <v>4.0549999999999997</v>
      </c>
      <c r="AZ132" s="23">
        <f>+'QTR Raw'!T56</f>
        <v>4.0549999999999997</v>
      </c>
      <c r="BA132" s="23">
        <f t="shared" si="1056"/>
        <v>4.0549999999999997</v>
      </c>
      <c r="BB132" s="23">
        <f>+'QTR Raw'!V56</f>
        <v>4.0549999999999997</v>
      </c>
      <c r="BC132" s="23">
        <f t="shared" si="1056"/>
        <v>4.0549999999999997</v>
      </c>
      <c r="BD132" s="23">
        <f>+'QTR Raw'!X56</f>
        <v>4.0549999999999997</v>
      </c>
      <c r="BE132" s="23">
        <f t="shared" si="1056"/>
        <v>4.0549999999999997</v>
      </c>
      <c r="BF132" s="23">
        <f>+'QTR Raw'!Z56</f>
        <v>4.0549999999999997</v>
      </c>
      <c r="BG132" s="23">
        <f t="shared" si="1056"/>
        <v>4.0549999999999997</v>
      </c>
      <c r="BH132" s="23">
        <f>+'QTR Raw'!AB56</f>
        <v>4.0549999999999997</v>
      </c>
      <c r="BI132" s="23">
        <f t="shared" si="1056"/>
        <v>4.0549999999999997</v>
      </c>
      <c r="BJ132" s="23">
        <f>+'QTR Raw'!AD56</f>
        <v>4.0549999999999997</v>
      </c>
      <c r="BK132" s="23">
        <f t="shared" si="1056"/>
        <v>4.0549999999999997</v>
      </c>
      <c r="BL132" s="23">
        <f>+'QTR Raw'!AF56</f>
        <v>4.0549999999999997</v>
      </c>
      <c r="BM132" s="23">
        <f t="shared" si="1056"/>
        <v>4.0549999999999997</v>
      </c>
      <c r="BN132" s="23">
        <f>+'QTR Raw'!AH56</f>
        <v>4.0549999999999997</v>
      </c>
      <c r="BO132" s="23">
        <f t="shared" si="1056"/>
        <v>4.0549999999999997</v>
      </c>
      <c r="BP132" s="23">
        <f>+'QTR Raw'!AJ56</f>
        <v>4.0549999999999997</v>
      </c>
      <c r="BQ132" s="23">
        <f t="shared" si="1056"/>
        <v>4.0549999999999997</v>
      </c>
      <c r="BR132" s="23">
        <f>+'QTR Raw'!AL56</f>
        <v>4.0549999999999997</v>
      </c>
      <c r="BS132" s="23">
        <f t="shared" si="1056"/>
        <v>4.0549999999999997</v>
      </c>
      <c r="BT132" s="23">
        <f>+'QTR Raw'!AN56</f>
        <v>4.0549999999999997</v>
      </c>
      <c r="BU132" s="23">
        <f t="shared" si="1056"/>
        <v>4.0549999999999997</v>
      </c>
      <c r="BV132" s="23">
        <f>+'QTR Raw'!AP56</f>
        <v>4.0549999999999997</v>
      </c>
      <c r="BW132" s="23">
        <f t="shared" si="1056"/>
        <v>4.0549999999999997</v>
      </c>
      <c r="BX132" s="23">
        <f>+'QTR Raw'!AR56</f>
        <v>16.219000000000001</v>
      </c>
      <c r="BY132" s="23">
        <f t="shared" si="1056"/>
        <v>16.219000000000001</v>
      </c>
      <c r="BZ132" s="23">
        <f>+'QTR Raw'!AT56</f>
        <v>16.219000000000001</v>
      </c>
      <c r="CA132" s="23">
        <f t="shared" si="1056"/>
        <v>16.219000000000001</v>
      </c>
      <c r="CB132" s="23">
        <f>+'QTR Raw'!AV56</f>
        <v>16.219000000000001</v>
      </c>
      <c r="CC132" s="23">
        <f t="shared" si="1056"/>
        <v>16.219000000000001</v>
      </c>
      <c r="CD132" s="23">
        <f>+'QTR Raw'!AX56</f>
        <v>48.654000000000003</v>
      </c>
      <c r="CE132" s="23">
        <f t="shared" si="1056"/>
        <v>48.654000000000003</v>
      </c>
      <c r="CF132" s="23">
        <f>+'QTR Raw'!AZ56</f>
        <v>48.655000000000001</v>
      </c>
      <c r="CG132" s="23">
        <f t="shared" ref="CG132:CG133" si="1057">+CF132</f>
        <v>48.655000000000001</v>
      </c>
      <c r="CH132" s="23">
        <f>Z132</f>
        <v>48.947800000000001</v>
      </c>
      <c r="CI132" s="23">
        <f>CH132</f>
        <v>48.947800000000001</v>
      </c>
      <c r="CJ132" s="23">
        <f>+'QTR Raw'!BD56</f>
        <v>52.994999999999997</v>
      </c>
      <c r="CK132" s="24">
        <f t="shared" ref="CK132:DB132" si="1058">CJ132</f>
        <v>52.994999999999997</v>
      </c>
      <c r="CL132" s="23">
        <f>+'QTR Raw'!BF56</f>
        <v>53.143000000000001</v>
      </c>
      <c r="CM132" s="24">
        <f t="shared" si="1058"/>
        <v>53.143000000000001</v>
      </c>
      <c r="CN132" s="24">
        <f t="shared" si="1058"/>
        <v>53.143000000000001</v>
      </c>
      <c r="CO132" s="24">
        <f t="shared" si="1058"/>
        <v>53.143000000000001</v>
      </c>
      <c r="CP132" s="24">
        <f t="shared" si="1058"/>
        <v>53.143000000000001</v>
      </c>
      <c r="CQ132" s="24">
        <f t="shared" si="1058"/>
        <v>53.143000000000001</v>
      </c>
      <c r="CR132" s="24">
        <f t="shared" si="1058"/>
        <v>53.143000000000001</v>
      </c>
      <c r="CS132" s="24">
        <f t="shared" si="1058"/>
        <v>53.143000000000001</v>
      </c>
      <c r="CT132" s="24">
        <f t="shared" si="1058"/>
        <v>53.143000000000001</v>
      </c>
      <c r="CU132" s="24">
        <f t="shared" si="1058"/>
        <v>53.143000000000001</v>
      </c>
      <c r="CV132" s="24">
        <f t="shared" si="1058"/>
        <v>53.143000000000001</v>
      </c>
      <c r="CW132" s="24">
        <f t="shared" si="1058"/>
        <v>53.143000000000001</v>
      </c>
      <c r="CX132" s="24">
        <f t="shared" si="1058"/>
        <v>53.143000000000001</v>
      </c>
      <c r="CY132" s="24">
        <f t="shared" si="1058"/>
        <v>53.143000000000001</v>
      </c>
      <c r="CZ132" s="24">
        <f t="shared" si="1058"/>
        <v>53.143000000000001</v>
      </c>
      <c r="DA132" s="24">
        <f t="shared" si="1058"/>
        <v>53.143000000000001</v>
      </c>
      <c r="DB132" s="24">
        <f t="shared" si="1058"/>
        <v>53.143000000000001</v>
      </c>
      <c r="DE132" s="123"/>
      <c r="DF132" s="23">
        <v>53.143000000000001</v>
      </c>
    </row>
    <row r="133" spans="1:110" s="23" customFormat="1" outlineLevel="1" x14ac:dyDescent="0.2">
      <c r="A133" s="23" t="s">
        <v>42</v>
      </c>
      <c r="B133" s="23">
        <f>'Annual Raw'!C42</f>
        <v>0</v>
      </c>
      <c r="C133" s="23">
        <f>'Annual Raw'!D42</f>
        <v>0</v>
      </c>
      <c r="D133" s="23">
        <f>'Annual Raw'!E42</f>
        <v>0</v>
      </c>
      <c r="E133" s="23">
        <f>'Annual Raw'!F42</f>
        <v>0</v>
      </c>
      <c r="F133" s="23">
        <f>'Annual Raw'!G42</f>
        <v>0</v>
      </c>
      <c r="G133" s="23">
        <f>'Annual Raw'!H42</f>
        <v>0</v>
      </c>
      <c r="H133" s="23">
        <f>'Annual Raw'!I42</f>
        <v>0</v>
      </c>
      <c r="I133" s="23">
        <f>'Annual Raw'!J42</f>
        <v>0</v>
      </c>
      <c r="J133" s="23">
        <f>'Annual Raw'!K42</f>
        <v>0</v>
      </c>
      <c r="K133" s="23">
        <f>'Annual Raw'!L42</f>
        <v>0</v>
      </c>
      <c r="L133" s="23">
        <f>'Annual Raw'!M42</f>
        <v>0</v>
      </c>
      <c r="M133" s="23">
        <f>'Annual Raw'!N42</f>
        <v>0</v>
      </c>
      <c r="N133" s="23">
        <f>'Annual Raw'!O42</f>
        <v>0</v>
      </c>
      <c r="O133" s="23">
        <f>'Annual Raw'!P42</f>
        <v>0</v>
      </c>
      <c r="P133" s="23">
        <f>'Annual Raw'!Q42</f>
        <v>0</v>
      </c>
      <c r="Q133" s="23">
        <f>'Annual Raw'!R42</f>
        <v>0</v>
      </c>
      <c r="R133" s="23">
        <f>'Annual Raw'!S42</f>
        <v>0</v>
      </c>
      <c r="S133" s="23">
        <f>'Annual Raw'!T42</f>
        <v>0</v>
      </c>
      <c r="T133" s="23">
        <f>'Annual Raw'!U42</f>
        <v>0</v>
      </c>
      <c r="U133" s="23">
        <f>'Annual Raw'!V42</f>
        <v>0</v>
      </c>
      <c r="V133" s="23">
        <f>'Annual Raw'!W42</f>
        <v>0</v>
      </c>
      <c r="W133" s="23">
        <f>'Annual Raw'!X42</f>
        <v>0</v>
      </c>
      <c r="X133" s="23">
        <f>'Annual Raw'!Y42</f>
        <v>0</v>
      </c>
      <c r="Y133" s="23">
        <f>'Annual Raw'!Z42</f>
        <v>6.0720000000000001</v>
      </c>
      <c r="Z133" s="23">
        <f>'Annual Raw'!AA42</f>
        <v>13.3071</v>
      </c>
      <c r="AA133" s="23">
        <f>'Annual Raw'!AB42</f>
        <v>10.375</v>
      </c>
      <c r="AB133" s="24">
        <f t="shared" ref="AB133:AB134" si="1059">+CP133</f>
        <v>0</v>
      </c>
      <c r="AC133" s="24">
        <f t="shared" ref="AC133:AC134" si="1060">+CT133</f>
        <v>0</v>
      </c>
      <c r="AD133" s="24">
        <f t="shared" ref="AD133:AD134" si="1061">+CX133</f>
        <v>0</v>
      </c>
      <c r="AE133" s="24">
        <f t="shared" ref="AE133:AE134" si="1062">+DB133</f>
        <v>0</v>
      </c>
      <c r="AJ133" s="23">
        <f>+'QTR Raw'!D57</f>
        <v>0</v>
      </c>
      <c r="AK133" s="23">
        <f t="shared" ref="AK133:CE133" si="1063">+AJ133</f>
        <v>0</v>
      </c>
      <c r="AL133" s="23">
        <f>+'QTR Raw'!F57</f>
        <v>0</v>
      </c>
      <c r="AM133" s="23">
        <f t="shared" si="1063"/>
        <v>0</v>
      </c>
      <c r="AN133" s="23">
        <f>+'QTR Raw'!H57</f>
        <v>0</v>
      </c>
      <c r="AO133" s="23">
        <f t="shared" si="1063"/>
        <v>0</v>
      </c>
      <c r="AP133" s="23">
        <f>+'QTR Raw'!J57</f>
        <v>0</v>
      </c>
      <c r="AQ133" s="23">
        <f t="shared" si="1063"/>
        <v>0</v>
      </c>
      <c r="AR133" s="23">
        <f>+'QTR Raw'!L57</f>
        <v>0</v>
      </c>
      <c r="AS133" s="23">
        <f t="shared" si="1063"/>
        <v>0</v>
      </c>
      <c r="AT133" s="23">
        <f>+'QTR Raw'!N57</f>
        <v>0</v>
      </c>
      <c r="AU133" s="23">
        <f t="shared" si="1063"/>
        <v>0</v>
      </c>
      <c r="AV133" s="23">
        <f>+'QTR Raw'!P57</f>
        <v>0</v>
      </c>
      <c r="AW133" s="23">
        <f t="shared" si="1063"/>
        <v>0</v>
      </c>
      <c r="AX133" s="23">
        <f>+'QTR Raw'!R57</f>
        <v>0</v>
      </c>
      <c r="AY133" s="23">
        <f t="shared" si="1063"/>
        <v>0</v>
      </c>
      <c r="AZ133" s="23">
        <f>+'QTR Raw'!T57</f>
        <v>0</v>
      </c>
      <c r="BA133" s="23">
        <f t="shared" si="1063"/>
        <v>0</v>
      </c>
      <c r="BB133" s="23">
        <f>+'QTR Raw'!V57</f>
        <v>0</v>
      </c>
      <c r="BC133" s="23">
        <f t="shared" si="1063"/>
        <v>0</v>
      </c>
      <c r="BD133" s="23">
        <f>+'QTR Raw'!X57</f>
        <v>0</v>
      </c>
      <c r="BE133" s="23">
        <f t="shared" si="1063"/>
        <v>0</v>
      </c>
      <c r="BF133" s="23">
        <f>+'QTR Raw'!Z57</f>
        <v>0</v>
      </c>
      <c r="BG133" s="23">
        <f t="shared" si="1063"/>
        <v>0</v>
      </c>
      <c r="BH133" s="23">
        <f>+'QTR Raw'!AB57</f>
        <v>0</v>
      </c>
      <c r="BI133" s="23">
        <f t="shared" si="1063"/>
        <v>0</v>
      </c>
      <c r="BJ133" s="23">
        <f>+'QTR Raw'!AD57</f>
        <v>0</v>
      </c>
      <c r="BK133" s="23">
        <f t="shared" si="1063"/>
        <v>0</v>
      </c>
      <c r="BL133" s="23">
        <f>+'QTR Raw'!AF57</f>
        <v>0</v>
      </c>
      <c r="BM133" s="23">
        <f t="shared" si="1063"/>
        <v>0</v>
      </c>
      <c r="BN133" s="23">
        <f>+'QTR Raw'!AH57</f>
        <v>0</v>
      </c>
      <c r="BO133" s="23">
        <f t="shared" si="1063"/>
        <v>0</v>
      </c>
      <c r="BP133" s="23">
        <f>+'QTR Raw'!AJ57</f>
        <v>0</v>
      </c>
      <c r="BQ133" s="23">
        <f t="shared" si="1063"/>
        <v>0</v>
      </c>
      <c r="BR133" s="23">
        <f>+'QTR Raw'!AL57</f>
        <v>0</v>
      </c>
      <c r="BS133" s="23">
        <f t="shared" si="1063"/>
        <v>0</v>
      </c>
      <c r="BT133" s="23">
        <f>+'QTR Raw'!AN57</f>
        <v>0</v>
      </c>
      <c r="BU133" s="23">
        <f t="shared" si="1063"/>
        <v>0</v>
      </c>
      <c r="BV133" s="23">
        <f>+'QTR Raw'!AP57</f>
        <v>0</v>
      </c>
      <c r="BW133" s="23">
        <f t="shared" si="1063"/>
        <v>0</v>
      </c>
      <c r="BX133" s="23">
        <f>+'QTR Raw'!AR57</f>
        <v>0</v>
      </c>
      <c r="BY133" s="23">
        <f t="shared" si="1063"/>
        <v>0</v>
      </c>
      <c r="BZ133" s="23">
        <f>+'QTR Raw'!AT57</f>
        <v>0</v>
      </c>
      <c r="CA133" s="23">
        <f t="shared" si="1063"/>
        <v>0</v>
      </c>
      <c r="CB133" s="23">
        <f>+'QTR Raw'!AV57</f>
        <v>0</v>
      </c>
      <c r="CC133" s="23">
        <f t="shared" si="1063"/>
        <v>0</v>
      </c>
      <c r="CD133" s="23">
        <f>+'QTR Raw'!AX57</f>
        <v>0</v>
      </c>
      <c r="CE133" s="23">
        <f t="shared" si="1063"/>
        <v>0</v>
      </c>
      <c r="CF133" s="23">
        <f>+'QTR Raw'!AZ57</f>
        <v>0</v>
      </c>
      <c r="CG133" s="23">
        <f t="shared" si="1057"/>
        <v>0</v>
      </c>
      <c r="CH133" s="23">
        <f t="shared" ref="CH133:CH134" si="1064">Z133</f>
        <v>13.3071</v>
      </c>
      <c r="CI133" s="23">
        <f>CH133</f>
        <v>13.3071</v>
      </c>
      <c r="CJ133" s="23">
        <f>+'QTR Raw'!BD57</f>
        <v>0</v>
      </c>
      <c r="CK133" s="24">
        <f t="shared" ref="CK133:DB133" si="1065">CJ133</f>
        <v>0</v>
      </c>
      <c r="CL133" s="23">
        <f>+'QTR Raw'!BF57</f>
        <v>0</v>
      </c>
      <c r="CM133" s="24">
        <f t="shared" si="1065"/>
        <v>0</v>
      </c>
      <c r="CN133" s="24">
        <f t="shared" si="1065"/>
        <v>0</v>
      </c>
      <c r="CO133" s="24">
        <f t="shared" si="1065"/>
        <v>0</v>
      </c>
      <c r="CP133" s="24">
        <f t="shared" si="1065"/>
        <v>0</v>
      </c>
      <c r="CQ133" s="24">
        <f t="shared" si="1065"/>
        <v>0</v>
      </c>
      <c r="CR133" s="24">
        <f t="shared" si="1065"/>
        <v>0</v>
      </c>
      <c r="CS133" s="24">
        <f t="shared" si="1065"/>
        <v>0</v>
      </c>
      <c r="CT133" s="24">
        <f t="shared" si="1065"/>
        <v>0</v>
      </c>
      <c r="CU133" s="24">
        <f t="shared" si="1065"/>
        <v>0</v>
      </c>
      <c r="CV133" s="24">
        <f t="shared" si="1065"/>
        <v>0</v>
      </c>
      <c r="CW133" s="24">
        <f t="shared" si="1065"/>
        <v>0</v>
      </c>
      <c r="CX133" s="24">
        <f t="shared" si="1065"/>
        <v>0</v>
      </c>
      <c r="CY133" s="24">
        <f t="shared" si="1065"/>
        <v>0</v>
      </c>
      <c r="CZ133" s="24">
        <f t="shared" si="1065"/>
        <v>0</v>
      </c>
      <c r="DA133" s="24">
        <f t="shared" si="1065"/>
        <v>0</v>
      </c>
      <c r="DB133" s="24">
        <f t="shared" si="1065"/>
        <v>0</v>
      </c>
      <c r="DE133" s="123"/>
      <c r="DF133" s="23">
        <v>0</v>
      </c>
    </row>
    <row r="134" spans="1:110" s="23" customFormat="1" outlineLevel="1" x14ac:dyDescent="0.2">
      <c r="A134" s="23" t="s">
        <v>43</v>
      </c>
      <c r="B134" s="23">
        <f>'Annual Raw'!C43</f>
        <v>11.354088900000001</v>
      </c>
      <c r="C134" s="23">
        <f>'Annual Raw'!D43</f>
        <v>5.1992732000000004</v>
      </c>
      <c r="D134" s="23">
        <f>'Annual Raw'!E43</f>
        <v>5.3660838999999996</v>
      </c>
      <c r="E134" s="23">
        <f>'Annual Raw'!F43</f>
        <v>4.6649456000000002</v>
      </c>
      <c r="F134" s="23">
        <f>'Annual Raw'!G43</f>
        <v>5.4574936999999997</v>
      </c>
      <c r="G134" s="23">
        <f>'Annual Raw'!H43</f>
        <v>6.3566379</v>
      </c>
      <c r="H134" s="23">
        <f>'Annual Raw'!I43</f>
        <v>7.8150919999999999</v>
      </c>
      <c r="I134" s="23">
        <f>'Annual Raw'!J43</f>
        <v>10.5779733</v>
      </c>
      <c r="J134" s="23">
        <f>'Annual Raw'!K43</f>
        <v>12.256906000000001</v>
      </c>
      <c r="K134" s="23">
        <f>'Annual Raw'!L43</f>
        <v>11.118608800000001</v>
      </c>
      <c r="L134" s="23">
        <f>'Annual Raw'!M43</f>
        <v>12.6719843</v>
      </c>
      <c r="M134" s="23">
        <f>'Annual Raw'!N43</f>
        <v>14.234401200000001</v>
      </c>
      <c r="N134" s="23">
        <f>'Annual Raw'!O43</f>
        <v>19.3629794</v>
      </c>
      <c r="O134" s="23">
        <f>'Annual Raw'!P43</f>
        <v>16.525986799999998</v>
      </c>
      <c r="P134" s="23">
        <f>'Annual Raw'!Q43</f>
        <v>15.6607349</v>
      </c>
      <c r="Q134" s="23">
        <f>'Annual Raw'!R43</f>
        <v>15.686822599999999</v>
      </c>
      <c r="R134" s="23">
        <f>'Annual Raw'!S43</f>
        <v>16.574515099999999</v>
      </c>
      <c r="S134" s="23">
        <f>'Annual Raw'!T43</f>
        <v>32.902766700000001</v>
      </c>
      <c r="T134" s="23">
        <f>'Annual Raw'!U43</f>
        <v>38.989137100000001</v>
      </c>
      <c r="U134" s="23">
        <f>'Annual Raw'!V43</f>
        <v>47.619033100000003</v>
      </c>
      <c r="V134" s="23">
        <f>'Annual Raw'!W43</f>
        <v>62.184600000000003</v>
      </c>
      <c r="W134" s="23">
        <f>'Annual Raw'!X43</f>
        <v>78.463899999999995</v>
      </c>
      <c r="X134" s="23">
        <f>'Annual Raw'!Y43</f>
        <v>91.263099999999994</v>
      </c>
      <c r="Y134" s="23">
        <f>'Annual Raw'!Z43</f>
        <v>109.3927</v>
      </c>
      <c r="Z134" s="23">
        <f>'Annual Raw'!AA43</f>
        <v>174.99119999999999</v>
      </c>
      <c r="AA134" s="23">
        <f>'Annual Raw'!AB43</f>
        <v>274.71539999999999</v>
      </c>
      <c r="AB134" s="24">
        <f t="shared" si="1059"/>
        <v>300.9977306385814</v>
      </c>
      <c r="AC134" s="24">
        <f t="shared" si="1060"/>
        <v>324.14222055911267</v>
      </c>
      <c r="AD134" s="24">
        <f t="shared" si="1061"/>
        <v>354.76521055354141</v>
      </c>
      <c r="AE134" s="24">
        <f t="shared" si="1062"/>
        <v>393.34867967247658</v>
      </c>
      <c r="AJ134" s="23">
        <f>+'QTR Raw'!D58</f>
        <v>15.74</v>
      </c>
      <c r="AK134" s="23">
        <f>+AJ134+AK63</f>
        <v>17.570999999999998</v>
      </c>
      <c r="AL134" s="23">
        <f>+'QTR Raw'!F58</f>
        <v>19.363</v>
      </c>
      <c r="AM134" s="23">
        <f>+AL134+AM63</f>
        <v>17.984000000000002</v>
      </c>
      <c r="AN134" s="23">
        <f>+'QTR Raw'!H58</f>
        <v>15.135999999999999</v>
      </c>
      <c r="AO134" s="23">
        <f>+AN134+AO63</f>
        <v>15.558</v>
      </c>
      <c r="AP134" s="23">
        <f>+'QTR Raw'!J58</f>
        <v>16.526</v>
      </c>
      <c r="AQ134" s="23">
        <f>+AP134+AQ63</f>
        <v>14.858000000000001</v>
      </c>
      <c r="AR134" s="23">
        <f>+'QTR Raw'!L58</f>
        <v>16.317</v>
      </c>
      <c r="AS134" s="23">
        <f>+AR134+AS63</f>
        <v>16.532</v>
      </c>
      <c r="AT134" s="23">
        <f>+'QTR Raw'!N58</f>
        <v>15.661</v>
      </c>
      <c r="AU134" s="23">
        <f>+AT134+AU63</f>
        <v>15.847</v>
      </c>
      <c r="AV134" s="23">
        <f>+'QTR Raw'!P58</f>
        <v>15.97</v>
      </c>
      <c r="AW134" s="23">
        <f>+AV134+AW63</f>
        <v>16.189</v>
      </c>
      <c r="AX134" s="23">
        <f>+'QTR Raw'!R58</f>
        <v>15.686999999999999</v>
      </c>
      <c r="AY134" s="23">
        <f>+AX134+AY63</f>
        <v>16.059999999999999</v>
      </c>
      <c r="AZ134" s="23">
        <f>+'QTR Raw'!T58</f>
        <v>16.327000000000002</v>
      </c>
      <c r="BA134" s="23">
        <f>+AZ134+BA63</f>
        <v>16.671000000000003</v>
      </c>
      <c r="BB134" s="23">
        <f>+'QTR Raw'!V58</f>
        <v>16.574999999999999</v>
      </c>
      <c r="BC134" s="23">
        <f>+BB134+BC63</f>
        <v>28.779</v>
      </c>
      <c r="BD134" s="23">
        <f>+'QTR Raw'!X58</f>
        <v>31.056999999999999</v>
      </c>
      <c r="BE134" s="23">
        <f>+BD134+BE63</f>
        <v>34.188000000000002</v>
      </c>
      <c r="BF134" s="23">
        <f>+'QTR Raw'!Z58</f>
        <v>32.902999999999999</v>
      </c>
      <c r="BG134" s="23">
        <f>+BF134+BG63</f>
        <v>35.320999999999998</v>
      </c>
      <c r="BH134" s="23">
        <f>+'QTR Raw'!AB58</f>
        <v>33.99</v>
      </c>
      <c r="BI134" s="23">
        <f>+BH134+BI63</f>
        <v>37.301000000000002</v>
      </c>
      <c r="BJ134" s="23">
        <f>+'QTR Raw'!AD58</f>
        <v>38.988999999999997</v>
      </c>
      <c r="BK134" s="23">
        <f>+BJ134+BK63</f>
        <v>40.345999999999997</v>
      </c>
      <c r="BL134" s="23">
        <f>+'QTR Raw'!AF58</f>
        <v>41.747999999999998</v>
      </c>
      <c r="BM134" s="23">
        <f>+BL134+BM63</f>
        <v>44.652000000000001</v>
      </c>
      <c r="BN134" s="23">
        <f>+'QTR Raw'!AH58</f>
        <v>47.619</v>
      </c>
      <c r="BO134" s="23">
        <f>+BN134+BO63</f>
        <v>49.066000000000003</v>
      </c>
      <c r="BP134" s="23">
        <f>+'QTR Raw'!AJ58</f>
        <v>51.545000000000002</v>
      </c>
      <c r="BQ134" s="23">
        <f>+BP134+BQ63</f>
        <v>56.517000000000003</v>
      </c>
      <c r="BR134" s="23">
        <f>+'QTR Raw'!AL58</f>
        <v>62.185000000000002</v>
      </c>
      <c r="BS134" s="23">
        <f>+BR134+BS63</f>
        <v>65.259</v>
      </c>
      <c r="BT134" s="23">
        <f>+'QTR Raw'!AN58</f>
        <v>67.078000000000003</v>
      </c>
      <c r="BU134" s="23">
        <f>+BT134+BU63</f>
        <v>72.463999999999999</v>
      </c>
      <c r="BV134" s="23">
        <f>+'QTR Raw'!AP58</f>
        <v>78.463999999999999</v>
      </c>
      <c r="BW134" s="23">
        <f>+BV134+BW63</f>
        <v>82.844999999999999</v>
      </c>
      <c r="BX134" s="23">
        <f>+'QTR Raw'!AR58</f>
        <v>75.203000000000003</v>
      </c>
      <c r="BY134" s="23">
        <f>+BX134+BY63</f>
        <v>81.888999999999996</v>
      </c>
      <c r="BZ134" s="23">
        <f>+'QTR Raw'!AT58</f>
        <v>91.263000000000005</v>
      </c>
      <c r="CA134" s="23">
        <f>+BZ134+CA63</f>
        <v>99.275000000000006</v>
      </c>
      <c r="CB134" s="23">
        <f>+'QTR Raw'!AV58</f>
        <v>113.723</v>
      </c>
      <c r="CC134" s="23">
        <f>+CB134+CC63</f>
        <v>130.04400000000001</v>
      </c>
      <c r="CD134" s="23">
        <f>+'QTR Raw'!AX58</f>
        <v>115.465</v>
      </c>
      <c r="CE134" s="23">
        <f>+CD134+CE63</f>
        <v>122.846</v>
      </c>
      <c r="CF134" s="23">
        <f>+'QTR Raw'!AZ58</f>
        <v>148.19800000000001</v>
      </c>
      <c r="CG134" s="23">
        <f>+CF134+CG63</f>
        <v>168.27800000000002</v>
      </c>
      <c r="CH134" s="23">
        <f t="shared" si="1064"/>
        <v>174.99119999999999</v>
      </c>
      <c r="CI134" s="23">
        <f>CH134+CI63</f>
        <v>178.21719999999999</v>
      </c>
      <c r="CJ134" s="23">
        <f>+'QTR Raw'!BD58</f>
        <v>270.64600000000002</v>
      </c>
      <c r="CK134" s="24">
        <f t="shared" ref="CK134:DB134" si="1066">CJ134+CK63</f>
        <v>273.38900000000001</v>
      </c>
      <c r="CL134" s="23">
        <f>+'QTR Raw'!BF58</f>
        <v>285.08999999999997</v>
      </c>
      <c r="CM134" s="24">
        <f t="shared" si="1066"/>
        <v>288.2433607220857</v>
      </c>
      <c r="CN134" s="24">
        <f t="shared" si="1066"/>
        <v>292.14145248743188</v>
      </c>
      <c r="CO134" s="24">
        <f t="shared" si="1066"/>
        <v>295.63989673101395</v>
      </c>
      <c r="CP134" s="24">
        <f t="shared" si="1066"/>
        <v>300.9977306385814</v>
      </c>
      <c r="CQ134" s="24">
        <f t="shared" si="1066"/>
        <v>306.03994364400842</v>
      </c>
      <c r="CR134" s="24">
        <f t="shared" si="1066"/>
        <v>311.72610377030077</v>
      </c>
      <c r="CS134" s="24">
        <f t="shared" si="1066"/>
        <v>316.88906311158888</v>
      </c>
      <c r="CT134" s="24">
        <f t="shared" si="1066"/>
        <v>324.14222055911267</v>
      </c>
      <c r="CU134" s="24">
        <f t="shared" si="1066"/>
        <v>331.02667125364292</v>
      </c>
      <c r="CV134" s="24">
        <f t="shared" si="1066"/>
        <v>338.58285585883749</v>
      </c>
      <c r="CW134" s="24">
        <f t="shared" si="1066"/>
        <v>345.49657094257054</v>
      </c>
      <c r="CX134" s="24">
        <f t="shared" si="1066"/>
        <v>354.76521055354141</v>
      </c>
      <c r="CY134" s="24">
        <f t="shared" si="1066"/>
        <v>363.58434758335346</v>
      </c>
      <c r="CZ134" s="24">
        <f t="shared" si="1066"/>
        <v>373.13337625376994</v>
      </c>
      <c r="DA134" s="24">
        <f t="shared" si="1066"/>
        <v>381.90630949841653</v>
      </c>
      <c r="DB134" s="24">
        <f t="shared" si="1066"/>
        <v>393.34867967247658</v>
      </c>
      <c r="DE134" s="123"/>
      <c r="DF134" s="23">
        <v>285.08999999999997</v>
      </c>
    </row>
    <row r="135" spans="1:110" s="22" customFormat="1" x14ac:dyDescent="0.2">
      <c r="A135" s="22" t="s">
        <v>44</v>
      </c>
      <c r="B135" s="22">
        <f>B132+B133+B134</f>
        <v>17.0068549</v>
      </c>
      <c r="C135" s="22">
        <f t="shared" ref="C135:V135" si="1067">C132+C133+C134</f>
        <v>10.3520392</v>
      </c>
      <c r="D135" s="22">
        <f t="shared" si="1067"/>
        <v>10.518849899999999</v>
      </c>
      <c r="E135" s="22">
        <f t="shared" si="1067"/>
        <v>9.8177115999999991</v>
      </c>
      <c r="F135" s="22">
        <f t="shared" si="1067"/>
        <v>10.6102597</v>
      </c>
      <c r="G135" s="22">
        <f t="shared" si="1067"/>
        <v>11.509953899999999</v>
      </c>
      <c r="H135" s="22">
        <f t="shared" si="1067"/>
        <v>12.968408</v>
      </c>
      <c r="I135" s="22">
        <f t="shared" si="1067"/>
        <v>15.7312893</v>
      </c>
      <c r="J135" s="22">
        <f t="shared" si="1067"/>
        <v>17.410222000000001</v>
      </c>
      <c r="K135" s="22">
        <f t="shared" si="1067"/>
        <v>15.825681800000002</v>
      </c>
      <c r="L135" s="22">
        <f t="shared" si="1067"/>
        <v>17.379057299999999</v>
      </c>
      <c r="M135" s="22">
        <f>M132+M133+M134</f>
        <v>18.7180012</v>
      </c>
      <c r="N135" s="22">
        <f t="shared" si="1067"/>
        <v>23.8465794</v>
      </c>
      <c r="O135" s="22">
        <f t="shared" si="1067"/>
        <v>20.709586799999997</v>
      </c>
      <c r="P135" s="22">
        <f t="shared" si="1067"/>
        <v>19.715827900000001</v>
      </c>
      <c r="Q135" s="22">
        <f t="shared" si="1067"/>
        <v>19.741915599999999</v>
      </c>
      <c r="R135" s="22">
        <f t="shared" si="1067"/>
        <v>20.629608099999999</v>
      </c>
      <c r="S135" s="22">
        <f t="shared" si="1067"/>
        <v>36.9578597</v>
      </c>
      <c r="T135" s="22">
        <f t="shared" si="1067"/>
        <v>43.0442301</v>
      </c>
      <c r="U135" s="22">
        <f t="shared" si="1067"/>
        <v>51.674126100000002</v>
      </c>
      <c r="V135" s="22">
        <f t="shared" si="1067"/>
        <v>66.239699999999999</v>
      </c>
      <c r="W135" s="22">
        <f t="shared" ref="W135" si="1068">W132+W133+W134</f>
        <v>82.518999999999991</v>
      </c>
      <c r="X135" s="22">
        <f t="shared" ref="X135:Y135" si="1069">X132+X133+X134</f>
        <v>107.48169999999999</v>
      </c>
      <c r="Y135" s="22">
        <f t="shared" si="1069"/>
        <v>164.11920000000001</v>
      </c>
      <c r="Z135" s="22">
        <f t="shared" ref="Z135:AA135" si="1070">Z132+Z133+Z134</f>
        <v>237.24609999999998</v>
      </c>
      <c r="AA135" s="22">
        <f t="shared" ref="AA135" si="1071">AA132+AA133+AA134</f>
        <v>338.23320000000001</v>
      </c>
      <c r="AB135" s="21">
        <f t="shared" ref="AB135:AD135" si="1072">AB132+AB133+AB134</f>
        <v>354.14073063858143</v>
      </c>
      <c r="AC135" s="21">
        <f t="shared" si="1072"/>
        <v>377.28522055911264</v>
      </c>
      <c r="AD135" s="21">
        <f t="shared" si="1072"/>
        <v>407.90821055354138</v>
      </c>
      <c r="AE135" s="21">
        <f t="shared" ref="AE135" si="1073">AE132+AE133+AE134</f>
        <v>446.49167967247661</v>
      </c>
      <c r="AJ135" s="22">
        <f t="shared" ref="AJ135" si="1074">AJ132+AJ133+AJ134</f>
        <v>20.224</v>
      </c>
      <c r="AK135" s="22">
        <f t="shared" ref="AK135" si="1075">AK132+AK133+AK134</f>
        <v>22.055</v>
      </c>
      <c r="AL135" s="22">
        <f t="shared" ref="AL135:AM135" si="1076">AL132+AL133+AL134</f>
        <v>23.847000000000001</v>
      </c>
      <c r="AM135" s="22">
        <f t="shared" si="1076"/>
        <v>22.468000000000004</v>
      </c>
      <c r="AN135" s="22">
        <f t="shared" ref="AN135:AO135" si="1077">AN132+AN133+AN134</f>
        <v>19.32</v>
      </c>
      <c r="AO135" s="22">
        <f t="shared" si="1077"/>
        <v>19.742000000000001</v>
      </c>
      <c r="AP135" s="22">
        <f t="shared" ref="AP135:CE135" si="1078">AP132+AP133+AP134</f>
        <v>20.71</v>
      </c>
      <c r="AQ135" s="22">
        <f t="shared" si="1078"/>
        <v>19.042000000000002</v>
      </c>
      <c r="AR135" s="22">
        <f t="shared" si="1078"/>
        <v>20.372</v>
      </c>
      <c r="AS135" s="22">
        <f t="shared" si="1078"/>
        <v>20.587</v>
      </c>
      <c r="AT135" s="22">
        <f t="shared" si="1078"/>
        <v>19.716000000000001</v>
      </c>
      <c r="AU135" s="22">
        <f t="shared" si="1078"/>
        <v>19.902000000000001</v>
      </c>
      <c r="AV135" s="22">
        <f t="shared" si="1078"/>
        <v>20.024999999999999</v>
      </c>
      <c r="AW135" s="22">
        <f t="shared" si="1078"/>
        <v>20.244</v>
      </c>
      <c r="AX135" s="22">
        <f t="shared" si="1078"/>
        <v>19.741999999999997</v>
      </c>
      <c r="AY135" s="22">
        <f t="shared" si="1078"/>
        <v>20.114999999999998</v>
      </c>
      <c r="AZ135" s="22">
        <f t="shared" si="1078"/>
        <v>20.382000000000001</v>
      </c>
      <c r="BA135" s="22">
        <f t="shared" si="1078"/>
        <v>20.726000000000003</v>
      </c>
      <c r="BB135" s="22">
        <f t="shared" si="1078"/>
        <v>20.63</v>
      </c>
      <c r="BC135" s="22">
        <f t="shared" si="1078"/>
        <v>32.834000000000003</v>
      </c>
      <c r="BD135" s="22">
        <f t="shared" si="1078"/>
        <v>35.111999999999995</v>
      </c>
      <c r="BE135" s="22">
        <f t="shared" si="1078"/>
        <v>38.243000000000002</v>
      </c>
      <c r="BF135" s="22">
        <f t="shared" si="1078"/>
        <v>36.957999999999998</v>
      </c>
      <c r="BG135" s="22">
        <f t="shared" si="1078"/>
        <v>39.375999999999998</v>
      </c>
      <c r="BH135" s="22">
        <f t="shared" si="1078"/>
        <v>38.045000000000002</v>
      </c>
      <c r="BI135" s="22">
        <f t="shared" si="1078"/>
        <v>41.356000000000002</v>
      </c>
      <c r="BJ135" s="22">
        <f t="shared" si="1078"/>
        <v>43.043999999999997</v>
      </c>
      <c r="BK135" s="22">
        <f t="shared" si="1078"/>
        <v>44.400999999999996</v>
      </c>
      <c r="BL135" s="22">
        <f t="shared" si="1078"/>
        <v>45.802999999999997</v>
      </c>
      <c r="BM135" s="22">
        <f t="shared" si="1078"/>
        <v>48.707000000000001</v>
      </c>
      <c r="BN135" s="22">
        <f t="shared" si="1078"/>
        <v>51.673999999999999</v>
      </c>
      <c r="BO135" s="22">
        <f t="shared" si="1078"/>
        <v>53.121000000000002</v>
      </c>
      <c r="BP135" s="22">
        <f t="shared" si="1078"/>
        <v>55.6</v>
      </c>
      <c r="BQ135" s="22">
        <f t="shared" si="1078"/>
        <v>60.572000000000003</v>
      </c>
      <c r="BR135" s="22">
        <f t="shared" si="1078"/>
        <v>66.240000000000009</v>
      </c>
      <c r="BS135" s="22">
        <f t="shared" si="1078"/>
        <v>69.313999999999993</v>
      </c>
      <c r="BT135" s="22">
        <f t="shared" si="1078"/>
        <v>71.13300000000001</v>
      </c>
      <c r="BU135" s="22">
        <f t="shared" si="1078"/>
        <v>76.519000000000005</v>
      </c>
      <c r="BV135" s="22">
        <f t="shared" si="1078"/>
        <v>82.519000000000005</v>
      </c>
      <c r="BW135" s="22">
        <f t="shared" si="1078"/>
        <v>86.9</v>
      </c>
      <c r="BX135" s="22">
        <f t="shared" si="1078"/>
        <v>91.421999999999997</v>
      </c>
      <c r="BY135" s="22">
        <f t="shared" si="1078"/>
        <v>98.108000000000004</v>
      </c>
      <c r="BZ135" s="22">
        <f t="shared" si="1078"/>
        <v>107.482</v>
      </c>
      <c r="CA135" s="22">
        <f t="shared" si="1078"/>
        <v>115.494</v>
      </c>
      <c r="CB135" s="22">
        <f t="shared" si="1078"/>
        <v>129.94200000000001</v>
      </c>
      <c r="CC135" s="22">
        <f t="shared" si="1078"/>
        <v>146.26300000000001</v>
      </c>
      <c r="CD135" s="22">
        <f t="shared" si="1078"/>
        <v>164.119</v>
      </c>
      <c r="CE135" s="22">
        <f t="shared" si="1078"/>
        <v>171.5</v>
      </c>
      <c r="CF135" s="22">
        <f t="shared" ref="CF135:CG135" si="1079">CF132+CF133+CF134</f>
        <v>196.85300000000001</v>
      </c>
      <c r="CG135" s="22">
        <f t="shared" si="1079"/>
        <v>216.93300000000002</v>
      </c>
      <c r="CH135" s="22">
        <f t="shared" ref="CH135:CI135" si="1080">CH132+CH133+CH134</f>
        <v>237.24609999999998</v>
      </c>
      <c r="CI135" s="22">
        <f t="shared" si="1080"/>
        <v>240.47209999999998</v>
      </c>
      <c r="CJ135" s="22">
        <f t="shared" ref="CJ135:DB135" si="1081">CJ132+CJ133+CJ134</f>
        <v>323.64100000000002</v>
      </c>
      <c r="CK135" s="21">
        <f t="shared" si="1081"/>
        <v>326.38400000000001</v>
      </c>
      <c r="CL135" s="22">
        <f t="shared" ref="CL135" si="1082">CL132+CL133+CL134</f>
        <v>338.23299999999995</v>
      </c>
      <c r="CM135" s="21">
        <f t="shared" si="1081"/>
        <v>341.38636072208567</v>
      </c>
      <c r="CN135" s="21">
        <f t="shared" si="1081"/>
        <v>345.28445248743185</v>
      </c>
      <c r="CO135" s="21">
        <f t="shared" si="1081"/>
        <v>348.78289673101392</v>
      </c>
      <c r="CP135" s="21">
        <f t="shared" si="1081"/>
        <v>354.14073063858143</v>
      </c>
      <c r="CQ135" s="21">
        <f t="shared" si="1081"/>
        <v>359.18294364400845</v>
      </c>
      <c r="CR135" s="21">
        <f t="shared" si="1081"/>
        <v>364.86910377030074</v>
      </c>
      <c r="CS135" s="21">
        <f t="shared" si="1081"/>
        <v>370.03206311158885</v>
      </c>
      <c r="CT135" s="21">
        <f t="shared" si="1081"/>
        <v>377.28522055911264</v>
      </c>
      <c r="CU135" s="21">
        <f t="shared" si="1081"/>
        <v>384.16967125364295</v>
      </c>
      <c r="CV135" s="21">
        <f t="shared" si="1081"/>
        <v>391.72585585883746</v>
      </c>
      <c r="CW135" s="21">
        <f t="shared" si="1081"/>
        <v>398.63957094257057</v>
      </c>
      <c r="CX135" s="21">
        <f t="shared" si="1081"/>
        <v>407.90821055354138</v>
      </c>
      <c r="CY135" s="21">
        <f t="shared" si="1081"/>
        <v>416.72734758335343</v>
      </c>
      <c r="CZ135" s="21">
        <f t="shared" si="1081"/>
        <v>426.27637625376997</v>
      </c>
      <c r="DA135" s="21">
        <f t="shared" si="1081"/>
        <v>435.04930949841651</v>
      </c>
      <c r="DB135" s="21">
        <f t="shared" si="1081"/>
        <v>446.49167967247661</v>
      </c>
      <c r="DE135" s="126"/>
      <c r="DF135" s="22">
        <v>338.23299999999995</v>
      </c>
    </row>
    <row r="136" spans="1:110" s="22" customFormat="1" x14ac:dyDescent="0.2">
      <c r="AB136" s="21"/>
      <c r="AC136" s="21"/>
      <c r="AD136" s="21"/>
      <c r="AE136" s="21"/>
      <c r="CK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E136" s="126"/>
    </row>
    <row r="137" spans="1:110" s="23" customFormat="1" x14ac:dyDescent="0.2">
      <c r="A137" s="23" t="s">
        <v>23</v>
      </c>
      <c r="B137" s="23">
        <f>'Annual Raw'!C45</f>
        <v>0</v>
      </c>
      <c r="C137" s="23">
        <f>'Annual Raw'!D45</f>
        <v>0</v>
      </c>
      <c r="D137" s="23">
        <f>'Annual Raw'!E45</f>
        <v>0</v>
      </c>
      <c r="E137" s="23">
        <f>'Annual Raw'!F45</f>
        <v>0</v>
      </c>
      <c r="F137" s="23">
        <f>'Annual Raw'!G45</f>
        <v>0</v>
      </c>
      <c r="G137" s="23">
        <f>'Annual Raw'!H45</f>
        <v>0</v>
      </c>
      <c r="H137" s="23">
        <f>'Annual Raw'!I45</f>
        <v>0</v>
      </c>
      <c r="I137" s="23">
        <f>'Annual Raw'!J45</f>
        <v>0</v>
      </c>
      <c r="J137" s="23">
        <f>'Annual Raw'!K45</f>
        <v>0</v>
      </c>
      <c r="K137" s="23">
        <f>'Annual Raw'!L45</f>
        <v>0</v>
      </c>
      <c r="L137" s="23">
        <f>'Annual Raw'!M45</f>
        <v>0</v>
      </c>
      <c r="M137" s="23">
        <f>'Annual Raw'!N45</f>
        <v>0</v>
      </c>
      <c r="N137" s="23">
        <f>'Annual Raw'!O45</f>
        <v>0</v>
      </c>
      <c r="O137" s="23">
        <f>'Annual Raw'!P45</f>
        <v>0</v>
      </c>
      <c r="P137" s="23">
        <f>'Annual Raw'!Q45</f>
        <v>0</v>
      </c>
      <c r="Q137" s="23">
        <f>'Annual Raw'!R45</f>
        <v>0</v>
      </c>
      <c r="R137" s="23">
        <f>'Annual Raw'!S45</f>
        <v>0</v>
      </c>
      <c r="S137" s="23">
        <f>'Annual Raw'!T45</f>
        <v>0</v>
      </c>
      <c r="T137" s="23">
        <f>'Annual Raw'!U45</f>
        <v>0</v>
      </c>
      <c r="U137" s="23">
        <f>'Annual Raw'!V45</f>
        <v>0</v>
      </c>
      <c r="V137" s="23">
        <f>'Annual Raw'!W45</f>
        <v>0</v>
      </c>
      <c r="W137" s="23">
        <f>'Annual Raw'!X45</f>
        <v>0</v>
      </c>
      <c r="X137" s="23">
        <f>'Annual Raw'!Y45</f>
        <v>0</v>
      </c>
      <c r="Y137" s="23">
        <f>'Annual Raw'!Z45</f>
        <v>0</v>
      </c>
      <c r="Z137" s="23">
        <f>'Annual Raw'!AA45</f>
        <v>0</v>
      </c>
      <c r="AA137" s="23">
        <f>'Annual Raw'!AB45</f>
        <v>0</v>
      </c>
      <c r="AB137" s="24">
        <f>+CP137</f>
        <v>0</v>
      </c>
      <c r="AC137" s="24">
        <f>+CT137</f>
        <v>0</v>
      </c>
      <c r="AD137" s="24">
        <f>+CX137</f>
        <v>0</v>
      </c>
      <c r="AE137" s="24">
        <f>+DB137</f>
        <v>0</v>
      </c>
      <c r="AJ137" s="23">
        <f>+'QTR Raw'!D60</f>
        <v>0</v>
      </c>
      <c r="AK137" s="23">
        <f t="shared" ref="AK137:CE137" si="1083">+AJ137</f>
        <v>0</v>
      </c>
      <c r="AL137" s="23">
        <f>+'QTR Raw'!F60</f>
        <v>0</v>
      </c>
      <c r="AM137" s="23">
        <f t="shared" si="1083"/>
        <v>0</v>
      </c>
      <c r="AN137" s="23">
        <f>+'QTR Raw'!H60</f>
        <v>0</v>
      </c>
      <c r="AO137" s="23">
        <f t="shared" si="1083"/>
        <v>0</v>
      </c>
      <c r="AP137" s="23">
        <f>+'QTR Raw'!J60</f>
        <v>0</v>
      </c>
      <c r="AQ137" s="23">
        <f t="shared" si="1083"/>
        <v>0</v>
      </c>
      <c r="AR137" s="23">
        <f>+'QTR Raw'!L60</f>
        <v>0</v>
      </c>
      <c r="AS137" s="23">
        <f t="shared" si="1083"/>
        <v>0</v>
      </c>
      <c r="AT137" s="23">
        <f>+'QTR Raw'!N60</f>
        <v>0</v>
      </c>
      <c r="AU137" s="23">
        <f t="shared" si="1083"/>
        <v>0</v>
      </c>
      <c r="AV137" s="23">
        <f>+'QTR Raw'!P60</f>
        <v>0</v>
      </c>
      <c r="AW137" s="23">
        <f t="shared" si="1083"/>
        <v>0</v>
      </c>
      <c r="AX137" s="23">
        <f>+'QTR Raw'!R60</f>
        <v>0</v>
      </c>
      <c r="AY137" s="23">
        <f t="shared" si="1083"/>
        <v>0</v>
      </c>
      <c r="AZ137" s="23">
        <f>+'QTR Raw'!T60</f>
        <v>0</v>
      </c>
      <c r="BA137" s="23">
        <f t="shared" si="1083"/>
        <v>0</v>
      </c>
      <c r="BB137" s="23">
        <f>+'QTR Raw'!V60</f>
        <v>0</v>
      </c>
      <c r="BC137" s="23">
        <f t="shared" si="1083"/>
        <v>0</v>
      </c>
      <c r="BD137" s="23">
        <f>+'QTR Raw'!X60</f>
        <v>0</v>
      </c>
      <c r="BE137" s="23">
        <f t="shared" si="1083"/>
        <v>0</v>
      </c>
      <c r="BF137" s="23">
        <f>+'QTR Raw'!Z60</f>
        <v>0</v>
      </c>
      <c r="BG137" s="23">
        <f t="shared" si="1083"/>
        <v>0</v>
      </c>
      <c r="BH137" s="22">
        <f>+'QTR Raw'!AB60</f>
        <v>0</v>
      </c>
      <c r="BI137" s="23">
        <f t="shared" si="1083"/>
        <v>0</v>
      </c>
      <c r="BJ137" s="23">
        <f>+'QTR Raw'!AD60</f>
        <v>0</v>
      </c>
      <c r="BK137" s="23">
        <f t="shared" si="1083"/>
        <v>0</v>
      </c>
      <c r="BL137" s="23">
        <f>+'QTR Raw'!AF60</f>
        <v>0</v>
      </c>
      <c r="BM137" s="23">
        <f t="shared" si="1083"/>
        <v>0</v>
      </c>
      <c r="BN137" s="23">
        <f>+'QTR Raw'!AH60</f>
        <v>0</v>
      </c>
      <c r="BO137" s="23">
        <f t="shared" si="1083"/>
        <v>0</v>
      </c>
      <c r="BP137" s="23">
        <f>+'QTR Raw'!AJ60</f>
        <v>0</v>
      </c>
      <c r="BQ137" s="23">
        <f t="shared" si="1083"/>
        <v>0</v>
      </c>
      <c r="BR137" s="23">
        <f>+'QTR Raw'!AL60</f>
        <v>0</v>
      </c>
      <c r="BS137" s="23">
        <f t="shared" si="1083"/>
        <v>0</v>
      </c>
      <c r="BT137" s="23">
        <f>+'QTR Raw'!AN60</f>
        <v>0</v>
      </c>
      <c r="BU137" s="23">
        <f t="shared" si="1083"/>
        <v>0</v>
      </c>
      <c r="BV137" s="23">
        <f>+'QTR Raw'!AP60</f>
        <v>0</v>
      </c>
      <c r="BW137" s="23">
        <f t="shared" si="1083"/>
        <v>0</v>
      </c>
      <c r="BX137" s="23">
        <f>+'QTR Raw'!AR60</f>
        <v>0</v>
      </c>
      <c r="BY137" s="23">
        <f t="shared" si="1083"/>
        <v>0</v>
      </c>
      <c r="BZ137" s="23">
        <f>+'QTR Raw'!AT60</f>
        <v>0</v>
      </c>
      <c r="CA137" s="23">
        <f t="shared" si="1083"/>
        <v>0</v>
      </c>
      <c r="CB137" s="23">
        <f>+'QTR Raw'!AV60</f>
        <v>0</v>
      </c>
      <c r="CC137" s="23">
        <f t="shared" si="1083"/>
        <v>0</v>
      </c>
      <c r="CD137" s="23">
        <f>+'QTR Raw'!AX60</f>
        <v>0</v>
      </c>
      <c r="CE137" s="23">
        <f t="shared" si="1083"/>
        <v>0</v>
      </c>
      <c r="CF137" s="23">
        <f>+'QTR Raw'!AZ60</f>
        <v>0</v>
      </c>
      <c r="CG137" s="23">
        <f t="shared" ref="CG137:CI137" si="1084">+CF137</f>
        <v>0</v>
      </c>
      <c r="CH137" s="23">
        <f t="shared" ref="CH137:CH142" si="1085">Z137</f>
        <v>0</v>
      </c>
      <c r="CI137" s="23">
        <f t="shared" si="1084"/>
        <v>0</v>
      </c>
      <c r="CJ137" s="23">
        <f>+'QTR Raw'!BD60</f>
        <v>0</v>
      </c>
      <c r="CK137" s="24">
        <f t="shared" ref="CK137" si="1086">+CJ137</f>
        <v>0</v>
      </c>
      <c r="CL137" s="23">
        <f>+'QTR Raw'!BF60</f>
        <v>0</v>
      </c>
      <c r="CM137" s="24">
        <f t="shared" ref="CM137" si="1087">+CL137</f>
        <v>0</v>
      </c>
      <c r="CN137" s="24">
        <f t="shared" ref="CN137" si="1088">+CM137</f>
        <v>0</v>
      </c>
      <c r="CO137" s="24">
        <f t="shared" ref="CO137" si="1089">+CN137</f>
        <v>0</v>
      </c>
      <c r="CP137" s="24">
        <f t="shared" ref="CP137" si="1090">+CO137</f>
        <v>0</v>
      </c>
      <c r="CQ137" s="24">
        <f t="shared" ref="CQ137" si="1091">+CP137</f>
        <v>0</v>
      </c>
      <c r="CR137" s="24">
        <f t="shared" ref="CR137" si="1092">+CQ137</f>
        <v>0</v>
      </c>
      <c r="CS137" s="24">
        <f t="shared" ref="CS137" si="1093">+CR137</f>
        <v>0</v>
      </c>
      <c r="CT137" s="24">
        <f t="shared" ref="CT137" si="1094">+CS137</f>
        <v>0</v>
      </c>
      <c r="CU137" s="24">
        <f t="shared" ref="CU137" si="1095">+CT137</f>
        <v>0</v>
      </c>
      <c r="CV137" s="24">
        <f t="shared" ref="CV137" si="1096">+CU137</f>
        <v>0</v>
      </c>
      <c r="CW137" s="24">
        <f t="shared" ref="CW137" si="1097">+CV137</f>
        <v>0</v>
      </c>
      <c r="CX137" s="24">
        <f t="shared" ref="CX137" si="1098">+CW137</f>
        <v>0</v>
      </c>
      <c r="CY137" s="24">
        <f t="shared" ref="CY137" si="1099">+CX137</f>
        <v>0</v>
      </c>
      <c r="CZ137" s="24">
        <f t="shared" ref="CZ137" si="1100">+CY137</f>
        <v>0</v>
      </c>
      <c r="DA137" s="24">
        <f t="shared" ref="DA137" si="1101">+CZ137</f>
        <v>0</v>
      </c>
      <c r="DB137" s="24">
        <f t="shared" ref="DB137" si="1102">+DA137</f>
        <v>0</v>
      </c>
      <c r="DE137" s="123"/>
      <c r="DF137" s="23">
        <v>0</v>
      </c>
    </row>
    <row r="138" spans="1:110" s="23" customFormat="1" x14ac:dyDescent="0.2">
      <c r="AB138" s="24"/>
      <c r="AC138" s="24"/>
      <c r="AD138" s="24"/>
      <c r="AE138" s="24"/>
      <c r="BH138" s="22"/>
      <c r="CK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E138" s="123"/>
    </row>
    <row r="139" spans="1:110" s="23" customFormat="1" outlineLevel="1" x14ac:dyDescent="0.2">
      <c r="A139" s="23" t="s">
        <v>45</v>
      </c>
      <c r="B139" s="23">
        <f>'Annual Raw'!C47</f>
        <v>5.5656239999999997</v>
      </c>
      <c r="C139" s="23">
        <f>'Annual Raw'!D47</f>
        <v>4.7035533999999997</v>
      </c>
      <c r="D139" s="23">
        <f>'Annual Raw'!E47</f>
        <v>3.5709949000000001</v>
      </c>
      <c r="E139" s="23">
        <f>'Annual Raw'!F47</f>
        <v>2.38632</v>
      </c>
      <c r="F139" s="23">
        <f>'Annual Raw'!G47</f>
        <v>2.8306510999999999</v>
      </c>
      <c r="G139" s="23">
        <f>'Annual Raw'!H47</f>
        <v>0</v>
      </c>
      <c r="H139" s="23">
        <f>'Annual Raw'!I47</f>
        <v>0</v>
      </c>
      <c r="I139" s="23">
        <f>'Annual Raw'!J47</f>
        <v>0</v>
      </c>
      <c r="J139" s="23">
        <f>'Annual Raw'!K47</f>
        <v>0</v>
      </c>
      <c r="K139" s="23">
        <f>'Annual Raw'!L47</f>
        <v>0</v>
      </c>
      <c r="L139" s="23">
        <f>'Annual Raw'!M47</f>
        <v>0</v>
      </c>
      <c r="M139" s="23">
        <f>'Annual Raw'!N47</f>
        <v>0</v>
      </c>
      <c r="N139" s="23">
        <f>'Annual Raw'!O47</f>
        <v>0</v>
      </c>
      <c r="O139" s="23">
        <f>'Annual Raw'!P47</f>
        <v>4.47</v>
      </c>
      <c r="P139" s="23">
        <f>'Annual Raw'!Q47</f>
        <v>3.45</v>
      </c>
      <c r="Q139" s="23">
        <f>'Annual Raw'!R47</f>
        <v>2.4300000000000002</v>
      </c>
      <c r="R139" s="23">
        <f>'Annual Raw'!S47</f>
        <v>1.41</v>
      </c>
      <c r="S139" s="23">
        <f>'Annual Raw'!T47</f>
        <v>0</v>
      </c>
      <c r="T139" s="23">
        <f>'Annual Raw'!U47</f>
        <v>0</v>
      </c>
      <c r="U139" s="23">
        <f>'Annual Raw'!V47</f>
        <v>0</v>
      </c>
      <c r="V139" s="23">
        <f>'Annual Raw'!W47</f>
        <v>0</v>
      </c>
      <c r="W139" s="23">
        <f>'Annual Raw'!X47</f>
        <v>0</v>
      </c>
      <c r="X139" s="23">
        <f>'Annual Raw'!Y47</f>
        <v>0</v>
      </c>
      <c r="Y139" s="23">
        <f>'Annual Raw'!Z47</f>
        <v>0</v>
      </c>
      <c r="Z139" s="23">
        <f>'Annual Raw'!AA47</f>
        <v>0</v>
      </c>
      <c r="AA139" s="23">
        <f>'Annual Raw'!AB47</f>
        <v>12.3284</v>
      </c>
      <c r="AB139" s="24">
        <f t="shared" ref="AB139:AB142" si="1103">+CP139</f>
        <v>0</v>
      </c>
      <c r="AC139" s="24">
        <f t="shared" ref="AC139:AC142" si="1104">+CT139</f>
        <v>0</v>
      </c>
      <c r="AD139" s="24">
        <f t="shared" ref="AD139:AD142" si="1105">+CX139</f>
        <v>0</v>
      </c>
      <c r="AE139" s="24">
        <f t="shared" ref="AE139:AE142" si="1106">+DB139</f>
        <v>0</v>
      </c>
      <c r="AJ139" s="23">
        <f>+'QTR Raw'!D62</f>
        <v>0</v>
      </c>
      <c r="AK139" s="23">
        <f t="shared" ref="AK139:CC142" si="1107">+AJ139</f>
        <v>0</v>
      </c>
      <c r="AL139" s="23">
        <f>+'QTR Raw'!F62</f>
        <v>0</v>
      </c>
      <c r="AM139" s="23">
        <f t="shared" si="1107"/>
        <v>0</v>
      </c>
      <c r="AN139" s="23">
        <f>+'QTR Raw'!H62</f>
        <v>0</v>
      </c>
      <c r="AO139" s="23">
        <f t="shared" si="1107"/>
        <v>0</v>
      </c>
      <c r="AP139" s="23">
        <f>+'QTR Raw'!J62</f>
        <v>0</v>
      </c>
      <c r="AQ139" s="23">
        <f t="shared" si="1107"/>
        <v>0</v>
      </c>
      <c r="AR139" s="23">
        <f>+'QTR Raw'!L62</f>
        <v>0</v>
      </c>
      <c r="AS139" s="23">
        <f t="shared" si="1107"/>
        <v>0</v>
      </c>
      <c r="AT139" s="23">
        <f>+'QTR Raw'!N62</f>
        <v>0</v>
      </c>
      <c r="AU139" s="23">
        <f t="shared" si="1107"/>
        <v>0</v>
      </c>
      <c r="AV139" s="23">
        <f>+'QTR Raw'!P62</f>
        <v>0</v>
      </c>
      <c r="AW139" s="23">
        <f t="shared" si="1107"/>
        <v>0</v>
      </c>
      <c r="AX139" s="23">
        <f>+'QTR Raw'!R62</f>
        <v>0</v>
      </c>
      <c r="AY139" s="23">
        <f t="shared" si="1107"/>
        <v>0</v>
      </c>
      <c r="AZ139" s="23">
        <f>+'QTR Raw'!T62</f>
        <v>0</v>
      </c>
      <c r="BA139" s="23">
        <f t="shared" si="1107"/>
        <v>0</v>
      </c>
      <c r="BB139" s="23">
        <f>+'QTR Raw'!V62</f>
        <v>0</v>
      </c>
      <c r="BC139" s="23">
        <f t="shared" si="1107"/>
        <v>0</v>
      </c>
      <c r="BD139" s="23">
        <f>+'QTR Raw'!X62</f>
        <v>0</v>
      </c>
      <c r="BE139" s="23">
        <f t="shared" si="1107"/>
        <v>0</v>
      </c>
      <c r="BF139" s="23">
        <f>+'QTR Raw'!Z62</f>
        <v>0</v>
      </c>
      <c r="BG139" s="23">
        <f t="shared" si="1107"/>
        <v>0</v>
      </c>
      <c r="BH139" s="22">
        <f>+'QTR Raw'!AB62</f>
        <v>0</v>
      </c>
      <c r="BI139" s="23">
        <f t="shared" si="1107"/>
        <v>0</v>
      </c>
      <c r="BJ139" s="23">
        <f>+'QTR Raw'!AD62</f>
        <v>0</v>
      </c>
      <c r="BK139" s="23">
        <f t="shared" si="1107"/>
        <v>0</v>
      </c>
      <c r="BL139" s="23">
        <f>+'QTR Raw'!AF62</f>
        <v>0</v>
      </c>
      <c r="BM139" s="23">
        <f t="shared" si="1107"/>
        <v>0</v>
      </c>
      <c r="BN139" s="23">
        <f>+'QTR Raw'!AH62</f>
        <v>0</v>
      </c>
      <c r="BO139" s="23">
        <f t="shared" si="1107"/>
        <v>0</v>
      </c>
      <c r="BP139" s="23">
        <f>+'QTR Raw'!AJ62</f>
        <v>0</v>
      </c>
      <c r="BQ139" s="23">
        <f t="shared" si="1107"/>
        <v>0</v>
      </c>
      <c r="BR139" s="23">
        <f>+'QTR Raw'!AL62</f>
        <v>0</v>
      </c>
      <c r="BS139" s="23">
        <f t="shared" si="1107"/>
        <v>0</v>
      </c>
      <c r="BT139" s="23">
        <f>+'QTR Raw'!AN62</f>
        <v>0</v>
      </c>
      <c r="BU139" s="23">
        <f t="shared" si="1107"/>
        <v>0</v>
      </c>
      <c r="BV139" s="23">
        <f>+'QTR Raw'!AP62</f>
        <v>0</v>
      </c>
      <c r="BW139" s="23">
        <f t="shared" si="1107"/>
        <v>0</v>
      </c>
      <c r="BX139" s="23">
        <f>+'QTR Raw'!AR62</f>
        <v>0</v>
      </c>
      <c r="BY139" s="23">
        <f t="shared" si="1107"/>
        <v>0</v>
      </c>
      <c r="BZ139" s="23">
        <f>+'QTR Raw'!AT62</f>
        <v>0</v>
      </c>
      <c r="CA139" s="23">
        <f t="shared" si="1107"/>
        <v>0</v>
      </c>
      <c r="CB139" s="23">
        <f>+'QTR Raw'!AV62</f>
        <v>0</v>
      </c>
      <c r="CC139" s="23">
        <f t="shared" si="1107"/>
        <v>0</v>
      </c>
      <c r="CD139" s="23">
        <f>+'QTR Raw'!AX62</f>
        <v>0</v>
      </c>
      <c r="CE139" s="23">
        <f t="shared" ref="CE139:CE142" si="1108">+CD139</f>
        <v>0</v>
      </c>
      <c r="CF139" s="23">
        <f>+'QTR Raw'!AZ62</f>
        <v>0</v>
      </c>
      <c r="CG139" s="23">
        <f t="shared" ref="CG139:CI142" si="1109">+CF139</f>
        <v>0</v>
      </c>
      <c r="CH139" s="23">
        <f t="shared" si="1085"/>
        <v>0</v>
      </c>
      <c r="CI139" s="23">
        <f t="shared" si="1109"/>
        <v>0</v>
      </c>
      <c r="CJ139" s="23">
        <f>+'QTR Raw'!BD62</f>
        <v>0</v>
      </c>
      <c r="CK139" s="24">
        <f t="shared" ref="CK139:CK142" si="1110">+CJ139</f>
        <v>0</v>
      </c>
      <c r="CL139" s="23">
        <f>+'QTR Raw'!BF62</f>
        <v>0</v>
      </c>
      <c r="CM139" s="24">
        <f t="shared" ref="CM139:CM142" si="1111">+CL139</f>
        <v>0</v>
      </c>
      <c r="CN139" s="24">
        <f t="shared" ref="CN139:CN142" si="1112">+CM139</f>
        <v>0</v>
      </c>
      <c r="CO139" s="24">
        <f t="shared" ref="CO139:CO142" si="1113">+CN139</f>
        <v>0</v>
      </c>
      <c r="CP139" s="24">
        <f t="shared" ref="CP139:CP142" si="1114">+CO139</f>
        <v>0</v>
      </c>
      <c r="CQ139" s="24">
        <f t="shared" ref="CQ139:CQ142" si="1115">+CP139</f>
        <v>0</v>
      </c>
      <c r="CR139" s="24">
        <f t="shared" ref="CR139:CR142" si="1116">+CQ139</f>
        <v>0</v>
      </c>
      <c r="CS139" s="24">
        <f t="shared" ref="CS139:CS142" si="1117">+CR139</f>
        <v>0</v>
      </c>
      <c r="CT139" s="24">
        <f t="shared" ref="CT139:CT142" si="1118">+CS139</f>
        <v>0</v>
      </c>
      <c r="CU139" s="24">
        <f t="shared" ref="CU139:CU142" si="1119">+CT139</f>
        <v>0</v>
      </c>
      <c r="CV139" s="24">
        <f t="shared" ref="CV139:CV142" si="1120">+CU139</f>
        <v>0</v>
      </c>
      <c r="CW139" s="24">
        <f t="shared" ref="CW139:CW142" si="1121">+CV139</f>
        <v>0</v>
      </c>
      <c r="CX139" s="24">
        <f t="shared" ref="CX139:CX142" si="1122">+CW139</f>
        <v>0</v>
      </c>
      <c r="CY139" s="24">
        <f t="shared" ref="CY139:CY142" si="1123">+CX139</f>
        <v>0</v>
      </c>
      <c r="CZ139" s="24">
        <f t="shared" ref="CZ139:CZ142" si="1124">+CY139</f>
        <v>0</v>
      </c>
      <c r="DA139" s="24">
        <f t="shared" ref="DA139:DA142" si="1125">+CZ139</f>
        <v>0</v>
      </c>
      <c r="DB139" s="24">
        <f t="shared" ref="DB139:DB142" si="1126">+DA139</f>
        <v>0</v>
      </c>
      <c r="DE139" s="123"/>
      <c r="DF139" s="23">
        <v>0</v>
      </c>
    </row>
    <row r="140" spans="1:110" s="23" customFormat="1" outlineLevel="1" x14ac:dyDescent="0.2">
      <c r="A140" s="23" t="s">
        <v>46</v>
      </c>
      <c r="B140" s="23">
        <f>'Annual Raw'!C48</f>
        <v>0</v>
      </c>
      <c r="C140" s="23">
        <f>'Annual Raw'!D48</f>
        <v>0</v>
      </c>
      <c r="D140" s="23">
        <f>'Annual Raw'!E48</f>
        <v>0.71</v>
      </c>
      <c r="E140" s="23">
        <f>'Annual Raw'!F48</f>
        <v>0.22</v>
      </c>
      <c r="F140" s="23">
        <f>'Annual Raw'!G48</f>
        <v>0</v>
      </c>
      <c r="G140" s="23">
        <f>'Annual Raw'!H48</f>
        <v>0.23039599999999999</v>
      </c>
      <c r="H140" s="23">
        <f>'Annual Raw'!I48</f>
        <v>0.13039600000000001</v>
      </c>
      <c r="I140" s="23">
        <f>'Annual Raw'!J48</f>
        <v>0.13039600000000001</v>
      </c>
      <c r="J140" s="23">
        <f>'Annual Raw'!K48</f>
        <v>0.13844239999999999</v>
      </c>
      <c r="K140" s="23">
        <f>'Annual Raw'!L48</f>
        <v>0</v>
      </c>
      <c r="L140" s="23">
        <f>'Annual Raw'!M48</f>
        <v>0</v>
      </c>
      <c r="M140" s="23">
        <f>'Annual Raw'!N48</f>
        <v>0</v>
      </c>
      <c r="N140" s="23">
        <f>'Annual Raw'!O48</f>
        <v>0</v>
      </c>
      <c r="O140" s="23">
        <f>'Annual Raw'!P48</f>
        <v>0</v>
      </c>
      <c r="P140" s="23">
        <f>'Annual Raw'!Q48</f>
        <v>0</v>
      </c>
      <c r="Q140" s="23">
        <f>'Annual Raw'!R48</f>
        <v>0</v>
      </c>
      <c r="R140" s="23">
        <f>'Annual Raw'!S48</f>
        <v>0</v>
      </c>
      <c r="S140" s="23">
        <f>'Annual Raw'!T48</f>
        <v>0</v>
      </c>
      <c r="T140" s="23">
        <f>'Annual Raw'!U48</f>
        <v>0</v>
      </c>
      <c r="U140" s="23">
        <f>'Annual Raw'!V48</f>
        <v>0</v>
      </c>
      <c r="V140" s="23">
        <f>'Annual Raw'!W48</f>
        <v>0</v>
      </c>
      <c r="W140" s="23">
        <f>'Annual Raw'!X48</f>
        <v>0</v>
      </c>
      <c r="X140" s="23">
        <f>'Annual Raw'!Y48</f>
        <v>0</v>
      </c>
      <c r="Y140" s="23">
        <f>'Annual Raw'!Z48</f>
        <v>0</v>
      </c>
      <c r="Z140" s="23">
        <f>'Annual Raw'!AA48</f>
        <v>12</v>
      </c>
      <c r="AA140" s="23">
        <f>'Annual Raw'!AB48</f>
        <v>0</v>
      </c>
      <c r="AB140" s="24">
        <f t="shared" si="1103"/>
        <v>12.327999999999999</v>
      </c>
      <c r="AC140" s="24">
        <f t="shared" si="1104"/>
        <v>12.327999999999999</v>
      </c>
      <c r="AD140" s="24">
        <f t="shared" si="1105"/>
        <v>12.327999999999999</v>
      </c>
      <c r="AE140" s="24">
        <f t="shared" si="1106"/>
        <v>12.327999999999999</v>
      </c>
      <c r="AJ140" s="23">
        <f>+'QTR Raw'!D63</f>
        <v>0</v>
      </c>
      <c r="AK140" s="23">
        <f t="shared" si="1107"/>
        <v>0</v>
      </c>
      <c r="AL140" s="23">
        <f>+'QTR Raw'!F63</f>
        <v>0</v>
      </c>
      <c r="AM140" s="23">
        <f t="shared" si="1107"/>
        <v>0</v>
      </c>
      <c r="AN140" s="23">
        <f>+'QTR Raw'!H63</f>
        <v>6</v>
      </c>
      <c r="AO140" s="23">
        <f t="shared" si="1107"/>
        <v>6</v>
      </c>
      <c r="AP140" s="23">
        <f>+'QTR Raw'!J63</f>
        <v>4.47</v>
      </c>
      <c r="AQ140" s="23">
        <f t="shared" si="1107"/>
        <v>4.47</v>
      </c>
      <c r="AR140" s="23">
        <f>+'QTR Raw'!L63</f>
        <v>4.9800000000000004</v>
      </c>
      <c r="AS140" s="23">
        <f t="shared" si="1107"/>
        <v>4.9800000000000004</v>
      </c>
      <c r="AT140" s="23">
        <f>+'QTR Raw'!N63</f>
        <v>3.45</v>
      </c>
      <c r="AU140" s="23">
        <f t="shared" si="1107"/>
        <v>3.45</v>
      </c>
      <c r="AV140" s="23">
        <f>+'QTR Raw'!P63</f>
        <v>3.1179999999999999</v>
      </c>
      <c r="AW140" s="23">
        <f t="shared" si="1107"/>
        <v>3.1179999999999999</v>
      </c>
      <c r="AX140" s="23">
        <f>+'QTR Raw'!R63</f>
        <v>2.4300000000000002</v>
      </c>
      <c r="AY140" s="23">
        <f t="shared" si="1107"/>
        <v>2.4300000000000002</v>
      </c>
      <c r="AZ140" s="23">
        <f>+'QTR Raw'!T63</f>
        <v>1.92</v>
      </c>
      <c r="BA140" s="23">
        <f t="shared" si="1107"/>
        <v>1.92</v>
      </c>
      <c r="BB140" s="23">
        <f>+'QTR Raw'!V63</f>
        <v>1.41</v>
      </c>
      <c r="BC140" s="23">
        <f t="shared" si="1107"/>
        <v>1.41</v>
      </c>
      <c r="BD140" s="23">
        <f>+'QTR Raw'!X63</f>
        <v>0</v>
      </c>
      <c r="BE140" s="23">
        <f t="shared" si="1107"/>
        <v>0</v>
      </c>
      <c r="BF140" s="23">
        <f>+'QTR Raw'!Z63</f>
        <v>0</v>
      </c>
      <c r="BG140" s="23">
        <f t="shared" si="1107"/>
        <v>0</v>
      </c>
      <c r="BH140" s="23">
        <f>+'QTR Raw'!AB63</f>
        <v>0</v>
      </c>
      <c r="BI140" s="23">
        <f t="shared" si="1107"/>
        <v>0</v>
      </c>
      <c r="BJ140" s="23">
        <f>+'QTR Raw'!AD63</f>
        <v>0</v>
      </c>
      <c r="BK140" s="23">
        <f t="shared" si="1107"/>
        <v>0</v>
      </c>
      <c r="BL140" s="23">
        <f>+'QTR Raw'!AF63</f>
        <v>0</v>
      </c>
      <c r="BM140" s="23">
        <f t="shared" si="1107"/>
        <v>0</v>
      </c>
      <c r="BN140" s="23">
        <f>+'QTR Raw'!AH63</f>
        <v>0</v>
      </c>
      <c r="BO140" s="23">
        <f t="shared" si="1107"/>
        <v>0</v>
      </c>
      <c r="BP140" s="23">
        <f>+'QTR Raw'!AJ63</f>
        <v>0</v>
      </c>
      <c r="BQ140" s="23">
        <f t="shared" si="1107"/>
        <v>0</v>
      </c>
      <c r="BR140" s="23">
        <f>+'QTR Raw'!AL63</f>
        <v>0</v>
      </c>
      <c r="BS140" s="23">
        <f t="shared" si="1107"/>
        <v>0</v>
      </c>
      <c r="BT140" s="23">
        <f>+'QTR Raw'!AN63</f>
        <v>0</v>
      </c>
      <c r="BU140" s="23">
        <f t="shared" si="1107"/>
        <v>0</v>
      </c>
      <c r="BV140" s="23">
        <f>+'QTR Raw'!AP63</f>
        <v>0</v>
      </c>
      <c r="BW140" s="23">
        <f t="shared" si="1107"/>
        <v>0</v>
      </c>
      <c r="BX140" s="23">
        <f>+'QTR Raw'!AR63</f>
        <v>4.1749999999999998</v>
      </c>
      <c r="BY140" s="23">
        <f t="shared" si="1107"/>
        <v>4.1749999999999998</v>
      </c>
      <c r="BZ140" s="23">
        <f>+'QTR Raw'!AT63</f>
        <v>0</v>
      </c>
      <c r="CA140" s="23">
        <f t="shared" si="1107"/>
        <v>0</v>
      </c>
      <c r="CB140" s="23">
        <f>+'QTR Raw'!AV63</f>
        <v>0</v>
      </c>
      <c r="CC140" s="23">
        <f t="shared" si="1107"/>
        <v>0</v>
      </c>
      <c r="CD140" s="23">
        <f>+'QTR Raw'!AX63</f>
        <v>0</v>
      </c>
      <c r="CE140" s="23">
        <f t="shared" si="1108"/>
        <v>0</v>
      </c>
      <c r="CF140" s="23">
        <f>+'QTR Raw'!AZ63</f>
        <v>0</v>
      </c>
      <c r="CG140" s="23">
        <f t="shared" si="1109"/>
        <v>0</v>
      </c>
      <c r="CH140" s="23">
        <f t="shared" si="1085"/>
        <v>12</v>
      </c>
      <c r="CI140" s="23">
        <f t="shared" si="1109"/>
        <v>12</v>
      </c>
      <c r="CJ140" s="23">
        <f>+'QTR Raw'!BD63</f>
        <v>0</v>
      </c>
      <c r="CK140" s="24">
        <f t="shared" si="1110"/>
        <v>0</v>
      </c>
      <c r="CL140" s="23">
        <f>+'QTR Raw'!BF63</f>
        <v>12.327999999999999</v>
      </c>
      <c r="CM140" s="24">
        <f t="shared" si="1111"/>
        <v>12.327999999999999</v>
      </c>
      <c r="CN140" s="24">
        <f t="shared" si="1112"/>
        <v>12.327999999999999</v>
      </c>
      <c r="CO140" s="24">
        <f t="shared" si="1113"/>
        <v>12.327999999999999</v>
      </c>
      <c r="CP140" s="24">
        <f t="shared" si="1114"/>
        <v>12.327999999999999</v>
      </c>
      <c r="CQ140" s="24">
        <f t="shared" si="1115"/>
        <v>12.327999999999999</v>
      </c>
      <c r="CR140" s="24">
        <f t="shared" si="1116"/>
        <v>12.327999999999999</v>
      </c>
      <c r="CS140" s="24">
        <f t="shared" si="1117"/>
        <v>12.327999999999999</v>
      </c>
      <c r="CT140" s="24">
        <f t="shared" si="1118"/>
        <v>12.327999999999999</v>
      </c>
      <c r="CU140" s="24">
        <f t="shared" si="1119"/>
        <v>12.327999999999999</v>
      </c>
      <c r="CV140" s="24">
        <f t="shared" si="1120"/>
        <v>12.327999999999999</v>
      </c>
      <c r="CW140" s="24">
        <f t="shared" si="1121"/>
        <v>12.327999999999999</v>
      </c>
      <c r="CX140" s="24">
        <f t="shared" si="1122"/>
        <v>12.327999999999999</v>
      </c>
      <c r="CY140" s="24">
        <f t="shared" si="1123"/>
        <v>12.327999999999999</v>
      </c>
      <c r="CZ140" s="24">
        <f t="shared" si="1124"/>
        <v>12.327999999999999</v>
      </c>
      <c r="DA140" s="24">
        <f t="shared" si="1125"/>
        <v>12.327999999999999</v>
      </c>
      <c r="DB140" s="24">
        <f t="shared" si="1126"/>
        <v>12.327999999999999</v>
      </c>
      <c r="DE140" s="123"/>
      <c r="DF140" s="23">
        <v>12.327999999999999</v>
      </c>
    </row>
    <row r="141" spans="1:110" s="23" customFormat="1" outlineLevel="1" x14ac:dyDescent="0.2">
      <c r="A141" s="23" t="s">
        <v>47</v>
      </c>
      <c r="B141" s="23">
        <f>'Annual Raw'!C87+'Annual Raw'!C88+'Annual Raw'!C89+'Annual Raw'!C90</f>
        <v>0</v>
      </c>
      <c r="C141" s="23">
        <f>'Annual Raw'!D87+'Annual Raw'!D88+'Annual Raw'!D89+'Annual Raw'!D90</f>
        <v>0</v>
      </c>
      <c r="D141" s="23">
        <f>'Annual Raw'!E87+'Annual Raw'!E88+'Annual Raw'!E89+'Annual Raw'!E90</f>
        <v>0</v>
      </c>
      <c r="E141" s="23">
        <f>'Annual Raw'!F87+'Annual Raw'!F88+'Annual Raw'!F89+'Annual Raw'!F90</f>
        <v>0</v>
      </c>
      <c r="F141" s="23">
        <f>'Annual Raw'!G87+'Annual Raw'!G88+'Annual Raw'!G89+'Annual Raw'!G90</f>
        <v>0</v>
      </c>
      <c r="G141" s="23">
        <f>'Annual Raw'!H87+'Annual Raw'!H88+'Annual Raw'!H89+'Annual Raw'!H90</f>
        <v>0</v>
      </c>
      <c r="H141" s="23">
        <f>'Annual Raw'!I87+'Annual Raw'!I88+'Annual Raw'!I89+'Annual Raw'!I90</f>
        <v>0</v>
      </c>
      <c r="I141" s="23">
        <f>'Annual Raw'!J87+'Annual Raw'!J88+'Annual Raw'!J89+'Annual Raw'!J90</f>
        <v>0</v>
      </c>
      <c r="J141" s="23">
        <f>'Annual Raw'!K87+'Annual Raw'!K88+'Annual Raw'!K89+'Annual Raw'!K90</f>
        <v>0</v>
      </c>
      <c r="K141" s="23">
        <f>'Annual Raw'!L87+'Annual Raw'!L88+'Annual Raw'!L89+'Annual Raw'!L90</f>
        <v>0</v>
      </c>
      <c r="L141" s="23">
        <f>'Annual Raw'!M87+'Annual Raw'!M88+'Annual Raw'!M89+'Annual Raw'!M90</f>
        <v>0</v>
      </c>
      <c r="M141" s="23">
        <f>'Annual Raw'!N87+'Annual Raw'!N88+'Annual Raw'!N89+'Annual Raw'!N90</f>
        <v>0</v>
      </c>
      <c r="N141" s="23">
        <f>'Annual Raw'!O87+'Annual Raw'!O88+'Annual Raw'!O89+'Annual Raw'!O90</f>
        <v>0</v>
      </c>
      <c r="O141" s="23">
        <f>'Annual Raw'!P87+'Annual Raw'!P88+'Annual Raw'!P89+'Annual Raw'!P90</f>
        <v>1.02</v>
      </c>
      <c r="P141" s="23">
        <f>'Annual Raw'!Q87+'Annual Raw'!Q88+'Annual Raw'!Q89+'Annual Raw'!Q90</f>
        <v>1.02</v>
      </c>
      <c r="Q141" s="23">
        <f>'Annual Raw'!R87+'Annual Raw'!R88+'Annual Raw'!R89+'Annual Raw'!R90</f>
        <v>1.02</v>
      </c>
      <c r="R141" s="23">
        <f>'Annual Raw'!S87+'Annual Raw'!S88+'Annual Raw'!S89+'Annual Raw'!S90</f>
        <v>1.02</v>
      </c>
      <c r="S141" s="23">
        <f>'Annual Raw'!T87+'Annual Raw'!T88+'Annual Raw'!T89+'Annual Raw'!T90</f>
        <v>0</v>
      </c>
      <c r="T141" s="23">
        <f>'Annual Raw'!U87+'Annual Raw'!U88+'Annual Raw'!U89+'Annual Raw'!U90</f>
        <v>0</v>
      </c>
      <c r="U141" s="23">
        <f>'Annual Raw'!V87+'Annual Raw'!V88+'Annual Raw'!V89+'Annual Raw'!V90</f>
        <v>0</v>
      </c>
      <c r="V141" s="23">
        <f>'Annual Raw'!W87+'Annual Raw'!W88+'Annual Raw'!W89+'Annual Raw'!W90</f>
        <v>0</v>
      </c>
      <c r="W141" s="23">
        <f>'Annual Raw'!X87+'Annual Raw'!X88+'Annual Raw'!X89+'Annual Raw'!X90</f>
        <v>0</v>
      </c>
      <c r="X141" s="23">
        <f>'Annual Raw'!Y87+'Annual Raw'!Y88+'Annual Raw'!Y89+'Annual Raw'!Y90</f>
        <v>0</v>
      </c>
      <c r="Y141" s="23">
        <f>'Annual Raw'!Z87+'Annual Raw'!Z88+'Annual Raw'!Z89+'Annual Raw'!Z90</f>
        <v>0</v>
      </c>
      <c r="Z141" s="23">
        <f>'Annual Raw'!AA87+'Annual Raw'!AA88+'Annual Raw'!AA89+'Annual Raw'!AA90</f>
        <v>0</v>
      </c>
      <c r="AA141" s="23">
        <f>'Annual Raw'!AB87+'Annual Raw'!AB88+'Annual Raw'!AB89+'Annual Raw'!AB90</f>
        <v>0</v>
      </c>
      <c r="AB141" s="24">
        <f t="shared" si="1103"/>
        <v>0</v>
      </c>
      <c r="AC141" s="24">
        <f t="shared" si="1104"/>
        <v>0</v>
      </c>
      <c r="AD141" s="24">
        <f t="shared" si="1105"/>
        <v>0</v>
      </c>
      <c r="AE141" s="24">
        <f t="shared" si="1106"/>
        <v>0</v>
      </c>
      <c r="AJ141" s="23">
        <f>+'QTR Raw'!D90</f>
        <v>0</v>
      </c>
      <c r="AK141" s="23">
        <f t="shared" si="1107"/>
        <v>0</v>
      </c>
      <c r="AL141" s="23">
        <f>+'QTR Raw'!F90</f>
        <v>0</v>
      </c>
      <c r="AM141" s="23">
        <f t="shared" si="1107"/>
        <v>0</v>
      </c>
      <c r="AN141" s="23">
        <f>+'QTR Raw'!H90</f>
        <v>0</v>
      </c>
      <c r="AO141" s="23">
        <f t="shared" si="1107"/>
        <v>0</v>
      </c>
      <c r="AP141" s="23">
        <f>+'QTR Raw'!J90</f>
        <v>0</v>
      </c>
      <c r="AQ141" s="23">
        <f t="shared" si="1107"/>
        <v>0</v>
      </c>
      <c r="AR141" s="23">
        <f>+'QTR Raw'!L90</f>
        <v>0</v>
      </c>
      <c r="AS141" s="23">
        <f t="shared" si="1107"/>
        <v>0</v>
      </c>
      <c r="AT141" s="23">
        <f>+'QTR Raw'!N90</f>
        <v>0</v>
      </c>
      <c r="AU141" s="23">
        <f t="shared" si="1107"/>
        <v>0</v>
      </c>
      <c r="AV141" s="23">
        <f>+'QTR Raw'!P90</f>
        <v>0</v>
      </c>
      <c r="AW141" s="23">
        <f t="shared" si="1107"/>
        <v>0</v>
      </c>
      <c r="AX141" s="23">
        <f>+'QTR Raw'!R90</f>
        <v>0</v>
      </c>
      <c r="AY141" s="23">
        <f t="shared" si="1107"/>
        <v>0</v>
      </c>
      <c r="AZ141" s="23">
        <f>+'QTR Raw'!T90</f>
        <v>0</v>
      </c>
      <c r="BA141" s="23">
        <f t="shared" si="1107"/>
        <v>0</v>
      </c>
      <c r="BB141" s="23">
        <f>+'QTR Raw'!V90</f>
        <v>0</v>
      </c>
      <c r="BC141" s="23">
        <f t="shared" si="1107"/>
        <v>0</v>
      </c>
      <c r="BD141" s="23">
        <f>+'QTR Raw'!X90</f>
        <v>0</v>
      </c>
      <c r="BE141" s="23">
        <f t="shared" si="1107"/>
        <v>0</v>
      </c>
      <c r="BF141" s="23">
        <f>+'QTR Raw'!Z90</f>
        <v>0</v>
      </c>
      <c r="BG141" s="23">
        <f t="shared" si="1107"/>
        <v>0</v>
      </c>
      <c r="BH141" s="22">
        <f>+'QTR Raw'!AB90</f>
        <v>0</v>
      </c>
      <c r="BI141" s="23">
        <f t="shared" si="1107"/>
        <v>0</v>
      </c>
      <c r="BJ141" s="23">
        <f>+'QTR Raw'!AD90</f>
        <v>0</v>
      </c>
      <c r="BK141" s="23">
        <f t="shared" si="1107"/>
        <v>0</v>
      </c>
      <c r="BL141" s="23">
        <f>+'QTR Raw'!AF90</f>
        <v>0</v>
      </c>
      <c r="BM141" s="23">
        <f t="shared" si="1107"/>
        <v>0</v>
      </c>
      <c r="BN141" s="23">
        <f>+'QTR Raw'!AH90</f>
        <v>0</v>
      </c>
      <c r="BO141" s="23">
        <f t="shared" si="1107"/>
        <v>0</v>
      </c>
      <c r="BP141" s="23">
        <f>+'QTR Raw'!AJ90</f>
        <v>0</v>
      </c>
      <c r="BQ141" s="23">
        <f t="shared" si="1107"/>
        <v>0</v>
      </c>
      <c r="BR141" s="23">
        <f>+'QTR Raw'!AL90</f>
        <v>0</v>
      </c>
      <c r="BS141" s="23">
        <f t="shared" si="1107"/>
        <v>0</v>
      </c>
      <c r="BT141" s="23">
        <f>+'QTR Raw'!AN90</f>
        <v>0</v>
      </c>
      <c r="BU141" s="23">
        <f t="shared" si="1107"/>
        <v>0</v>
      </c>
      <c r="BV141" s="23">
        <f>+'QTR Raw'!AP90</f>
        <v>0</v>
      </c>
      <c r="BW141" s="23">
        <f t="shared" si="1107"/>
        <v>0</v>
      </c>
      <c r="BX141" s="23">
        <f>+'QTR Raw'!AR90</f>
        <v>0</v>
      </c>
      <c r="BY141" s="23">
        <f t="shared" si="1107"/>
        <v>0</v>
      </c>
      <c r="BZ141" s="23">
        <f>+'QTR Raw'!AT90</f>
        <v>0</v>
      </c>
      <c r="CA141" s="23">
        <f t="shared" si="1107"/>
        <v>0</v>
      </c>
      <c r="CB141" s="23">
        <f>+'QTR Raw'!AV90</f>
        <v>0</v>
      </c>
      <c r="CC141" s="23">
        <f t="shared" si="1107"/>
        <v>0</v>
      </c>
      <c r="CD141" s="23">
        <f>+'QTR Raw'!AX90</f>
        <v>0</v>
      </c>
      <c r="CE141" s="23">
        <f t="shared" si="1108"/>
        <v>0</v>
      </c>
      <c r="CF141" s="23">
        <f>+'QTR Raw'!AZ90</f>
        <v>0</v>
      </c>
      <c r="CG141" s="23">
        <f t="shared" si="1109"/>
        <v>0</v>
      </c>
      <c r="CH141" s="23">
        <f>+Z141</f>
        <v>0</v>
      </c>
      <c r="CI141" s="23">
        <f t="shared" si="1109"/>
        <v>0</v>
      </c>
      <c r="CJ141" s="23">
        <f>+'QTR Raw'!BD90</f>
        <v>0</v>
      </c>
      <c r="CK141" s="24">
        <f t="shared" si="1110"/>
        <v>0</v>
      </c>
      <c r="CL141" s="23">
        <f>+'QTR Raw'!BF90</f>
        <v>0</v>
      </c>
      <c r="CM141" s="24">
        <f t="shared" si="1111"/>
        <v>0</v>
      </c>
      <c r="CN141" s="24">
        <f t="shared" si="1112"/>
        <v>0</v>
      </c>
      <c r="CO141" s="24">
        <f t="shared" si="1113"/>
        <v>0</v>
      </c>
      <c r="CP141" s="24">
        <f t="shared" si="1114"/>
        <v>0</v>
      </c>
      <c r="CQ141" s="24">
        <f t="shared" si="1115"/>
        <v>0</v>
      </c>
      <c r="CR141" s="24">
        <f t="shared" si="1116"/>
        <v>0</v>
      </c>
      <c r="CS141" s="24">
        <f t="shared" si="1117"/>
        <v>0</v>
      </c>
      <c r="CT141" s="24">
        <f t="shared" si="1118"/>
        <v>0</v>
      </c>
      <c r="CU141" s="24">
        <f t="shared" si="1119"/>
        <v>0</v>
      </c>
      <c r="CV141" s="24">
        <f t="shared" si="1120"/>
        <v>0</v>
      </c>
      <c r="CW141" s="24">
        <f t="shared" si="1121"/>
        <v>0</v>
      </c>
      <c r="CX141" s="24">
        <f t="shared" si="1122"/>
        <v>0</v>
      </c>
      <c r="CY141" s="24">
        <f t="shared" si="1123"/>
        <v>0</v>
      </c>
      <c r="CZ141" s="24">
        <f t="shared" si="1124"/>
        <v>0</v>
      </c>
      <c r="DA141" s="24">
        <f t="shared" si="1125"/>
        <v>0</v>
      </c>
      <c r="DB141" s="24">
        <f t="shared" si="1126"/>
        <v>0</v>
      </c>
      <c r="DE141" s="123"/>
      <c r="DF141" s="23">
        <v>0</v>
      </c>
    </row>
    <row r="142" spans="1:110" s="23" customFormat="1" outlineLevel="1" x14ac:dyDescent="0.2">
      <c r="A142" s="23" t="s">
        <v>48</v>
      </c>
      <c r="B142" s="23">
        <f>'Annual Raw'!C56</f>
        <v>0</v>
      </c>
      <c r="C142" s="23">
        <f>'Annual Raw'!D56</f>
        <v>0</v>
      </c>
      <c r="D142" s="23">
        <f>'Annual Raw'!E56</f>
        <v>0</v>
      </c>
      <c r="E142" s="23">
        <f>'Annual Raw'!F56</f>
        <v>0</v>
      </c>
      <c r="F142" s="23">
        <f>'Annual Raw'!G56</f>
        <v>0</v>
      </c>
      <c r="G142" s="23">
        <f>'Annual Raw'!H56</f>
        <v>0</v>
      </c>
      <c r="H142" s="23">
        <f>'Annual Raw'!I56</f>
        <v>0</v>
      </c>
      <c r="I142" s="23">
        <f>'Annual Raw'!J56</f>
        <v>0</v>
      </c>
      <c r="J142" s="23">
        <f>'Annual Raw'!K56</f>
        <v>0</v>
      </c>
      <c r="K142" s="23">
        <f>'Annual Raw'!L56</f>
        <v>0</v>
      </c>
      <c r="L142" s="23">
        <f>'Annual Raw'!M56</f>
        <v>2.3060293999999999</v>
      </c>
      <c r="M142" s="23">
        <f>'Annual Raw'!N56</f>
        <v>2.6118001</v>
      </c>
      <c r="N142" s="23">
        <f>'Annual Raw'!O56</f>
        <v>3.7580762999999999</v>
      </c>
      <c r="O142" s="23">
        <f>'Annual Raw'!P56</f>
        <v>5.0425583999999999</v>
      </c>
      <c r="P142" s="23">
        <f>'Annual Raw'!Q56</f>
        <v>4.8171480000000004</v>
      </c>
      <c r="Q142" s="23">
        <f>'Annual Raw'!R56</f>
        <v>6.0168739000000002</v>
      </c>
      <c r="R142" s="23">
        <f>'Annual Raw'!S56</f>
        <v>9.0230564999999991</v>
      </c>
      <c r="S142" s="23">
        <f>'Annual Raw'!T56</f>
        <v>0</v>
      </c>
      <c r="T142" s="23">
        <f>'Annual Raw'!U56</f>
        <v>0</v>
      </c>
      <c r="U142" s="23">
        <f>'Annual Raw'!V56</f>
        <v>0</v>
      </c>
      <c r="V142" s="23">
        <f>'Annual Raw'!W56</f>
        <v>0</v>
      </c>
      <c r="W142" s="23">
        <f>'Annual Raw'!X56</f>
        <v>12.8665</v>
      </c>
      <c r="X142" s="23">
        <f>'Annual Raw'!Y56</f>
        <v>27.903400000000001</v>
      </c>
      <c r="Y142" s="23">
        <f>'Annual Raw'!Z56</f>
        <v>11.5039</v>
      </c>
      <c r="Z142" s="23">
        <f>'Annual Raw'!AA56</f>
        <v>9.1092999999999993</v>
      </c>
      <c r="AA142" s="23">
        <f>'Annual Raw'!AB56</f>
        <v>22.051100000000002</v>
      </c>
      <c r="AB142" s="24">
        <f t="shared" si="1103"/>
        <v>22.050999999999998</v>
      </c>
      <c r="AC142" s="24">
        <f t="shared" si="1104"/>
        <v>22.050999999999998</v>
      </c>
      <c r="AD142" s="24">
        <f t="shared" si="1105"/>
        <v>22.050999999999998</v>
      </c>
      <c r="AE142" s="24">
        <f t="shared" si="1106"/>
        <v>22.050999999999998</v>
      </c>
      <c r="AJ142" s="23">
        <f>+'QTR Raw'!D88</f>
        <v>9.452</v>
      </c>
      <c r="AK142" s="23">
        <f t="shared" si="1107"/>
        <v>9.452</v>
      </c>
      <c r="AL142" s="23">
        <f>+'QTR Raw'!F88</f>
        <v>3.758</v>
      </c>
      <c r="AM142" s="23">
        <f t="shared" si="1107"/>
        <v>3.758</v>
      </c>
      <c r="AN142" s="23">
        <f>+'QTR Raw'!H88</f>
        <v>0.97299999999999998</v>
      </c>
      <c r="AO142" s="23">
        <f t="shared" si="1107"/>
        <v>0.97299999999999998</v>
      </c>
      <c r="AP142" s="23">
        <f>+'QTR Raw'!J88</f>
        <v>5.0430000000000001</v>
      </c>
      <c r="AQ142" s="23">
        <f t="shared" si="1107"/>
        <v>5.0430000000000001</v>
      </c>
      <c r="AR142" s="23">
        <f>+'QTR Raw'!L88</f>
        <v>9.3279999999999994</v>
      </c>
      <c r="AS142" s="23">
        <f t="shared" si="1107"/>
        <v>9.3279999999999994</v>
      </c>
      <c r="AT142" s="23">
        <f>+'QTR Raw'!N88</f>
        <v>4.8170000000000002</v>
      </c>
      <c r="AU142" s="23">
        <f t="shared" si="1107"/>
        <v>4.8170000000000002</v>
      </c>
      <c r="AV142" s="23">
        <f>+'QTR Raw'!P88</f>
        <v>9.9</v>
      </c>
      <c r="AW142" s="23">
        <f t="shared" si="1107"/>
        <v>9.9</v>
      </c>
      <c r="AX142" s="23">
        <f>+'QTR Raw'!R88</f>
        <v>6.0170000000000003</v>
      </c>
      <c r="AY142" s="23">
        <f t="shared" si="1107"/>
        <v>6.0170000000000003</v>
      </c>
      <c r="AZ142" s="23">
        <f>+'QTR Raw'!T88</f>
        <v>6.3879999999999999</v>
      </c>
      <c r="BA142" s="23">
        <f t="shared" si="1107"/>
        <v>6.3879999999999999</v>
      </c>
      <c r="BB142" s="23">
        <f>+'QTR Raw'!V88</f>
        <v>9.0229999999999997</v>
      </c>
      <c r="BC142" s="23">
        <f t="shared" si="1107"/>
        <v>9.0229999999999997</v>
      </c>
      <c r="BD142" s="23">
        <f>+'QTR Raw'!X88</f>
        <v>0</v>
      </c>
      <c r="BE142" s="23">
        <f t="shared" si="1107"/>
        <v>0</v>
      </c>
      <c r="BF142" s="23">
        <f>+'QTR Raw'!Z88</f>
        <v>0</v>
      </c>
      <c r="BG142" s="23">
        <f t="shared" si="1107"/>
        <v>0</v>
      </c>
      <c r="BH142" s="23">
        <f>+'QTR Raw'!AB88</f>
        <v>0</v>
      </c>
      <c r="BI142" s="23">
        <f t="shared" si="1107"/>
        <v>0</v>
      </c>
      <c r="BJ142" s="23">
        <f>+'QTR Raw'!AD88</f>
        <v>0</v>
      </c>
      <c r="BK142" s="23">
        <f t="shared" si="1107"/>
        <v>0</v>
      </c>
      <c r="BL142" s="23">
        <f>+'QTR Raw'!AF88</f>
        <v>0</v>
      </c>
      <c r="BM142" s="23">
        <f t="shared" si="1107"/>
        <v>0</v>
      </c>
      <c r="BN142" s="23">
        <f>+'QTR Raw'!AH88</f>
        <v>0</v>
      </c>
      <c r="BO142" s="23">
        <f t="shared" si="1107"/>
        <v>0</v>
      </c>
      <c r="BP142" s="23">
        <f>+'QTR Raw'!AJ88</f>
        <v>0</v>
      </c>
      <c r="BQ142" s="23">
        <f t="shared" si="1107"/>
        <v>0</v>
      </c>
      <c r="BR142" s="23">
        <f>+'QTR Raw'!AL88</f>
        <v>0</v>
      </c>
      <c r="BS142" s="23">
        <f t="shared" si="1107"/>
        <v>0</v>
      </c>
      <c r="BT142" s="23">
        <f>+'QTR Raw'!AN88</f>
        <v>0</v>
      </c>
      <c r="BU142" s="23">
        <f t="shared" si="1107"/>
        <v>0</v>
      </c>
      <c r="BV142" s="23">
        <f>+'QTR Raw'!AP88</f>
        <v>12.867000000000001</v>
      </c>
      <c r="BW142" s="23">
        <f t="shared" si="1107"/>
        <v>12.867000000000001</v>
      </c>
      <c r="BX142" s="23">
        <f>+'QTR Raw'!AR88</f>
        <v>30.753</v>
      </c>
      <c r="BY142" s="23">
        <f t="shared" si="1107"/>
        <v>30.753</v>
      </c>
      <c r="BZ142" s="23">
        <f>+'QTR Raw'!AT88</f>
        <v>27.902999999999999</v>
      </c>
      <c r="CA142" s="23">
        <f t="shared" si="1107"/>
        <v>27.902999999999999</v>
      </c>
      <c r="CB142" s="23">
        <f>+'QTR Raw'!AV88</f>
        <v>17.538</v>
      </c>
      <c r="CC142" s="23">
        <f t="shared" si="1107"/>
        <v>17.538</v>
      </c>
      <c r="CD142" s="23">
        <f>+'QTR Raw'!AX88</f>
        <v>11.504</v>
      </c>
      <c r="CE142" s="23">
        <f t="shared" si="1108"/>
        <v>11.504</v>
      </c>
      <c r="CF142" s="23">
        <f>+'QTR Raw'!AZ88</f>
        <v>11.654999999999999</v>
      </c>
      <c r="CG142" s="23">
        <f t="shared" si="1109"/>
        <v>11.654999999999999</v>
      </c>
      <c r="CH142" s="23">
        <f t="shared" si="1085"/>
        <v>9.1092999999999993</v>
      </c>
      <c r="CI142" s="23">
        <f t="shared" si="1109"/>
        <v>9.1092999999999993</v>
      </c>
      <c r="CJ142" s="23">
        <f>+'QTR Raw'!BD88</f>
        <v>30.69</v>
      </c>
      <c r="CK142" s="24">
        <f t="shared" si="1110"/>
        <v>30.69</v>
      </c>
      <c r="CL142" s="23">
        <f>+'QTR Raw'!BF88</f>
        <v>22.050999999999998</v>
      </c>
      <c r="CM142" s="24">
        <f t="shared" si="1111"/>
        <v>22.050999999999998</v>
      </c>
      <c r="CN142" s="24">
        <f t="shared" si="1112"/>
        <v>22.050999999999998</v>
      </c>
      <c r="CO142" s="24">
        <f t="shared" si="1113"/>
        <v>22.050999999999998</v>
      </c>
      <c r="CP142" s="24">
        <f t="shared" si="1114"/>
        <v>22.050999999999998</v>
      </c>
      <c r="CQ142" s="24">
        <f t="shared" si="1115"/>
        <v>22.050999999999998</v>
      </c>
      <c r="CR142" s="24">
        <f t="shared" si="1116"/>
        <v>22.050999999999998</v>
      </c>
      <c r="CS142" s="24">
        <f t="shared" si="1117"/>
        <v>22.050999999999998</v>
      </c>
      <c r="CT142" s="24">
        <f t="shared" si="1118"/>
        <v>22.050999999999998</v>
      </c>
      <c r="CU142" s="24">
        <f t="shared" si="1119"/>
        <v>22.050999999999998</v>
      </c>
      <c r="CV142" s="24">
        <f t="shared" si="1120"/>
        <v>22.050999999999998</v>
      </c>
      <c r="CW142" s="24">
        <f t="shared" si="1121"/>
        <v>22.050999999999998</v>
      </c>
      <c r="CX142" s="24">
        <f t="shared" si="1122"/>
        <v>22.050999999999998</v>
      </c>
      <c r="CY142" s="24">
        <f t="shared" si="1123"/>
        <v>22.050999999999998</v>
      </c>
      <c r="CZ142" s="24">
        <f t="shared" si="1124"/>
        <v>22.050999999999998</v>
      </c>
      <c r="DA142" s="24">
        <f t="shared" si="1125"/>
        <v>22.050999999999998</v>
      </c>
      <c r="DB142" s="24">
        <f t="shared" si="1126"/>
        <v>22.050999999999998</v>
      </c>
      <c r="DE142" s="123"/>
      <c r="DF142" s="23">
        <v>22.050999999999998</v>
      </c>
    </row>
    <row r="143" spans="1:110" s="22" customFormat="1" x14ac:dyDescent="0.2">
      <c r="A143" s="22" t="s">
        <v>49</v>
      </c>
      <c r="B143" s="22">
        <f>SUM(B139:B142)</f>
        <v>5.5656239999999997</v>
      </c>
      <c r="C143" s="22">
        <f t="shared" ref="C143:V143" si="1127">SUM(C139:C142)</f>
        <v>4.7035533999999997</v>
      </c>
      <c r="D143" s="22">
        <f t="shared" si="1127"/>
        <v>4.2809948999999996</v>
      </c>
      <c r="E143" s="22">
        <f t="shared" si="1127"/>
        <v>2.6063200000000002</v>
      </c>
      <c r="F143" s="22">
        <f t="shared" si="1127"/>
        <v>2.8306510999999999</v>
      </c>
      <c r="G143" s="22">
        <f t="shared" si="1127"/>
        <v>0.23039599999999999</v>
      </c>
      <c r="H143" s="22">
        <f t="shared" si="1127"/>
        <v>0.13039600000000001</v>
      </c>
      <c r="I143" s="22">
        <f t="shared" si="1127"/>
        <v>0.13039600000000001</v>
      </c>
      <c r="J143" s="22">
        <f t="shared" si="1127"/>
        <v>0.13844239999999999</v>
      </c>
      <c r="K143" s="22">
        <f t="shared" si="1127"/>
        <v>0</v>
      </c>
      <c r="L143" s="22">
        <f t="shared" si="1127"/>
        <v>2.3060293999999999</v>
      </c>
      <c r="M143" s="22">
        <f t="shared" si="1127"/>
        <v>2.6118001</v>
      </c>
      <c r="N143" s="22">
        <f t="shared" si="1127"/>
        <v>3.7580762999999999</v>
      </c>
      <c r="O143" s="22">
        <f t="shared" si="1127"/>
        <v>10.532558399999999</v>
      </c>
      <c r="P143" s="22">
        <f t="shared" si="1127"/>
        <v>9.287148000000002</v>
      </c>
      <c r="Q143" s="22">
        <f t="shared" si="1127"/>
        <v>9.4668738999999995</v>
      </c>
      <c r="R143" s="22">
        <f t="shared" si="1127"/>
        <v>11.453056499999999</v>
      </c>
      <c r="S143" s="22">
        <f t="shared" si="1127"/>
        <v>0</v>
      </c>
      <c r="T143" s="22">
        <f t="shared" si="1127"/>
        <v>0</v>
      </c>
      <c r="U143" s="22">
        <f t="shared" si="1127"/>
        <v>0</v>
      </c>
      <c r="V143" s="22">
        <f t="shared" si="1127"/>
        <v>0</v>
      </c>
      <c r="W143" s="22">
        <f t="shared" ref="W143" si="1128">SUM(W139:W142)</f>
        <v>12.8665</v>
      </c>
      <c r="X143" s="22">
        <f t="shared" ref="X143:Y143" si="1129">SUM(X139:X142)</f>
        <v>27.903400000000001</v>
      </c>
      <c r="Y143" s="22">
        <f t="shared" si="1129"/>
        <v>11.5039</v>
      </c>
      <c r="Z143" s="22">
        <f t="shared" ref="Z143:AA143" si="1130">SUM(Z139:Z142)</f>
        <v>21.109299999999998</v>
      </c>
      <c r="AA143" s="22">
        <f t="shared" ref="AA143" si="1131">SUM(AA139:AA142)</f>
        <v>34.3795</v>
      </c>
      <c r="AB143" s="21">
        <f t="shared" ref="AB143:AD143" si="1132">SUM(AB139:AB142)</f>
        <v>34.378999999999998</v>
      </c>
      <c r="AC143" s="21">
        <f t="shared" si="1132"/>
        <v>34.378999999999998</v>
      </c>
      <c r="AD143" s="21">
        <f t="shared" si="1132"/>
        <v>34.378999999999998</v>
      </c>
      <c r="AE143" s="21">
        <f t="shared" ref="AE143" si="1133">SUM(AE139:AE142)</f>
        <v>34.378999999999998</v>
      </c>
      <c r="AJ143" s="22">
        <f t="shared" ref="AJ143" si="1134">SUM(AJ139:AJ142)</f>
        <v>9.452</v>
      </c>
      <c r="AK143" s="22">
        <f t="shared" ref="AK143" si="1135">SUM(AK139:AK142)</f>
        <v>9.452</v>
      </c>
      <c r="AL143" s="22">
        <f t="shared" ref="AL143:AM143" si="1136">SUM(AL139:AL142)</f>
        <v>3.758</v>
      </c>
      <c r="AM143" s="22">
        <f t="shared" si="1136"/>
        <v>3.758</v>
      </c>
      <c r="AN143" s="22">
        <f t="shared" ref="AN143:AO143" si="1137">SUM(AN139:AN142)</f>
        <v>6.9729999999999999</v>
      </c>
      <c r="AO143" s="22">
        <f t="shared" si="1137"/>
        <v>6.9729999999999999</v>
      </c>
      <c r="AP143" s="22">
        <f t="shared" ref="AP143:CE143" si="1138">SUM(AP139:AP142)</f>
        <v>9.5129999999999999</v>
      </c>
      <c r="AQ143" s="22">
        <f t="shared" si="1138"/>
        <v>9.5129999999999999</v>
      </c>
      <c r="AR143" s="22">
        <f t="shared" si="1138"/>
        <v>14.308</v>
      </c>
      <c r="AS143" s="22">
        <f t="shared" si="1138"/>
        <v>14.308</v>
      </c>
      <c r="AT143" s="22">
        <f t="shared" si="1138"/>
        <v>8.2669999999999995</v>
      </c>
      <c r="AU143" s="22">
        <f t="shared" si="1138"/>
        <v>8.2669999999999995</v>
      </c>
      <c r="AV143" s="22">
        <f t="shared" si="1138"/>
        <v>13.018000000000001</v>
      </c>
      <c r="AW143" s="22">
        <f t="shared" si="1138"/>
        <v>13.018000000000001</v>
      </c>
      <c r="AX143" s="22">
        <f t="shared" si="1138"/>
        <v>8.447000000000001</v>
      </c>
      <c r="AY143" s="22">
        <f t="shared" si="1138"/>
        <v>8.447000000000001</v>
      </c>
      <c r="AZ143" s="22">
        <f t="shared" si="1138"/>
        <v>8.3079999999999998</v>
      </c>
      <c r="BA143" s="22">
        <f t="shared" si="1138"/>
        <v>8.3079999999999998</v>
      </c>
      <c r="BB143" s="22">
        <f t="shared" si="1138"/>
        <v>10.433</v>
      </c>
      <c r="BC143" s="22">
        <f t="shared" si="1138"/>
        <v>10.433</v>
      </c>
      <c r="BD143" s="22">
        <f t="shared" si="1138"/>
        <v>0</v>
      </c>
      <c r="BE143" s="22">
        <f t="shared" si="1138"/>
        <v>0</v>
      </c>
      <c r="BF143" s="22">
        <f t="shared" si="1138"/>
        <v>0</v>
      </c>
      <c r="BG143" s="22">
        <f t="shared" si="1138"/>
        <v>0</v>
      </c>
      <c r="BH143" s="22">
        <f t="shared" ref="BH143" si="1139">SUM(BH139:BH142)</f>
        <v>0</v>
      </c>
      <c r="BI143" s="22">
        <f t="shared" si="1138"/>
        <v>0</v>
      </c>
      <c r="BJ143" s="22">
        <f t="shared" si="1138"/>
        <v>0</v>
      </c>
      <c r="BK143" s="22">
        <f t="shared" si="1138"/>
        <v>0</v>
      </c>
      <c r="BL143" s="22">
        <f t="shared" si="1138"/>
        <v>0</v>
      </c>
      <c r="BM143" s="22">
        <f t="shared" si="1138"/>
        <v>0</v>
      </c>
      <c r="BN143" s="22">
        <f t="shared" si="1138"/>
        <v>0</v>
      </c>
      <c r="BO143" s="22">
        <f t="shared" si="1138"/>
        <v>0</v>
      </c>
      <c r="BP143" s="22">
        <f t="shared" si="1138"/>
        <v>0</v>
      </c>
      <c r="BQ143" s="22">
        <f t="shared" si="1138"/>
        <v>0</v>
      </c>
      <c r="BR143" s="22">
        <f t="shared" si="1138"/>
        <v>0</v>
      </c>
      <c r="BS143" s="22">
        <f t="shared" si="1138"/>
        <v>0</v>
      </c>
      <c r="BT143" s="22">
        <f t="shared" si="1138"/>
        <v>0</v>
      </c>
      <c r="BU143" s="22">
        <f t="shared" si="1138"/>
        <v>0</v>
      </c>
      <c r="BV143" s="22">
        <f t="shared" si="1138"/>
        <v>12.867000000000001</v>
      </c>
      <c r="BW143" s="22">
        <f t="shared" si="1138"/>
        <v>12.867000000000001</v>
      </c>
      <c r="BX143" s="22">
        <f t="shared" si="1138"/>
        <v>34.927999999999997</v>
      </c>
      <c r="BY143" s="22">
        <f t="shared" si="1138"/>
        <v>34.927999999999997</v>
      </c>
      <c r="BZ143" s="22">
        <f t="shared" si="1138"/>
        <v>27.902999999999999</v>
      </c>
      <c r="CA143" s="22">
        <f t="shared" si="1138"/>
        <v>27.902999999999999</v>
      </c>
      <c r="CB143" s="22">
        <f t="shared" si="1138"/>
        <v>17.538</v>
      </c>
      <c r="CC143" s="22">
        <f t="shared" si="1138"/>
        <v>17.538</v>
      </c>
      <c r="CD143" s="22">
        <f t="shared" si="1138"/>
        <v>11.504</v>
      </c>
      <c r="CE143" s="22">
        <f t="shared" si="1138"/>
        <v>11.504</v>
      </c>
      <c r="CF143" s="22">
        <f t="shared" ref="CF143:CG143" si="1140">SUM(CF139:CF142)</f>
        <v>11.654999999999999</v>
      </c>
      <c r="CG143" s="22">
        <f t="shared" si="1140"/>
        <v>11.654999999999999</v>
      </c>
      <c r="CH143" s="22">
        <f t="shared" ref="CH143:CI143" si="1141">SUM(CH139:CH142)</f>
        <v>21.109299999999998</v>
      </c>
      <c r="CI143" s="22">
        <f t="shared" si="1141"/>
        <v>21.109299999999998</v>
      </c>
      <c r="CJ143" s="22">
        <f t="shared" ref="CJ143:DB143" si="1142">SUM(CJ139:CJ142)</f>
        <v>30.69</v>
      </c>
      <c r="CK143" s="21">
        <f t="shared" si="1142"/>
        <v>30.69</v>
      </c>
      <c r="CL143" s="22">
        <f t="shared" ref="CL143" si="1143">SUM(CL139:CL142)</f>
        <v>34.378999999999998</v>
      </c>
      <c r="CM143" s="21">
        <f t="shared" si="1142"/>
        <v>34.378999999999998</v>
      </c>
      <c r="CN143" s="21">
        <f t="shared" si="1142"/>
        <v>34.378999999999998</v>
      </c>
      <c r="CO143" s="21">
        <f t="shared" si="1142"/>
        <v>34.378999999999998</v>
      </c>
      <c r="CP143" s="21">
        <f t="shared" si="1142"/>
        <v>34.378999999999998</v>
      </c>
      <c r="CQ143" s="21">
        <f t="shared" si="1142"/>
        <v>34.378999999999998</v>
      </c>
      <c r="CR143" s="21">
        <f t="shared" si="1142"/>
        <v>34.378999999999998</v>
      </c>
      <c r="CS143" s="21">
        <f t="shared" si="1142"/>
        <v>34.378999999999998</v>
      </c>
      <c r="CT143" s="21">
        <f t="shared" si="1142"/>
        <v>34.378999999999998</v>
      </c>
      <c r="CU143" s="21">
        <f t="shared" si="1142"/>
        <v>34.378999999999998</v>
      </c>
      <c r="CV143" s="21">
        <f t="shared" si="1142"/>
        <v>34.378999999999998</v>
      </c>
      <c r="CW143" s="21">
        <f t="shared" si="1142"/>
        <v>34.378999999999998</v>
      </c>
      <c r="CX143" s="21">
        <f t="shared" si="1142"/>
        <v>34.378999999999998</v>
      </c>
      <c r="CY143" s="21">
        <f t="shared" si="1142"/>
        <v>34.378999999999998</v>
      </c>
      <c r="CZ143" s="21">
        <f t="shared" si="1142"/>
        <v>34.378999999999998</v>
      </c>
      <c r="DA143" s="21">
        <f t="shared" si="1142"/>
        <v>34.378999999999998</v>
      </c>
      <c r="DB143" s="21">
        <f t="shared" si="1142"/>
        <v>34.378999999999998</v>
      </c>
      <c r="DE143" s="126"/>
      <c r="DF143" s="22">
        <v>34.378999999999998</v>
      </c>
    </row>
    <row r="144" spans="1:110" s="26" customFormat="1" x14ac:dyDescent="0.2">
      <c r="A144" s="26" t="s">
        <v>437</v>
      </c>
      <c r="B144" s="26">
        <f>B143+B135+B137</f>
        <v>22.5724789</v>
      </c>
      <c r="C144" s="26">
        <f t="shared" ref="C144:V144" si="1144">C143+C135+C137</f>
        <v>15.055592600000001</v>
      </c>
      <c r="D144" s="26">
        <f>D143+D135+D137</f>
        <v>14.799844799999999</v>
      </c>
      <c r="E144" s="26">
        <f t="shared" si="1144"/>
        <v>12.424031599999999</v>
      </c>
      <c r="F144" s="26">
        <f t="shared" si="1144"/>
        <v>13.440910800000001</v>
      </c>
      <c r="G144" s="26">
        <f t="shared" si="1144"/>
        <v>11.7403499</v>
      </c>
      <c r="H144" s="26">
        <f t="shared" si="1144"/>
        <v>13.098803999999999</v>
      </c>
      <c r="I144" s="26">
        <f t="shared" si="1144"/>
        <v>15.8616853</v>
      </c>
      <c r="J144" s="26">
        <f t="shared" si="1144"/>
        <v>17.5486644</v>
      </c>
      <c r="K144" s="26">
        <f t="shared" si="1144"/>
        <v>15.825681800000002</v>
      </c>
      <c r="L144" s="26">
        <f t="shared" si="1144"/>
        <v>19.685086699999999</v>
      </c>
      <c r="M144" s="26">
        <f t="shared" si="1144"/>
        <v>21.3298013</v>
      </c>
      <c r="N144" s="26">
        <f t="shared" si="1144"/>
        <v>27.604655699999999</v>
      </c>
      <c r="O144" s="26">
        <f t="shared" si="1144"/>
        <v>31.242145199999996</v>
      </c>
      <c r="P144" s="26">
        <f t="shared" si="1144"/>
        <v>29.002975900000003</v>
      </c>
      <c r="Q144" s="26">
        <f t="shared" si="1144"/>
        <v>29.208789499999998</v>
      </c>
      <c r="R144" s="26">
        <f t="shared" si="1144"/>
        <v>32.082664600000001</v>
      </c>
      <c r="S144" s="26">
        <f t="shared" si="1144"/>
        <v>36.9578597</v>
      </c>
      <c r="T144" s="26">
        <f t="shared" si="1144"/>
        <v>43.0442301</v>
      </c>
      <c r="U144" s="26">
        <f t="shared" si="1144"/>
        <v>51.674126100000002</v>
      </c>
      <c r="V144" s="26">
        <f t="shared" si="1144"/>
        <v>66.239699999999999</v>
      </c>
      <c r="W144" s="26">
        <f t="shared" ref="W144" si="1145">W143+W135+W137</f>
        <v>95.385499999999993</v>
      </c>
      <c r="X144" s="26">
        <f t="shared" ref="X144:Y144" si="1146">X143+X135+X137</f>
        <v>135.38509999999999</v>
      </c>
      <c r="Y144" s="26">
        <f t="shared" si="1146"/>
        <v>175.62309999999999</v>
      </c>
      <c r="Z144" s="26">
        <f t="shared" ref="Z144:AA144" si="1147">Z143+Z135+Z137</f>
        <v>258.35539999999997</v>
      </c>
      <c r="AA144" s="26">
        <f t="shared" ref="AA144" si="1148">AA143+AA135+AA137</f>
        <v>372.61270000000002</v>
      </c>
      <c r="AB144" s="27">
        <f t="shared" ref="AB144:AD144" si="1149">AB143+AB135+AB137</f>
        <v>388.51973063858145</v>
      </c>
      <c r="AC144" s="27">
        <f t="shared" si="1149"/>
        <v>411.66422055911266</v>
      </c>
      <c r="AD144" s="27">
        <f t="shared" si="1149"/>
        <v>442.2872105535414</v>
      </c>
      <c r="AE144" s="27">
        <f t="shared" ref="AE144" si="1150">AE143+AE135+AE137</f>
        <v>480.87067967247663</v>
      </c>
      <c r="AJ144" s="26">
        <f t="shared" ref="AJ144" si="1151">AJ143+AJ135+AJ137</f>
        <v>29.676000000000002</v>
      </c>
      <c r="AK144" s="26">
        <f t="shared" ref="AK144" si="1152">AK143+AK135+AK137</f>
        <v>31.506999999999998</v>
      </c>
      <c r="AL144" s="26">
        <f t="shared" ref="AL144" si="1153">AL143+AL135+AL137</f>
        <v>27.605</v>
      </c>
      <c r="AM144" s="26">
        <f t="shared" ref="AM144:AO144" si="1154">AM143+AM135+AM137</f>
        <v>26.226000000000003</v>
      </c>
      <c r="AN144" s="26">
        <f t="shared" si="1154"/>
        <v>26.292999999999999</v>
      </c>
      <c r="AO144" s="26">
        <f t="shared" si="1154"/>
        <v>26.715</v>
      </c>
      <c r="AP144" s="26">
        <f t="shared" ref="AP144:CE144" si="1155">AP143+AP135+AP137</f>
        <v>30.222999999999999</v>
      </c>
      <c r="AQ144" s="26">
        <f t="shared" si="1155"/>
        <v>28.555</v>
      </c>
      <c r="AR144" s="26">
        <f t="shared" si="1155"/>
        <v>34.68</v>
      </c>
      <c r="AS144" s="26">
        <f t="shared" si="1155"/>
        <v>34.894999999999996</v>
      </c>
      <c r="AT144" s="26">
        <f t="shared" si="1155"/>
        <v>27.983000000000001</v>
      </c>
      <c r="AU144" s="26">
        <f t="shared" si="1155"/>
        <v>28.169</v>
      </c>
      <c r="AV144" s="26">
        <f t="shared" si="1155"/>
        <v>33.042999999999999</v>
      </c>
      <c r="AW144" s="26">
        <f t="shared" si="1155"/>
        <v>33.262</v>
      </c>
      <c r="AX144" s="26">
        <f t="shared" si="1155"/>
        <v>28.189</v>
      </c>
      <c r="AY144" s="26">
        <f t="shared" si="1155"/>
        <v>28.561999999999998</v>
      </c>
      <c r="AZ144" s="26">
        <f t="shared" si="1155"/>
        <v>28.69</v>
      </c>
      <c r="BA144" s="26">
        <f t="shared" si="1155"/>
        <v>29.034000000000002</v>
      </c>
      <c r="BB144" s="26">
        <f t="shared" si="1155"/>
        <v>31.062999999999999</v>
      </c>
      <c r="BC144" s="26">
        <f t="shared" si="1155"/>
        <v>43.267000000000003</v>
      </c>
      <c r="BD144" s="26">
        <f t="shared" si="1155"/>
        <v>35.111999999999995</v>
      </c>
      <c r="BE144" s="26">
        <f t="shared" si="1155"/>
        <v>38.243000000000002</v>
      </c>
      <c r="BF144" s="26">
        <f t="shared" si="1155"/>
        <v>36.957999999999998</v>
      </c>
      <c r="BG144" s="26">
        <f t="shared" si="1155"/>
        <v>39.375999999999998</v>
      </c>
      <c r="BH144" s="26">
        <f t="shared" ref="BH144" si="1156">BH143+BH135+BH137</f>
        <v>38.045000000000002</v>
      </c>
      <c r="BI144" s="26">
        <f t="shared" si="1155"/>
        <v>41.356000000000002</v>
      </c>
      <c r="BJ144" s="26">
        <f t="shared" si="1155"/>
        <v>43.043999999999997</v>
      </c>
      <c r="BK144" s="26">
        <f t="shared" si="1155"/>
        <v>44.400999999999996</v>
      </c>
      <c r="BL144" s="26">
        <f t="shared" si="1155"/>
        <v>45.802999999999997</v>
      </c>
      <c r="BM144" s="26">
        <f t="shared" si="1155"/>
        <v>48.707000000000001</v>
      </c>
      <c r="BN144" s="26">
        <f t="shared" si="1155"/>
        <v>51.673999999999999</v>
      </c>
      <c r="BO144" s="26">
        <f t="shared" si="1155"/>
        <v>53.121000000000002</v>
      </c>
      <c r="BP144" s="26">
        <f t="shared" si="1155"/>
        <v>55.6</v>
      </c>
      <c r="BQ144" s="26">
        <f t="shared" si="1155"/>
        <v>60.572000000000003</v>
      </c>
      <c r="BR144" s="26">
        <f t="shared" si="1155"/>
        <v>66.240000000000009</v>
      </c>
      <c r="BS144" s="26">
        <f t="shared" si="1155"/>
        <v>69.313999999999993</v>
      </c>
      <c r="BT144" s="26">
        <f t="shared" si="1155"/>
        <v>71.13300000000001</v>
      </c>
      <c r="BU144" s="26">
        <f t="shared" si="1155"/>
        <v>76.519000000000005</v>
      </c>
      <c r="BV144" s="26">
        <f t="shared" si="1155"/>
        <v>95.38600000000001</v>
      </c>
      <c r="BW144" s="26">
        <f t="shared" si="1155"/>
        <v>99.76700000000001</v>
      </c>
      <c r="BX144" s="26">
        <f t="shared" si="1155"/>
        <v>126.35</v>
      </c>
      <c r="BY144" s="26">
        <f t="shared" si="1155"/>
        <v>133.036</v>
      </c>
      <c r="BZ144" s="26">
        <f t="shared" si="1155"/>
        <v>135.38499999999999</v>
      </c>
      <c r="CA144" s="26">
        <f t="shared" si="1155"/>
        <v>143.39699999999999</v>
      </c>
      <c r="CB144" s="26">
        <f t="shared" si="1155"/>
        <v>147.48000000000002</v>
      </c>
      <c r="CC144" s="26">
        <f t="shared" si="1155"/>
        <v>163.80100000000002</v>
      </c>
      <c r="CD144" s="26">
        <f t="shared" si="1155"/>
        <v>175.62299999999999</v>
      </c>
      <c r="CE144" s="26">
        <f t="shared" si="1155"/>
        <v>183.00399999999999</v>
      </c>
      <c r="CF144" s="26">
        <f t="shared" ref="CF144:CG144" si="1157">CF143+CF135+CF137</f>
        <v>208.50800000000001</v>
      </c>
      <c r="CG144" s="26">
        <f t="shared" si="1157"/>
        <v>228.58800000000002</v>
      </c>
      <c r="CH144" s="26">
        <f t="shared" ref="CH144:CI144" si="1158">CH143+CH135+CH137</f>
        <v>258.35539999999997</v>
      </c>
      <c r="CI144" s="26">
        <f t="shared" si="1158"/>
        <v>261.58139999999997</v>
      </c>
      <c r="CJ144" s="26">
        <f t="shared" ref="CJ144:DB144" si="1159">CJ143+CJ135+CJ137</f>
        <v>354.33100000000002</v>
      </c>
      <c r="CK144" s="27">
        <f t="shared" si="1159"/>
        <v>357.07400000000001</v>
      </c>
      <c r="CL144" s="26">
        <f t="shared" ref="CL144" si="1160">CL143+CL135+CL137</f>
        <v>372.61199999999997</v>
      </c>
      <c r="CM144" s="27">
        <f t="shared" si="1159"/>
        <v>375.76536072208569</v>
      </c>
      <c r="CN144" s="27">
        <f t="shared" si="1159"/>
        <v>379.66345248743187</v>
      </c>
      <c r="CO144" s="27">
        <f t="shared" si="1159"/>
        <v>383.16189673101394</v>
      </c>
      <c r="CP144" s="27">
        <f t="shared" si="1159"/>
        <v>388.51973063858145</v>
      </c>
      <c r="CQ144" s="27">
        <f t="shared" si="1159"/>
        <v>393.56194364400847</v>
      </c>
      <c r="CR144" s="27">
        <f t="shared" si="1159"/>
        <v>399.24810377030076</v>
      </c>
      <c r="CS144" s="27">
        <f t="shared" si="1159"/>
        <v>404.41106311158887</v>
      </c>
      <c r="CT144" s="27">
        <f t="shared" si="1159"/>
        <v>411.66422055911266</v>
      </c>
      <c r="CU144" s="27">
        <f t="shared" si="1159"/>
        <v>418.54867125364296</v>
      </c>
      <c r="CV144" s="27">
        <f t="shared" si="1159"/>
        <v>426.10485585883748</v>
      </c>
      <c r="CW144" s="27">
        <f t="shared" si="1159"/>
        <v>433.01857094257059</v>
      </c>
      <c r="CX144" s="27">
        <f t="shared" si="1159"/>
        <v>442.2872105535414</v>
      </c>
      <c r="CY144" s="27">
        <f t="shared" si="1159"/>
        <v>451.10634758335345</v>
      </c>
      <c r="CZ144" s="27">
        <f t="shared" si="1159"/>
        <v>460.65537625376999</v>
      </c>
      <c r="DA144" s="27">
        <f t="shared" si="1159"/>
        <v>469.42830949841652</v>
      </c>
      <c r="DB144" s="27">
        <f t="shared" si="1159"/>
        <v>480.87067967247663</v>
      </c>
      <c r="DE144" s="121"/>
      <c r="DF144" s="26">
        <v>372.61199999999997</v>
      </c>
    </row>
    <row r="145" spans="1:110" s="23" customFormat="1" x14ac:dyDescent="0.2">
      <c r="AB145" s="24"/>
      <c r="AC145" s="24"/>
      <c r="AD145" s="24"/>
      <c r="AE145" s="24"/>
      <c r="CK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E145" s="123"/>
    </row>
    <row r="146" spans="1:110" s="23" customFormat="1" outlineLevel="1" x14ac:dyDescent="0.2">
      <c r="A146" s="23" t="s">
        <v>50</v>
      </c>
      <c r="B146" s="23">
        <f>'Annual Raw'!C62</f>
        <v>7.9602703999999997</v>
      </c>
      <c r="C146" s="23">
        <f>'Annual Raw'!D62</f>
        <v>8.7510381000000006</v>
      </c>
      <c r="D146" s="23">
        <f>'Annual Raw'!E62</f>
        <v>11.0971417</v>
      </c>
      <c r="E146" s="23">
        <f>'Annual Raw'!F62-E150</f>
        <v>9.8167778999999999</v>
      </c>
      <c r="F146" s="23">
        <f>'Annual Raw'!G62-F150</f>
        <v>10.167493199999999</v>
      </c>
      <c r="G146" s="23">
        <f>'Annual Raw'!H62-G150</f>
        <v>11.3126158</v>
      </c>
      <c r="H146" s="23">
        <f>'Annual Raw'!I62-H150</f>
        <v>12.6760901</v>
      </c>
      <c r="I146" s="23">
        <f>'Annual Raw'!J62-I150</f>
        <v>12.587238299999999</v>
      </c>
      <c r="J146" s="23">
        <f>'Annual Raw'!K62-J150</f>
        <v>12.9645277</v>
      </c>
      <c r="K146" s="23">
        <f>'Annual Raw'!L62-K150</f>
        <v>13.4875323</v>
      </c>
      <c r="L146" s="23">
        <f>'Annual Raw'!M62-L150</f>
        <v>16.6660042</v>
      </c>
      <c r="M146" s="23">
        <f>'Annual Raw'!N62-M150</f>
        <v>17.754703800000001</v>
      </c>
      <c r="N146" s="23">
        <f>'Annual Raw'!O62-N150</f>
        <v>25.6870732</v>
      </c>
      <c r="O146" s="23">
        <f>'Annual Raw'!P62-O150</f>
        <v>26.770124500000001</v>
      </c>
      <c r="P146" s="23">
        <f>'Annual Raw'!Q62-P150</f>
        <v>26.792086699999999</v>
      </c>
      <c r="Q146" s="23">
        <f>'Annual Raw'!R62-Q150</f>
        <v>28.234805999999999</v>
      </c>
      <c r="R146" s="23">
        <f>'Annual Raw'!S62-R150</f>
        <v>15.0760255</v>
      </c>
      <c r="S146" s="23">
        <f>'Annual Raw'!T62-S150</f>
        <v>15.1364909</v>
      </c>
      <c r="T146" s="23">
        <f>'Annual Raw'!U62-T150</f>
        <v>16.691034299999998</v>
      </c>
      <c r="U146" s="23">
        <f>'Annual Raw'!V62-U150</f>
        <v>21.7430582</v>
      </c>
      <c r="V146" s="23">
        <f>'Annual Raw'!W62-V150</f>
        <v>25.9803</v>
      </c>
      <c r="W146" s="23">
        <f>'Annual Raw'!X62-W150</f>
        <v>40.2395</v>
      </c>
      <c r="X146" s="23">
        <f>'Annual Raw'!Y62-X150</f>
        <v>50.057099999999998</v>
      </c>
      <c r="Y146" s="23">
        <f>'Annual Raw'!Z62-Y150</f>
        <v>73.694800000000001</v>
      </c>
      <c r="Z146" s="23">
        <f>'Annual Raw'!AA62-Z150</f>
        <v>150.61410000000001</v>
      </c>
      <c r="AA146" s="23">
        <f>'Annual Raw'!AB62-AA150</f>
        <v>234.5917</v>
      </c>
      <c r="AB146" s="24">
        <f t="shared" ref="AB146:AB152" si="1161">+CP146</f>
        <v>237.18729999999999</v>
      </c>
      <c r="AC146" s="24">
        <f t="shared" ref="AC146:AC152" si="1162">+CT146</f>
        <v>237.18729999999999</v>
      </c>
      <c r="AD146" s="24">
        <f t="shared" ref="AD146:AD152" si="1163">+CX146</f>
        <v>237.18729999999999</v>
      </c>
      <c r="AE146" s="24">
        <f t="shared" ref="AE146:AE152" si="1164">+DB146</f>
        <v>237.18729999999999</v>
      </c>
      <c r="AJ146" s="23">
        <f>+'QTR Raw'!D68</f>
        <v>12.414999999999999</v>
      </c>
      <c r="AL146" s="23">
        <f>+'QTR Raw'!F68</f>
        <v>16.369</v>
      </c>
      <c r="AN146" s="23">
        <f>+'QTR Raw'!H68</f>
        <v>15.997</v>
      </c>
      <c r="AP146" s="23">
        <f>+'QTR Raw'!J68</f>
        <v>15.388999999999999</v>
      </c>
      <c r="AR146" s="23">
        <f>+'QTR Raw'!L68</f>
        <v>14.423999999999999</v>
      </c>
      <c r="AT146" s="23">
        <f>+'QTR Raw'!N68</f>
        <v>13.694000000000001</v>
      </c>
      <c r="AV146" s="23">
        <f>+'QTR Raw'!P68</f>
        <v>13.689</v>
      </c>
      <c r="AX146" s="23">
        <f>+'QTR Raw'!R68</f>
        <v>13.391</v>
      </c>
      <c r="AZ146" s="23">
        <f>+'QTR Raw'!T68</f>
        <v>13.065</v>
      </c>
      <c r="BB146" s="23">
        <f>+'QTR Raw'!V68</f>
        <v>13.302</v>
      </c>
      <c r="BD146" s="23">
        <f>+'QTR Raw'!X68</f>
        <v>11.648999999999999</v>
      </c>
      <c r="BF146" s="23">
        <f>+'QTR Raw'!Z68</f>
        <v>12.099</v>
      </c>
      <c r="BH146" s="23">
        <f>+'QTR Raw'!AB68</f>
        <v>11.923999999999999</v>
      </c>
      <c r="BJ146" s="23">
        <f>+'QTR Raw'!AD68</f>
        <v>11.659000000000001</v>
      </c>
      <c r="BL146" s="23">
        <f>+'QTR Raw'!AF68</f>
        <v>11.664999999999999</v>
      </c>
      <c r="BN146" s="23">
        <f>+'QTR Raw'!AH68</f>
        <v>11.180999999999999</v>
      </c>
      <c r="BP146" s="23">
        <f>+'QTR Raw'!AJ68</f>
        <v>10.797000000000001</v>
      </c>
      <c r="BR146" s="23">
        <f>+'QTR Raw'!AL68</f>
        <v>13.398999999999999</v>
      </c>
      <c r="BT146" s="23">
        <f>+'QTR Raw'!AN68</f>
        <v>13.599</v>
      </c>
      <c r="BV146" s="23">
        <f>+'QTR Raw'!AP68</f>
        <v>24.46</v>
      </c>
      <c r="BX146" s="23">
        <f>+'QTR Raw'!AR68</f>
        <v>26.693000000000001</v>
      </c>
      <c r="BZ146" s="23">
        <f>+'QTR Raw'!AT68</f>
        <v>29.355</v>
      </c>
      <c r="CB146" s="23">
        <f>+'QTR Raw'!AV68</f>
        <v>29.795999999999999</v>
      </c>
      <c r="CD146" s="23">
        <f>+'QTR Raw'!AX68</f>
        <v>43.253</v>
      </c>
      <c r="CF146" s="23">
        <f>+'QTR Raw'!AZ68</f>
        <v>48.628999999999998</v>
      </c>
      <c r="CH146" s="23">
        <f t="shared" ref="CH146:CH152" si="1165">Z146</f>
        <v>150.61410000000001</v>
      </c>
      <c r="CI146" s="23">
        <f>CH146</f>
        <v>150.61410000000001</v>
      </c>
      <c r="CJ146" s="23">
        <f>+CJ147+CJ149</f>
        <v>175.18430000000001</v>
      </c>
      <c r="CK146" s="24">
        <f>+CJ146</f>
        <v>175.18430000000001</v>
      </c>
      <c r="CL146" s="23">
        <f>+CL147+CL149</f>
        <v>237.18729999999999</v>
      </c>
      <c r="CM146" s="24">
        <f t="shared" ref="CM146:DB146" si="1166">+CL146</f>
        <v>237.18729999999999</v>
      </c>
      <c r="CN146" s="24">
        <f t="shared" si="1166"/>
        <v>237.18729999999999</v>
      </c>
      <c r="CO146" s="24">
        <f t="shared" si="1166"/>
        <v>237.18729999999999</v>
      </c>
      <c r="CP146" s="24">
        <f t="shared" si="1166"/>
        <v>237.18729999999999</v>
      </c>
      <c r="CQ146" s="24">
        <f t="shared" si="1166"/>
        <v>237.18729999999999</v>
      </c>
      <c r="CR146" s="24">
        <f t="shared" si="1166"/>
        <v>237.18729999999999</v>
      </c>
      <c r="CS146" s="24">
        <f t="shared" si="1166"/>
        <v>237.18729999999999</v>
      </c>
      <c r="CT146" s="24">
        <f t="shared" si="1166"/>
        <v>237.18729999999999</v>
      </c>
      <c r="CU146" s="24">
        <f t="shared" si="1166"/>
        <v>237.18729999999999</v>
      </c>
      <c r="CV146" s="24">
        <f t="shared" si="1166"/>
        <v>237.18729999999999</v>
      </c>
      <c r="CW146" s="24">
        <f t="shared" si="1166"/>
        <v>237.18729999999999</v>
      </c>
      <c r="CX146" s="24">
        <f t="shared" si="1166"/>
        <v>237.18729999999999</v>
      </c>
      <c r="CY146" s="24">
        <f t="shared" si="1166"/>
        <v>237.18729999999999</v>
      </c>
      <c r="CZ146" s="24">
        <f t="shared" si="1166"/>
        <v>237.18729999999999</v>
      </c>
      <c r="DA146" s="24">
        <f t="shared" si="1166"/>
        <v>237.18729999999999</v>
      </c>
      <c r="DB146" s="24">
        <f t="shared" si="1166"/>
        <v>237.18729999999999</v>
      </c>
      <c r="DE146" s="123"/>
      <c r="DF146" s="23">
        <v>237.18729999999999</v>
      </c>
    </row>
    <row r="147" spans="1:110" s="23" customFormat="1" outlineLevel="1" x14ac:dyDescent="0.2">
      <c r="A147" s="23" t="s">
        <v>51</v>
      </c>
      <c r="B147" s="23">
        <f>'Annual Raw'!C63</f>
        <v>1.1331184000000001</v>
      </c>
      <c r="C147" s="23">
        <f>'Annual Raw'!D63</f>
        <v>1.6723621</v>
      </c>
      <c r="D147" s="23">
        <f>'Annual Raw'!E63</f>
        <v>2.2790325</v>
      </c>
      <c r="E147" s="23">
        <f>'Annual Raw'!F63</f>
        <v>3.0295038000000001</v>
      </c>
      <c r="F147" s="23">
        <f>'Annual Raw'!G63</f>
        <v>3.6631014999999998</v>
      </c>
      <c r="G147" s="23">
        <f>'Annual Raw'!H63</f>
        <v>4.2781288000000002</v>
      </c>
      <c r="H147" s="23">
        <f>'Annual Raw'!I63</f>
        <v>5.0985323999999999</v>
      </c>
      <c r="I147" s="23">
        <f>'Annual Raw'!J63</f>
        <v>6.0334133999999997</v>
      </c>
      <c r="J147" s="23">
        <f>'Annual Raw'!K63</f>
        <v>6.6953861999999997</v>
      </c>
      <c r="K147" s="23">
        <f>'Annual Raw'!L63</f>
        <v>7.9461325</v>
      </c>
      <c r="L147" s="23">
        <f>'Annual Raw'!M63</f>
        <v>8.0317468000000005</v>
      </c>
      <c r="M147" s="23">
        <f>'Annual Raw'!N63</f>
        <v>8.9943898999999998</v>
      </c>
      <c r="N147" s="23">
        <f>'Annual Raw'!O63</f>
        <v>9.3181586000000003</v>
      </c>
      <c r="O147" s="23">
        <f>'Annual Raw'!P63</f>
        <v>11.3807429</v>
      </c>
      <c r="P147" s="23">
        <f>'Annual Raw'!Q63</f>
        <v>13.0981279</v>
      </c>
      <c r="Q147" s="23">
        <f>'Annual Raw'!R63</f>
        <v>14.8437225</v>
      </c>
      <c r="R147" s="23">
        <f>'Annual Raw'!S63</f>
        <v>1.7743803</v>
      </c>
      <c r="S147" s="23">
        <f>'Annual Raw'!T63</f>
        <v>3.0386845</v>
      </c>
      <c r="T147" s="23">
        <f>'Annual Raw'!U63</f>
        <v>5.0323035999999997</v>
      </c>
      <c r="U147" s="23">
        <f>'Annual Raw'!V63</f>
        <v>7.5216173</v>
      </c>
      <c r="V147" s="23">
        <f>'Annual Raw'!W63</f>
        <v>9.9550999999999998</v>
      </c>
      <c r="W147" s="23">
        <f>'Annual Raw'!X63</f>
        <v>13.5685</v>
      </c>
      <c r="X147" s="23">
        <f>'Annual Raw'!Y63</f>
        <v>18.9055</v>
      </c>
      <c r="Y147" s="23">
        <f>'Annual Raw'!Z63</f>
        <v>25.191600000000001</v>
      </c>
      <c r="Z147" s="23">
        <f>'Annual Raw'!AA63</f>
        <v>35.933300000000003</v>
      </c>
      <c r="AA147" s="23">
        <f>'Annual Raw'!AB63</f>
        <v>53.413600000000002</v>
      </c>
      <c r="AB147" s="24">
        <f t="shared" si="1161"/>
        <v>86.245606446877275</v>
      </c>
      <c r="AC147" s="24">
        <f t="shared" si="1162"/>
        <v>111.43585748112457</v>
      </c>
      <c r="AD147" s="24">
        <f t="shared" si="1163"/>
        <v>132.42217564413326</v>
      </c>
      <c r="AE147" s="24">
        <f t="shared" si="1164"/>
        <v>149.90614392377643</v>
      </c>
      <c r="AJ147" s="23">
        <f>+'QTR Raw'!D69</f>
        <v>0</v>
      </c>
      <c r="AL147" s="23">
        <f>+'QTR Raw'!F69</f>
        <v>0</v>
      </c>
      <c r="AN147" s="23">
        <f>+'QTR Raw'!H69</f>
        <v>0</v>
      </c>
      <c r="AP147" s="23">
        <f>+'QTR Raw'!J69</f>
        <v>0</v>
      </c>
      <c r="AR147" s="23">
        <f>+'QTR Raw'!L69</f>
        <v>0</v>
      </c>
      <c r="AT147" s="23">
        <f>+'QTR Raw'!N69</f>
        <v>0</v>
      </c>
      <c r="AV147" s="23">
        <f>+'QTR Raw'!P69</f>
        <v>0</v>
      </c>
      <c r="AX147" s="23">
        <f>+'QTR Raw'!R69</f>
        <v>0</v>
      </c>
      <c r="AZ147" s="23">
        <f>+'QTR Raw'!T69</f>
        <v>0</v>
      </c>
      <c r="BB147" s="23">
        <f>+'QTR Raw'!V69</f>
        <v>0</v>
      </c>
      <c r="BD147" s="23">
        <f>+'QTR Raw'!X69</f>
        <v>0</v>
      </c>
      <c r="BF147" s="23">
        <f>+'QTR Raw'!Z69</f>
        <v>0</v>
      </c>
      <c r="BH147" s="23">
        <f>+'QTR Raw'!AB69</f>
        <v>0</v>
      </c>
      <c r="BJ147" s="23">
        <f>+'QTR Raw'!AD69</f>
        <v>0</v>
      </c>
      <c r="BL147" s="23">
        <f>+'QTR Raw'!AF69</f>
        <v>0</v>
      </c>
      <c r="BN147" s="23">
        <f>+'QTR Raw'!AH69</f>
        <v>0</v>
      </c>
      <c r="BP147" s="23">
        <f>+'QTR Raw'!AJ69</f>
        <v>0</v>
      </c>
      <c r="BR147" s="23">
        <f>+'QTR Raw'!AL69</f>
        <v>0</v>
      </c>
      <c r="BT147" s="23">
        <f>+'QTR Raw'!AN69</f>
        <v>0</v>
      </c>
      <c r="BV147" s="23">
        <f>+'QTR Raw'!AP69</f>
        <v>0</v>
      </c>
      <c r="BX147" s="23">
        <f>+'QTR Raw'!AR69</f>
        <v>0</v>
      </c>
      <c r="BZ147" s="23">
        <f>+'QTR Raw'!AT69</f>
        <v>0</v>
      </c>
      <c r="CB147" s="23">
        <f>+'QTR Raw'!AV69</f>
        <v>0</v>
      </c>
      <c r="CD147" s="23">
        <f>+'QTR Raw'!AX69</f>
        <v>0</v>
      </c>
      <c r="CF147" s="23">
        <f>+'QTR Raw'!AZ69</f>
        <v>0</v>
      </c>
      <c r="CH147" s="23">
        <f t="shared" si="1165"/>
        <v>35.933300000000003</v>
      </c>
      <c r="CI147" s="23">
        <f t="shared" ref="CI147:DB147" si="1167">CH147+CI47</f>
        <v>40.330300000000001</v>
      </c>
      <c r="CJ147" s="23">
        <f t="shared" si="1167"/>
        <v>45.086300000000001</v>
      </c>
      <c r="CK147" s="24">
        <f t="shared" si="1167"/>
        <v>50.443300000000001</v>
      </c>
      <c r="CL147" s="23">
        <f t="shared" si="1167"/>
        <v>56.009300000000003</v>
      </c>
      <c r="CM147" s="24">
        <f t="shared" si="1167"/>
        <v>64.093544538684156</v>
      </c>
      <c r="CN147" s="24">
        <f t="shared" si="1167"/>
        <v>71.817066419202064</v>
      </c>
      <c r="CO147" s="24">
        <f t="shared" si="1167"/>
        <v>79.195961250177618</v>
      </c>
      <c r="CP147" s="24">
        <f t="shared" si="1167"/>
        <v>86.245606446877275</v>
      </c>
      <c r="CQ147" s="24">
        <f t="shared" si="1167"/>
        <v>92.980693277323411</v>
      </c>
      <c r="CR147" s="24">
        <f t="shared" si="1167"/>
        <v>99.415257478495576</v>
      </c>
      <c r="CS147" s="24">
        <f t="shared" si="1167"/>
        <v>105.56270850642299</v>
      </c>
      <c r="CT147" s="24">
        <f t="shared" si="1167"/>
        <v>111.43585748112457</v>
      </c>
      <c r="CU147" s="24">
        <f t="shared" si="1167"/>
        <v>117.04694388463312</v>
      </c>
      <c r="CV147" s="24">
        <f t="shared" si="1167"/>
        <v>122.40766106774157</v>
      </c>
      <c r="CW147" s="24">
        <f t="shared" si="1167"/>
        <v>127.52918061862661</v>
      </c>
      <c r="CX147" s="24">
        <f t="shared" si="1167"/>
        <v>132.42217564413326</v>
      </c>
      <c r="CY147" s="24">
        <f t="shared" si="1167"/>
        <v>137.096843012238</v>
      </c>
      <c r="CZ147" s="24">
        <f t="shared" si="1167"/>
        <v>141.56292460204313</v>
      </c>
      <c r="DA147" s="24">
        <f t="shared" si="1167"/>
        <v>145.8297276055867</v>
      </c>
      <c r="DB147" s="24">
        <f t="shared" si="1167"/>
        <v>149.90614392377643</v>
      </c>
      <c r="DE147" s="123"/>
      <c r="DF147" s="23">
        <v>56.009300000000003</v>
      </c>
    </row>
    <row r="148" spans="1:110" s="23" customFormat="1" outlineLevel="1" x14ac:dyDescent="0.2">
      <c r="A148" s="23" t="s">
        <v>52</v>
      </c>
      <c r="B148" s="23">
        <f>'Annual Raw'!C64</f>
        <v>0</v>
      </c>
      <c r="C148" s="23">
        <f>'Annual Raw'!D64</f>
        <v>0</v>
      </c>
      <c r="D148" s="23">
        <f>'Annual Raw'!E64</f>
        <v>0</v>
      </c>
      <c r="E148" s="23">
        <f>'Annual Raw'!F64</f>
        <v>0</v>
      </c>
      <c r="F148" s="23">
        <f>'Annual Raw'!G64</f>
        <v>0</v>
      </c>
      <c r="G148" s="23">
        <f>'Annual Raw'!H64</f>
        <v>0</v>
      </c>
      <c r="H148" s="23">
        <f>'Annual Raw'!I64</f>
        <v>0</v>
      </c>
      <c r="I148" s="23">
        <f>'Annual Raw'!J64</f>
        <v>0</v>
      </c>
      <c r="J148" s="23">
        <f>'Annual Raw'!K64</f>
        <v>0</v>
      </c>
      <c r="K148" s="23">
        <f>'Annual Raw'!L64</f>
        <v>0</v>
      </c>
      <c r="L148" s="23">
        <f>'Annual Raw'!M64</f>
        <v>0</v>
      </c>
      <c r="M148" s="23">
        <f>'Annual Raw'!N64</f>
        <v>0</v>
      </c>
      <c r="N148" s="23">
        <f>'Annual Raw'!O64</f>
        <v>0</v>
      </c>
      <c r="O148" s="23">
        <f>'Annual Raw'!P64</f>
        <v>0</v>
      </c>
      <c r="P148" s="23">
        <f>'Annual Raw'!Q64</f>
        <v>0</v>
      </c>
      <c r="Q148" s="23">
        <f>'Annual Raw'!R64</f>
        <v>0</v>
      </c>
      <c r="R148" s="23">
        <f>'Annual Raw'!S64</f>
        <v>0</v>
      </c>
      <c r="S148" s="23">
        <f>'Annual Raw'!T64</f>
        <v>0</v>
      </c>
      <c r="T148" s="23">
        <f>'Annual Raw'!U64</f>
        <v>0</v>
      </c>
      <c r="U148" s="23">
        <f>'Annual Raw'!V64</f>
        <v>0</v>
      </c>
      <c r="V148" s="23">
        <f>'Annual Raw'!W64</f>
        <v>0</v>
      </c>
      <c r="W148" s="23">
        <f>'Annual Raw'!X64</f>
        <v>0</v>
      </c>
      <c r="X148" s="23">
        <f>'Annual Raw'!Y64</f>
        <v>0</v>
      </c>
      <c r="Y148" s="23">
        <f>'Annual Raw'!Z64</f>
        <v>0</v>
      </c>
      <c r="Z148" s="23">
        <f>'Annual Raw'!AA64</f>
        <v>0</v>
      </c>
      <c r="AA148" s="23">
        <f>'Annual Raw'!AB64</f>
        <v>0</v>
      </c>
      <c r="AB148" s="24">
        <f t="shared" si="1161"/>
        <v>0</v>
      </c>
      <c r="AC148" s="24">
        <f t="shared" si="1162"/>
        <v>0</v>
      </c>
      <c r="AD148" s="24">
        <f t="shared" si="1163"/>
        <v>0</v>
      </c>
      <c r="AE148" s="24">
        <f t="shared" si="1164"/>
        <v>0</v>
      </c>
      <c r="AJ148" s="23">
        <f>+'QTR Raw'!D70</f>
        <v>0</v>
      </c>
      <c r="AL148" s="23">
        <f>+'QTR Raw'!F70</f>
        <v>0</v>
      </c>
      <c r="AN148" s="23">
        <f>+'QTR Raw'!H70</f>
        <v>0</v>
      </c>
      <c r="AP148" s="23">
        <f>+'QTR Raw'!J70</f>
        <v>0</v>
      </c>
      <c r="AR148" s="23">
        <f>+'QTR Raw'!L70</f>
        <v>0</v>
      </c>
      <c r="AT148" s="23">
        <f>+'QTR Raw'!N70</f>
        <v>0</v>
      </c>
      <c r="AV148" s="23">
        <f>+'QTR Raw'!P70</f>
        <v>0</v>
      </c>
      <c r="AX148" s="23">
        <f>+'QTR Raw'!R70</f>
        <v>0</v>
      </c>
      <c r="AZ148" s="23">
        <f>+'QTR Raw'!T70</f>
        <v>0</v>
      </c>
      <c r="BB148" s="23">
        <f>+'QTR Raw'!V70</f>
        <v>0</v>
      </c>
      <c r="BD148" s="23">
        <f>+'QTR Raw'!X70</f>
        <v>0</v>
      </c>
      <c r="BF148" s="23">
        <f>+'QTR Raw'!Z70</f>
        <v>0</v>
      </c>
      <c r="BH148" s="23">
        <f>+'QTR Raw'!AB70</f>
        <v>0</v>
      </c>
      <c r="BJ148" s="23">
        <f>+'QTR Raw'!AD70</f>
        <v>0</v>
      </c>
      <c r="BL148" s="23">
        <f>+'QTR Raw'!AF70</f>
        <v>0</v>
      </c>
      <c r="BN148" s="23">
        <f>+'QTR Raw'!AH70</f>
        <v>0</v>
      </c>
      <c r="BP148" s="23">
        <f>+'QTR Raw'!AJ70</f>
        <v>0</v>
      </c>
      <c r="BR148" s="23">
        <f>+'QTR Raw'!AL70</f>
        <v>0</v>
      </c>
      <c r="BT148" s="23">
        <f>+'QTR Raw'!AN70</f>
        <v>0</v>
      </c>
      <c r="BV148" s="23">
        <f>+'QTR Raw'!AP70</f>
        <v>0</v>
      </c>
      <c r="BX148" s="23">
        <f>+'QTR Raw'!AR70</f>
        <v>0</v>
      </c>
      <c r="BZ148" s="23">
        <f>+'QTR Raw'!AT70</f>
        <v>0</v>
      </c>
      <c r="CB148" s="23">
        <f>+'QTR Raw'!AV70</f>
        <v>0</v>
      </c>
      <c r="CD148" s="23">
        <f>+'QTR Raw'!AX70</f>
        <v>0</v>
      </c>
      <c r="CF148" s="23">
        <f>+'QTR Raw'!AZ70</f>
        <v>0</v>
      </c>
      <c r="CH148" s="23">
        <f t="shared" si="1165"/>
        <v>0</v>
      </c>
      <c r="CI148" s="23">
        <f>CH148</f>
        <v>0</v>
      </c>
      <c r="CJ148" s="23">
        <f>+'QTR Raw'!BD70</f>
        <v>0</v>
      </c>
      <c r="CK148" s="24">
        <f t="shared" ref="CK148:DB148" si="1168">CJ148</f>
        <v>0</v>
      </c>
      <c r="CL148" s="23">
        <f>+'QTR Raw'!BF70</f>
        <v>0</v>
      </c>
      <c r="CM148" s="24">
        <f t="shared" si="1168"/>
        <v>0</v>
      </c>
      <c r="CN148" s="24">
        <f t="shared" si="1168"/>
        <v>0</v>
      </c>
      <c r="CO148" s="24">
        <f t="shared" si="1168"/>
        <v>0</v>
      </c>
      <c r="CP148" s="24">
        <f t="shared" si="1168"/>
        <v>0</v>
      </c>
      <c r="CQ148" s="24">
        <f t="shared" si="1168"/>
        <v>0</v>
      </c>
      <c r="CR148" s="24">
        <f t="shared" si="1168"/>
        <v>0</v>
      </c>
      <c r="CS148" s="24">
        <f t="shared" si="1168"/>
        <v>0</v>
      </c>
      <c r="CT148" s="24">
        <f t="shared" si="1168"/>
        <v>0</v>
      </c>
      <c r="CU148" s="24">
        <f t="shared" si="1168"/>
        <v>0</v>
      </c>
      <c r="CV148" s="24">
        <f t="shared" si="1168"/>
        <v>0</v>
      </c>
      <c r="CW148" s="24">
        <f t="shared" si="1168"/>
        <v>0</v>
      </c>
      <c r="CX148" s="24">
        <f t="shared" si="1168"/>
        <v>0</v>
      </c>
      <c r="CY148" s="24">
        <f t="shared" si="1168"/>
        <v>0</v>
      </c>
      <c r="CZ148" s="24">
        <f t="shared" si="1168"/>
        <v>0</v>
      </c>
      <c r="DA148" s="24">
        <f t="shared" si="1168"/>
        <v>0</v>
      </c>
      <c r="DB148" s="24">
        <f t="shared" si="1168"/>
        <v>0</v>
      </c>
      <c r="DE148" s="123"/>
      <c r="DF148" s="23">
        <v>0</v>
      </c>
    </row>
    <row r="149" spans="1:110" s="22" customFormat="1" outlineLevel="1" x14ac:dyDescent="0.2">
      <c r="A149" s="22" t="s">
        <v>53</v>
      </c>
      <c r="B149" s="22">
        <f>+B146-B147-B148</f>
        <v>6.8271519999999999</v>
      </c>
      <c r="C149" s="22">
        <f t="shared" ref="C149:W149" si="1169">+C146-C147-C148</f>
        <v>7.0786760000000006</v>
      </c>
      <c r="D149" s="22">
        <f t="shared" si="1169"/>
        <v>8.8181092000000003</v>
      </c>
      <c r="E149" s="22">
        <f t="shared" si="1169"/>
        <v>6.7872740999999994</v>
      </c>
      <c r="F149" s="22">
        <f t="shared" si="1169"/>
        <v>6.5043916999999993</v>
      </c>
      <c r="G149" s="22">
        <f t="shared" si="1169"/>
        <v>7.0344869999999995</v>
      </c>
      <c r="H149" s="22">
        <f t="shared" si="1169"/>
        <v>7.5775576999999998</v>
      </c>
      <c r="I149" s="22">
        <f t="shared" si="1169"/>
        <v>6.5538248999999995</v>
      </c>
      <c r="J149" s="22">
        <f t="shared" si="1169"/>
        <v>6.2691414999999999</v>
      </c>
      <c r="K149" s="22">
        <f t="shared" si="1169"/>
        <v>5.5413997999999998</v>
      </c>
      <c r="L149" s="22">
        <f t="shared" si="1169"/>
        <v>8.6342573999999992</v>
      </c>
      <c r="M149" s="22">
        <f t="shared" si="1169"/>
        <v>8.7603139000000017</v>
      </c>
      <c r="N149" s="22">
        <f t="shared" si="1169"/>
        <v>16.3689146</v>
      </c>
      <c r="O149" s="22">
        <f t="shared" si="1169"/>
        <v>15.389381600000002</v>
      </c>
      <c r="P149" s="22">
        <f t="shared" si="1169"/>
        <v>13.693958799999999</v>
      </c>
      <c r="Q149" s="22">
        <f t="shared" si="1169"/>
        <v>13.391083499999999</v>
      </c>
      <c r="R149" s="22">
        <f t="shared" si="1169"/>
        <v>13.301645199999999</v>
      </c>
      <c r="S149" s="22">
        <f t="shared" si="1169"/>
        <v>12.0978064</v>
      </c>
      <c r="T149" s="22">
        <f t="shared" si="1169"/>
        <v>11.6587307</v>
      </c>
      <c r="U149" s="22">
        <f t="shared" si="1169"/>
        <v>14.221440900000001</v>
      </c>
      <c r="V149" s="22">
        <f t="shared" si="1169"/>
        <v>16.025199999999998</v>
      </c>
      <c r="W149" s="22">
        <f t="shared" si="1169"/>
        <v>26.670999999999999</v>
      </c>
      <c r="X149" s="22">
        <f t="shared" ref="X149:Y149" si="1170">+X146-X147-X148</f>
        <v>31.151599999999998</v>
      </c>
      <c r="Y149" s="22">
        <f t="shared" si="1170"/>
        <v>48.5032</v>
      </c>
      <c r="Z149" s="22">
        <f t="shared" ref="Z149:AE149" si="1171">+Z146-Z147-Z148</f>
        <v>114.6808</v>
      </c>
      <c r="AA149" s="22">
        <f t="shared" ref="AA149" si="1172">+AA146-AA147-AA148</f>
        <v>181.1781</v>
      </c>
      <c r="AB149" s="21">
        <f t="shared" si="1171"/>
        <v>150.94169355312272</v>
      </c>
      <c r="AC149" s="21">
        <f t="shared" si="1171"/>
        <v>125.75144251887542</v>
      </c>
      <c r="AD149" s="21">
        <f t="shared" si="1171"/>
        <v>104.76512435586673</v>
      </c>
      <c r="AE149" s="21">
        <f t="shared" si="1171"/>
        <v>87.281156076223567</v>
      </c>
      <c r="AJ149" s="22">
        <f t="shared" ref="AJ149:AL149" si="1173">+AJ146-AJ147-AJ148</f>
        <v>12.414999999999999</v>
      </c>
      <c r="AK149" s="22">
        <f t="shared" ref="AK149:CE149" si="1174">+AJ149</f>
        <v>12.414999999999999</v>
      </c>
      <c r="AL149" s="22">
        <f t="shared" si="1173"/>
        <v>16.369</v>
      </c>
      <c r="AM149" s="22">
        <f t="shared" si="1174"/>
        <v>16.369</v>
      </c>
      <c r="AN149" s="22">
        <f t="shared" ref="AN149" si="1175">+AN146-AN147-AN148</f>
        <v>15.997</v>
      </c>
      <c r="AO149" s="22">
        <f t="shared" si="1174"/>
        <v>15.997</v>
      </c>
      <c r="AP149" s="22">
        <f t="shared" ref="AP149:CD149" si="1176">+AP146-AP147-AP148</f>
        <v>15.388999999999999</v>
      </c>
      <c r="AQ149" s="22">
        <f t="shared" si="1174"/>
        <v>15.388999999999999</v>
      </c>
      <c r="AR149" s="22">
        <f t="shared" si="1176"/>
        <v>14.423999999999999</v>
      </c>
      <c r="AS149" s="22">
        <f t="shared" si="1174"/>
        <v>14.423999999999999</v>
      </c>
      <c r="AT149" s="22">
        <f t="shared" si="1176"/>
        <v>13.694000000000001</v>
      </c>
      <c r="AU149" s="22">
        <f t="shared" si="1174"/>
        <v>13.694000000000001</v>
      </c>
      <c r="AV149" s="22">
        <f t="shared" si="1176"/>
        <v>13.689</v>
      </c>
      <c r="AW149" s="22">
        <f t="shared" si="1174"/>
        <v>13.689</v>
      </c>
      <c r="AX149" s="22">
        <f t="shared" si="1176"/>
        <v>13.391</v>
      </c>
      <c r="AY149" s="22">
        <f t="shared" si="1174"/>
        <v>13.391</v>
      </c>
      <c r="AZ149" s="22">
        <f t="shared" si="1176"/>
        <v>13.065</v>
      </c>
      <c r="BA149" s="22">
        <f t="shared" si="1174"/>
        <v>13.065</v>
      </c>
      <c r="BB149" s="22">
        <f t="shared" si="1176"/>
        <v>13.302</v>
      </c>
      <c r="BC149" s="22">
        <f t="shared" si="1174"/>
        <v>13.302</v>
      </c>
      <c r="BD149" s="22">
        <f t="shared" si="1176"/>
        <v>11.648999999999999</v>
      </c>
      <c r="BE149" s="22">
        <f t="shared" si="1174"/>
        <v>11.648999999999999</v>
      </c>
      <c r="BF149" s="22">
        <f t="shared" si="1176"/>
        <v>12.099</v>
      </c>
      <c r="BG149" s="22">
        <f t="shared" si="1174"/>
        <v>12.099</v>
      </c>
      <c r="BH149" s="22">
        <f t="shared" si="1176"/>
        <v>11.923999999999999</v>
      </c>
      <c r="BI149" s="22">
        <f t="shared" si="1174"/>
        <v>11.923999999999999</v>
      </c>
      <c r="BJ149" s="22">
        <f t="shared" si="1176"/>
        <v>11.659000000000001</v>
      </c>
      <c r="BK149" s="22">
        <f t="shared" si="1174"/>
        <v>11.659000000000001</v>
      </c>
      <c r="BL149" s="22">
        <f t="shared" si="1176"/>
        <v>11.664999999999999</v>
      </c>
      <c r="BM149" s="22">
        <f t="shared" si="1174"/>
        <v>11.664999999999999</v>
      </c>
      <c r="BN149" s="22">
        <f t="shared" si="1176"/>
        <v>11.180999999999999</v>
      </c>
      <c r="BO149" s="22">
        <f t="shared" si="1174"/>
        <v>11.180999999999999</v>
      </c>
      <c r="BP149" s="22">
        <f t="shared" si="1176"/>
        <v>10.797000000000001</v>
      </c>
      <c r="BQ149" s="22">
        <f t="shared" si="1174"/>
        <v>10.797000000000001</v>
      </c>
      <c r="BR149" s="22">
        <f t="shared" si="1176"/>
        <v>13.398999999999999</v>
      </c>
      <c r="BS149" s="22">
        <f t="shared" si="1174"/>
        <v>13.398999999999999</v>
      </c>
      <c r="BT149" s="22">
        <f t="shared" si="1176"/>
        <v>13.599</v>
      </c>
      <c r="BU149" s="22">
        <f t="shared" si="1174"/>
        <v>13.599</v>
      </c>
      <c r="BV149" s="22">
        <f t="shared" si="1176"/>
        <v>24.46</v>
      </c>
      <c r="BW149" s="22">
        <f t="shared" si="1174"/>
        <v>24.46</v>
      </c>
      <c r="BX149" s="22">
        <f t="shared" si="1176"/>
        <v>26.693000000000001</v>
      </c>
      <c r="BY149" s="22">
        <f t="shared" si="1174"/>
        <v>26.693000000000001</v>
      </c>
      <c r="BZ149" s="22">
        <f t="shared" si="1176"/>
        <v>29.355</v>
      </c>
      <c r="CA149" s="22">
        <f t="shared" si="1174"/>
        <v>29.355</v>
      </c>
      <c r="CB149" s="22">
        <f t="shared" si="1176"/>
        <v>29.795999999999999</v>
      </c>
      <c r="CC149" s="22">
        <f t="shared" si="1174"/>
        <v>29.795999999999999</v>
      </c>
      <c r="CD149" s="22">
        <f t="shared" si="1176"/>
        <v>43.253</v>
      </c>
      <c r="CE149" s="22">
        <f t="shared" si="1174"/>
        <v>43.253</v>
      </c>
      <c r="CF149" s="22">
        <f t="shared" ref="CF149:CI149" si="1177">+CF146-CF147-CF148</f>
        <v>48.628999999999998</v>
      </c>
      <c r="CG149" s="22">
        <f t="shared" ref="CG149:CI152" si="1178">+CF149</f>
        <v>48.628999999999998</v>
      </c>
      <c r="CH149" s="22">
        <f t="shared" si="1177"/>
        <v>114.6808</v>
      </c>
      <c r="CI149" s="22">
        <f t="shared" si="1177"/>
        <v>110.28380000000001</v>
      </c>
      <c r="CJ149" s="23">
        <f>+'QTR Raw'!BD68</f>
        <v>130.09800000000001</v>
      </c>
      <c r="CK149" s="21">
        <f t="shared" ref="CK149:DB149" si="1179">+CK146-CK147-CK148</f>
        <v>124.74100000000001</v>
      </c>
      <c r="CL149" s="23">
        <f>+'QTR Raw'!BF68</f>
        <v>181.178</v>
      </c>
      <c r="CM149" s="21">
        <f t="shared" si="1179"/>
        <v>173.09375546131582</v>
      </c>
      <c r="CN149" s="21">
        <f t="shared" si="1179"/>
        <v>165.37023358079793</v>
      </c>
      <c r="CO149" s="21">
        <f t="shared" si="1179"/>
        <v>157.99133874982238</v>
      </c>
      <c r="CP149" s="21">
        <f t="shared" si="1179"/>
        <v>150.94169355312272</v>
      </c>
      <c r="CQ149" s="21">
        <f t="shared" si="1179"/>
        <v>144.20660672267658</v>
      </c>
      <c r="CR149" s="21">
        <f t="shared" si="1179"/>
        <v>137.77204252150443</v>
      </c>
      <c r="CS149" s="21">
        <f t="shared" si="1179"/>
        <v>131.62459149357699</v>
      </c>
      <c r="CT149" s="21">
        <f t="shared" si="1179"/>
        <v>125.75144251887542</v>
      </c>
      <c r="CU149" s="21">
        <f t="shared" si="1179"/>
        <v>120.14035611536687</v>
      </c>
      <c r="CV149" s="21">
        <f t="shared" si="1179"/>
        <v>114.77963893225842</v>
      </c>
      <c r="CW149" s="21">
        <f t="shared" si="1179"/>
        <v>109.65811938137338</v>
      </c>
      <c r="CX149" s="21">
        <f t="shared" si="1179"/>
        <v>104.76512435586673</v>
      </c>
      <c r="CY149" s="21">
        <f t="shared" si="1179"/>
        <v>100.090456987762</v>
      </c>
      <c r="CZ149" s="21">
        <f t="shared" si="1179"/>
        <v>95.624375397956868</v>
      </c>
      <c r="DA149" s="21">
        <f t="shared" si="1179"/>
        <v>91.357572394413296</v>
      </c>
      <c r="DB149" s="21">
        <f t="shared" si="1179"/>
        <v>87.281156076223567</v>
      </c>
      <c r="DE149" s="126"/>
      <c r="DF149" s="22">
        <v>181.178</v>
      </c>
    </row>
    <row r="150" spans="1:110" s="23" customFormat="1" outlineLevel="1" x14ac:dyDescent="0.2">
      <c r="A150" s="23" t="s">
        <v>54</v>
      </c>
      <c r="B150" s="23">
        <f>'Annual Raw'!C86</f>
        <v>0</v>
      </c>
      <c r="C150" s="23">
        <f>'Annual Raw'!D86</f>
        <v>0</v>
      </c>
      <c r="D150" s="23">
        <f>'Annual Raw'!E86</f>
        <v>0</v>
      </c>
      <c r="E150" s="23">
        <f>'Annual Raw'!F86</f>
        <v>0</v>
      </c>
      <c r="F150" s="23">
        <f>'Annual Raw'!G86</f>
        <v>0</v>
      </c>
      <c r="G150" s="23">
        <f>'Annual Raw'!H86</f>
        <v>0</v>
      </c>
      <c r="H150" s="23">
        <f>'Annual Raw'!I86</f>
        <v>0</v>
      </c>
      <c r="I150" s="23">
        <f>'Annual Raw'!J86</f>
        <v>0</v>
      </c>
      <c r="J150" s="23">
        <f>'Annual Raw'!K86</f>
        <v>0</v>
      </c>
      <c r="K150" s="23">
        <f>'Annual Raw'!L86</f>
        <v>0</v>
      </c>
      <c r="L150" s="23">
        <f>'Annual Raw'!M86</f>
        <v>0</v>
      </c>
      <c r="M150" s="23">
        <f>'Annual Raw'!N86</f>
        <v>0</v>
      </c>
      <c r="N150" s="23">
        <f>'Annual Raw'!O86</f>
        <v>0</v>
      </c>
      <c r="O150" s="23">
        <f>'Annual Raw'!P86</f>
        <v>0</v>
      </c>
      <c r="P150" s="23">
        <f>'Annual Raw'!Q86</f>
        <v>0</v>
      </c>
      <c r="Q150" s="23">
        <f>'Annual Raw'!R86</f>
        <v>0</v>
      </c>
      <c r="R150" s="23">
        <f>'Annual Raw'!S86</f>
        <v>0</v>
      </c>
      <c r="S150" s="23">
        <f>'Annual Raw'!T86</f>
        <v>0</v>
      </c>
      <c r="T150" s="23">
        <f>'Annual Raw'!U86</f>
        <v>0</v>
      </c>
      <c r="U150" s="23">
        <f>'Annual Raw'!V86</f>
        <v>0</v>
      </c>
      <c r="V150" s="23">
        <f>'Annual Raw'!W86</f>
        <v>0</v>
      </c>
      <c r="W150" s="23">
        <f>'Annual Raw'!X86</f>
        <v>0</v>
      </c>
      <c r="X150" s="23">
        <f>'Annual Raw'!Y86</f>
        <v>0</v>
      </c>
      <c r="Y150" s="23">
        <f>'Annual Raw'!Z86</f>
        <v>0</v>
      </c>
      <c r="Z150" s="23">
        <f>'Annual Raw'!AA86</f>
        <v>0</v>
      </c>
      <c r="AA150" s="23">
        <f>'Annual Raw'!AB86</f>
        <v>0</v>
      </c>
      <c r="AB150" s="24">
        <f t="shared" si="1161"/>
        <v>0</v>
      </c>
      <c r="AC150" s="24">
        <f t="shared" si="1162"/>
        <v>0</v>
      </c>
      <c r="AD150" s="24">
        <f t="shared" si="1163"/>
        <v>0</v>
      </c>
      <c r="AE150" s="24">
        <f t="shared" si="1164"/>
        <v>0</v>
      </c>
      <c r="AJ150" s="23">
        <f>+'QTR Raw'!D72</f>
        <v>0</v>
      </c>
      <c r="AK150" s="23">
        <f>+AJ150</f>
        <v>0</v>
      </c>
      <c r="AL150" s="23">
        <f>+'QTR Raw'!F72</f>
        <v>0</v>
      </c>
      <c r="AM150" s="23">
        <f t="shared" ref="AK150:CE152" si="1180">+AL150</f>
        <v>0</v>
      </c>
      <c r="AN150" s="23">
        <f>+'QTR Raw'!H72</f>
        <v>0</v>
      </c>
      <c r="AO150" s="23">
        <f t="shared" si="1180"/>
        <v>0</v>
      </c>
      <c r="AP150" s="23">
        <f>+'QTR Raw'!J72</f>
        <v>0</v>
      </c>
      <c r="AQ150" s="23">
        <f t="shared" si="1180"/>
        <v>0</v>
      </c>
      <c r="AR150" s="23">
        <f>+'QTR Raw'!L72</f>
        <v>0</v>
      </c>
      <c r="AS150" s="23">
        <f t="shared" si="1180"/>
        <v>0</v>
      </c>
      <c r="AT150" s="23">
        <f>+'QTR Raw'!N72</f>
        <v>0</v>
      </c>
      <c r="AU150" s="23">
        <f t="shared" si="1180"/>
        <v>0</v>
      </c>
      <c r="AV150" s="23">
        <f>+'QTR Raw'!P72</f>
        <v>0</v>
      </c>
      <c r="AW150" s="23">
        <f t="shared" si="1180"/>
        <v>0</v>
      </c>
      <c r="AX150" s="23">
        <f>+'QTR Raw'!R72</f>
        <v>0</v>
      </c>
      <c r="AY150" s="23">
        <f t="shared" si="1180"/>
        <v>0</v>
      </c>
      <c r="AZ150" s="23">
        <f>+'QTR Raw'!T72</f>
        <v>0</v>
      </c>
      <c r="BA150" s="23">
        <f t="shared" si="1180"/>
        <v>0</v>
      </c>
      <c r="BB150" s="23">
        <f>+'QTR Raw'!V72</f>
        <v>0</v>
      </c>
      <c r="BC150" s="23">
        <f t="shared" si="1180"/>
        <v>0</v>
      </c>
      <c r="BD150" s="23">
        <f>+'QTR Raw'!X72</f>
        <v>0</v>
      </c>
      <c r="BE150" s="23">
        <f t="shared" si="1180"/>
        <v>0</v>
      </c>
      <c r="BF150" s="23">
        <f>+'QTR Raw'!Z72</f>
        <v>0</v>
      </c>
      <c r="BG150" s="23">
        <f t="shared" si="1180"/>
        <v>0</v>
      </c>
      <c r="BH150" s="23">
        <f>+'QTR Raw'!AB72</f>
        <v>0</v>
      </c>
      <c r="BI150" s="23">
        <f t="shared" si="1180"/>
        <v>0</v>
      </c>
      <c r="BJ150" s="23">
        <f>+'QTR Raw'!AD72</f>
        <v>0</v>
      </c>
      <c r="BK150" s="23">
        <f t="shared" si="1180"/>
        <v>0</v>
      </c>
      <c r="BL150" s="23">
        <f>+'QTR Raw'!AF72</f>
        <v>0</v>
      </c>
      <c r="BM150" s="23">
        <f t="shared" si="1180"/>
        <v>0</v>
      </c>
      <c r="BN150" s="23">
        <f>+'QTR Raw'!AH72</f>
        <v>0</v>
      </c>
      <c r="BO150" s="23">
        <f t="shared" si="1180"/>
        <v>0</v>
      </c>
      <c r="BP150" s="23">
        <f>+'QTR Raw'!AJ72</f>
        <v>0</v>
      </c>
      <c r="BQ150" s="23">
        <f t="shared" si="1180"/>
        <v>0</v>
      </c>
      <c r="BR150" s="23">
        <f>+'QTR Raw'!AL72</f>
        <v>0</v>
      </c>
      <c r="BS150" s="23">
        <f t="shared" si="1180"/>
        <v>0</v>
      </c>
      <c r="BT150" s="23">
        <f>+'QTR Raw'!AN72</f>
        <v>0</v>
      </c>
      <c r="BU150" s="23">
        <f t="shared" si="1180"/>
        <v>0</v>
      </c>
      <c r="BV150" s="23">
        <f>+'QTR Raw'!AP72</f>
        <v>0</v>
      </c>
      <c r="BW150" s="23">
        <f t="shared" si="1180"/>
        <v>0</v>
      </c>
      <c r="BX150" s="23">
        <f>+'QTR Raw'!AR72</f>
        <v>0</v>
      </c>
      <c r="BY150" s="23">
        <f t="shared" si="1180"/>
        <v>0</v>
      </c>
      <c r="BZ150" s="23">
        <f>+'QTR Raw'!AT72</f>
        <v>0</v>
      </c>
      <c r="CA150" s="23">
        <f t="shared" si="1180"/>
        <v>0</v>
      </c>
      <c r="CB150" s="23">
        <f>+'QTR Raw'!AV72</f>
        <v>0</v>
      </c>
      <c r="CC150" s="23">
        <f t="shared" si="1180"/>
        <v>0</v>
      </c>
      <c r="CD150" s="23">
        <f>+'QTR Raw'!AX72</f>
        <v>0</v>
      </c>
      <c r="CE150" s="23">
        <f t="shared" si="1180"/>
        <v>0</v>
      </c>
      <c r="CF150" s="23">
        <f>+'QTR Raw'!AZ72</f>
        <v>0</v>
      </c>
      <c r="CG150" s="23">
        <f t="shared" si="1178"/>
        <v>0</v>
      </c>
      <c r="CH150" s="23">
        <f t="shared" si="1165"/>
        <v>0</v>
      </c>
      <c r="CI150" s="23">
        <f t="shared" si="1178"/>
        <v>0</v>
      </c>
      <c r="CJ150" s="23">
        <f>+'QTR Raw'!BD72</f>
        <v>0</v>
      </c>
      <c r="CK150" s="24">
        <f t="shared" ref="CK150:CK152" si="1181">+CJ150</f>
        <v>0</v>
      </c>
      <c r="CL150" s="23">
        <f>+'QTR Raw'!BF72</f>
        <v>0</v>
      </c>
      <c r="CM150" s="24">
        <f t="shared" ref="CM150:CM152" si="1182">+CL150</f>
        <v>0</v>
      </c>
      <c r="CN150" s="24">
        <f t="shared" ref="CN150:CN152" si="1183">+CM150</f>
        <v>0</v>
      </c>
      <c r="CO150" s="24">
        <f t="shared" ref="CO150:CO152" si="1184">+CN150</f>
        <v>0</v>
      </c>
      <c r="CP150" s="24">
        <f t="shared" ref="CP150:CP152" si="1185">+CO150</f>
        <v>0</v>
      </c>
      <c r="CQ150" s="24">
        <f t="shared" ref="CQ150:CQ152" si="1186">+CP150</f>
        <v>0</v>
      </c>
      <c r="CR150" s="24">
        <f t="shared" ref="CR150:CR152" si="1187">+CQ150</f>
        <v>0</v>
      </c>
      <c r="CS150" s="24">
        <f t="shared" ref="CS150:CS152" si="1188">+CR150</f>
        <v>0</v>
      </c>
      <c r="CT150" s="24">
        <f t="shared" ref="CT150:CT152" si="1189">+CS150</f>
        <v>0</v>
      </c>
      <c r="CU150" s="24">
        <f t="shared" ref="CU150:CU152" si="1190">+CT150</f>
        <v>0</v>
      </c>
      <c r="CV150" s="24">
        <f t="shared" ref="CV150:CV152" si="1191">+CU150</f>
        <v>0</v>
      </c>
      <c r="CW150" s="24">
        <f t="shared" ref="CW150:CW152" si="1192">+CV150</f>
        <v>0</v>
      </c>
      <c r="CX150" s="24">
        <f t="shared" ref="CX150:CX152" si="1193">+CW150</f>
        <v>0</v>
      </c>
      <c r="CY150" s="24">
        <f t="shared" ref="CY150:CY152" si="1194">+CX150</f>
        <v>0</v>
      </c>
      <c r="CZ150" s="24">
        <f t="shared" ref="CZ150:CZ152" si="1195">+CY150</f>
        <v>0</v>
      </c>
      <c r="DA150" s="24">
        <f t="shared" ref="DA150:DA152" si="1196">+CZ150</f>
        <v>0</v>
      </c>
      <c r="DB150" s="24">
        <f t="shared" ref="DB150:DB152" si="1197">+DA150</f>
        <v>0</v>
      </c>
      <c r="DE150" s="123"/>
      <c r="DF150" s="23">
        <v>0</v>
      </c>
    </row>
    <row r="151" spans="1:110" s="23" customFormat="1" outlineLevel="1" x14ac:dyDescent="0.2">
      <c r="A151" s="23" t="s">
        <v>55</v>
      </c>
      <c r="B151" s="23">
        <f>'Annual Raw'!C68</f>
        <v>0</v>
      </c>
      <c r="C151" s="23">
        <f>'Annual Raw'!D68</f>
        <v>0</v>
      </c>
      <c r="D151" s="23">
        <f>'Annual Raw'!E68</f>
        <v>0</v>
      </c>
      <c r="E151" s="23">
        <f>'Annual Raw'!F68</f>
        <v>0</v>
      </c>
      <c r="F151" s="23">
        <f>'Annual Raw'!G68</f>
        <v>0</v>
      </c>
      <c r="G151" s="23">
        <f>'Annual Raw'!H68</f>
        <v>0</v>
      </c>
      <c r="H151" s="23">
        <f>'Annual Raw'!I68</f>
        <v>0</v>
      </c>
      <c r="I151" s="23">
        <f>'Annual Raw'!J68</f>
        <v>0</v>
      </c>
      <c r="J151" s="23">
        <f>'Annual Raw'!K68</f>
        <v>0</v>
      </c>
      <c r="K151" s="23">
        <f>'Annual Raw'!L68</f>
        <v>0</v>
      </c>
      <c r="L151" s="23">
        <f>'Annual Raw'!M68</f>
        <v>0</v>
      </c>
      <c r="M151" s="23">
        <f>'Annual Raw'!N68</f>
        <v>0</v>
      </c>
      <c r="N151" s="23">
        <f>'Annual Raw'!O68</f>
        <v>0</v>
      </c>
      <c r="O151" s="23">
        <f>'Annual Raw'!P68</f>
        <v>0</v>
      </c>
      <c r="P151" s="23">
        <f>'Annual Raw'!Q68</f>
        <v>0</v>
      </c>
      <c r="Q151" s="23">
        <f>'Annual Raw'!R68</f>
        <v>0</v>
      </c>
      <c r="R151" s="23">
        <f>'Annual Raw'!S68</f>
        <v>0</v>
      </c>
      <c r="S151" s="23">
        <f>'Annual Raw'!T68</f>
        <v>0</v>
      </c>
      <c r="T151" s="23">
        <f>'Annual Raw'!U68</f>
        <v>0</v>
      </c>
      <c r="U151" s="23">
        <f>'Annual Raw'!V68</f>
        <v>0</v>
      </c>
      <c r="V151" s="23">
        <f>'Annual Raw'!W68</f>
        <v>0</v>
      </c>
      <c r="W151" s="23">
        <f>'Annual Raw'!X68</f>
        <v>0</v>
      </c>
      <c r="X151" s="23">
        <f>'Annual Raw'!Y68</f>
        <v>0</v>
      </c>
      <c r="Y151" s="23">
        <f>'Annual Raw'!Z68</f>
        <v>0</v>
      </c>
      <c r="Z151" s="23">
        <f>'Annual Raw'!AA68</f>
        <v>0</v>
      </c>
      <c r="AA151" s="23">
        <f>'Annual Raw'!AB68</f>
        <v>0</v>
      </c>
      <c r="AB151" s="24">
        <f t="shared" si="1161"/>
        <v>0</v>
      </c>
      <c r="AC151" s="24">
        <f t="shared" si="1162"/>
        <v>0</v>
      </c>
      <c r="AD151" s="24">
        <f t="shared" si="1163"/>
        <v>0</v>
      </c>
      <c r="AE151" s="24">
        <f t="shared" si="1164"/>
        <v>0</v>
      </c>
      <c r="AK151" s="23">
        <f t="shared" si="1180"/>
        <v>0</v>
      </c>
      <c r="AM151" s="23">
        <f t="shared" si="1180"/>
        <v>0</v>
      </c>
      <c r="AO151" s="23">
        <f t="shared" si="1180"/>
        <v>0</v>
      </c>
      <c r="AQ151" s="23">
        <f t="shared" si="1180"/>
        <v>0</v>
      </c>
      <c r="AS151" s="23">
        <f t="shared" si="1180"/>
        <v>0</v>
      </c>
      <c r="AU151" s="23">
        <f t="shared" si="1180"/>
        <v>0</v>
      </c>
      <c r="AW151" s="23">
        <f t="shared" si="1180"/>
        <v>0</v>
      </c>
      <c r="AY151" s="23">
        <f t="shared" si="1180"/>
        <v>0</v>
      </c>
      <c r="BA151" s="23">
        <f t="shared" si="1180"/>
        <v>0</v>
      </c>
      <c r="BC151" s="23">
        <f t="shared" si="1180"/>
        <v>0</v>
      </c>
      <c r="BE151" s="23">
        <f t="shared" si="1180"/>
        <v>0</v>
      </c>
      <c r="BG151" s="23">
        <f t="shared" si="1180"/>
        <v>0</v>
      </c>
      <c r="BI151" s="23">
        <f t="shared" si="1180"/>
        <v>0</v>
      </c>
      <c r="BK151" s="23">
        <f t="shared" si="1180"/>
        <v>0</v>
      </c>
      <c r="BM151" s="23">
        <f t="shared" si="1180"/>
        <v>0</v>
      </c>
      <c r="BO151" s="23">
        <f t="shared" si="1180"/>
        <v>0</v>
      </c>
      <c r="BQ151" s="23">
        <f t="shared" si="1180"/>
        <v>0</v>
      </c>
      <c r="BS151" s="23">
        <f t="shared" si="1180"/>
        <v>0</v>
      </c>
      <c r="BU151" s="23">
        <f t="shared" si="1180"/>
        <v>0</v>
      </c>
      <c r="BW151" s="23">
        <f t="shared" si="1180"/>
        <v>0</v>
      </c>
      <c r="BY151" s="23">
        <f t="shared" si="1180"/>
        <v>0</v>
      </c>
      <c r="CA151" s="23">
        <f t="shared" si="1180"/>
        <v>0</v>
      </c>
      <c r="CC151" s="23">
        <f t="shared" si="1180"/>
        <v>0</v>
      </c>
      <c r="CE151" s="23">
        <f t="shared" si="1180"/>
        <v>0</v>
      </c>
      <c r="CG151" s="23">
        <f t="shared" si="1178"/>
        <v>0</v>
      </c>
      <c r="CH151" s="23">
        <f t="shared" si="1165"/>
        <v>0</v>
      </c>
      <c r="CI151" s="23">
        <f t="shared" si="1178"/>
        <v>0</v>
      </c>
      <c r="CK151" s="24">
        <f t="shared" si="1181"/>
        <v>0</v>
      </c>
      <c r="CM151" s="24">
        <f t="shared" si="1182"/>
        <v>0</v>
      </c>
      <c r="CN151" s="24">
        <f t="shared" si="1183"/>
        <v>0</v>
      </c>
      <c r="CO151" s="24">
        <f t="shared" si="1184"/>
        <v>0</v>
      </c>
      <c r="CP151" s="24">
        <f t="shared" si="1185"/>
        <v>0</v>
      </c>
      <c r="CQ151" s="24">
        <f t="shared" si="1186"/>
        <v>0</v>
      </c>
      <c r="CR151" s="24">
        <f t="shared" si="1187"/>
        <v>0</v>
      </c>
      <c r="CS151" s="24">
        <f t="shared" si="1188"/>
        <v>0</v>
      </c>
      <c r="CT151" s="24">
        <f t="shared" si="1189"/>
        <v>0</v>
      </c>
      <c r="CU151" s="24">
        <f t="shared" si="1190"/>
        <v>0</v>
      </c>
      <c r="CV151" s="24">
        <f t="shared" si="1191"/>
        <v>0</v>
      </c>
      <c r="CW151" s="24">
        <f t="shared" si="1192"/>
        <v>0</v>
      </c>
      <c r="CX151" s="24">
        <f t="shared" si="1193"/>
        <v>0</v>
      </c>
      <c r="CY151" s="24">
        <f t="shared" si="1194"/>
        <v>0</v>
      </c>
      <c r="CZ151" s="24">
        <f t="shared" si="1195"/>
        <v>0</v>
      </c>
      <c r="DA151" s="24">
        <f t="shared" si="1196"/>
        <v>0</v>
      </c>
      <c r="DB151" s="24">
        <f t="shared" si="1197"/>
        <v>0</v>
      </c>
      <c r="DE151" s="123"/>
      <c r="DF151" s="23">
        <v>0</v>
      </c>
    </row>
    <row r="152" spans="1:110" s="23" customFormat="1" outlineLevel="1" x14ac:dyDescent="0.2">
      <c r="A152" s="23" t="s">
        <v>56</v>
      </c>
      <c r="B152" s="23">
        <f>'Annual Raw'!C67+'Annual Raw'!C66+'Annual Raw'!C69+'Annual Raw'!C70</f>
        <v>0.19830149999999999</v>
      </c>
      <c r="C152" s="23">
        <f>'Annual Raw'!D67+'Annual Raw'!D66+'Annual Raw'!D69+'Annual Raw'!D70</f>
        <v>0.75866999999999996</v>
      </c>
      <c r="D152" s="23">
        <f>'Annual Raw'!E67+'Annual Raw'!E66+'Annual Raw'!E69+'Annual Raw'!E70</f>
        <v>0</v>
      </c>
      <c r="E152" s="23">
        <f>'Annual Raw'!F67+'Annual Raw'!F66+'Annual Raw'!F69+'Annual Raw'!F70</f>
        <v>0</v>
      </c>
      <c r="F152" s="23">
        <f>'Annual Raw'!G67+'Annual Raw'!G66+'Annual Raw'!G69+'Annual Raw'!G70</f>
        <v>0</v>
      </c>
      <c r="G152" s="23">
        <f>'Annual Raw'!H67+'Annual Raw'!H66+'Annual Raw'!H69+'Annual Raw'!H70</f>
        <v>0</v>
      </c>
      <c r="H152" s="23">
        <f>'Annual Raw'!I67+'Annual Raw'!I66+'Annual Raw'!I69+'Annual Raw'!I70</f>
        <v>0</v>
      </c>
      <c r="I152" s="23">
        <f>'Annual Raw'!J67+'Annual Raw'!J66+'Annual Raw'!J69+'Annual Raw'!J70</f>
        <v>0</v>
      </c>
      <c r="J152" s="23">
        <f>'Annual Raw'!K67+'Annual Raw'!K66+'Annual Raw'!K69+'Annual Raw'!K70</f>
        <v>0</v>
      </c>
      <c r="K152" s="23">
        <f>'Annual Raw'!L67+'Annual Raw'!L66+'Annual Raw'!L69+'Annual Raw'!L70</f>
        <v>0</v>
      </c>
      <c r="L152" s="23">
        <f>'Annual Raw'!M67+'Annual Raw'!M66+'Annual Raw'!M69+'Annual Raw'!M70</f>
        <v>0.3320864</v>
      </c>
      <c r="M152" s="23">
        <f>'Annual Raw'!N67+'Annual Raw'!N66+'Annual Raw'!N69+'Annual Raw'!N70</f>
        <v>2.582541</v>
      </c>
      <c r="N152" s="23">
        <f>'Annual Raw'!O67+'Annual Raw'!O66+'Annual Raw'!O69+'Annual Raw'!O70</f>
        <v>0</v>
      </c>
      <c r="O152" s="23">
        <f>'Annual Raw'!P67+'Annual Raw'!P66+'Annual Raw'!P69+'Annual Raw'!P70</f>
        <v>0</v>
      </c>
      <c r="P152" s="23">
        <f>'Annual Raw'!Q67+'Annual Raw'!Q66+'Annual Raw'!Q69+'Annual Raw'!Q70</f>
        <v>0</v>
      </c>
      <c r="Q152" s="23">
        <f>'Annual Raw'!R67+'Annual Raw'!R66+'Annual Raw'!R69+'Annual Raw'!R70</f>
        <v>0</v>
      </c>
      <c r="R152" s="23">
        <f>'Annual Raw'!S67+'Annual Raw'!S66+'Annual Raw'!S69+'Annual Raw'!S70</f>
        <v>0</v>
      </c>
      <c r="S152" s="23">
        <f>'Annual Raw'!T67+'Annual Raw'!T66+'Annual Raw'!T69+'Annual Raw'!T70</f>
        <v>0</v>
      </c>
      <c r="T152" s="23">
        <f>'Annual Raw'!U67+'Annual Raw'!U66+'Annual Raw'!U69+'Annual Raw'!U70</f>
        <v>7.9762100000000002E-2</v>
      </c>
      <c r="U152" s="23">
        <f>'Annual Raw'!V67+'Annual Raw'!V66+'Annual Raw'!V69+'Annual Raw'!V70</f>
        <v>0</v>
      </c>
      <c r="V152" s="23">
        <f>'Annual Raw'!W67+'Annual Raw'!W66+'Annual Raw'!W69+'Annual Raw'!W70</f>
        <v>0.73640000000000005</v>
      </c>
      <c r="W152" s="23">
        <f>'Annual Raw'!X67+'Annual Raw'!X66+'Annual Raw'!X69+'Annual Raw'!X70</f>
        <v>7.0082000000000004</v>
      </c>
      <c r="X152" s="23">
        <f>'Annual Raw'!Y67+'Annual Raw'!Y66+'Annual Raw'!Y69+'Annual Raw'!Y70</f>
        <v>8.6559000000000008</v>
      </c>
      <c r="Y152" s="23">
        <f>'Annual Raw'!Z67+'Annual Raw'!Z66+'Annual Raw'!Z69+'Annual Raw'!Z70</f>
        <v>18.004300000000001</v>
      </c>
      <c r="Z152" s="23">
        <f>'Annual Raw'!AA67+'Annual Raw'!AA66+'Annual Raw'!AA69+'Annual Raw'!AA70</f>
        <v>4.5429000000000004</v>
      </c>
      <c r="AA152" s="23">
        <f>'Annual Raw'!AB67+'Annual Raw'!AB66+'Annual Raw'!AB69+'Annual Raw'!AB70</f>
        <v>5.9358000000000004</v>
      </c>
      <c r="AB152" s="24">
        <f t="shared" si="1161"/>
        <v>5.9359999999999999</v>
      </c>
      <c r="AC152" s="24">
        <f t="shared" si="1162"/>
        <v>5.9359999999999999</v>
      </c>
      <c r="AD152" s="24">
        <f t="shared" si="1163"/>
        <v>5.9359999999999999</v>
      </c>
      <c r="AE152" s="24">
        <f t="shared" si="1164"/>
        <v>5.9359999999999999</v>
      </c>
      <c r="AJ152" s="23">
        <f>+'QTR Raw'!D74+'QTR Raw'!D75</f>
        <v>0</v>
      </c>
      <c r="AK152" s="23">
        <f t="shared" si="1180"/>
        <v>0</v>
      </c>
      <c r="AL152" s="23">
        <f>+'QTR Raw'!F74+'QTR Raw'!F75</f>
        <v>0</v>
      </c>
      <c r="AM152" s="23">
        <f t="shared" si="1180"/>
        <v>0</v>
      </c>
      <c r="AN152" s="23">
        <f>+'QTR Raw'!H74+'QTR Raw'!H75</f>
        <v>0</v>
      </c>
      <c r="AO152" s="23">
        <f t="shared" si="1180"/>
        <v>0</v>
      </c>
      <c r="AP152" s="23">
        <f>+'QTR Raw'!J74+'QTR Raw'!J75</f>
        <v>0</v>
      </c>
      <c r="AQ152" s="23">
        <f t="shared" si="1180"/>
        <v>0</v>
      </c>
      <c r="AR152" s="23">
        <f>+'QTR Raw'!L74+'QTR Raw'!L75</f>
        <v>0</v>
      </c>
      <c r="AS152" s="23">
        <f t="shared" si="1180"/>
        <v>0</v>
      </c>
      <c r="AT152" s="23">
        <f>+'QTR Raw'!N74+'QTR Raw'!N75</f>
        <v>0</v>
      </c>
      <c r="AU152" s="23">
        <f t="shared" si="1180"/>
        <v>0</v>
      </c>
      <c r="AV152" s="23">
        <f>+'QTR Raw'!P74+'QTR Raw'!P75</f>
        <v>0</v>
      </c>
      <c r="AW152" s="23">
        <f t="shared" si="1180"/>
        <v>0</v>
      </c>
      <c r="AX152" s="23">
        <f>+'QTR Raw'!R74+'QTR Raw'!R75</f>
        <v>0</v>
      </c>
      <c r="AY152" s="23">
        <f t="shared" si="1180"/>
        <v>0</v>
      </c>
      <c r="AZ152" s="23">
        <f>+'QTR Raw'!T74+'QTR Raw'!T75</f>
        <v>0</v>
      </c>
      <c r="BA152" s="23">
        <f t="shared" si="1180"/>
        <v>0</v>
      </c>
      <c r="BB152" s="23">
        <f>+'QTR Raw'!V74+'QTR Raw'!V75</f>
        <v>0</v>
      </c>
      <c r="BC152" s="23">
        <f t="shared" si="1180"/>
        <v>0</v>
      </c>
      <c r="BD152" s="23">
        <f>+'QTR Raw'!X74+'QTR Raw'!X75</f>
        <v>0</v>
      </c>
      <c r="BE152" s="23">
        <f t="shared" si="1180"/>
        <v>0</v>
      </c>
      <c r="BF152" s="23">
        <f>+'QTR Raw'!Z74+'QTR Raw'!Z75</f>
        <v>0</v>
      </c>
      <c r="BG152" s="23">
        <f t="shared" si="1180"/>
        <v>0</v>
      </c>
      <c r="BH152" s="23">
        <f>+'QTR Raw'!AB74+'QTR Raw'!AB75</f>
        <v>0</v>
      </c>
      <c r="BI152" s="23">
        <f t="shared" si="1180"/>
        <v>0</v>
      </c>
      <c r="BJ152" s="23">
        <f>+'QTR Raw'!AD74+'QTR Raw'!AD75</f>
        <v>0.08</v>
      </c>
      <c r="BK152" s="23">
        <f t="shared" si="1180"/>
        <v>0.08</v>
      </c>
      <c r="BL152" s="23">
        <f>+'QTR Raw'!AF74+'QTR Raw'!AF75</f>
        <v>0</v>
      </c>
      <c r="BM152" s="23">
        <f t="shared" si="1180"/>
        <v>0</v>
      </c>
      <c r="BN152" s="23">
        <f>+'QTR Raw'!AH74+'QTR Raw'!AH75</f>
        <v>0</v>
      </c>
      <c r="BO152" s="23">
        <f t="shared" si="1180"/>
        <v>0</v>
      </c>
      <c r="BP152" s="23">
        <f>+'QTR Raw'!AJ74+'QTR Raw'!AJ75</f>
        <v>1.7000000000000001E-2</v>
      </c>
      <c r="BQ152" s="23">
        <f t="shared" si="1180"/>
        <v>1.7000000000000001E-2</v>
      </c>
      <c r="BR152" s="23">
        <f>+'QTR Raw'!AL74+'QTR Raw'!AL75</f>
        <v>0.73599999999999999</v>
      </c>
      <c r="BS152" s="23">
        <f t="shared" si="1180"/>
        <v>0.73599999999999999</v>
      </c>
      <c r="BT152" s="23">
        <f>+'QTR Raw'!AN74+'QTR Raw'!AN75</f>
        <v>1.3620000000000001</v>
      </c>
      <c r="BU152" s="23">
        <f t="shared" si="1180"/>
        <v>1.3620000000000001</v>
      </c>
      <c r="BV152" s="23">
        <f>+'QTR Raw'!AP74+'QTR Raw'!AP75</f>
        <v>7.008</v>
      </c>
      <c r="BW152" s="23">
        <f t="shared" si="1180"/>
        <v>7.008</v>
      </c>
      <c r="BX152" s="23">
        <f>+'QTR Raw'!AR74+'QTR Raw'!AR75</f>
        <v>7.1689999999999996</v>
      </c>
      <c r="BY152" s="23">
        <f t="shared" si="1180"/>
        <v>7.1689999999999996</v>
      </c>
      <c r="BZ152" s="23">
        <f>+'QTR Raw'!AT74+'QTR Raw'!AT75</f>
        <v>8.6560000000000006</v>
      </c>
      <c r="CA152" s="23">
        <f t="shared" si="1180"/>
        <v>8.6560000000000006</v>
      </c>
      <c r="CB152" s="23">
        <f>+'QTR Raw'!AV74+'QTR Raw'!AV75</f>
        <v>11.65</v>
      </c>
      <c r="CC152" s="23">
        <f t="shared" si="1180"/>
        <v>11.65</v>
      </c>
      <c r="CD152" s="23">
        <f>+'QTR Raw'!AX74+'QTR Raw'!AX75</f>
        <v>18.004000000000001</v>
      </c>
      <c r="CE152" s="23">
        <f t="shared" si="1180"/>
        <v>18.004000000000001</v>
      </c>
      <c r="CF152" s="23">
        <f>+'QTR Raw'!AZ74+'QTR Raw'!AZ75</f>
        <v>25.373999999999999</v>
      </c>
      <c r="CG152" s="23">
        <f t="shared" si="1178"/>
        <v>25.373999999999999</v>
      </c>
      <c r="CH152" s="23">
        <f t="shared" si="1165"/>
        <v>4.5429000000000004</v>
      </c>
      <c r="CI152" s="23">
        <f t="shared" si="1178"/>
        <v>4.5429000000000004</v>
      </c>
      <c r="CJ152" s="23">
        <f>+'QTR Raw'!BD74+'QTR Raw'!BD75</f>
        <v>18.533000000000001</v>
      </c>
      <c r="CK152" s="24">
        <f t="shared" si="1181"/>
        <v>18.533000000000001</v>
      </c>
      <c r="CL152" s="23">
        <f>+'QTR Raw'!BF74+'QTR Raw'!BF75</f>
        <v>5.9359999999999999</v>
      </c>
      <c r="CM152" s="24">
        <f t="shared" si="1182"/>
        <v>5.9359999999999999</v>
      </c>
      <c r="CN152" s="24">
        <f t="shared" si="1183"/>
        <v>5.9359999999999999</v>
      </c>
      <c r="CO152" s="24">
        <f t="shared" si="1184"/>
        <v>5.9359999999999999</v>
      </c>
      <c r="CP152" s="24">
        <f t="shared" si="1185"/>
        <v>5.9359999999999999</v>
      </c>
      <c r="CQ152" s="24">
        <f t="shared" si="1186"/>
        <v>5.9359999999999999</v>
      </c>
      <c r="CR152" s="24">
        <f t="shared" si="1187"/>
        <v>5.9359999999999999</v>
      </c>
      <c r="CS152" s="24">
        <f t="shared" si="1188"/>
        <v>5.9359999999999999</v>
      </c>
      <c r="CT152" s="24">
        <f t="shared" si="1189"/>
        <v>5.9359999999999999</v>
      </c>
      <c r="CU152" s="24">
        <f t="shared" si="1190"/>
        <v>5.9359999999999999</v>
      </c>
      <c r="CV152" s="24">
        <f t="shared" si="1191"/>
        <v>5.9359999999999999</v>
      </c>
      <c r="CW152" s="24">
        <f t="shared" si="1192"/>
        <v>5.9359999999999999</v>
      </c>
      <c r="CX152" s="24">
        <f t="shared" si="1193"/>
        <v>5.9359999999999999</v>
      </c>
      <c r="CY152" s="24">
        <f t="shared" si="1194"/>
        <v>5.9359999999999999</v>
      </c>
      <c r="CZ152" s="24">
        <f t="shared" si="1195"/>
        <v>5.9359999999999999</v>
      </c>
      <c r="DA152" s="24">
        <f t="shared" si="1196"/>
        <v>5.9359999999999999</v>
      </c>
      <c r="DB152" s="24">
        <f t="shared" si="1197"/>
        <v>5.9359999999999999</v>
      </c>
      <c r="DE152" s="123"/>
      <c r="DF152" s="23">
        <v>5.9359999999999999</v>
      </c>
    </row>
    <row r="153" spans="1:110" s="22" customFormat="1" x14ac:dyDescent="0.2">
      <c r="A153" s="22" t="s">
        <v>57</v>
      </c>
      <c r="B153" s="22">
        <f>B149+B152+B151</f>
        <v>7.0254535000000002</v>
      </c>
      <c r="C153" s="22">
        <f t="shared" ref="C153:D153" si="1198">C149+C152+C151</f>
        <v>7.8373460000000001</v>
      </c>
      <c r="D153" s="22">
        <f t="shared" si="1198"/>
        <v>8.8181092000000003</v>
      </c>
      <c r="E153" s="22">
        <f t="shared" ref="E153:Y153" si="1199">E149+E152+E151+E150</f>
        <v>6.7872740999999994</v>
      </c>
      <c r="F153" s="22">
        <f t="shared" si="1199"/>
        <v>6.5043916999999993</v>
      </c>
      <c r="G153" s="22">
        <f t="shared" si="1199"/>
        <v>7.0344869999999995</v>
      </c>
      <c r="H153" s="22">
        <f t="shared" si="1199"/>
        <v>7.5775576999999998</v>
      </c>
      <c r="I153" s="22">
        <f t="shared" si="1199"/>
        <v>6.5538248999999995</v>
      </c>
      <c r="J153" s="22">
        <f t="shared" si="1199"/>
        <v>6.2691414999999999</v>
      </c>
      <c r="K153" s="22">
        <f t="shared" si="1199"/>
        <v>5.5413997999999998</v>
      </c>
      <c r="L153" s="22">
        <f t="shared" si="1199"/>
        <v>8.9663437999999989</v>
      </c>
      <c r="M153" s="22">
        <f t="shared" si="1199"/>
        <v>11.342854900000003</v>
      </c>
      <c r="N153" s="22">
        <f t="shared" si="1199"/>
        <v>16.3689146</v>
      </c>
      <c r="O153" s="22">
        <f t="shared" si="1199"/>
        <v>15.389381600000002</v>
      </c>
      <c r="P153" s="22">
        <f t="shared" si="1199"/>
        <v>13.693958799999999</v>
      </c>
      <c r="Q153" s="22">
        <f t="shared" si="1199"/>
        <v>13.391083499999999</v>
      </c>
      <c r="R153" s="22">
        <f t="shared" si="1199"/>
        <v>13.301645199999999</v>
      </c>
      <c r="S153" s="22">
        <f t="shared" si="1199"/>
        <v>12.0978064</v>
      </c>
      <c r="T153" s="22">
        <f t="shared" si="1199"/>
        <v>11.7384928</v>
      </c>
      <c r="U153" s="22">
        <f t="shared" si="1199"/>
        <v>14.221440900000001</v>
      </c>
      <c r="V153" s="22">
        <f t="shared" si="1199"/>
        <v>16.761599999999998</v>
      </c>
      <c r="W153" s="22">
        <f t="shared" si="1199"/>
        <v>33.679200000000002</v>
      </c>
      <c r="X153" s="22">
        <f t="shared" si="1199"/>
        <v>39.807499999999997</v>
      </c>
      <c r="Y153" s="22">
        <f t="shared" si="1199"/>
        <v>66.507499999999993</v>
      </c>
      <c r="Z153" s="22">
        <f>Z149+Z152+Z151+Z150</f>
        <v>119.22370000000001</v>
      </c>
      <c r="AA153" s="22">
        <f>AA149+AA152+AA151+AA150</f>
        <v>187.1139</v>
      </c>
      <c r="AB153" s="161">
        <f t="shared" ref="AB153:AE153" si="1200">AB149+AB152+AB151+AB150</f>
        <v>156.87769355312273</v>
      </c>
      <c r="AC153" s="161">
        <f t="shared" si="1200"/>
        <v>131.68744251887543</v>
      </c>
      <c r="AD153" s="161">
        <f t="shared" si="1200"/>
        <v>110.70112435586674</v>
      </c>
      <c r="AE153" s="161">
        <f t="shared" si="1200"/>
        <v>93.217156076223574</v>
      </c>
      <c r="AJ153" s="22">
        <f t="shared" ref="AJ153" si="1201">AJ149+AJ152+AJ150+AJ151</f>
        <v>12.414999999999999</v>
      </c>
      <c r="AK153" s="22">
        <f t="shared" ref="AK153" si="1202">AK149+AK152+AK150+AK151</f>
        <v>12.414999999999999</v>
      </c>
      <c r="AL153" s="22">
        <f t="shared" ref="AL153:AM153" si="1203">AL149+AL152+AL150+AL151</f>
        <v>16.369</v>
      </c>
      <c r="AM153" s="22">
        <f t="shared" si="1203"/>
        <v>16.369</v>
      </c>
      <c r="AN153" s="22">
        <f t="shared" ref="AN153:AO153" si="1204">AN149+AN152+AN150+AN151</f>
        <v>15.997</v>
      </c>
      <c r="AO153" s="22">
        <f t="shared" si="1204"/>
        <v>15.997</v>
      </c>
      <c r="AP153" s="22">
        <f t="shared" ref="AP153:CE153" si="1205">AP149+AP152+AP150+AP151</f>
        <v>15.388999999999999</v>
      </c>
      <c r="AQ153" s="22">
        <f t="shared" si="1205"/>
        <v>15.388999999999999</v>
      </c>
      <c r="AR153" s="22">
        <f t="shared" si="1205"/>
        <v>14.423999999999999</v>
      </c>
      <c r="AS153" s="22">
        <f t="shared" si="1205"/>
        <v>14.423999999999999</v>
      </c>
      <c r="AT153" s="22">
        <f t="shared" si="1205"/>
        <v>13.694000000000001</v>
      </c>
      <c r="AU153" s="22">
        <f t="shared" si="1205"/>
        <v>13.694000000000001</v>
      </c>
      <c r="AV153" s="22">
        <f t="shared" si="1205"/>
        <v>13.689</v>
      </c>
      <c r="AW153" s="22">
        <f t="shared" si="1205"/>
        <v>13.689</v>
      </c>
      <c r="AX153" s="22">
        <f t="shared" si="1205"/>
        <v>13.391</v>
      </c>
      <c r="AY153" s="22">
        <f t="shared" si="1205"/>
        <v>13.391</v>
      </c>
      <c r="AZ153" s="22">
        <f t="shared" si="1205"/>
        <v>13.065</v>
      </c>
      <c r="BA153" s="22">
        <f t="shared" si="1205"/>
        <v>13.065</v>
      </c>
      <c r="BB153" s="22">
        <f t="shared" si="1205"/>
        <v>13.302</v>
      </c>
      <c r="BC153" s="22">
        <f t="shared" si="1205"/>
        <v>13.302</v>
      </c>
      <c r="BD153" s="22">
        <f t="shared" si="1205"/>
        <v>11.648999999999999</v>
      </c>
      <c r="BE153" s="22">
        <f t="shared" si="1205"/>
        <v>11.648999999999999</v>
      </c>
      <c r="BF153" s="22">
        <f t="shared" si="1205"/>
        <v>12.099</v>
      </c>
      <c r="BG153" s="22">
        <f t="shared" si="1205"/>
        <v>12.099</v>
      </c>
      <c r="BH153" s="22">
        <f t="shared" si="1205"/>
        <v>11.923999999999999</v>
      </c>
      <c r="BI153" s="22">
        <f t="shared" si="1205"/>
        <v>11.923999999999999</v>
      </c>
      <c r="BJ153" s="22">
        <f t="shared" si="1205"/>
        <v>11.739000000000001</v>
      </c>
      <c r="BK153" s="22">
        <f t="shared" si="1205"/>
        <v>11.739000000000001</v>
      </c>
      <c r="BL153" s="22">
        <f t="shared" si="1205"/>
        <v>11.664999999999999</v>
      </c>
      <c r="BM153" s="22">
        <f t="shared" si="1205"/>
        <v>11.664999999999999</v>
      </c>
      <c r="BN153" s="22">
        <f t="shared" si="1205"/>
        <v>11.180999999999999</v>
      </c>
      <c r="BO153" s="22">
        <f t="shared" si="1205"/>
        <v>11.180999999999999</v>
      </c>
      <c r="BP153" s="22">
        <f t="shared" si="1205"/>
        <v>10.814</v>
      </c>
      <c r="BQ153" s="22">
        <f t="shared" si="1205"/>
        <v>10.814</v>
      </c>
      <c r="BR153" s="22">
        <f t="shared" si="1205"/>
        <v>14.135</v>
      </c>
      <c r="BS153" s="22">
        <f t="shared" si="1205"/>
        <v>14.135</v>
      </c>
      <c r="BT153" s="22">
        <f t="shared" si="1205"/>
        <v>14.961</v>
      </c>
      <c r="BU153" s="22">
        <f t="shared" si="1205"/>
        <v>14.961</v>
      </c>
      <c r="BV153" s="22">
        <f t="shared" si="1205"/>
        <v>31.468</v>
      </c>
      <c r="BW153" s="22">
        <f t="shared" si="1205"/>
        <v>31.468</v>
      </c>
      <c r="BX153" s="22">
        <f t="shared" si="1205"/>
        <v>33.862000000000002</v>
      </c>
      <c r="BY153" s="22">
        <f t="shared" si="1205"/>
        <v>33.862000000000002</v>
      </c>
      <c r="BZ153" s="22">
        <f t="shared" si="1205"/>
        <v>38.011000000000003</v>
      </c>
      <c r="CA153" s="22">
        <f t="shared" si="1205"/>
        <v>38.011000000000003</v>
      </c>
      <c r="CB153" s="22">
        <f t="shared" si="1205"/>
        <v>41.445999999999998</v>
      </c>
      <c r="CC153" s="22">
        <f t="shared" si="1205"/>
        <v>41.445999999999998</v>
      </c>
      <c r="CD153" s="22">
        <f t="shared" si="1205"/>
        <v>61.257000000000005</v>
      </c>
      <c r="CE153" s="22">
        <f t="shared" si="1205"/>
        <v>61.257000000000005</v>
      </c>
      <c r="CF153" s="22">
        <f t="shared" ref="CF153:CG153" si="1206">CF149+CF152+CF150+CF151</f>
        <v>74.003</v>
      </c>
      <c r="CG153" s="22">
        <f t="shared" si="1206"/>
        <v>74.003</v>
      </c>
      <c r="CH153" s="22">
        <f t="shared" ref="CH153:CJ153" si="1207">CH149+CH152+CH150+CH151</f>
        <v>119.22370000000001</v>
      </c>
      <c r="CI153" s="22">
        <f t="shared" si="1207"/>
        <v>114.82670000000002</v>
      </c>
      <c r="CJ153" s="22">
        <f t="shared" si="1207"/>
        <v>148.63100000000003</v>
      </c>
      <c r="CK153" s="21">
        <f t="shared" ref="CK153:DB153" si="1208">CK149+CK152+CK150+CK151</f>
        <v>143.274</v>
      </c>
      <c r="CL153" s="22">
        <f t="shared" si="1208"/>
        <v>187.114</v>
      </c>
      <c r="CM153" s="21">
        <f t="shared" si="1208"/>
        <v>179.02975546131583</v>
      </c>
      <c r="CN153" s="21">
        <f t="shared" si="1208"/>
        <v>171.30623358079794</v>
      </c>
      <c r="CO153" s="21">
        <f t="shared" si="1208"/>
        <v>163.92733874982238</v>
      </c>
      <c r="CP153" s="21">
        <f t="shared" si="1208"/>
        <v>156.87769355312273</v>
      </c>
      <c r="CQ153" s="21">
        <f t="shared" si="1208"/>
        <v>150.14260672267659</v>
      </c>
      <c r="CR153" s="21">
        <f t="shared" si="1208"/>
        <v>143.70804252150444</v>
      </c>
      <c r="CS153" s="21">
        <f t="shared" si="1208"/>
        <v>137.56059149357699</v>
      </c>
      <c r="CT153" s="21">
        <f t="shared" si="1208"/>
        <v>131.68744251887543</v>
      </c>
      <c r="CU153" s="21">
        <f t="shared" si="1208"/>
        <v>126.07635611536688</v>
      </c>
      <c r="CV153" s="21">
        <f t="shared" si="1208"/>
        <v>120.71563893225843</v>
      </c>
      <c r="CW153" s="21">
        <f t="shared" si="1208"/>
        <v>115.59411938137339</v>
      </c>
      <c r="CX153" s="21">
        <f t="shared" si="1208"/>
        <v>110.70112435586674</v>
      </c>
      <c r="CY153" s="21">
        <f t="shared" si="1208"/>
        <v>106.026456987762</v>
      </c>
      <c r="CZ153" s="21">
        <f t="shared" si="1208"/>
        <v>101.56037539795688</v>
      </c>
      <c r="DA153" s="21">
        <f t="shared" si="1208"/>
        <v>97.293572394413303</v>
      </c>
      <c r="DB153" s="21">
        <f t="shared" si="1208"/>
        <v>93.217156076223574</v>
      </c>
      <c r="DE153" s="126"/>
      <c r="DF153" s="22">
        <v>187.114</v>
      </c>
    </row>
    <row r="154" spans="1:110" s="23" customFormat="1" x14ac:dyDescent="0.2">
      <c r="AB154" s="24"/>
      <c r="AC154" s="24"/>
      <c r="AD154" s="24"/>
      <c r="AE154" s="24"/>
      <c r="CK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x14ac:dyDescent="0.2">
      <c r="A155" s="23" t="s">
        <v>58</v>
      </c>
      <c r="B155" s="23">
        <f>'Annual Raw'!C71</f>
        <v>0.89568499999999995</v>
      </c>
      <c r="C155" s="23">
        <f>'Annual Raw'!D71</f>
        <v>0.89568499999999995</v>
      </c>
      <c r="D155" s="23">
        <f>'Annual Raw'!E71</f>
        <v>0.89568499999999995</v>
      </c>
      <c r="E155" s="23">
        <f>'Annual Raw'!F71</f>
        <v>1.5E-5</v>
      </c>
      <c r="F155" s="23">
        <f>'Annual Raw'!G71</f>
        <v>1.5E-5</v>
      </c>
      <c r="G155" s="23">
        <f>'Annual Raw'!H71</f>
        <v>0</v>
      </c>
      <c r="H155" s="23">
        <f>'Annual Raw'!I71</f>
        <v>0</v>
      </c>
      <c r="I155" s="23">
        <f>'Annual Raw'!J71</f>
        <v>0</v>
      </c>
      <c r="J155" s="23">
        <f>'Annual Raw'!K71</f>
        <v>0</v>
      </c>
      <c r="K155" s="23">
        <f>'Annual Raw'!L71</f>
        <v>0</v>
      </c>
      <c r="L155" s="23">
        <f>'Annual Raw'!M71</f>
        <v>0</v>
      </c>
      <c r="M155" s="23">
        <f>'Annual Raw'!N71</f>
        <v>0</v>
      </c>
      <c r="N155" s="23">
        <f>'Annual Raw'!O71</f>
        <v>0</v>
      </c>
      <c r="O155" s="23">
        <f>'Annual Raw'!P71</f>
        <v>0</v>
      </c>
      <c r="P155" s="23">
        <f>'Annual Raw'!Q71</f>
        <v>0</v>
      </c>
      <c r="Q155" s="23">
        <f>'Annual Raw'!R71</f>
        <v>0</v>
      </c>
      <c r="R155" s="23">
        <f>'Annual Raw'!S71</f>
        <v>0</v>
      </c>
      <c r="S155" s="23">
        <f>'Annual Raw'!T71</f>
        <v>0</v>
      </c>
      <c r="T155" s="23">
        <f>'Annual Raw'!U71</f>
        <v>0</v>
      </c>
      <c r="U155" s="23">
        <f>'Annual Raw'!V71</f>
        <v>0</v>
      </c>
      <c r="V155" s="23">
        <f>'Annual Raw'!W71</f>
        <v>0</v>
      </c>
      <c r="W155" s="23">
        <f>'Annual Raw'!X71</f>
        <v>0</v>
      </c>
      <c r="X155" s="23">
        <f>'Annual Raw'!Y71</f>
        <v>0</v>
      </c>
      <c r="Y155" s="23">
        <f>'Annual Raw'!Z71</f>
        <v>0</v>
      </c>
      <c r="Z155" s="23">
        <f>'Annual Raw'!AA71</f>
        <v>0</v>
      </c>
      <c r="AA155" s="23">
        <f>'Annual Raw'!AB71</f>
        <v>0</v>
      </c>
      <c r="AB155" s="24">
        <f>+CP155</f>
        <v>0</v>
      </c>
      <c r="AC155" s="24">
        <f>+CT155</f>
        <v>0</v>
      </c>
      <c r="AD155" s="24">
        <f>+CX155</f>
        <v>0</v>
      </c>
      <c r="AE155" s="24">
        <f>+DB155</f>
        <v>0</v>
      </c>
      <c r="AJ155" s="23">
        <f>+'QTR Raw'!D77</f>
        <v>0</v>
      </c>
      <c r="AK155" s="23">
        <f t="shared" ref="AK155:CE155" si="1209">+AJ155</f>
        <v>0</v>
      </c>
      <c r="AL155" s="23">
        <f>+'QTR Raw'!F77</f>
        <v>0</v>
      </c>
      <c r="AM155" s="23">
        <f t="shared" si="1209"/>
        <v>0</v>
      </c>
      <c r="AN155" s="23">
        <f>+'QTR Raw'!H77</f>
        <v>0</v>
      </c>
      <c r="AO155" s="23">
        <f t="shared" si="1209"/>
        <v>0</v>
      </c>
      <c r="AP155" s="23">
        <f>+'QTR Raw'!J77</f>
        <v>0</v>
      </c>
      <c r="AQ155" s="23">
        <f t="shared" si="1209"/>
        <v>0</v>
      </c>
      <c r="AR155" s="23">
        <f>+'QTR Raw'!L77</f>
        <v>0</v>
      </c>
      <c r="AS155" s="23">
        <f t="shared" si="1209"/>
        <v>0</v>
      </c>
      <c r="AT155" s="23">
        <f>+'QTR Raw'!N77</f>
        <v>0</v>
      </c>
      <c r="AU155" s="23">
        <f t="shared" si="1209"/>
        <v>0</v>
      </c>
      <c r="AV155" s="23">
        <f>+'QTR Raw'!P77</f>
        <v>0</v>
      </c>
      <c r="AW155" s="23">
        <f t="shared" si="1209"/>
        <v>0</v>
      </c>
      <c r="AX155" s="23">
        <f>+'QTR Raw'!R77</f>
        <v>0</v>
      </c>
      <c r="AY155" s="23">
        <f t="shared" si="1209"/>
        <v>0</v>
      </c>
      <c r="AZ155" s="23">
        <f>+'QTR Raw'!T77</f>
        <v>0</v>
      </c>
      <c r="BA155" s="23">
        <f t="shared" si="1209"/>
        <v>0</v>
      </c>
      <c r="BB155" s="23">
        <f>+'QTR Raw'!V77</f>
        <v>0</v>
      </c>
      <c r="BC155" s="23">
        <f t="shared" si="1209"/>
        <v>0</v>
      </c>
      <c r="BD155" s="23">
        <f>+'QTR Raw'!X77</f>
        <v>0</v>
      </c>
      <c r="BE155" s="23">
        <f t="shared" si="1209"/>
        <v>0</v>
      </c>
      <c r="BF155" s="23">
        <f>+'QTR Raw'!Z77</f>
        <v>0</v>
      </c>
      <c r="BG155" s="23">
        <f t="shared" si="1209"/>
        <v>0</v>
      </c>
      <c r="BH155" s="23">
        <f>+'QTR Raw'!AB77</f>
        <v>0</v>
      </c>
      <c r="BI155" s="23">
        <f t="shared" si="1209"/>
        <v>0</v>
      </c>
      <c r="BJ155" s="23">
        <f>+'QTR Raw'!AD77</f>
        <v>0</v>
      </c>
      <c r="BK155" s="23">
        <f t="shared" si="1209"/>
        <v>0</v>
      </c>
      <c r="BL155" s="23">
        <f>+'QTR Raw'!AF77</f>
        <v>0</v>
      </c>
      <c r="BM155" s="23">
        <f t="shared" si="1209"/>
        <v>0</v>
      </c>
      <c r="BN155" s="23">
        <f>+'QTR Raw'!AH77</f>
        <v>0</v>
      </c>
      <c r="BO155" s="23">
        <f t="shared" si="1209"/>
        <v>0</v>
      </c>
      <c r="BP155" s="23">
        <f>+'QTR Raw'!AJ77</f>
        <v>0</v>
      </c>
      <c r="BQ155" s="23">
        <f t="shared" si="1209"/>
        <v>0</v>
      </c>
      <c r="BR155" s="23">
        <f>+'QTR Raw'!AL77</f>
        <v>0</v>
      </c>
      <c r="BS155" s="23">
        <f t="shared" si="1209"/>
        <v>0</v>
      </c>
      <c r="BT155" s="23">
        <f>+'QTR Raw'!AN77</f>
        <v>0</v>
      </c>
      <c r="BU155" s="23">
        <f t="shared" si="1209"/>
        <v>0</v>
      </c>
      <c r="BV155" s="23">
        <f>+'QTR Raw'!AP77</f>
        <v>0</v>
      </c>
      <c r="BW155" s="23">
        <f t="shared" si="1209"/>
        <v>0</v>
      </c>
      <c r="BX155" s="23">
        <f>+'QTR Raw'!AR77</f>
        <v>0</v>
      </c>
      <c r="BY155" s="23">
        <f t="shared" si="1209"/>
        <v>0</v>
      </c>
      <c r="BZ155" s="23">
        <f>+'QTR Raw'!AT77</f>
        <v>0</v>
      </c>
      <c r="CA155" s="23">
        <f t="shared" si="1209"/>
        <v>0</v>
      </c>
      <c r="CB155" s="23">
        <f>+'QTR Raw'!AV77</f>
        <v>0</v>
      </c>
      <c r="CC155" s="23">
        <f t="shared" si="1209"/>
        <v>0</v>
      </c>
      <c r="CD155" s="23">
        <f>+'QTR Raw'!AX77</f>
        <v>0</v>
      </c>
      <c r="CE155" s="23">
        <f t="shared" si="1209"/>
        <v>0</v>
      </c>
      <c r="CF155" s="23">
        <f>+'QTR Raw'!AZ77</f>
        <v>0</v>
      </c>
      <c r="CG155" s="23">
        <f t="shared" ref="CG155:CI158" si="1210">+CF155</f>
        <v>0</v>
      </c>
      <c r="CH155" s="23">
        <f t="shared" ref="CH155:CH170" si="1211">Z155</f>
        <v>0</v>
      </c>
      <c r="CI155" s="23">
        <f t="shared" si="1210"/>
        <v>0</v>
      </c>
      <c r="CJ155" s="23">
        <f>+'QTR Raw'!BD77</f>
        <v>0</v>
      </c>
      <c r="CK155" s="24">
        <f t="shared" ref="CK155" si="1212">+CJ155</f>
        <v>0</v>
      </c>
      <c r="CL155" s="23">
        <f>+'QTR Raw'!BF77</f>
        <v>0</v>
      </c>
      <c r="CM155" s="24">
        <f t="shared" ref="CM155" si="1213">+CL155</f>
        <v>0</v>
      </c>
      <c r="CN155" s="24">
        <f t="shared" ref="CN155" si="1214">+CM155</f>
        <v>0</v>
      </c>
      <c r="CO155" s="24">
        <f t="shared" ref="CO155" si="1215">+CN155</f>
        <v>0</v>
      </c>
      <c r="CP155" s="24">
        <f t="shared" ref="CP155" si="1216">+CO155</f>
        <v>0</v>
      </c>
      <c r="CQ155" s="24">
        <f t="shared" ref="CQ155" si="1217">+CP155</f>
        <v>0</v>
      </c>
      <c r="CR155" s="24">
        <f t="shared" ref="CR155" si="1218">+CQ155</f>
        <v>0</v>
      </c>
      <c r="CS155" s="24">
        <f t="shared" ref="CS155" si="1219">+CR155</f>
        <v>0</v>
      </c>
      <c r="CT155" s="24">
        <f t="shared" ref="CT155" si="1220">+CS155</f>
        <v>0</v>
      </c>
      <c r="CU155" s="24">
        <f t="shared" ref="CU155" si="1221">+CT155</f>
        <v>0</v>
      </c>
      <c r="CV155" s="24">
        <f t="shared" ref="CV155" si="1222">+CU155</f>
        <v>0</v>
      </c>
      <c r="CW155" s="24">
        <f t="shared" ref="CW155" si="1223">+CV155</f>
        <v>0</v>
      </c>
      <c r="CX155" s="24">
        <f t="shared" ref="CX155" si="1224">+CW155</f>
        <v>0</v>
      </c>
      <c r="CY155" s="24">
        <f t="shared" ref="CY155" si="1225">+CX155</f>
        <v>0</v>
      </c>
      <c r="CZ155" s="24">
        <f t="shared" ref="CZ155" si="1226">+CY155</f>
        <v>0</v>
      </c>
      <c r="DA155" s="24">
        <f t="shared" ref="DA155" si="1227">+CZ155</f>
        <v>0</v>
      </c>
      <c r="DB155" s="24">
        <f t="shared" ref="DB155" si="1228">+DA155</f>
        <v>0</v>
      </c>
      <c r="DE155" s="123"/>
      <c r="DF155" s="23">
        <v>0</v>
      </c>
    </row>
    <row r="156" spans="1:110" s="23" customFormat="1" x14ac:dyDescent="0.2">
      <c r="AB156" s="24"/>
      <c r="AC156" s="24"/>
      <c r="AD156" s="24"/>
      <c r="AE156" s="24"/>
      <c r="CK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</row>
    <row r="157" spans="1:110" s="23" customFormat="1" outlineLevel="1" x14ac:dyDescent="0.2">
      <c r="A157" s="23" t="s">
        <v>59</v>
      </c>
      <c r="B157" s="23">
        <f>'Annual Raw'!C72</f>
        <v>0</v>
      </c>
      <c r="C157" s="23">
        <f>'Annual Raw'!D72</f>
        <v>0</v>
      </c>
      <c r="D157" s="23">
        <f>'Annual Raw'!E72</f>
        <v>0</v>
      </c>
      <c r="E157" s="23">
        <f>'Annual Raw'!F72+'Annual Raw'!F61</f>
        <v>0</v>
      </c>
      <c r="F157" s="23">
        <f>'Annual Raw'!G72+'Annual Raw'!G61</f>
        <v>0</v>
      </c>
      <c r="G157" s="23">
        <f>'Annual Raw'!H72+'Annual Raw'!H61</f>
        <v>0</v>
      </c>
      <c r="H157" s="23">
        <f>'Annual Raw'!I72+'Annual Raw'!I61</f>
        <v>0</v>
      </c>
      <c r="I157" s="23">
        <f>'Annual Raw'!J72+'Annual Raw'!J61</f>
        <v>0</v>
      </c>
      <c r="J157" s="23">
        <f>'Annual Raw'!K72+'Annual Raw'!K61</f>
        <v>0</v>
      </c>
      <c r="K157" s="23">
        <f>'Annual Raw'!L72+'Annual Raw'!L61</f>
        <v>0</v>
      </c>
      <c r="L157" s="23">
        <f>'Annual Raw'!M72+'Annual Raw'!M61</f>
        <v>7.5719700000000001E-2</v>
      </c>
      <c r="M157" s="23">
        <f>'Annual Raw'!N72+'Annual Raw'!N61</f>
        <v>7.9759399999999994E-2</v>
      </c>
      <c r="N157" s="23">
        <f>'Annual Raw'!O72+'Annual Raw'!O61</f>
        <v>5.7410000000000003E-2</v>
      </c>
      <c r="O157" s="23">
        <f>'Annual Raw'!P72+'Annual Raw'!P61</f>
        <v>5.7590000000000002E-2</v>
      </c>
      <c r="P157" s="23">
        <f>'Annual Raw'!Q72+'Annual Raw'!Q61</f>
        <v>7.2630100000000003E-2</v>
      </c>
      <c r="Q157" s="23">
        <f>'Annual Raw'!R72+'Annual Raw'!R61</f>
        <v>8.0990099999999995E-2</v>
      </c>
      <c r="R157" s="23">
        <f>'Annual Raw'!S72+'Annual Raw'!S61</f>
        <v>0.91988190000000003</v>
      </c>
      <c r="S157" s="23">
        <f>'Annual Raw'!T72+'Annual Raw'!T61</f>
        <v>0.3525797</v>
      </c>
      <c r="T157" s="23">
        <f>'Annual Raw'!U72+'Annual Raw'!U61</f>
        <v>0.35545100000000002</v>
      </c>
      <c r="U157" s="23">
        <f>'Annual Raw'!V72+'Annual Raw'!V61</f>
        <v>0.81243399999999999</v>
      </c>
      <c r="V157" s="23">
        <f>'Annual Raw'!W72+'Annual Raw'!W61</f>
        <v>0.39379999999999998</v>
      </c>
      <c r="W157" s="23">
        <f>'Annual Raw'!X72+'Annual Raw'!X61</f>
        <v>0.41799999999999998</v>
      </c>
      <c r="X157" s="23">
        <f>'Annual Raw'!Y72+'Annual Raw'!Y61</f>
        <v>0</v>
      </c>
      <c r="Y157" s="23">
        <f>'Annual Raw'!Z72+'Annual Raw'!Z61</f>
        <v>0</v>
      </c>
      <c r="Z157" s="23">
        <f>'Annual Raw'!AA72+'Annual Raw'!AA61</f>
        <v>0</v>
      </c>
      <c r="AA157" s="23">
        <f>'Annual Raw'!AB72+'Annual Raw'!AB61</f>
        <v>7.8899999999999998E-2</v>
      </c>
      <c r="AB157" s="24">
        <f t="shared" ref="AB157:AB162" si="1229">+CP157</f>
        <v>0</v>
      </c>
      <c r="AC157" s="24">
        <f t="shared" ref="AC157:AC162" si="1230">+CT157</f>
        <v>0</v>
      </c>
      <c r="AD157" s="24">
        <f t="shared" ref="AD157:AD162" si="1231">+CX157</f>
        <v>0</v>
      </c>
      <c r="AE157" s="24">
        <f t="shared" ref="AE157:AE162" si="1232">+DB157</f>
        <v>0</v>
      </c>
      <c r="AJ157" s="23">
        <f>+'QTR Raw'!D78</f>
        <v>0</v>
      </c>
      <c r="AK157" s="23">
        <f t="shared" ref="AK157:CE162" si="1233">+AJ157</f>
        <v>0</v>
      </c>
      <c r="AL157" s="23">
        <f>+'QTR Raw'!F78</f>
        <v>0</v>
      </c>
      <c r="AM157" s="23">
        <f t="shared" si="1233"/>
        <v>0</v>
      </c>
      <c r="AN157" s="23">
        <f>+'QTR Raw'!H78</f>
        <v>0</v>
      </c>
      <c r="AO157" s="23">
        <f t="shared" si="1233"/>
        <v>0</v>
      </c>
      <c r="AP157" s="23">
        <f>+'QTR Raw'!J78</f>
        <v>0</v>
      </c>
      <c r="AQ157" s="23">
        <f t="shared" si="1233"/>
        <v>0</v>
      </c>
      <c r="AR157" s="23">
        <f>+'QTR Raw'!L78</f>
        <v>0</v>
      </c>
      <c r="AS157" s="23">
        <f t="shared" si="1233"/>
        <v>0</v>
      </c>
      <c r="AT157" s="23">
        <f>+'QTR Raw'!N78</f>
        <v>0</v>
      </c>
      <c r="AU157" s="23">
        <f t="shared" si="1233"/>
        <v>0</v>
      </c>
      <c r="AV157" s="23">
        <f>+'QTR Raw'!P78</f>
        <v>0</v>
      </c>
      <c r="AW157" s="23">
        <f t="shared" si="1233"/>
        <v>0</v>
      </c>
      <c r="AX157" s="23">
        <f>+'QTR Raw'!R78</f>
        <v>0</v>
      </c>
      <c r="AY157" s="23">
        <f t="shared" si="1233"/>
        <v>0</v>
      </c>
      <c r="AZ157" s="23">
        <f>+'QTR Raw'!T78</f>
        <v>0</v>
      </c>
      <c r="BA157" s="23">
        <f t="shared" si="1233"/>
        <v>0</v>
      </c>
      <c r="BB157" s="23">
        <f>+'QTR Raw'!V78</f>
        <v>0.81699999999999995</v>
      </c>
      <c r="BC157" s="23">
        <f t="shared" si="1233"/>
        <v>0.81699999999999995</v>
      </c>
      <c r="BD157" s="23">
        <f>+'QTR Raw'!X78</f>
        <v>0</v>
      </c>
      <c r="BE157" s="23">
        <f t="shared" si="1233"/>
        <v>0</v>
      </c>
      <c r="BF157" s="23">
        <f>+'QTR Raw'!Z78</f>
        <v>0</v>
      </c>
      <c r="BG157" s="23">
        <f t="shared" si="1233"/>
        <v>0</v>
      </c>
      <c r="BH157" s="23">
        <f>+'QTR Raw'!AB78</f>
        <v>0</v>
      </c>
      <c r="BI157" s="23">
        <f t="shared" si="1233"/>
        <v>0</v>
      </c>
      <c r="BJ157" s="23">
        <f>+'QTR Raw'!AD78</f>
        <v>0</v>
      </c>
      <c r="BK157" s="23">
        <f t="shared" si="1233"/>
        <v>0</v>
      </c>
      <c r="BL157" s="23">
        <f>+'QTR Raw'!AF78</f>
        <v>0</v>
      </c>
      <c r="BM157" s="23">
        <f t="shared" si="1233"/>
        <v>0</v>
      </c>
      <c r="BN157" s="23">
        <f>+'QTR Raw'!AH78</f>
        <v>0</v>
      </c>
      <c r="BO157" s="23">
        <f t="shared" si="1233"/>
        <v>0</v>
      </c>
      <c r="BP157" s="23">
        <f>+'QTR Raw'!AJ78</f>
        <v>0</v>
      </c>
      <c r="BQ157" s="23">
        <f t="shared" si="1233"/>
        <v>0</v>
      </c>
      <c r="BR157" s="23">
        <f>+'QTR Raw'!AL78</f>
        <v>0</v>
      </c>
      <c r="BS157" s="23">
        <f t="shared" si="1233"/>
        <v>0</v>
      </c>
      <c r="BT157" s="23">
        <f>+'QTR Raw'!AN78</f>
        <v>0</v>
      </c>
      <c r="BU157" s="23">
        <f t="shared" si="1233"/>
        <v>0</v>
      </c>
      <c r="BV157" s="23">
        <f>+'QTR Raw'!AP78</f>
        <v>0</v>
      </c>
      <c r="BW157" s="23">
        <f t="shared" si="1233"/>
        <v>0</v>
      </c>
      <c r="BX157" s="23">
        <f>+'QTR Raw'!AR78</f>
        <v>0</v>
      </c>
      <c r="BY157" s="23">
        <f t="shared" si="1233"/>
        <v>0</v>
      </c>
      <c r="BZ157" s="23">
        <f>+'QTR Raw'!AT78</f>
        <v>0</v>
      </c>
      <c r="CA157" s="23">
        <f t="shared" si="1233"/>
        <v>0</v>
      </c>
      <c r="CB157" s="23">
        <f>+'QTR Raw'!AV78</f>
        <v>0</v>
      </c>
      <c r="CC157" s="23">
        <f t="shared" si="1233"/>
        <v>0</v>
      </c>
      <c r="CD157" s="23">
        <f>+'QTR Raw'!AX78</f>
        <v>0</v>
      </c>
      <c r="CE157" s="23">
        <f t="shared" si="1233"/>
        <v>0</v>
      </c>
      <c r="CF157" s="23">
        <f>+'QTR Raw'!AZ78</f>
        <v>0</v>
      </c>
      <c r="CG157" s="23">
        <f t="shared" si="1210"/>
        <v>0</v>
      </c>
      <c r="CH157" s="23">
        <f t="shared" si="1211"/>
        <v>0</v>
      </c>
      <c r="CJ157" s="23">
        <f>+'QTR Raw'!BD78</f>
        <v>0</v>
      </c>
      <c r="CK157" s="24"/>
      <c r="CL157" s="23">
        <f>+'QTR Raw'!BF78</f>
        <v>0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0</v>
      </c>
    </row>
    <row r="158" spans="1:110" s="23" customFormat="1" outlineLevel="1" x14ac:dyDescent="0.2">
      <c r="A158" s="23" t="s">
        <v>60</v>
      </c>
      <c r="B158" s="23">
        <f>'Annual Raw'!C73+'Annual Raw'!C81</f>
        <v>0</v>
      </c>
      <c r="C158" s="23">
        <f>'Annual Raw'!D73+'Annual Raw'!D81</f>
        <v>0</v>
      </c>
      <c r="D158" s="23">
        <f>'Annual Raw'!E73+'Annual Raw'!E81</f>
        <v>0</v>
      </c>
      <c r="E158" s="23">
        <f>'Annual Raw'!F73+'Annual Raw'!F81</f>
        <v>0</v>
      </c>
      <c r="F158" s="23">
        <f>'Annual Raw'!G73+'Annual Raw'!G81</f>
        <v>0</v>
      </c>
      <c r="G158" s="23">
        <f>'Annual Raw'!H73+'Annual Raw'!H81</f>
        <v>0</v>
      </c>
      <c r="H158" s="23">
        <f>'Annual Raw'!I73+'Annual Raw'!I81</f>
        <v>0</v>
      </c>
      <c r="I158" s="23">
        <f>'Annual Raw'!J73+'Annual Raw'!J81</f>
        <v>0</v>
      </c>
      <c r="J158" s="23">
        <f>'Annual Raw'!K73+'Annual Raw'!K81</f>
        <v>0</v>
      </c>
      <c r="K158" s="23">
        <f>'Annual Raw'!L73+'Annual Raw'!L81</f>
        <v>0</v>
      </c>
      <c r="L158" s="23">
        <f>'Annual Raw'!M73+'Annual Raw'!M81</f>
        <v>7.5819999999999999E-2</v>
      </c>
      <c r="M158" s="23">
        <f>'Annual Raw'!N73+'Annual Raw'!N81</f>
        <v>8.8959999999999997E-2</v>
      </c>
      <c r="N158" s="23">
        <f>'Annual Raw'!O73+'Annual Raw'!O81</f>
        <v>0.15546499999999999</v>
      </c>
      <c r="O158" s="23">
        <f>'Annual Raw'!P73+'Annual Raw'!P81</f>
        <v>0.40029900000000002</v>
      </c>
      <c r="P158" s="23">
        <f>'Annual Raw'!Q73+'Annual Raw'!Q81</f>
        <v>0.41573900000000003</v>
      </c>
      <c r="Q158" s="23">
        <f>'Annual Raw'!R73+'Annual Raw'!R81</f>
        <v>0.32685930000000002</v>
      </c>
      <c r="R158" s="23">
        <f>'Annual Raw'!S73+'Annual Raw'!S81</f>
        <v>0.49363430000000003</v>
      </c>
      <c r="S158" s="23">
        <f>'Annual Raw'!T73+'Annual Raw'!T81</f>
        <v>1.0426599999999999</v>
      </c>
      <c r="T158" s="23">
        <f>'Annual Raw'!U73+'Annual Raw'!U81</f>
        <v>1.0472398000000001</v>
      </c>
      <c r="U158" s="23">
        <f>'Annual Raw'!V73+'Annual Raw'!V81</f>
        <v>2.53274</v>
      </c>
      <c r="V158" s="23">
        <f>'Annual Raw'!W73+'Annual Raw'!W81</f>
        <v>4.8037999999999998</v>
      </c>
      <c r="W158" s="23">
        <f>'Annual Raw'!X73+'Annual Raw'!X81</f>
        <v>3.2970999999999999</v>
      </c>
      <c r="X158" s="23">
        <f>'Annual Raw'!Y73+'Annual Raw'!Y81</f>
        <v>1.8969</v>
      </c>
      <c r="Y158" s="23">
        <f>'Annual Raw'!Z73+'Annual Raw'!Z81</f>
        <v>2.7833999999999999</v>
      </c>
      <c r="Z158" s="23">
        <f>'Annual Raw'!AA73+'Annual Raw'!AA81</f>
        <v>2.9336000000000002</v>
      </c>
      <c r="AA158" s="23">
        <f>'Annual Raw'!AB73+'Annual Raw'!AB81</f>
        <v>4.5644</v>
      </c>
      <c r="AB158" s="24">
        <f t="shared" si="1229"/>
        <v>0</v>
      </c>
      <c r="AC158" s="24">
        <f t="shared" si="1230"/>
        <v>0</v>
      </c>
      <c r="AD158" s="24">
        <f t="shared" si="1231"/>
        <v>0</v>
      </c>
      <c r="AE158" s="24">
        <f t="shared" si="1232"/>
        <v>0</v>
      </c>
      <c r="AJ158" s="23">
        <f>+'QTR Raw'!D79+'QTR Raw'!D76</f>
        <v>0.186</v>
      </c>
      <c r="AK158" s="23">
        <f t="shared" si="1233"/>
        <v>0.186</v>
      </c>
      <c r="AL158" s="23">
        <f>+'QTR Raw'!F79+'QTR Raw'!F76</f>
        <v>0.21299999999999999</v>
      </c>
      <c r="AM158" s="23">
        <f t="shared" si="1233"/>
        <v>0.21299999999999999</v>
      </c>
      <c r="AN158" s="23">
        <f>+'QTR Raw'!H79+'QTR Raw'!H76</f>
        <v>0.21299999999999999</v>
      </c>
      <c r="AO158" s="23">
        <f t="shared" si="1233"/>
        <v>0.21299999999999999</v>
      </c>
      <c r="AP158" s="23">
        <f>+'QTR Raw'!J79+'QTR Raw'!J76</f>
        <v>0.45800000000000002</v>
      </c>
      <c r="AQ158" s="23">
        <f t="shared" si="1233"/>
        <v>0.45800000000000002</v>
      </c>
      <c r="AR158" s="23">
        <f>+'QTR Raw'!L79+'QTR Raw'!L76</f>
        <v>0.47299999999999998</v>
      </c>
      <c r="AS158" s="23">
        <f t="shared" si="1233"/>
        <v>0.47299999999999998</v>
      </c>
      <c r="AT158" s="23">
        <f>+'QTR Raw'!N79+'QTR Raw'!N76</f>
        <v>0.48799999999999999</v>
      </c>
      <c r="AU158" s="23">
        <f t="shared" si="1233"/>
        <v>0.48799999999999999</v>
      </c>
      <c r="AV158" s="23">
        <f>+'QTR Raw'!P79+'QTR Raw'!P76</f>
        <v>0.497</v>
      </c>
      <c r="AW158" s="23">
        <f t="shared" si="1233"/>
        <v>0.497</v>
      </c>
      <c r="AX158" s="23">
        <f>+'QTR Raw'!R79+'QTR Raw'!R76</f>
        <v>0.40799999999999997</v>
      </c>
      <c r="AY158" s="23">
        <f t="shared" si="1233"/>
        <v>0.40799999999999997</v>
      </c>
      <c r="AZ158" s="23">
        <f>+'QTR Raw'!T79+'QTR Raw'!T76</f>
        <v>0.42299999999999999</v>
      </c>
      <c r="BA158" s="23">
        <f t="shared" si="1233"/>
        <v>0.42299999999999999</v>
      </c>
      <c r="BB158" s="23">
        <f>+'QTR Raw'!V79+'QTR Raw'!V76</f>
        <v>0.59599999999999997</v>
      </c>
      <c r="BC158" s="23">
        <f t="shared" si="1233"/>
        <v>0.59599999999999997</v>
      </c>
      <c r="BD158" s="23">
        <f>+'QTR Raw'!X79+'QTR Raw'!X76</f>
        <v>0.85899999999999999</v>
      </c>
      <c r="BE158" s="23">
        <f t="shared" si="1233"/>
        <v>0.85899999999999999</v>
      </c>
      <c r="BF158" s="23">
        <f>+'QTR Raw'!Z79+'QTR Raw'!Z76</f>
        <v>1.395</v>
      </c>
      <c r="BG158" s="23">
        <f t="shared" si="1233"/>
        <v>1.395</v>
      </c>
      <c r="BH158" s="23">
        <f>+'QTR Raw'!AB79+'QTR Raw'!AB76</f>
        <v>1.32</v>
      </c>
      <c r="BI158" s="23">
        <f t="shared" si="1233"/>
        <v>1.32</v>
      </c>
      <c r="BJ158" s="23">
        <f>+'QTR Raw'!AD79+'QTR Raw'!AD76</f>
        <v>1.403</v>
      </c>
      <c r="BK158" s="23">
        <f t="shared" si="1233"/>
        <v>1.403</v>
      </c>
      <c r="BL158" s="23">
        <f>+'QTR Raw'!AF79+'QTR Raw'!AF76</f>
        <v>1.4330000000000001</v>
      </c>
      <c r="BM158" s="23">
        <f t="shared" si="1233"/>
        <v>1.4330000000000001</v>
      </c>
      <c r="BN158" s="23">
        <f>+'QTR Raw'!AH79+'QTR Raw'!AH76</f>
        <v>6.3849999999999998</v>
      </c>
      <c r="BO158" s="23">
        <f t="shared" si="1233"/>
        <v>6.3849999999999998</v>
      </c>
      <c r="BP158" s="23">
        <f>+'QTR Raw'!AJ79+'QTR Raw'!AJ76</f>
        <v>5.7549999999999999</v>
      </c>
      <c r="BQ158" s="23">
        <f t="shared" si="1233"/>
        <v>5.7549999999999999</v>
      </c>
      <c r="BR158" s="23">
        <f>+'QTR Raw'!AL79+'QTR Raw'!AL76</f>
        <v>7.8250000000000002</v>
      </c>
      <c r="BS158" s="23">
        <f t="shared" si="1233"/>
        <v>7.8250000000000002</v>
      </c>
      <c r="BT158" s="23">
        <f>+'QTR Raw'!AN79+'QTR Raw'!AN76</f>
        <v>2.819</v>
      </c>
      <c r="BU158" s="23">
        <f t="shared" si="1233"/>
        <v>2.819</v>
      </c>
      <c r="BV158" s="23">
        <f>+'QTR Raw'!AP79+'QTR Raw'!AP76</f>
        <v>5.9260000000000002</v>
      </c>
      <c r="BW158" s="23">
        <f t="shared" si="1233"/>
        <v>5.9260000000000002</v>
      </c>
      <c r="BX158" s="23">
        <f>+'QTR Raw'!AR79+'QTR Raw'!AR76</f>
        <v>2.5339999999999998</v>
      </c>
      <c r="BY158" s="23">
        <f t="shared" si="1233"/>
        <v>2.5339999999999998</v>
      </c>
      <c r="BZ158" s="23">
        <f>+'QTR Raw'!AT79+'QTR Raw'!AT76</f>
        <v>3.6930000000000001</v>
      </c>
      <c r="CA158" s="23">
        <f t="shared" si="1233"/>
        <v>3.6930000000000001</v>
      </c>
      <c r="CB158" s="23">
        <f>+'QTR Raw'!AV79+'QTR Raw'!AV76</f>
        <v>2.516</v>
      </c>
      <c r="CC158" s="23">
        <f t="shared" si="1233"/>
        <v>2.516</v>
      </c>
      <c r="CD158" s="23">
        <f>+'QTR Raw'!AX79+'QTR Raw'!AX76</f>
        <v>8.0329999999999995</v>
      </c>
      <c r="CE158" s="23">
        <f t="shared" si="1233"/>
        <v>8.0329999999999995</v>
      </c>
      <c r="CF158" s="23">
        <f>+'QTR Raw'!AZ79+'QTR Raw'!AZ76</f>
        <v>6.0529999999999999</v>
      </c>
      <c r="CG158" s="23">
        <f t="shared" si="1210"/>
        <v>6.0529999999999999</v>
      </c>
      <c r="CH158" s="23">
        <f t="shared" si="1211"/>
        <v>2.9336000000000002</v>
      </c>
      <c r="CJ158" s="23">
        <f>+'QTR Raw'!BD79+'QTR Raw'!BD76</f>
        <v>2.5499999999999998</v>
      </c>
      <c r="CK158" s="24"/>
      <c r="CL158" s="23">
        <f>+'QTR Raw'!BF79+'QTR Raw'!BF76</f>
        <v>4.6429999999999998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4.6429999999999998</v>
      </c>
    </row>
    <row r="159" spans="1:110" s="23" customFormat="1" outlineLevel="1" x14ac:dyDescent="0.2">
      <c r="A159" s="23" t="s">
        <v>61</v>
      </c>
      <c r="B159" s="23">
        <f>'Annual Raw'!C76</f>
        <v>5.9055268999999999</v>
      </c>
      <c r="C159" s="23">
        <f>'Annual Raw'!D76</f>
        <v>4.5909415999999998</v>
      </c>
      <c r="D159" s="23">
        <f>'Annual Raw'!E76</f>
        <v>4.3946379999999996</v>
      </c>
      <c r="E159" s="23">
        <f>'Annual Raw'!F76</f>
        <v>4.1250467999999998</v>
      </c>
      <c r="F159" s="23">
        <f>'Annual Raw'!G76</f>
        <v>3.8462993000000001</v>
      </c>
      <c r="G159" s="23">
        <f>'Annual Raw'!H76</f>
        <v>3.5919040999999998</v>
      </c>
      <c r="H159" s="23">
        <f>'Annual Raw'!I76</f>
        <v>3.7610986999999998</v>
      </c>
      <c r="I159" s="23">
        <f>'Annual Raw'!J76</f>
        <v>3.3522764</v>
      </c>
      <c r="J159" s="23">
        <f>'Annual Raw'!K76</f>
        <v>2.4563671999999999</v>
      </c>
      <c r="K159" s="23">
        <f>'Annual Raw'!L76</f>
        <v>2.0023734000000002</v>
      </c>
      <c r="L159" s="23">
        <f>'Annual Raw'!M76</f>
        <v>3.9662020999999998</v>
      </c>
      <c r="M159" s="23">
        <f>'Annual Raw'!N76</f>
        <v>4.6998854000000003</v>
      </c>
      <c r="N159" s="23">
        <f>'Annual Raw'!O76</f>
        <v>1.0766929000000001</v>
      </c>
      <c r="O159" s="23">
        <f>'Annual Raw'!P76</f>
        <v>12.1044257</v>
      </c>
      <c r="P159" s="23">
        <f>'Annual Raw'!Q76</f>
        <v>10.588324200000001</v>
      </c>
      <c r="Q159" s="23">
        <f>'Annual Raw'!R76</f>
        <v>12.442960100000001</v>
      </c>
      <c r="R159" s="23">
        <f>'Annual Raw'!S76</f>
        <v>7.6978796000000003</v>
      </c>
      <c r="S159" s="23">
        <f>'Annual Raw'!T76</f>
        <v>6.6731553000000003</v>
      </c>
      <c r="T159" s="23">
        <f>'Annual Raw'!U76</f>
        <v>2.4421184</v>
      </c>
      <c r="U159" s="23">
        <f>'Annual Raw'!V76</f>
        <v>5.0893607000000003</v>
      </c>
      <c r="V159" s="23">
        <f>'Annual Raw'!W76</f>
        <v>2.5143</v>
      </c>
      <c r="W159" s="23">
        <f>'Annual Raw'!X76</f>
        <v>16.770199999999999</v>
      </c>
      <c r="X159" s="23">
        <f>'Annual Raw'!Y76</f>
        <v>44.598700000000001</v>
      </c>
      <c r="Y159" s="23">
        <f>'Annual Raw'!Z76</f>
        <v>46.039299999999997</v>
      </c>
      <c r="Z159" s="23">
        <f>'Annual Raw'!AA76</f>
        <v>60.452300000000001</v>
      </c>
      <c r="AA159" s="23">
        <f>'Annual Raw'!AB76</f>
        <v>93.324200000000005</v>
      </c>
      <c r="AB159" s="24">
        <f t="shared" si="1229"/>
        <v>109.12717202895371</v>
      </c>
      <c r="AC159" s="24">
        <f t="shared" si="1230"/>
        <v>125.43336021320464</v>
      </c>
      <c r="AD159" s="24">
        <f t="shared" si="1231"/>
        <v>144.179187863084</v>
      </c>
      <c r="AE159" s="24">
        <f t="shared" si="1232"/>
        <v>165.7299720222351</v>
      </c>
      <c r="AJ159" s="23">
        <f>+'QTR Raw'!D81</f>
        <v>13.340999999999999</v>
      </c>
      <c r="AK159" s="23">
        <f>+AK194*AK25/90</f>
        <v>48.404195707530008</v>
      </c>
      <c r="AL159" s="23">
        <f>+'QTR Raw'!F81</f>
        <v>1.077</v>
      </c>
      <c r="AM159" s="23">
        <f>+AM194*AM25/90</f>
        <v>8.3858399159500344E-2</v>
      </c>
      <c r="AN159" s="23">
        <f>+'QTR Raw'!H81</f>
        <v>4.62</v>
      </c>
      <c r="AO159" s="23">
        <f>+AO194*AO25/90</f>
        <v>7.4341666666666661</v>
      </c>
      <c r="AP159" s="23">
        <f>+'QTR Raw'!J81</f>
        <v>12.103999999999999</v>
      </c>
      <c r="AQ159" s="23">
        <f>+AQ194*AQ25/90</f>
        <v>16.643971740526656</v>
      </c>
      <c r="AR159" s="23">
        <f>+'QTR Raw'!L81</f>
        <v>8.8350000000000009</v>
      </c>
      <c r="AS159" s="23">
        <f>+AS194*AS25/90</f>
        <v>5.5091342704798842</v>
      </c>
      <c r="AT159" s="23">
        <f>+'QTR Raw'!N81</f>
        <v>10.587999999999999</v>
      </c>
      <c r="AU159" s="23">
        <f>+AU194*AU25/90</f>
        <v>9.3177406530998557</v>
      </c>
      <c r="AV159" s="23">
        <f>+'QTR Raw'!P81</f>
        <v>15.718</v>
      </c>
      <c r="AW159" s="23">
        <f>+AW194*AW25/90</f>
        <v>15.619890247074121</v>
      </c>
      <c r="AX159" s="23">
        <f>+'QTR Raw'!R81</f>
        <v>12.443</v>
      </c>
      <c r="AY159" s="23">
        <f>+AY194*AY25/90</f>
        <v>7.4189021418300172</v>
      </c>
      <c r="AZ159" s="23">
        <f>+'QTR Raw'!T81</f>
        <v>9.1739999999999995</v>
      </c>
      <c r="BA159" s="23">
        <f>+BA194*BA25/90</f>
        <v>9.7421658349328197</v>
      </c>
      <c r="BB159" s="23">
        <f>+'QTR Raw'!V81</f>
        <v>7.6980000000000004</v>
      </c>
      <c r="BC159" s="23">
        <f>+BC194*BC25/90</f>
        <v>7.0765196743554952</v>
      </c>
      <c r="BD159" s="23">
        <f>+'QTR Raw'!X81</f>
        <v>5.5170000000000003</v>
      </c>
      <c r="BE159" s="23">
        <f>+BE194*BE25/90</f>
        <v>7.7438377591228367</v>
      </c>
      <c r="BF159" s="23">
        <f>+'QTR Raw'!Z81</f>
        <v>6.673</v>
      </c>
      <c r="BG159" s="23">
        <f>+BG194*BG25/90</f>
        <v>5.7013947257679902</v>
      </c>
      <c r="BH159" s="23">
        <f>+'QTR Raw'!AB81</f>
        <v>3.827</v>
      </c>
      <c r="BI159" s="23">
        <f>+BI194*BI25/90</f>
        <v>5.3348592695514085</v>
      </c>
      <c r="BJ159" s="23">
        <f>+'QTR Raw'!AD81</f>
        <v>2.4420000000000002</v>
      </c>
      <c r="BK159" s="23">
        <f>+BK194*BK25/90</f>
        <v>1.4650987841945291</v>
      </c>
      <c r="BL159" s="23">
        <f>+'QTR Raw'!AF81</f>
        <v>6.06</v>
      </c>
      <c r="BM159" s="23">
        <f>+BM194*BM25/90</f>
        <v>10.133829549683661</v>
      </c>
      <c r="BN159" s="23">
        <f>+'QTR Raw'!AH81</f>
        <v>5.0890000000000004</v>
      </c>
      <c r="BO159" s="23">
        <f>+BO194*BO25/90</f>
        <v>2.6108864202083528</v>
      </c>
      <c r="BP159" s="23">
        <f>+'QTR Raw'!AJ81</f>
        <v>16.324999999999999</v>
      </c>
      <c r="BQ159" s="23">
        <f>+BQ194*BQ25/90</f>
        <v>32.593909308829403</v>
      </c>
      <c r="BR159" s="23">
        <f>+'QTR Raw'!AL81</f>
        <v>2.5139999999999998</v>
      </c>
      <c r="BS159" s="23">
        <f>+BS194*BS25/90</f>
        <v>1.1864578329835183</v>
      </c>
      <c r="BT159" s="23">
        <f>+'QTR Raw'!AN81</f>
        <v>15.343999999999999</v>
      </c>
      <c r="BU159" s="23">
        <f>+BU194*BU25/90</f>
        <v>28.919603005960091</v>
      </c>
      <c r="BV159" s="23">
        <f>+'QTR Raw'!AP81</f>
        <v>16.77</v>
      </c>
      <c r="BW159" s="23">
        <f>+BW194*BW25/90</f>
        <v>9.6898998051767329</v>
      </c>
      <c r="BX159" s="23">
        <f>+'QTR Raw'!AR81</f>
        <v>37.094000000000001</v>
      </c>
      <c r="BY159" s="23">
        <f>+BY194*BY25/90</f>
        <v>39.633492615596964</v>
      </c>
      <c r="BZ159" s="23">
        <f>+'QTR Raw'!AT81</f>
        <v>44.598999999999997</v>
      </c>
      <c r="CA159" s="23">
        <f>+CA194*CA25/90</f>
        <v>58.537089566160923</v>
      </c>
      <c r="CB159" s="23">
        <f>+'QTR Raw'!AV81</f>
        <v>24.762</v>
      </c>
      <c r="CC159" s="23">
        <f>+CC194*CC25/90</f>
        <v>27.037079675335431</v>
      </c>
      <c r="CD159" s="23">
        <f>+'QTR Raw'!AX81</f>
        <v>46.039000000000001</v>
      </c>
      <c r="CE159" s="23">
        <f>+CE194*CE25/90</f>
        <v>57.066708076913869</v>
      </c>
      <c r="CF159" s="23">
        <f>+'QTR Raw'!AZ81</f>
        <v>59.747</v>
      </c>
      <c r="CG159" s="23">
        <f>+CG194*CG25/90</f>
        <v>54.546340829243086</v>
      </c>
      <c r="CH159" s="23">
        <f t="shared" si="1211"/>
        <v>60.452300000000001</v>
      </c>
      <c r="CI159" s="23">
        <f>+CI194*CI25/90</f>
        <v>63.706791374515333</v>
      </c>
      <c r="CJ159" s="23">
        <f>+'QTR Raw'!BD81</f>
        <v>55.220999999999997</v>
      </c>
      <c r="CK159" s="24">
        <f t="shared" ref="CK159:DB159" si="1234">+CK194*CK25/90</f>
        <v>51.532159875852614</v>
      </c>
      <c r="CL159" s="23">
        <f>+'QTR Raw'!BF81</f>
        <v>93.323999999999998</v>
      </c>
      <c r="CM159" s="24">
        <f t="shared" si="1234"/>
        <v>87.35822974336476</v>
      </c>
      <c r="CN159" s="24">
        <f t="shared" si="1234"/>
        <v>94.693125338890098</v>
      </c>
      <c r="CO159" s="24">
        <f t="shared" si="1234"/>
        <v>87.620000741390641</v>
      </c>
      <c r="CP159" s="24">
        <f t="shared" si="1234"/>
        <v>109.12717202895371</v>
      </c>
      <c r="CQ159" s="24">
        <f t="shared" si="1234"/>
        <v>100.45596495108575</v>
      </c>
      <c r="CR159" s="24">
        <f t="shared" si="1234"/>
        <v>108.87342684228994</v>
      </c>
      <c r="CS159" s="24">
        <f t="shared" si="1234"/>
        <v>100.72514765211668</v>
      </c>
      <c r="CT159" s="24">
        <f t="shared" si="1234"/>
        <v>125.43336021320464</v>
      </c>
      <c r="CU159" s="24">
        <f t="shared" si="1234"/>
        <v>115.5177605145865</v>
      </c>
      <c r="CV159" s="24">
        <f t="shared" si="1234"/>
        <v>125.17840684145641</v>
      </c>
      <c r="CW159" s="24">
        <f t="shared" si="1234"/>
        <v>115.79228127940334</v>
      </c>
      <c r="CX159" s="24">
        <f t="shared" si="1234"/>
        <v>144.179187863084</v>
      </c>
      <c r="CY159" s="24">
        <f t="shared" si="1234"/>
        <v>132.83816549469617</v>
      </c>
      <c r="CZ159" s="24">
        <f t="shared" si="1234"/>
        <v>143.92653043778014</v>
      </c>
      <c r="DA159" s="24">
        <f t="shared" si="1234"/>
        <v>133.11532109872994</v>
      </c>
      <c r="DB159" s="24">
        <f t="shared" si="1234"/>
        <v>165.7299720222351</v>
      </c>
      <c r="DE159" s="123"/>
      <c r="DF159" s="23">
        <v>93.323999999999998</v>
      </c>
    </row>
    <row r="160" spans="1:110" s="23" customFormat="1" outlineLevel="1" x14ac:dyDescent="0.2">
      <c r="A160" s="23" t="s">
        <v>62</v>
      </c>
      <c r="B160" s="23">
        <f>'Annual Raw'!C77</f>
        <v>9.5254148000000001</v>
      </c>
      <c r="C160" s="23">
        <f>'Annual Raw'!D77</f>
        <v>2.7841865000000001</v>
      </c>
      <c r="D160" s="23">
        <f>'Annual Raw'!E77</f>
        <v>2.0123186999999998</v>
      </c>
      <c r="E160" s="23">
        <f>'Annual Raw'!F77</f>
        <v>3.3543288000000002</v>
      </c>
      <c r="F160" s="23">
        <f>'Annual Raw'!G77</f>
        <v>3.7637203000000001</v>
      </c>
      <c r="G160" s="23">
        <f>'Annual Raw'!H77</f>
        <v>5.9017071999999997</v>
      </c>
      <c r="H160" s="23">
        <f>'Annual Raw'!I77</f>
        <v>5.7754706000000002</v>
      </c>
      <c r="I160" s="23">
        <f>'Annual Raw'!J77</f>
        <v>6.7266895</v>
      </c>
      <c r="J160" s="23">
        <f>'Annual Raw'!K77</f>
        <v>8.1506339000000008</v>
      </c>
      <c r="K160" s="23">
        <f>'Annual Raw'!L77</f>
        <v>6.6596563</v>
      </c>
      <c r="L160" s="23">
        <f>'Annual Raw'!M77</f>
        <v>8.5433903999999998</v>
      </c>
      <c r="M160" s="23">
        <f>'Annual Raw'!N77</f>
        <v>7.1356431999999996</v>
      </c>
      <c r="N160" s="23">
        <f>'Annual Raw'!O77</f>
        <v>11.6620083</v>
      </c>
      <c r="O160" s="23">
        <f>'Annual Raw'!P77</f>
        <v>4.3129913999999996</v>
      </c>
      <c r="P160" s="23">
        <f>'Annual Raw'!Q77</f>
        <v>4.6120041000000001</v>
      </c>
      <c r="Q160" s="23">
        <f>'Annual Raw'!R77</f>
        <v>4.0922397000000004</v>
      </c>
      <c r="R160" s="23">
        <f>'Annual Raw'!S77</f>
        <v>9.6248500000000003</v>
      </c>
      <c r="S160" s="23">
        <f>'Annual Raw'!T77</f>
        <v>8.9162958000000003</v>
      </c>
      <c r="T160" s="23">
        <f>'Annual Raw'!U77</f>
        <v>19.258583900000001</v>
      </c>
      <c r="U160" s="23">
        <f>'Annual Raw'!V77</f>
        <v>29.649725700000001</v>
      </c>
      <c r="V160" s="23">
        <f>'Annual Raw'!W77</f>
        <v>13.127000000000001</v>
      </c>
      <c r="W160" s="23">
        <f>'Annual Raw'!X77</f>
        <v>36.156700000000001</v>
      </c>
      <c r="X160" s="23">
        <f>'Annual Raw'!Y77</f>
        <v>39.838299999999997</v>
      </c>
      <c r="Y160" s="23">
        <f>'Annual Raw'!Z77</f>
        <v>64.176000000000002</v>
      </c>
      <c r="Z160" s="23">
        <f>'Annual Raw'!AA77</f>
        <v>71.239000000000004</v>
      </c>
      <c r="AA160" s="23">
        <f>'Annual Raw'!AB77</f>
        <v>71.708799999999997</v>
      </c>
      <c r="AB160" s="24">
        <f t="shared" si="1229"/>
        <v>83.851960685614003</v>
      </c>
      <c r="AC160" s="24">
        <f t="shared" si="1230"/>
        <v>96.381432723936939</v>
      </c>
      <c r="AD160" s="24">
        <f t="shared" si="1231"/>
        <v>110.78549336155639</v>
      </c>
      <c r="AE160" s="24">
        <f t="shared" si="1232"/>
        <v>127.34484766772167</v>
      </c>
      <c r="AJ160" s="23">
        <f>+'QTR Raw'!D82</f>
        <v>4.1909999999999998</v>
      </c>
      <c r="AK160" s="23">
        <f>+AK195*AK25/90</f>
        <v>15.205905420152781</v>
      </c>
      <c r="AL160" s="23">
        <f>+'QTR Raw'!F82</f>
        <v>11.662000000000001</v>
      </c>
      <c r="AM160" s="23">
        <f>+AM195*AM25/90</f>
        <v>0.90803774465932507</v>
      </c>
      <c r="AN160" s="23">
        <f>+'QTR Raw'!H82</f>
        <v>3.915</v>
      </c>
      <c r="AO160" s="23">
        <f>+AO195*AO25/90</f>
        <v>6.2997321428571427</v>
      </c>
      <c r="AP160" s="23">
        <f>+'QTR Raw'!J82</f>
        <v>4.3129999999999997</v>
      </c>
      <c r="AQ160" s="23">
        <f>+AQ195*AQ25/90</f>
        <v>5.9307212588310856</v>
      </c>
      <c r="AR160" s="23">
        <f>+'QTR Raw'!L82</f>
        <v>6.6950000000000003</v>
      </c>
      <c r="AS160" s="23">
        <f>+AS195*AS25/90</f>
        <v>4.1747203102278236</v>
      </c>
      <c r="AT160" s="23">
        <f>+'QTR Raw'!N82</f>
        <v>4.6120000000000001</v>
      </c>
      <c r="AU160" s="23">
        <f>+AU195*AU25/90</f>
        <v>4.0586909607193569</v>
      </c>
      <c r="AV160" s="23">
        <f>+'QTR Raw'!P82</f>
        <v>4.4130000000000003</v>
      </c>
      <c r="AW160" s="23">
        <f>+AW195*AW25/90</f>
        <v>4.3854546163849157</v>
      </c>
      <c r="AX160" s="23">
        <f>+'QTR Raw'!R82</f>
        <v>4.0919999999999996</v>
      </c>
      <c r="AY160" s="23">
        <f>+AY195*AY25/90</f>
        <v>2.4397771891319158</v>
      </c>
      <c r="AZ160" s="23">
        <f>+'QTR Raw'!T82</f>
        <v>6.4509999999999996</v>
      </c>
      <c r="BA160" s="23">
        <f>+BA195*BA25/90</f>
        <v>6.8505245041586678</v>
      </c>
      <c r="BB160" s="23">
        <f>+'QTR Raw'!V82</f>
        <v>9.625</v>
      </c>
      <c r="BC160" s="23">
        <f>+BC195*BC25/90</f>
        <v>8.84794776119403</v>
      </c>
      <c r="BD160" s="23">
        <f>+'QTR Raw'!X82</f>
        <v>20.864000000000001</v>
      </c>
      <c r="BE160" s="23">
        <f>+BE195*BE25/90</f>
        <v>29.285378105191025</v>
      </c>
      <c r="BF160" s="23">
        <f>+'QTR Raw'!Z82</f>
        <v>8.9160000000000004</v>
      </c>
      <c r="BG160" s="23">
        <f>+BG195*BG25/90</f>
        <v>7.6178083882732519</v>
      </c>
      <c r="BH160" s="23">
        <f>+'QTR Raw'!AB82</f>
        <v>7.2889999999999997</v>
      </c>
      <c r="BI160" s="23">
        <f>+BI195*BI25/90</f>
        <v>10.160906510520046</v>
      </c>
      <c r="BJ160" s="23">
        <f>+'QTR Raw'!AD82</f>
        <v>19.259</v>
      </c>
      <c r="BK160" s="23">
        <f>+BK195*BK25/90</f>
        <v>11.554601754628351</v>
      </c>
      <c r="BL160" s="23">
        <f>+'QTR Raw'!AF82</f>
        <v>10.273999999999999</v>
      </c>
      <c r="BM160" s="23">
        <f>+BM195*BM25/90</f>
        <v>17.1806872596452</v>
      </c>
      <c r="BN160" s="23">
        <f>+'QTR Raw'!AH82</f>
        <v>29.65</v>
      </c>
      <c r="BO160" s="23">
        <f>+BO195*BO25/90</f>
        <v>15.211786669125106</v>
      </c>
      <c r="BP160" s="23">
        <f>+'QTR Raw'!AJ82</f>
        <v>12.603999999999999</v>
      </c>
      <c r="BQ160" s="23">
        <f>+BQ195*BQ25/90</f>
        <v>25.164694206951651</v>
      </c>
      <c r="BR160" s="23">
        <f>+'QTR Raw'!AL82</f>
        <v>13.127000000000001</v>
      </c>
      <c r="BS160" s="23">
        <f>+BS195*BS25/90</f>
        <v>6.1951598940233286</v>
      </c>
      <c r="BT160" s="23">
        <f>+'QTR Raw'!AN82</f>
        <v>20.526</v>
      </c>
      <c r="BU160" s="23">
        <f>+BU195*BU25/90</f>
        <v>38.686377170251362</v>
      </c>
      <c r="BV160" s="23">
        <f>+'QTR Raw'!AP82</f>
        <v>36.156999999999996</v>
      </c>
      <c r="BW160" s="23">
        <f>+BW195*BW25/90</f>
        <v>20.891932454130892</v>
      </c>
      <c r="BX160" s="23">
        <f>+'QTR Raw'!AR82</f>
        <v>36.859000000000002</v>
      </c>
      <c r="BY160" s="23">
        <f>+BY195*BY25/90</f>
        <v>39.382404278812977</v>
      </c>
      <c r="BZ160" s="23">
        <f>+'QTR Raw'!AT82</f>
        <v>39.838000000000001</v>
      </c>
      <c r="CA160" s="23">
        <f>+CA195*CA25/90</f>
        <v>52.288180769450413</v>
      </c>
      <c r="CB160" s="23">
        <f>+'QTR Raw'!AV82</f>
        <v>78.718999999999994</v>
      </c>
      <c r="CC160" s="23">
        <f>+CC195*CC25/90</f>
        <v>85.951533598365629</v>
      </c>
      <c r="CD160" s="23">
        <f>+'QTR Raw'!AX82</f>
        <v>64.176000000000002</v>
      </c>
      <c r="CE160" s="23">
        <f>+CE195*CE25/90</f>
        <v>79.548058331936517</v>
      </c>
      <c r="CF160" s="23">
        <f>+'QTR Raw'!AZ82</f>
        <v>92.911000000000001</v>
      </c>
      <c r="CG160" s="23">
        <f>+CG195*CG25/90</f>
        <v>84.823590687160944</v>
      </c>
      <c r="CH160" s="23">
        <f t="shared" si="1211"/>
        <v>71.239000000000004</v>
      </c>
      <c r="CI160" s="23">
        <f>+CI195*CI25/90</f>
        <v>75.074200828241402</v>
      </c>
      <c r="CJ160" s="23">
        <f>+'QTR Raw'!BD82</f>
        <v>104.33199999999999</v>
      </c>
      <c r="CK160" s="24">
        <f t="shared" ref="CK160:DB160" si="1235">+CK195*CK25/90</f>
        <v>97.362476307336948</v>
      </c>
      <c r="CL160" s="23">
        <f>+'QTR Raw'!BF82</f>
        <v>71.709000000000003</v>
      </c>
      <c r="CM160" s="24">
        <f t="shared" si="1235"/>
        <v>67.124976390499157</v>
      </c>
      <c r="CN160" s="24">
        <f t="shared" si="1235"/>
        <v>72.761018868956199</v>
      </c>
      <c r="CO160" s="24">
        <f t="shared" si="1235"/>
        <v>67.326117967129377</v>
      </c>
      <c r="CP160" s="24">
        <f t="shared" si="1235"/>
        <v>83.851960685614003</v>
      </c>
      <c r="CQ160" s="24">
        <f t="shared" si="1235"/>
        <v>77.189113097139071</v>
      </c>
      <c r="CR160" s="24">
        <f t="shared" si="1235"/>
        <v>83.656986042537497</v>
      </c>
      <c r="CS160" s="24">
        <f t="shared" si="1235"/>
        <v>77.395949734105201</v>
      </c>
      <c r="CT160" s="24">
        <f t="shared" si="1235"/>
        <v>96.381432723936939</v>
      </c>
      <c r="CU160" s="24">
        <f t="shared" si="1235"/>
        <v>88.762409334581491</v>
      </c>
      <c r="CV160" s="24">
        <f t="shared" si="1235"/>
        <v>96.185529726479757</v>
      </c>
      <c r="CW160" s="24">
        <f t="shared" si="1235"/>
        <v>88.973347673318059</v>
      </c>
      <c r="CX160" s="24">
        <f t="shared" si="1235"/>
        <v>110.78549336155639</v>
      </c>
      <c r="CY160" s="24">
        <f t="shared" si="1235"/>
        <v>102.07119293492742</v>
      </c>
      <c r="CZ160" s="24">
        <f t="shared" si="1235"/>
        <v>110.59135454076952</v>
      </c>
      <c r="DA160" s="24">
        <f t="shared" si="1235"/>
        <v>102.28415585132254</v>
      </c>
      <c r="DB160" s="24">
        <f t="shared" si="1235"/>
        <v>127.34484766772167</v>
      </c>
      <c r="DE160" s="123"/>
      <c r="DF160" s="23">
        <v>71.709000000000003</v>
      </c>
    </row>
    <row r="161" spans="1:110" s="23" customFormat="1" outlineLevel="1" x14ac:dyDescent="0.2">
      <c r="A161" s="23" t="s">
        <v>63</v>
      </c>
      <c r="B161" s="23">
        <f>'Annual Raw'!C79</f>
        <v>0.1066153</v>
      </c>
      <c r="C161" s="23">
        <f>'Annual Raw'!D79</f>
        <v>8.3724699999999999E-2</v>
      </c>
      <c r="D161" s="23">
        <f>'Annual Raw'!E79</f>
        <v>6.7288000000000001E-2</v>
      </c>
      <c r="E161" s="23">
        <f>'Annual Raw'!F79</f>
        <v>3.6243299999999999E-2</v>
      </c>
      <c r="F161" s="23">
        <f>'Annual Raw'!G79</f>
        <v>0.27775739999999999</v>
      </c>
      <c r="G161" s="23">
        <f>'Annual Raw'!H79</f>
        <v>0.26381840000000001</v>
      </c>
      <c r="H161" s="23">
        <f>'Annual Raw'!I79</f>
        <v>0.2224892</v>
      </c>
      <c r="I161" s="23">
        <f>'Annual Raw'!J79</f>
        <v>0.20851980000000001</v>
      </c>
      <c r="J161" s="23">
        <f>'Annual Raw'!K79</f>
        <v>0.1605538</v>
      </c>
      <c r="K161" s="23">
        <f>'Annual Raw'!L79</f>
        <v>0.2793061</v>
      </c>
      <c r="L161" s="23">
        <f>'Annual Raw'!M79</f>
        <v>0.16281799999999999</v>
      </c>
      <c r="M161" s="23">
        <f>'Annual Raw'!N79</f>
        <v>0.13415969999999999</v>
      </c>
      <c r="N161" s="23">
        <f>'Annual Raw'!O79</f>
        <v>0.40493400000000002</v>
      </c>
      <c r="O161" s="23">
        <f>'Annual Raw'!P79</f>
        <v>0.34946110000000002</v>
      </c>
      <c r="P161" s="23">
        <f>'Annual Raw'!Q79</f>
        <v>0.44843630000000001</v>
      </c>
      <c r="Q161" s="23">
        <f>'Annual Raw'!R79</f>
        <v>0.34812880000000002</v>
      </c>
      <c r="R161" s="23">
        <f>'Annual Raw'!S79</f>
        <v>0.55460710000000002</v>
      </c>
      <c r="S161" s="23">
        <f>'Annual Raw'!T79</f>
        <v>0.78745929999999997</v>
      </c>
      <c r="T161" s="23">
        <f>'Annual Raw'!U79</f>
        <v>0.88000219999999996</v>
      </c>
      <c r="U161" s="23">
        <f>'Annual Raw'!V79</f>
        <v>1.2838651000000001</v>
      </c>
      <c r="V161" s="23">
        <f>'Annual Raw'!W79</f>
        <v>1.9623999999999999</v>
      </c>
      <c r="W161" s="23">
        <f>'Annual Raw'!X79</f>
        <v>1.1813</v>
      </c>
      <c r="X161" s="23">
        <f>'Annual Raw'!Y79</f>
        <v>0.85299999999999998</v>
      </c>
      <c r="Y161" s="23">
        <f>'Annual Raw'!Z79</f>
        <v>1.8113999999999999</v>
      </c>
      <c r="Z161" s="23">
        <f>'Annual Raw'!AA79</f>
        <v>2.9458000000000002</v>
      </c>
      <c r="AA161" s="23">
        <f>'Annual Raw'!AB79</f>
        <v>2.3891</v>
      </c>
      <c r="AB161" s="24">
        <f t="shared" si="1229"/>
        <v>54.544876628333235</v>
      </c>
      <c r="AC161" s="24">
        <f t="shared" si="1230"/>
        <v>62.695175094350205</v>
      </c>
      <c r="AD161" s="24">
        <f t="shared" si="1231"/>
        <v>72.064875027446433</v>
      </c>
      <c r="AE161" s="24">
        <f t="shared" si="1232"/>
        <v>82.836572317401448</v>
      </c>
      <c r="AJ161" s="23">
        <f>+'QTR Raw'!D84</f>
        <v>0</v>
      </c>
      <c r="AK161" s="23">
        <f t="shared" si="1233"/>
        <v>0</v>
      </c>
      <c r="AL161" s="23">
        <f>+'QTR Raw'!F84</f>
        <v>0</v>
      </c>
      <c r="AM161" s="23">
        <f t="shared" si="1233"/>
        <v>0</v>
      </c>
      <c r="AN161" s="23">
        <f>+'QTR Raw'!H84</f>
        <v>0.40300000000000002</v>
      </c>
      <c r="AO161" s="23">
        <f t="shared" si="1233"/>
        <v>0.40300000000000002</v>
      </c>
      <c r="AP161" s="23">
        <f>+'QTR Raw'!J84</f>
        <v>0</v>
      </c>
      <c r="AQ161" s="23">
        <f t="shared" si="1233"/>
        <v>0</v>
      </c>
      <c r="AR161" s="23">
        <f>+'QTR Raw'!L84</f>
        <v>0.34399999999999997</v>
      </c>
      <c r="AS161" s="23">
        <f t="shared" si="1233"/>
        <v>0.34399999999999997</v>
      </c>
      <c r="AT161" s="23">
        <f>+'QTR Raw'!N84</f>
        <v>0</v>
      </c>
      <c r="AU161" s="23">
        <f t="shared" si="1233"/>
        <v>0</v>
      </c>
      <c r="AV161" s="23">
        <f>+'QTR Raw'!P84</f>
        <v>0</v>
      </c>
      <c r="AW161" s="23">
        <f t="shared" si="1233"/>
        <v>0</v>
      </c>
      <c r="AX161" s="23">
        <f>+'QTR Raw'!R84</f>
        <v>0</v>
      </c>
      <c r="AY161" s="23">
        <f t="shared" si="1233"/>
        <v>0</v>
      </c>
      <c r="AZ161" s="23">
        <f>+'QTR Raw'!T84</f>
        <v>0</v>
      </c>
      <c r="BA161" s="23">
        <f t="shared" si="1233"/>
        <v>0</v>
      </c>
      <c r="BB161" s="23">
        <f>+'QTR Raw'!V84</f>
        <v>0.82499999999999996</v>
      </c>
      <c r="BC161" s="23">
        <f t="shared" si="1233"/>
        <v>0.82499999999999996</v>
      </c>
      <c r="BD161" s="23">
        <f>+'QTR Raw'!X84</f>
        <v>4.8330000000000002</v>
      </c>
      <c r="BE161" s="23">
        <f t="shared" si="1233"/>
        <v>4.8330000000000002</v>
      </c>
      <c r="BF161" s="23">
        <f>+'QTR Raw'!Z84</f>
        <v>2.8969999999999998</v>
      </c>
      <c r="BG161" s="23">
        <f t="shared" si="1233"/>
        <v>2.8969999999999998</v>
      </c>
      <c r="BH161" s="23">
        <f>+'QTR Raw'!AB84</f>
        <v>2.4980000000000002</v>
      </c>
      <c r="BI161" s="23">
        <f t="shared" si="1233"/>
        <v>2.4980000000000002</v>
      </c>
      <c r="BJ161" s="23">
        <f>+'QTR Raw'!AD84</f>
        <v>2.3340000000000001</v>
      </c>
      <c r="BK161" s="23">
        <f t="shared" si="1233"/>
        <v>2.3340000000000001</v>
      </c>
      <c r="BL161" s="23">
        <f>+'QTR Raw'!AF84</f>
        <v>3.19</v>
      </c>
      <c r="BM161" s="23">
        <f t="shared" si="1233"/>
        <v>3.19</v>
      </c>
      <c r="BN161" s="23">
        <f>+'QTR Raw'!AH84</f>
        <v>6.657</v>
      </c>
      <c r="BO161" s="23">
        <f t="shared" si="1233"/>
        <v>6.657</v>
      </c>
      <c r="BP161" s="23">
        <f>+'QTR Raw'!AJ84</f>
        <v>7.4820000000000002</v>
      </c>
      <c r="BQ161" s="23">
        <f t="shared" si="1233"/>
        <v>7.4820000000000002</v>
      </c>
      <c r="BR161" s="23">
        <f>+'QTR Raw'!AL84</f>
        <v>6.1929999999999996</v>
      </c>
      <c r="BS161" s="23">
        <f t="shared" si="1233"/>
        <v>6.1929999999999996</v>
      </c>
      <c r="BT161" s="23">
        <f>+'QTR Raw'!AN84</f>
        <v>16.513000000000002</v>
      </c>
      <c r="BU161" s="23">
        <f t="shared" si="1233"/>
        <v>16.513000000000002</v>
      </c>
      <c r="BV161" s="23">
        <f>+'QTR Raw'!AP84</f>
        <v>17.341999999999999</v>
      </c>
      <c r="BW161" s="23">
        <f t="shared" si="1233"/>
        <v>17.341999999999999</v>
      </c>
      <c r="BX161" s="23">
        <f>+'QTR Raw'!AR84</f>
        <v>24.969000000000001</v>
      </c>
      <c r="BY161" s="23">
        <f t="shared" si="1233"/>
        <v>24.969000000000001</v>
      </c>
      <c r="BZ161" s="23">
        <f>+'QTR Raw'!AT84</f>
        <v>22.077999999999999</v>
      </c>
      <c r="CA161" s="23">
        <f t="shared" si="1233"/>
        <v>22.077999999999999</v>
      </c>
      <c r="CB161" s="23">
        <f>+'QTR Raw'!AV84</f>
        <v>23.556999999999999</v>
      </c>
      <c r="CC161" s="23">
        <f t="shared" si="1233"/>
        <v>23.556999999999999</v>
      </c>
      <c r="CD161" s="23">
        <f>+'QTR Raw'!AX84</f>
        <v>22.809000000000001</v>
      </c>
      <c r="CE161" s="23">
        <f t="shared" si="1233"/>
        <v>22.809000000000001</v>
      </c>
      <c r="CF161" s="23">
        <f>+'QTR Raw'!AZ84</f>
        <v>27.687000000000001</v>
      </c>
      <c r="CG161" s="23">
        <f t="shared" ref="CG161:CG162" si="1236">+CF161</f>
        <v>27.687000000000001</v>
      </c>
      <c r="CH161" s="23">
        <f t="shared" si="1211"/>
        <v>2.9458000000000002</v>
      </c>
      <c r="CI161" s="23">
        <f>CI25/90*CI196</f>
        <v>32.578381951239272</v>
      </c>
      <c r="CJ161" s="23">
        <f>+'QTR Raw'!BD84</f>
        <v>28.154</v>
      </c>
      <c r="CK161" s="24">
        <f t="shared" ref="CK161:DB161" si="1237">CK25/90*CK196</f>
        <v>28.652929806200135</v>
      </c>
      <c r="CL161" s="23">
        <f>+'QTR Raw'!BF84</f>
        <v>42.003</v>
      </c>
      <c r="CM161" s="24">
        <f t="shared" si="1237"/>
        <v>43.664137677435484</v>
      </c>
      <c r="CN161" s="24">
        <f t="shared" si="1237"/>
        <v>47.330327938770985</v>
      </c>
      <c r="CO161" s="24">
        <f t="shared" si="1237"/>
        <v>43.79497829693225</v>
      </c>
      <c r="CP161" s="24">
        <f t="shared" si="1237"/>
        <v>54.544876628333235</v>
      </c>
      <c r="CQ161" s="24">
        <f t="shared" si="1237"/>
        <v>50.210759730705306</v>
      </c>
      <c r="CR161" s="24">
        <f t="shared" si="1237"/>
        <v>54.418047538526565</v>
      </c>
      <c r="CS161" s="24">
        <f t="shared" si="1237"/>
        <v>50.345304930999859</v>
      </c>
      <c r="CT161" s="24">
        <f t="shared" si="1237"/>
        <v>62.695175094350205</v>
      </c>
      <c r="CU161" s="24">
        <f t="shared" si="1237"/>
        <v>57.739075232131043</v>
      </c>
      <c r="CV161" s="24">
        <f t="shared" si="1237"/>
        <v>62.56774211913946</v>
      </c>
      <c r="CW161" s="24">
        <f t="shared" si="1237"/>
        <v>57.876288549130393</v>
      </c>
      <c r="CX161" s="24">
        <f t="shared" si="1237"/>
        <v>72.064875027446433</v>
      </c>
      <c r="CY161" s="24">
        <f t="shared" si="1237"/>
        <v>66.396308212952647</v>
      </c>
      <c r="CZ161" s="24">
        <f t="shared" si="1237"/>
        <v>71.938589631827682</v>
      </c>
      <c r="DA161" s="24">
        <f t="shared" si="1237"/>
        <v>66.534838497828559</v>
      </c>
      <c r="DB161" s="24">
        <f t="shared" si="1237"/>
        <v>82.836572317401448</v>
      </c>
      <c r="DE161" s="123"/>
      <c r="DF161" s="23">
        <v>42.003</v>
      </c>
    </row>
    <row r="162" spans="1:110" s="23" customFormat="1" outlineLevel="1" x14ac:dyDescent="0.2">
      <c r="A162" s="23" t="s">
        <v>64</v>
      </c>
      <c r="B162" s="23">
        <f>'Annual Raw'!C80</f>
        <v>4.4622944999999996</v>
      </c>
      <c r="C162" s="23">
        <f>'Annual Raw'!D80</f>
        <v>1.6148526999999999</v>
      </c>
      <c r="D162" s="23">
        <f>'Annual Raw'!E80</f>
        <v>1.3179217999999999</v>
      </c>
      <c r="E162" s="23">
        <f>'Annual Raw'!F80</f>
        <v>0.18036150000000001</v>
      </c>
      <c r="F162" s="23">
        <f>'Annual Raw'!G80</f>
        <v>0.21090639999999999</v>
      </c>
      <c r="G162" s="23">
        <f>'Annual Raw'!H80</f>
        <v>0.63684830000000003</v>
      </c>
      <c r="H162" s="23">
        <f>'Annual Raw'!I80</f>
        <v>1.0127702000000001</v>
      </c>
      <c r="I162" s="23">
        <f>'Annual Raw'!J80</f>
        <v>2.7093793000000002</v>
      </c>
      <c r="J162" s="23">
        <f>'Annual Raw'!K80</f>
        <v>4.7570516999999999</v>
      </c>
      <c r="K162" s="23">
        <f>'Annual Raw'!L80</f>
        <v>3.2995030999999999</v>
      </c>
      <c r="L162" s="23">
        <f>'Annual Raw'!M80</f>
        <v>0.80448470000000005</v>
      </c>
      <c r="M162" s="23">
        <f>'Annual Raw'!N80</f>
        <v>1.2430639999999999</v>
      </c>
      <c r="N162" s="23">
        <f>'Annual Raw'!O80</f>
        <v>1.6150758000000001</v>
      </c>
      <c r="O162" s="23">
        <f>'Annual Raw'!P80</f>
        <v>0.40989589999999998</v>
      </c>
      <c r="P162" s="23">
        <f>'Annual Raw'!Q80</f>
        <v>1.0543745</v>
      </c>
      <c r="Q162" s="23">
        <f>'Annual Raw'!R80</f>
        <v>0.73783960000000004</v>
      </c>
      <c r="R162" s="23">
        <f>'Annual Raw'!S80</f>
        <v>0.45224510000000001</v>
      </c>
      <c r="S162" s="23">
        <f>'Annual Raw'!T80</f>
        <v>2.2087916999999999</v>
      </c>
      <c r="T162" s="23">
        <f>'Annual Raw'!U80</f>
        <v>1.4551012999999999</v>
      </c>
      <c r="U162" s="23">
        <f>'Annual Raw'!V80</f>
        <v>5.3724331000000003</v>
      </c>
      <c r="V162" s="23">
        <f>'Annual Raw'!W80</f>
        <v>4.2300000000000004</v>
      </c>
      <c r="W162" s="23">
        <f>'Annual Raw'!X80</f>
        <v>16.161100000000001</v>
      </c>
      <c r="X162" s="23">
        <f>'Annual Raw'!Y80</f>
        <v>21.225100000000001</v>
      </c>
      <c r="Y162" s="23">
        <f>'Annual Raw'!Z80</f>
        <v>20.997299999999999</v>
      </c>
      <c r="Z162" s="23">
        <f>'Annual Raw'!AA80</f>
        <v>25.034700000000001</v>
      </c>
      <c r="AA162" s="23">
        <f>'Annual Raw'!AB80</f>
        <v>39.6143</v>
      </c>
      <c r="AB162" s="24">
        <f t="shared" si="1229"/>
        <v>0</v>
      </c>
      <c r="AC162" s="24">
        <f t="shared" si="1230"/>
        <v>0</v>
      </c>
      <c r="AD162" s="24">
        <f t="shared" si="1231"/>
        <v>0</v>
      </c>
      <c r="AE162" s="24">
        <f t="shared" si="1232"/>
        <v>0</v>
      </c>
      <c r="AJ162" s="23">
        <f>+'QTR Raw'!D85</f>
        <v>3.01</v>
      </c>
      <c r="AK162" s="23">
        <f t="shared" si="1233"/>
        <v>3.01</v>
      </c>
      <c r="AL162" s="23">
        <f>+'QTR Raw'!F85</f>
        <v>2.02</v>
      </c>
      <c r="AM162" s="23">
        <f t="shared" si="1233"/>
        <v>2.02</v>
      </c>
      <c r="AN162" s="23">
        <f>+'QTR Raw'!H85</f>
        <v>1.63</v>
      </c>
      <c r="AO162" s="23">
        <f t="shared" si="1233"/>
        <v>1.63</v>
      </c>
      <c r="AP162" s="23">
        <f>+'QTR Raw'!J85</f>
        <v>0.75900000000000001</v>
      </c>
      <c r="AQ162" s="23">
        <f t="shared" si="1233"/>
        <v>0.75900000000000001</v>
      </c>
      <c r="AR162" s="23">
        <f>+'QTR Raw'!L85</f>
        <v>2.8159999999999998</v>
      </c>
      <c r="AS162" s="23">
        <f t="shared" si="1233"/>
        <v>2.8159999999999998</v>
      </c>
      <c r="AT162" s="23">
        <f>+'QTR Raw'!N85</f>
        <v>1.5029999999999999</v>
      </c>
      <c r="AU162" s="23">
        <f t="shared" si="1233"/>
        <v>1.5029999999999999</v>
      </c>
      <c r="AV162" s="23">
        <f>+'QTR Raw'!P85</f>
        <v>1.3140000000000001</v>
      </c>
      <c r="AW162" s="23">
        <f t="shared" si="1233"/>
        <v>1.3140000000000001</v>
      </c>
      <c r="AX162" s="23">
        <f>+'QTR Raw'!R85</f>
        <v>1.0860000000000001</v>
      </c>
      <c r="AY162" s="23">
        <f t="shared" si="1233"/>
        <v>1.0860000000000001</v>
      </c>
      <c r="AZ162" s="23">
        <f>+'QTR Raw'!T85</f>
        <v>2.052</v>
      </c>
      <c r="BA162" s="23">
        <f t="shared" si="1233"/>
        <v>2.052</v>
      </c>
      <c r="BB162" s="23">
        <f>+'QTR Raw'!V85</f>
        <v>0.182</v>
      </c>
      <c r="BC162" s="23">
        <f t="shared" si="1233"/>
        <v>0.182</v>
      </c>
      <c r="BD162" s="23">
        <f>+'QTR Raw'!X85</f>
        <v>0</v>
      </c>
      <c r="BE162" s="23">
        <f t="shared" si="1233"/>
        <v>0</v>
      </c>
      <c r="BF162" s="23">
        <f>+'QTR Raw'!Z85</f>
        <v>9.9000000000000005E-2</v>
      </c>
      <c r="BG162" s="23">
        <f t="shared" si="1233"/>
        <v>9.9000000000000005E-2</v>
      </c>
      <c r="BH162" s="23">
        <f>+'QTR Raw'!AB85</f>
        <v>0</v>
      </c>
      <c r="BI162" s="23">
        <f t="shared" si="1233"/>
        <v>0</v>
      </c>
      <c r="BJ162" s="23">
        <f>+'QTR Raw'!AD85</f>
        <v>0</v>
      </c>
      <c r="BK162" s="23">
        <f t="shared" si="1233"/>
        <v>0</v>
      </c>
      <c r="BL162" s="23">
        <f>+'QTR Raw'!AF85</f>
        <v>0</v>
      </c>
      <c r="BM162" s="23">
        <f t="shared" si="1233"/>
        <v>0</v>
      </c>
      <c r="BN162" s="23">
        <f>+'QTR Raw'!AH85</f>
        <v>0</v>
      </c>
      <c r="BO162" s="23">
        <f t="shared" si="1233"/>
        <v>0</v>
      </c>
      <c r="BP162" s="23">
        <f>+'QTR Raw'!AJ85</f>
        <v>0</v>
      </c>
      <c r="BQ162" s="23">
        <f t="shared" si="1233"/>
        <v>0</v>
      </c>
      <c r="BR162" s="23">
        <f>+'QTR Raw'!AL85</f>
        <v>0</v>
      </c>
      <c r="BS162" s="23">
        <f t="shared" si="1233"/>
        <v>0</v>
      </c>
      <c r="BT162" s="23">
        <f>+'QTR Raw'!AN85</f>
        <v>0</v>
      </c>
      <c r="BU162" s="23">
        <f t="shared" si="1233"/>
        <v>0</v>
      </c>
      <c r="BV162" s="23">
        <f>+'QTR Raw'!AP85</f>
        <v>0</v>
      </c>
      <c r="BW162" s="23">
        <f t="shared" si="1233"/>
        <v>0</v>
      </c>
      <c r="BX162" s="23">
        <f>+'QTR Raw'!AR85</f>
        <v>0</v>
      </c>
      <c r="BY162" s="23">
        <f t="shared" si="1233"/>
        <v>0</v>
      </c>
      <c r="BZ162" s="23">
        <f>+'QTR Raw'!AT85</f>
        <v>0</v>
      </c>
      <c r="CA162" s="23">
        <f t="shared" si="1233"/>
        <v>0</v>
      </c>
      <c r="CB162" s="23">
        <f>+'QTR Raw'!AV85</f>
        <v>0</v>
      </c>
      <c r="CC162" s="23">
        <f t="shared" si="1233"/>
        <v>0</v>
      </c>
      <c r="CD162" s="23">
        <f>+'QTR Raw'!AX85</f>
        <v>0</v>
      </c>
      <c r="CE162" s="23">
        <f t="shared" si="1233"/>
        <v>0</v>
      </c>
      <c r="CF162" s="23">
        <f>+'QTR Raw'!AZ85</f>
        <v>0</v>
      </c>
      <c r="CG162" s="23">
        <f t="shared" si="1236"/>
        <v>0</v>
      </c>
      <c r="CH162" s="23">
        <f t="shared" si="1211"/>
        <v>25.034700000000001</v>
      </c>
      <c r="CJ162" s="23">
        <f>+'QTR Raw'!BD85</f>
        <v>0</v>
      </c>
      <c r="CK162" s="24"/>
      <c r="CL162" s="23">
        <f>+'QTR Raw'!BF85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2" customFormat="1" x14ac:dyDescent="0.2">
      <c r="A163" s="22" t="s">
        <v>65</v>
      </c>
      <c r="B163" s="22">
        <f>SUM(B157:B162)</f>
        <v>19.999851499999998</v>
      </c>
      <c r="C163" s="22">
        <f t="shared" ref="C163:V163" si="1238">SUM(C157:C162)</f>
        <v>9.0737054999999991</v>
      </c>
      <c r="D163" s="22">
        <f t="shared" si="1238"/>
        <v>7.7921664999999987</v>
      </c>
      <c r="E163" s="22">
        <f t="shared" si="1238"/>
        <v>7.6959803999999998</v>
      </c>
      <c r="F163" s="22">
        <f t="shared" si="1238"/>
        <v>8.0986834000000005</v>
      </c>
      <c r="G163" s="22">
        <f t="shared" si="1238"/>
        <v>10.394278</v>
      </c>
      <c r="H163" s="22">
        <f t="shared" si="1238"/>
        <v>10.7718287</v>
      </c>
      <c r="I163" s="22">
        <f t="shared" si="1238"/>
        <v>12.996865</v>
      </c>
      <c r="J163" s="22">
        <f t="shared" si="1238"/>
        <v>15.524606600000002</v>
      </c>
      <c r="K163" s="22">
        <f t="shared" si="1238"/>
        <v>12.2408389</v>
      </c>
      <c r="L163" s="22">
        <f>SUM(L157:L162)</f>
        <v>13.6284349</v>
      </c>
      <c r="M163" s="22">
        <f>SUM(M157:M162)</f>
        <v>13.381471700000001</v>
      </c>
      <c r="N163" s="22">
        <f t="shared" si="1238"/>
        <v>14.971586</v>
      </c>
      <c r="O163" s="22">
        <f t="shared" si="1238"/>
        <v>17.634663099999997</v>
      </c>
      <c r="P163" s="22">
        <f t="shared" si="1238"/>
        <v>17.191508200000001</v>
      </c>
      <c r="Q163" s="22">
        <f t="shared" si="1238"/>
        <v>18.029017600000003</v>
      </c>
      <c r="R163" s="22">
        <f t="shared" si="1238"/>
        <v>19.743097999999996</v>
      </c>
      <c r="S163" s="22">
        <f t="shared" si="1238"/>
        <v>19.9809418</v>
      </c>
      <c r="T163" s="22">
        <f t="shared" si="1238"/>
        <v>25.438496600000001</v>
      </c>
      <c r="U163" s="22">
        <f t="shared" si="1238"/>
        <v>44.740558600000007</v>
      </c>
      <c r="V163" s="22">
        <f t="shared" si="1238"/>
        <v>27.031300000000002</v>
      </c>
      <c r="W163" s="22">
        <f t="shared" ref="W163" si="1239">SUM(W157:W162)</f>
        <v>73.984399999999994</v>
      </c>
      <c r="X163" s="22">
        <f t="shared" ref="X163:Y163" si="1240">SUM(X157:X162)</f>
        <v>108.41199999999999</v>
      </c>
      <c r="Y163" s="22">
        <f t="shared" si="1240"/>
        <v>135.8074</v>
      </c>
      <c r="Z163" s="22">
        <f t="shared" ref="Z163:AA163" si="1241">SUM(Z157:Z162)</f>
        <v>162.60539999999997</v>
      </c>
      <c r="AA163" s="22">
        <f t="shared" ref="AA163" si="1242">SUM(AA157:AA162)</f>
        <v>211.67970000000003</v>
      </c>
      <c r="AB163" s="21">
        <f t="shared" ref="AB163:AD163" si="1243">SUM(AB157:AB162)</f>
        <v>247.52400934290094</v>
      </c>
      <c r="AC163" s="21">
        <f t="shared" si="1243"/>
        <v>284.50996803149178</v>
      </c>
      <c r="AD163" s="21">
        <f t="shared" si="1243"/>
        <v>327.02955625208682</v>
      </c>
      <c r="AE163" s="21">
        <f t="shared" ref="AE163" si="1244">SUM(AE157:AE162)</f>
        <v>375.91139200735824</v>
      </c>
      <c r="AJ163" s="22">
        <f t="shared" ref="AJ163" si="1245">SUM(AJ157:AJ162)</f>
        <v>20.728000000000002</v>
      </c>
      <c r="AK163" s="22">
        <f t="shared" ref="AK163" si="1246">SUM(AK157:AK162)</f>
        <v>66.806101127682794</v>
      </c>
      <c r="AL163" s="22">
        <f t="shared" ref="AL163:AM163" si="1247">SUM(AL157:AL162)</f>
        <v>14.972000000000001</v>
      </c>
      <c r="AM163" s="22">
        <f t="shared" si="1247"/>
        <v>3.2248961438188255</v>
      </c>
      <c r="AN163" s="22">
        <f t="shared" ref="AN163:AO163" si="1248">SUM(AN157:AN162)</f>
        <v>10.781000000000002</v>
      </c>
      <c r="AO163" s="22">
        <f t="shared" si="1248"/>
        <v>15.97989880952381</v>
      </c>
      <c r="AP163" s="22">
        <f t="shared" ref="AP163:CE163" si="1249">SUM(AP157:AP162)</f>
        <v>17.634</v>
      </c>
      <c r="AQ163" s="22">
        <f t="shared" si="1249"/>
        <v>23.791692999357739</v>
      </c>
      <c r="AR163" s="22">
        <f t="shared" si="1249"/>
        <v>19.163</v>
      </c>
      <c r="AS163" s="22">
        <f t="shared" si="1249"/>
        <v>13.316854580707709</v>
      </c>
      <c r="AT163" s="22">
        <f t="shared" si="1249"/>
        <v>17.190999999999999</v>
      </c>
      <c r="AU163" s="22">
        <f t="shared" si="1249"/>
        <v>15.367431613819212</v>
      </c>
      <c r="AV163" s="22">
        <f t="shared" si="1249"/>
        <v>21.942</v>
      </c>
      <c r="AW163" s="22">
        <f t="shared" si="1249"/>
        <v>21.816344863459037</v>
      </c>
      <c r="AX163" s="22">
        <f t="shared" si="1249"/>
        <v>18.028999999999996</v>
      </c>
      <c r="AY163" s="22">
        <f t="shared" si="1249"/>
        <v>11.352679330961934</v>
      </c>
      <c r="AZ163" s="22">
        <f t="shared" si="1249"/>
        <v>18.099999999999998</v>
      </c>
      <c r="BA163" s="22">
        <f t="shared" si="1249"/>
        <v>19.067690339091488</v>
      </c>
      <c r="BB163" s="22">
        <f t="shared" si="1249"/>
        <v>19.742999999999999</v>
      </c>
      <c r="BC163" s="22">
        <f t="shared" si="1249"/>
        <v>18.344467435549525</v>
      </c>
      <c r="BD163" s="22">
        <f t="shared" si="1249"/>
        <v>32.073</v>
      </c>
      <c r="BE163" s="22">
        <f t="shared" si="1249"/>
        <v>42.721215864313862</v>
      </c>
      <c r="BF163" s="22">
        <f t="shared" si="1249"/>
        <v>19.98</v>
      </c>
      <c r="BG163" s="22">
        <f t="shared" si="1249"/>
        <v>17.710203114041242</v>
      </c>
      <c r="BH163" s="22">
        <f t="shared" si="1249"/>
        <v>14.934000000000001</v>
      </c>
      <c r="BI163" s="22">
        <f t="shared" si="1249"/>
        <v>19.313765780071456</v>
      </c>
      <c r="BJ163" s="22">
        <f t="shared" si="1249"/>
        <v>25.437999999999999</v>
      </c>
      <c r="BK163" s="22">
        <f t="shared" si="1249"/>
        <v>16.75670053882288</v>
      </c>
      <c r="BL163" s="22">
        <f t="shared" si="1249"/>
        <v>20.957000000000001</v>
      </c>
      <c r="BM163" s="22">
        <f t="shared" si="1249"/>
        <v>31.937516809328862</v>
      </c>
      <c r="BN163" s="22">
        <f t="shared" si="1249"/>
        <v>47.780999999999992</v>
      </c>
      <c r="BO163" s="22">
        <f t="shared" si="1249"/>
        <v>30.864673089333458</v>
      </c>
      <c r="BP163" s="22">
        <f t="shared" si="1249"/>
        <v>42.165999999999997</v>
      </c>
      <c r="BQ163" s="22">
        <f t="shared" si="1249"/>
        <v>70.995603515781056</v>
      </c>
      <c r="BR163" s="22">
        <f t="shared" si="1249"/>
        <v>29.658999999999999</v>
      </c>
      <c r="BS163" s="22">
        <f t="shared" si="1249"/>
        <v>21.399617727006849</v>
      </c>
      <c r="BT163" s="22">
        <f t="shared" si="1249"/>
        <v>55.201999999999998</v>
      </c>
      <c r="BU163" s="22">
        <f t="shared" si="1249"/>
        <v>86.937980176211454</v>
      </c>
      <c r="BV163" s="22">
        <f t="shared" si="1249"/>
        <v>76.194999999999993</v>
      </c>
      <c r="BW163" s="22">
        <f t="shared" si="1249"/>
        <v>53.849832259307625</v>
      </c>
      <c r="BX163" s="22">
        <f t="shared" si="1249"/>
        <v>101.45599999999999</v>
      </c>
      <c r="BY163" s="22">
        <f t="shared" si="1249"/>
        <v>106.51889689440995</v>
      </c>
      <c r="BZ163" s="22">
        <f t="shared" si="1249"/>
        <v>110.208</v>
      </c>
      <c r="CA163" s="22">
        <f t="shared" si="1249"/>
        <v>136.59627033561134</v>
      </c>
      <c r="CB163" s="22">
        <f t="shared" si="1249"/>
        <v>129.55399999999997</v>
      </c>
      <c r="CC163" s="22">
        <f t="shared" si="1249"/>
        <v>139.06161327370106</v>
      </c>
      <c r="CD163" s="22">
        <f t="shared" si="1249"/>
        <v>141.05700000000002</v>
      </c>
      <c r="CE163" s="22">
        <f t="shared" si="1249"/>
        <v>167.45676640885037</v>
      </c>
      <c r="CF163" s="22">
        <f t="shared" ref="CF163:CG163" si="1250">SUM(CF157:CF162)</f>
        <v>186.39800000000002</v>
      </c>
      <c r="CG163" s="22">
        <f t="shared" si="1250"/>
        <v>173.10993151640403</v>
      </c>
      <c r="CH163" s="22">
        <f t="shared" ref="CH163:CI163" si="1251">SUM(CH157:CH162)</f>
        <v>162.60539999999997</v>
      </c>
      <c r="CI163" s="22">
        <f t="shared" si="1251"/>
        <v>171.35937415399601</v>
      </c>
      <c r="CJ163" s="22">
        <f t="shared" ref="CJ163:DB163" si="1252">SUM(CJ157:CJ162)</f>
        <v>190.25699999999998</v>
      </c>
      <c r="CK163" s="21">
        <f t="shared" si="1252"/>
        <v>177.54756598938968</v>
      </c>
      <c r="CL163" s="22">
        <f t="shared" ref="CL163" si="1253">SUM(CL157:CL162)</f>
        <v>211.67899999999997</v>
      </c>
      <c r="CM163" s="21">
        <f t="shared" si="1252"/>
        <v>198.14734381129941</v>
      </c>
      <c r="CN163" s="21">
        <f t="shared" si="1252"/>
        <v>214.78447214661728</v>
      </c>
      <c r="CO163" s="21">
        <f t="shared" si="1252"/>
        <v>198.74109700545227</v>
      </c>
      <c r="CP163" s="21">
        <f t="shared" si="1252"/>
        <v>247.52400934290094</v>
      </c>
      <c r="CQ163" s="21">
        <f t="shared" si="1252"/>
        <v>227.85583777893015</v>
      </c>
      <c r="CR163" s="21">
        <f t="shared" si="1252"/>
        <v>246.94846042335402</v>
      </c>
      <c r="CS163" s="21">
        <f t="shared" si="1252"/>
        <v>228.46640231722176</v>
      </c>
      <c r="CT163" s="21">
        <f t="shared" si="1252"/>
        <v>284.50996803149178</v>
      </c>
      <c r="CU163" s="21">
        <f t="shared" si="1252"/>
        <v>262.019245081299</v>
      </c>
      <c r="CV163" s="21">
        <f t="shared" si="1252"/>
        <v>283.93167868707559</v>
      </c>
      <c r="CW163" s="21">
        <f t="shared" si="1252"/>
        <v>262.64191750185176</v>
      </c>
      <c r="CX163" s="21">
        <f t="shared" si="1252"/>
        <v>327.02955625208682</v>
      </c>
      <c r="CY163" s="21">
        <f t="shared" si="1252"/>
        <v>301.30566664257623</v>
      </c>
      <c r="CZ163" s="21">
        <f t="shared" si="1252"/>
        <v>326.45647461037731</v>
      </c>
      <c r="DA163" s="21">
        <f t="shared" si="1252"/>
        <v>301.93431544788103</v>
      </c>
      <c r="DB163" s="21">
        <f t="shared" si="1252"/>
        <v>375.91139200735824</v>
      </c>
      <c r="DE163" s="126"/>
      <c r="DF163" s="22">
        <v>211.67899999999997</v>
      </c>
    </row>
    <row r="164" spans="1:110" s="23" customFormat="1" outlineLevel="1" x14ac:dyDescent="0.2">
      <c r="A164" s="23" t="s">
        <v>66</v>
      </c>
      <c r="B164" s="23">
        <f>'Annual Raw'!C50+'Annual Raw'!C58</f>
        <v>0</v>
      </c>
      <c r="C164" s="23">
        <f>'Annual Raw'!D50+'Annual Raw'!D58</f>
        <v>0</v>
      </c>
      <c r="D164" s="23">
        <f>'Annual Raw'!E50+'Annual Raw'!E58</f>
        <v>0</v>
      </c>
      <c r="E164" s="23">
        <f>'Annual Raw'!F50+'Annual Raw'!F58</f>
        <v>0</v>
      </c>
      <c r="F164" s="23">
        <f>'Annual Raw'!G50+'Annual Raw'!G58</f>
        <v>0</v>
      </c>
      <c r="G164" s="23">
        <f>'Annual Raw'!H50+'Annual Raw'!H58</f>
        <v>0</v>
      </c>
      <c r="H164" s="23">
        <f>'Annual Raw'!I50+'Annual Raw'!I58</f>
        <v>0</v>
      </c>
      <c r="I164" s="23">
        <f>'Annual Raw'!J50+'Annual Raw'!J58</f>
        <v>0</v>
      </c>
      <c r="J164" s="23">
        <f>'Annual Raw'!K50+'Annual Raw'!K58</f>
        <v>0</v>
      </c>
      <c r="K164" s="23">
        <f>'Annual Raw'!L50+'Annual Raw'!L58</f>
        <v>0</v>
      </c>
      <c r="L164" s="23">
        <f>'Annual Raw'!M50+'Annual Raw'!M58</f>
        <v>0</v>
      </c>
      <c r="M164" s="23">
        <f>'Annual Raw'!N50+'Annual Raw'!N58</f>
        <v>0</v>
      </c>
      <c r="N164" s="23">
        <f>'Annual Raw'!O50+'Annual Raw'!O58</f>
        <v>0</v>
      </c>
      <c r="O164" s="23">
        <f>'Annual Raw'!P50+'Annual Raw'!P58</f>
        <v>0</v>
      </c>
      <c r="P164" s="23">
        <f>'Annual Raw'!Q50+'Annual Raw'!Q58</f>
        <v>0</v>
      </c>
      <c r="Q164" s="23">
        <f>'Annual Raw'!R50+'Annual Raw'!R58</f>
        <v>0</v>
      </c>
      <c r="R164" s="23">
        <f>'Annual Raw'!S50+'Annual Raw'!S58</f>
        <v>0</v>
      </c>
      <c r="S164" s="23">
        <f>'Annual Raw'!T50+'Annual Raw'!T58</f>
        <v>0</v>
      </c>
      <c r="T164" s="23">
        <f>'Annual Raw'!U50+'Annual Raw'!U58</f>
        <v>0</v>
      </c>
      <c r="U164" s="23">
        <f>'Annual Raw'!V50+'Annual Raw'!V58</f>
        <v>3.2836476000000001</v>
      </c>
      <c r="V164" s="23">
        <f>'Annual Raw'!W50+'Annual Raw'!W58</f>
        <v>3.0628000000000002</v>
      </c>
      <c r="W164" s="23">
        <f>'Annual Raw'!X50+'Annual Raw'!X58</f>
        <v>2.7847</v>
      </c>
      <c r="X164" s="23">
        <f>'Annual Raw'!Y50+'Annual Raw'!Y58</f>
        <v>2.4407999999999999</v>
      </c>
      <c r="Y164" s="23">
        <f>'Annual Raw'!Z50+'Annual Raw'!Z58</f>
        <v>6.0015999999999998</v>
      </c>
      <c r="Z164" s="23">
        <f>'Annual Raw'!AA50+'Annual Raw'!AA58</f>
        <v>5.2187000000000001</v>
      </c>
      <c r="AA164" s="23">
        <f>'Annual Raw'!AB50+'Annual Raw'!AB58</f>
        <v>0</v>
      </c>
      <c r="AB164" s="24">
        <f t="shared" ref="AB164:AB170" si="1254">+CP164</f>
        <v>0</v>
      </c>
      <c r="AC164" s="24">
        <f t="shared" ref="AC164:AC170" si="1255">+CT164</f>
        <v>0</v>
      </c>
      <c r="AD164" s="24">
        <f t="shared" ref="AD164:AD170" si="1256">+CX164</f>
        <v>0</v>
      </c>
      <c r="AE164" s="24">
        <f t="shared" ref="AE164:AE170" si="1257">+DB164</f>
        <v>0</v>
      </c>
      <c r="AJ164" s="23">
        <f>+'QTR Raw'!D64</f>
        <v>0</v>
      </c>
      <c r="AK164" s="23">
        <f t="shared" ref="AK164:CE170" si="1258">+AJ164</f>
        <v>0</v>
      </c>
      <c r="AL164" s="23">
        <f>+'QTR Raw'!F64</f>
        <v>0</v>
      </c>
      <c r="AM164" s="23">
        <f t="shared" si="1258"/>
        <v>0</v>
      </c>
      <c r="AN164" s="23">
        <f>+'QTR Raw'!H64</f>
        <v>0</v>
      </c>
      <c r="AO164" s="23">
        <f t="shared" si="1258"/>
        <v>0</v>
      </c>
      <c r="AP164" s="23">
        <f>+'QTR Raw'!J64</f>
        <v>0</v>
      </c>
      <c r="AQ164" s="23">
        <f t="shared" si="1258"/>
        <v>0</v>
      </c>
      <c r="AR164" s="23">
        <f>+'QTR Raw'!L64</f>
        <v>0</v>
      </c>
      <c r="AS164" s="23">
        <f t="shared" si="1258"/>
        <v>0</v>
      </c>
      <c r="AT164" s="23">
        <f>+'QTR Raw'!N64</f>
        <v>0</v>
      </c>
      <c r="AU164" s="23">
        <f t="shared" si="1258"/>
        <v>0</v>
      </c>
      <c r="AV164" s="23">
        <f>+'QTR Raw'!P64</f>
        <v>0</v>
      </c>
      <c r="AW164" s="23">
        <f t="shared" si="1258"/>
        <v>0</v>
      </c>
      <c r="AX164" s="23">
        <f>+'QTR Raw'!R64</f>
        <v>0</v>
      </c>
      <c r="AY164" s="23">
        <f t="shared" si="1258"/>
        <v>0</v>
      </c>
      <c r="AZ164" s="23">
        <f>+'QTR Raw'!T64</f>
        <v>0</v>
      </c>
      <c r="BA164" s="23">
        <f t="shared" si="1258"/>
        <v>0</v>
      </c>
      <c r="BB164" s="23">
        <f>+'QTR Raw'!V64</f>
        <v>0</v>
      </c>
      <c r="BC164" s="23">
        <f t="shared" si="1258"/>
        <v>0</v>
      </c>
      <c r="BD164" s="23">
        <f>+'QTR Raw'!X64</f>
        <v>0</v>
      </c>
      <c r="BE164" s="23">
        <f t="shared" si="1258"/>
        <v>0</v>
      </c>
      <c r="BF164" s="23">
        <f>+'QTR Raw'!Z64</f>
        <v>0</v>
      </c>
      <c r="BG164" s="23">
        <f t="shared" si="1258"/>
        <v>0</v>
      </c>
      <c r="BH164" s="23">
        <f>+'QTR Raw'!AB64</f>
        <v>1.238</v>
      </c>
      <c r="BI164" s="23">
        <f t="shared" si="1258"/>
        <v>1.238</v>
      </c>
      <c r="BJ164" s="23">
        <f>+'QTR Raw'!AD64</f>
        <v>0</v>
      </c>
      <c r="BK164" s="23">
        <f t="shared" si="1258"/>
        <v>0</v>
      </c>
      <c r="BL164" s="23">
        <f>+'QTR Raw'!AF64</f>
        <v>0</v>
      </c>
      <c r="BM164" s="23">
        <f t="shared" si="1258"/>
        <v>0</v>
      </c>
      <c r="BN164" s="23">
        <f>+'QTR Raw'!AH64</f>
        <v>3.2839999999999998</v>
      </c>
      <c r="BO164" s="23">
        <f t="shared" si="1258"/>
        <v>3.2839999999999998</v>
      </c>
      <c r="BP164" s="23">
        <f>+'QTR Raw'!AJ64</f>
        <v>3.181</v>
      </c>
      <c r="BQ164" s="23">
        <f t="shared" si="1258"/>
        <v>3.181</v>
      </c>
      <c r="BR164" s="23">
        <f>+'QTR Raw'!AL64</f>
        <v>3.0630000000000002</v>
      </c>
      <c r="BS164" s="23">
        <f t="shared" si="1258"/>
        <v>3.0630000000000002</v>
      </c>
      <c r="BT164" s="23">
        <f>+'QTR Raw'!AN64</f>
        <v>2.9329999999999998</v>
      </c>
      <c r="BU164" s="23">
        <f t="shared" si="1258"/>
        <v>2.9329999999999998</v>
      </c>
      <c r="BV164" s="23">
        <f>+'QTR Raw'!AP64</f>
        <v>2.7850000000000001</v>
      </c>
      <c r="BW164" s="23">
        <f t="shared" si="1258"/>
        <v>2.7850000000000001</v>
      </c>
      <c r="BX164" s="23">
        <f>+'QTR Raw'!AR64</f>
        <v>2.6230000000000002</v>
      </c>
      <c r="BY164" s="23">
        <f t="shared" si="1258"/>
        <v>2.6230000000000002</v>
      </c>
      <c r="BZ164" s="23">
        <f>+'QTR Raw'!AT64</f>
        <v>2.4409999999999998</v>
      </c>
      <c r="CA164" s="23">
        <f t="shared" si="1258"/>
        <v>2.4409999999999998</v>
      </c>
      <c r="CB164" s="23">
        <f>+'QTR Raw'!AV64</f>
        <v>2.2429999999999999</v>
      </c>
      <c r="CC164" s="23">
        <f t="shared" si="1258"/>
        <v>2.2429999999999999</v>
      </c>
      <c r="CD164" s="23">
        <f>+'QTR Raw'!AX64</f>
        <v>6.0019999999999998</v>
      </c>
      <c r="CE164" s="23">
        <f t="shared" si="1258"/>
        <v>6.0019999999999998</v>
      </c>
      <c r="CF164" s="23">
        <f>+'QTR Raw'!AZ64</f>
        <v>5.6120000000000001</v>
      </c>
      <c r="CG164" s="23">
        <f t="shared" ref="CG164:CG167" si="1259">+CF164</f>
        <v>5.6120000000000001</v>
      </c>
      <c r="CH164" s="23">
        <f t="shared" si="1211"/>
        <v>5.2187000000000001</v>
      </c>
      <c r="CJ164" s="23">
        <f>+'QTR Raw'!BD64</f>
        <v>0</v>
      </c>
      <c r="CK164" s="24"/>
      <c r="CL164" s="23">
        <f>+'QTR Raw'!BF64</f>
        <v>0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67</v>
      </c>
      <c r="B165" s="23">
        <f>'Annual Raw'!C51</f>
        <v>0</v>
      </c>
      <c r="C165" s="23">
        <f>'Annual Raw'!D51</f>
        <v>0</v>
      </c>
      <c r="D165" s="23">
        <f>'Annual Raw'!E51</f>
        <v>0</v>
      </c>
      <c r="E165" s="23">
        <f>'Annual Raw'!F51</f>
        <v>0</v>
      </c>
      <c r="F165" s="23">
        <f>'Annual Raw'!G51</f>
        <v>0</v>
      </c>
      <c r="G165" s="23">
        <f>'Annual Raw'!H51</f>
        <v>0</v>
      </c>
      <c r="H165" s="23">
        <f>'Annual Raw'!I51</f>
        <v>0</v>
      </c>
      <c r="I165" s="23">
        <f>'Annual Raw'!J51</f>
        <v>0</v>
      </c>
      <c r="J165" s="23">
        <f>'Annual Raw'!K51</f>
        <v>0</v>
      </c>
      <c r="K165" s="23">
        <f>'Annual Raw'!L51</f>
        <v>0</v>
      </c>
      <c r="L165" s="23">
        <f>'Annual Raw'!M51</f>
        <v>0</v>
      </c>
      <c r="M165" s="23">
        <f>'Annual Raw'!N51</f>
        <v>0</v>
      </c>
      <c r="N165" s="23">
        <f>'Annual Raw'!O51</f>
        <v>0</v>
      </c>
      <c r="O165" s="23">
        <f>'Annual Raw'!P51</f>
        <v>0</v>
      </c>
      <c r="P165" s="23">
        <f>'Annual Raw'!Q51</f>
        <v>0</v>
      </c>
      <c r="Q165" s="23">
        <f>'Annual Raw'!R51</f>
        <v>0</v>
      </c>
      <c r="R165" s="23">
        <f>'Annual Raw'!S51</f>
        <v>0</v>
      </c>
      <c r="S165" s="23">
        <f>'Annual Raw'!T51</f>
        <v>0</v>
      </c>
      <c r="T165" s="23">
        <f>'Annual Raw'!U51</f>
        <v>0</v>
      </c>
      <c r="U165" s="23">
        <f>'Annual Raw'!V51</f>
        <v>0</v>
      </c>
      <c r="V165" s="23">
        <f>'Annual Raw'!W51</f>
        <v>0</v>
      </c>
      <c r="W165" s="23">
        <f>'Annual Raw'!X51</f>
        <v>0</v>
      </c>
      <c r="X165" s="23">
        <f>'Annual Raw'!Y51</f>
        <v>0</v>
      </c>
      <c r="Y165" s="23">
        <f>'Annual Raw'!Z51</f>
        <v>0</v>
      </c>
      <c r="Z165" s="23">
        <f>'Annual Raw'!AA51</f>
        <v>0</v>
      </c>
      <c r="AA165" s="23">
        <f>'Annual Raw'!AB51</f>
        <v>0</v>
      </c>
      <c r="AB165" s="24">
        <f t="shared" si="1254"/>
        <v>0</v>
      </c>
      <c r="AC165" s="24">
        <f t="shared" si="1255"/>
        <v>0</v>
      </c>
      <c r="AD165" s="24">
        <f t="shared" si="1256"/>
        <v>0</v>
      </c>
      <c r="AE165" s="24">
        <f t="shared" si="1257"/>
        <v>0</v>
      </c>
      <c r="AJ165" s="23">
        <f>+'QTR Raw'!D65</f>
        <v>0</v>
      </c>
      <c r="AK165" s="23">
        <f t="shared" si="1258"/>
        <v>0</v>
      </c>
      <c r="AL165" s="23">
        <f>+'QTR Raw'!F65</f>
        <v>0</v>
      </c>
      <c r="AM165" s="23">
        <f t="shared" si="1258"/>
        <v>0</v>
      </c>
      <c r="AN165" s="23">
        <f>+'QTR Raw'!H65</f>
        <v>0</v>
      </c>
      <c r="AO165" s="23">
        <f t="shared" si="1258"/>
        <v>0</v>
      </c>
      <c r="AP165" s="23">
        <f>+'QTR Raw'!J65</f>
        <v>0</v>
      </c>
      <c r="AQ165" s="23">
        <f t="shared" si="1258"/>
        <v>0</v>
      </c>
      <c r="AR165" s="23">
        <f>+'QTR Raw'!L65</f>
        <v>0</v>
      </c>
      <c r="AS165" s="23">
        <f t="shared" si="1258"/>
        <v>0</v>
      </c>
      <c r="AT165" s="23">
        <f>+'QTR Raw'!N65</f>
        <v>0</v>
      </c>
      <c r="AU165" s="23">
        <f t="shared" si="1258"/>
        <v>0</v>
      </c>
      <c r="AV165" s="23">
        <f>+'QTR Raw'!P65</f>
        <v>0</v>
      </c>
      <c r="AW165" s="23">
        <f t="shared" si="1258"/>
        <v>0</v>
      </c>
      <c r="AX165" s="23">
        <f>+'QTR Raw'!R65</f>
        <v>0</v>
      </c>
      <c r="AY165" s="23">
        <f t="shared" si="1258"/>
        <v>0</v>
      </c>
      <c r="AZ165" s="23">
        <f>+'QTR Raw'!T65</f>
        <v>0</v>
      </c>
      <c r="BA165" s="23">
        <f t="shared" si="1258"/>
        <v>0</v>
      </c>
      <c r="BB165" s="23">
        <f>+'QTR Raw'!V65</f>
        <v>0</v>
      </c>
      <c r="BC165" s="23">
        <f t="shared" si="1258"/>
        <v>0</v>
      </c>
      <c r="BD165" s="23">
        <f>+'QTR Raw'!X65</f>
        <v>0</v>
      </c>
      <c r="BE165" s="23">
        <f t="shared" si="1258"/>
        <v>0</v>
      </c>
      <c r="BF165" s="23">
        <f>+'QTR Raw'!Z65</f>
        <v>0</v>
      </c>
      <c r="BG165" s="23">
        <f t="shared" si="1258"/>
        <v>0</v>
      </c>
      <c r="BH165" s="23">
        <f>+'QTR Raw'!AB65</f>
        <v>0</v>
      </c>
      <c r="BI165" s="23">
        <f t="shared" si="1258"/>
        <v>0</v>
      </c>
      <c r="BJ165" s="23">
        <f>+'QTR Raw'!AD65</f>
        <v>0</v>
      </c>
      <c r="BK165" s="23">
        <f t="shared" si="1258"/>
        <v>0</v>
      </c>
      <c r="BL165" s="23">
        <f>+'QTR Raw'!AF65</f>
        <v>0</v>
      </c>
      <c r="BM165" s="23">
        <f t="shared" si="1258"/>
        <v>0</v>
      </c>
      <c r="BN165" s="23">
        <f>+'QTR Raw'!AH65</f>
        <v>0</v>
      </c>
      <c r="BO165" s="23">
        <f t="shared" si="1258"/>
        <v>0</v>
      </c>
      <c r="BP165" s="23">
        <f>+'QTR Raw'!AJ65</f>
        <v>0</v>
      </c>
      <c r="BQ165" s="23">
        <f t="shared" si="1258"/>
        <v>0</v>
      </c>
      <c r="BR165" s="23">
        <f>+'QTR Raw'!AL65</f>
        <v>0</v>
      </c>
      <c r="BS165" s="23">
        <f t="shared" si="1258"/>
        <v>0</v>
      </c>
      <c r="BT165" s="23">
        <f>+'QTR Raw'!AN65</f>
        <v>0</v>
      </c>
      <c r="BU165" s="23">
        <f t="shared" si="1258"/>
        <v>0</v>
      </c>
      <c r="BV165" s="23">
        <f>+'QTR Raw'!AP65</f>
        <v>0</v>
      </c>
      <c r="BW165" s="23">
        <f t="shared" si="1258"/>
        <v>0</v>
      </c>
      <c r="BX165" s="23">
        <f>+'QTR Raw'!AR65</f>
        <v>0</v>
      </c>
      <c r="BY165" s="23">
        <f t="shared" si="1258"/>
        <v>0</v>
      </c>
      <c r="BZ165" s="23">
        <f>+'QTR Raw'!AT65</f>
        <v>0</v>
      </c>
      <c r="CA165" s="23">
        <f t="shared" si="1258"/>
        <v>0</v>
      </c>
      <c r="CB165" s="23">
        <f>+'QTR Raw'!AV65</f>
        <v>0</v>
      </c>
      <c r="CC165" s="23">
        <f t="shared" si="1258"/>
        <v>0</v>
      </c>
      <c r="CD165" s="23">
        <f>+'QTR Raw'!AX65</f>
        <v>0</v>
      </c>
      <c r="CE165" s="23">
        <f t="shared" si="1258"/>
        <v>0</v>
      </c>
      <c r="CF165" s="23">
        <f>+'QTR Raw'!AZ65</f>
        <v>0</v>
      </c>
      <c r="CG165" s="23">
        <f t="shared" si="1259"/>
        <v>0</v>
      </c>
      <c r="CH165" s="23">
        <f t="shared" si="1211"/>
        <v>0</v>
      </c>
      <c r="CJ165" s="23">
        <f>+'QTR Raw'!BD65</f>
        <v>0</v>
      </c>
      <c r="CK165" s="24"/>
      <c r="CL165" s="23">
        <f>+'QTR Raw'!BF65</f>
        <v>0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3" customFormat="1" outlineLevel="1" x14ac:dyDescent="0.2">
      <c r="A166" s="23" t="s">
        <v>68</v>
      </c>
      <c r="B166" s="23">
        <f>'Annual Raw'!C52</f>
        <v>0</v>
      </c>
      <c r="C166" s="23">
        <f>'Annual Raw'!D52</f>
        <v>0</v>
      </c>
      <c r="D166" s="23">
        <f>'Annual Raw'!E52</f>
        <v>0</v>
      </c>
      <c r="E166" s="23">
        <f>'Annual Raw'!F52</f>
        <v>0</v>
      </c>
      <c r="F166" s="23">
        <f>'Annual Raw'!G52</f>
        <v>0</v>
      </c>
      <c r="G166" s="23">
        <f>'Annual Raw'!H52</f>
        <v>0</v>
      </c>
      <c r="H166" s="23">
        <f>'Annual Raw'!I52</f>
        <v>0</v>
      </c>
      <c r="I166" s="23">
        <f>'Annual Raw'!J52</f>
        <v>0</v>
      </c>
      <c r="J166" s="23">
        <f>'Annual Raw'!K52</f>
        <v>0</v>
      </c>
      <c r="K166" s="23">
        <f>'Annual Raw'!L52</f>
        <v>0</v>
      </c>
      <c r="L166" s="23">
        <f>'Annual Raw'!M52</f>
        <v>0.1176889</v>
      </c>
      <c r="M166" s="23">
        <f>'Annual Raw'!N52</f>
        <v>0.16656850000000001</v>
      </c>
      <c r="N166" s="23">
        <f>'Annual Raw'!O52</f>
        <v>4.7427799999999999E-2</v>
      </c>
      <c r="O166" s="23">
        <f>'Annual Raw'!P52</f>
        <v>0.1944253</v>
      </c>
      <c r="P166" s="23">
        <f>'Annual Raw'!Q52</f>
        <v>0.2709357</v>
      </c>
      <c r="Q166" s="23">
        <f>'Annual Raw'!R52</f>
        <v>0.2621212</v>
      </c>
      <c r="R166" s="23">
        <f>'Annual Raw'!S52</f>
        <v>0.25377630000000001</v>
      </c>
      <c r="S166" s="23">
        <f>'Annual Raw'!T52</f>
        <v>0.53311739999999996</v>
      </c>
      <c r="T166" s="23">
        <f>'Annual Raw'!U52</f>
        <v>0.36459170000000002</v>
      </c>
      <c r="U166" s="23">
        <f>'Annual Raw'!V52</f>
        <v>0.37567739999999999</v>
      </c>
      <c r="V166" s="23">
        <f>'Annual Raw'!W52</f>
        <v>8.4099999999999994E-2</v>
      </c>
      <c r="W166" s="23">
        <f>'Annual Raw'!X52</f>
        <v>0.22090000000000001</v>
      </c>
      <c r="X166" s="23">
        <f>'Annual Raw'!Y52</f>
        <v>0.62</v>
      </c>
      <c r="Y166" s="23">
        <f>'Annual Raw'!Z52</f>
        <v>0.6089</v>
      </c>
      <c r="Z166" s="23">
        <f>'Annual Raw'!AA52</f>
        <v>0.98009999999999997</v>
      </c>
      <c r="AA166" s="23">
        <f>'Annual Raw'!AB52</f>
        <v>0.61329999999999996</v>
      </c>
      <c r="AB166" s="24">
        <f t="shared" si="1254"/>
        <v>0</v>
      </c>
      <c r="AC166" s="24">
        <f t="shared" si="1255"/>
        <v>0</v>
      </c>
      <c r="AD166" s="24">
        <f t="shared" si="1256"/>
        <v>0</v>
      </c>
      <c r="AE166" s="24">
        <f t="shared" si="1257"/>
        <v>0</v>
      </c>
      <c r="AJ166" s="23">
        <f>+'QTR Raw'!D66</f>
        <v>0.16600000000000001</v>
      </c>
      <c r="AK166" s="23">
        <f t="shared" si="1258"/>
        <v>0.16600000000000001</v>
      </c>
      <c r="AL166" s="23">
        <f>+'QTR Raw'!F66</f>
        <v>4.7E-2</v>
      </c>
      <c r="AM166" s="23">
        <f t="shared" si="1258"/>
        <v>4.7E-2</v>
      </c>
      <c r="AN166" s="23">
        <f>+'QTR Raw'!H66</f>
        <v>4.7E-2</v>
      </c>
      <c r="AO166" s="23">
        <f t="shared" si="1258"/>
        <v>4.7E-2</v>
      </c>
      <c r="AP166" s="23">
        <f>+'QTR Raw'!J66</f>
        <v>0.19400000000000001</v>
      </c>
      <c r="AQ166" s="23">
        <f t="shared" si="1258"/>
        <v>0.19400000000000001</v>
      </c>
      <c r="AR166" s="23">
        <f>+'QTR Raw'!L66</f>
        <v>4.3999999999999997E-2</v>
      </c>
      <c r="AS166" s="23">
        <f t="shared" si="1258"/>
        <v>4.3999999999999997E-2</v>
      </c>
      <c r="AT166" s="23">
        <f>+'QTR Raw'!N66</f>
        <v>0.27100000000000002</v>
      </c>
      <c r="AU166" s="23">
        <f t="shared" si="1258"/>
        <v>0.27100000000000002</v>
      </c>
      <c r="AV166" s="23">
        <f>+'QTR Raw'!P66</f>
        <v>0.184</v>
      </c>
      <c r="AW166" s="23">
        <f t="shared" si="1258"/>
        <v>0.184</v>
      </c>
      <c r="AX166" s="23">
        <f>+'QTR Raw'!R66</f>
        <v>0.26200000000000001</v>
      </c>
      <c r="AY166" s="23">
        <f t="shared" si="1258"/>
        <v>0.26200000000000001</v>
      </c>
      <c r="AZ166" s="23">
        <f>+'QTR Raw'!T66</f>
        <v>0.26200000000000001</v>
      </c>
      <c r="BA166" s="23">
        <f t="shared" si="1258"/>
        <v>0.26200000000000001</v>
      </c>
      <c r="BB166" s="23">
        <f>+'QTR Raw'!V66</f>
        <v>0.254</v>
      </c>
      <c r="BC166" s="23">
        <f t="shared" si="1258"/>
        <v>0.254</v>
      </c>
      <c r="BD166" s="23">
        <f>+'QTR Raw'!X66</f>
        <v>0.104</v>
      </c>
      <c r="BE166" s="23">
        <f t="shared" si="1258"/>
        <v>0.104</v>
      </c>
      <c r="BF166" s="23">
        <f>+'QTR Raw'!Z66</f>
        <v>0.53300000000000003</v>
      </c>
      <c r="BG166" s="23">
        <f t="shared" si="1258"/>
        <v>0.53300000000000003</v>
      </c>
      <c r="BH166" s="23">
        <f>+'QTR Raw'!AB66</f>
        <v>0</v>
      </c>
      <c r="BI166" s="23">
        <f t="shared" si="1258"/>
        <v>0</v>
      </c>
      <c r="BJ166" s="23">
        <f>+'QTR Raw'!AD66</f>
        <v>0.36499999999999999</v>
      </c>
      <c r="BK166" s="23">
        <f t="shared" si="1258"/>
        <v>0.36499999999999999</v>
      </c>
      <c r="BL166" s="23">
        <f>+'QTR Raw'!AF66</f>
        <v>0.2</v>
      </c>
      <c r="BM166" s="23">
        <f t="shared" si="1258"/>
        <v>0.2</v>
      </c>
      <c r="BN166" s="23">
        <f>+'QTR Raw'!AH66</f>
        <v>0.376</v>
      </c>
      <c r="BO166" s="23">
        <f t="shared" si="1258"/>
        <v>0.376</v>
      </c>
      <c r="BP166" s="23">
        <f>+'QTR Raw'!AJ66</f>
        <v>0.15</v>
      </c>
      <c r="BQ166" s="23">
        <f t="shared" si="1258"/>
        <v>0.15</v>
      </c>
      <c r="BR166" s="23">
        <f>+'QTR Raw'!AL66</f>
        <v>8.4000000000000005E-2</v>
      </c>
      <c r="BS166" s="23">
        <f t="shared" si="1258"/>
        <v>8.4000000000000005E-2</v>
      </c>
      <c r="BT166" s="23">
        <f>+'QTR Raw'!AN66</f>
        <v>0.15</v>
      </c>
      <c r="BU166" s="23">
        <f t="shared" si="1258"/>
        <v>0.15</v>
      </c>
      <c r="BV166" s="23">
        <f>+'QTR Raw'!AP66</f>
        <v>0.221</v>
      </c>
      <c r="BW166" s="23">
        <f t="shared" si="1258"/>
        <v>0.221</v>
      </c>
      <c r="BX166" s="23">
        <f>+'QTR Raw'!AR66</f>
        <v>0.15</v>
      </c>
      <c r="BY166" s="23">
        <f t="shared" si="1258"/>
        <v>0.15</v>
      </c>
      <c r="BZ166" s="23">
        <f>+'QTR Raw'!AT66</f>
        <v>0.62</v>
      </c>
      <c r="CA166" s="23">
        <f t="shared" si="1258"/>
        <v>0.62</v>
      </c>
      <c r="CB166" s="23">
        <f>+'QTR Raw'!AV66</f>
        <v>0.77</v>
      </c>
      <c r="CC166" s="23">
        <f t="shared" si="1258"/>
        <v>0.77</v>
      </c>
      <c r="CD166" s="23">
        <f>+'QTR Raw'!AX66</f>
        <v>0.60899999999999999</v>
      </c>
      <c r="CE166" s="23">
        <f t="shared" si="1258"/>
        <v>0.60899999999999999</v>
      </c>
      <c r="CF166" s="23">
        <f>+'QTR Raw'!AZ66</f>
        <v>0.35899999999999999</v>
      </c>
      <c r="CG166" s="23">
        <f t="shared" si="1259"/>
        <v>0.35899999999999999</v>
      </c>
      <c r="CH166" s="23">
        <f t="shared" si="1211"/>
        <v>0.98009999999999997</v>
      </c>
      <c r="CJ166" s="23">
        <f>+'QTR Raw'!BD66</f>
        <v>0.5</v>
      </c>
      <c r="CK166" s="24"/>
      <c r="CL166" s="23">
        <f>+'QTR Raw'!BF66</f>
        <v>0.61299999999999999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0.61299999999999999</v>
      </c>
    </row>
    <row r="167" spans="1:110" s="23" customFormat="1" outlineLevel="1" x14ac:dyDescent="0.2">
      <c r="A167" s="23" t="s">
        <v>69</v>
      </c>
      <c r="B167" s="23">
        <v>0</v>
      </c>
      <c r="C167" s="23">
        <v>0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>
        <v>0</v>
      </c>
      <c r="AB167" s="24">
        <f t="shared" si="1254"/>
        <v>41.166496199041148</v>
      </c>
      <c r="AC167" s="24">
        <f t="shared" si="1255"/>
        <v>47.317747270861403</v>
      </c>
      <c r="AD167" s="24">
        <f t="shared" si="1256"/>
        <v>54.389313667651116</v>
      </c>
      <c r="AE167" s="24">
        <f t="shared" si="1257"/>
        <v>62.519005454575321</v>
      </c>
      <c r="AJ167" s="23">
        <f>+'QTR Raw'!D87</f>
        <v>0</v>
      </c>
      <c r="AK167" s="23">
        <f t="shared" si="1258"/>
        <v>0</v>
      </c>
      <c r="AL167" s="23">
        <f>+'QTR Raw'!F87</f>
        <v>0</v>
      </c>
      <c r="AM167" s="23">
        <f t="shared" si="1258"/>
        <v>0</v>
      </c>
      <c r="AN167" s="23">
        <f>+'QTR Raw'!H87</f>
        <v>0</v>
      </c>
      <c r="AO167" s="23">
        <f t="shared" si="1258"/>
        <v>0</v>
      </c>
      <c r="AP167" s="23">
        <f>+'QTR Raw'!J87</f>
        <v>0</v>
      </c>
      <c r="AQ167" s="23">
        <f t="shared" si="1258"/>
        <v>0</v>
      </c>
      <c r="AR167" s="23">
        <f>+'QTR Raw'!L87</f>
        <v>0</v>
      </c>
      <c r="AS167" s="23">
        <f t="shared" si="1258"/>
        <v>0</v>
      </c>
      <c r="AT167" s="23">
        <f>+'QTR Raw'!N87</f>
        <v>0</v>
      </c>
      <c r="AU167" s="23">
        <f t="shared" si="1258"/>
        <v>0</v>
      </c>
      <c r="AV167" s="23">
        <f>+'QTR Raw'!P87</f>
        <v>0</v>
      </c>
      <c r="AW167" s="23">
        <f t="shared" si="1258"/>
        <v>0</v>
      </c>
      <c r="AX167" s="23">
        <f>+'QTR Raw'!R87</f>
        <v>0</v>
      </c>
      <c r="AY167" s="23">
        <f t="shared" si="1258"/>
        <v>0</v>
      </c>
      <c r="AZ167" s="23">
        <f>+'QTR Raw'!T87</f>
        <v>0</v>
      </c>
      <c r="BA167" s="23">
        <f t="shared" si="1258"/>
        <v>0</v>
      </c>
      <c r="BB167" s="23">
        <f>+'QTR Raw'!V87</f>
        <v>0</v>
      </c>
      <c r="BC167" s="23">
        <f t="shared" si="1258"/>
        <v>0</v>
      </c>
      <c r="BD167" s="23">
        <f>+'QTR Raw'!X87</f>
        <v>0</v>
      </c>
      <c r="BE167" s="23">
        <f t="shared" si="1258"/>
        <v>0</v>
      </c>
      <c r="BF167" s="23">
        <f>+'QTR Raw'!Z87</f>
        <v>0</v>
      </c>
      <c r="BG167" s="23">
        <f t="shared" si="1258"/>
        <v>0</v>
      </c>
      <c r="BH167" s="23">
        <f>+'QTR Raw'!AB87</f>
        <v>0</v>
      </c>
      <c r="BI167" s="23">
        <f t="shared" si="1258"/>
        <v>0</v>
      </c>
      <c r="BJ167" s="23">
        <f>+'QTR Raw'!AD87</f>
        <v>0</v>
      </c>
      <c r="BK167" s="23">
        <f t="shared" si="1258"/>
        <v>0</v>
      </c>
      <c r="BL167" s="23">
        <f>+'QTR Raw'!AF87</f>
        <v>0</v>
      </c>
      <c r="BM167" s="23">
        <f t="shared" si="1258"/>
        <v>0</v>
      </c>
      <c r="BN167" s="23">
        <f>+'QTR Raw'!AH87</f>
        <v>0</v>
      </c>
      <c r="BO167" s="23">
        <f t="shared" si="1258"/>
        <v>0</v>
      </c>
      <c r="BP167" s="23">
        <f>+'QTR Raw'!AJ87</f>
        <v>0</v>
      </c>
      <c r="BQ167" s="23">
        <f t="shared" si="1258"/>
        <v>0</v>
      </c>
      <c r="BR167" s="23">
        <f>+'QTR Raw'!AL87</f>
        <v>0</v>
      </c>
      <c r="BS167" s="23">
        <f t="shared" si="1258"/>
        <v>0</v>
      </c>
      <c r="BT167" s="23">
        <f>+'QTR Raw'!AN87</f>
        <v>0</v>
      </c>
      <c r="BU167" s="23">
        <f t="shared" si="1258"/>
        <v>0</v>
      </c>
      <c r="BV167" s="23">
        <f>+'QTR Raw'!AP87</f>
        <v>0</v>
      </c>
      <c r="BW167" s="23">
        <f t="shared" si="1258"/>
        <v>0</v>
      </c>
      <c r="BX167" s="23">
        <f>+'QTR Raw'!AR87</f>
        <v>0</v>
      </c>
      <c r="BY167" s="23">
        <f t="shared" si="1258"/>
        <v>0</v>
      </c>
      <c r="BZ167" s="23">
        <f>+'QTR Raw'!AT87</f>
        <v>0</v>
      </c>
      <c r="CA167" s="23">
        <f t="shared" si="1258"/>
        <v>0</v>
      </c>
      <c r="CB167" s="23">
        <f>+'QTR Raw'!AV87</f>
        <v>0</v>
      </c>
      <c r="CC167" s="23">
        <f t="shared" si="1258"/>
        <v>0</v>
      </c>
      <c r="CD167" s="23">
        <f>+'QTR Raw'!AX87</f>
        <v>0</v>
      </c>
      <c r="CE167" s="23">
        <f t="shared" si="1258"/>
        <v>0</v>
      </c>
      <c r="CF167" s="23">
        <f>+'QTR Raw'!AZ87</f>
        <v>0</v>
      </c>
      <c r="CG167" s="23">
        <f t="shared" si="1259"/>
        <v>0</v>
      </c>
      <c r="CH167" s="23">
        <f t="shared" si="1211"/>
        <v>0</v>
      </c>
      <c r="CI167" s="23">
        <f>CI25/90*CI199</f>
        <v>29.022002643064486</v>
      </c>
      <c r="CJ167" s="23">
        <f>+'QTR Raw'!BD87</f>
        <v>0</v>
      </c>
      <c r="CK167" s="24">
        <f t="shared" ref="CK167:DB167" si="1260">CK25/90*CK199</f>
        <v>22.421962755783323</v>
      </c>
      <c r="CL167" s="23">
        <f>+'QTR Raw'!BF87</f>
        <v>0</v>
      </c>
      <c r="CM167" s="24">
        <f t="shared" si="1260"/>
        <v>32.954507716291168</v>
      </c>
      <c r="CN167" s="24">
        <f t="shared" si="1260"/>
        <v>35.721480836179609</v>
      </c>
      <c r="CO167" s="24">
        <f t="shared" si="1260"/>
        <v>33.053256676746159</v>
      </c>
      <c r="CP167" s="24">
        <f t="shared" si="1260"/>
        <v>41.166496199041148</v>
      </c>
      <c r="CQ167" s="24">
        <f t="shared" si="1260"/>
        <v>37.895420750321179</v>
      </c>
      <c r="CR167" s="24">
        <f t="shared" si="1260"/>
        <v>41.070774848729357</v>
      </c>
      <c r="CS167" s="24">
        <f t="shared" si="1260"/>
        <v>37.996965658274057</v>
      </c>
      <c r="CT167" s="24">
        <f t="shared" si="1260"/>
        <v>47.317747270861403</v>
      </c>
      <c r="CU167" s="24">
        <f t="shared" si="1260"/>
        <v>43.577244427114337</v>
      </c>
      <c r="CV167" s="24">
        <f t="shared" si="1260"/>
        <v>47.221570151873834</v>
      </c>
      <c r="CW167" s="24">
        <f t="shared" si="1260"/>
        <v>43.680803035032739</v>
      </c>
      <c r="CX167" s="24">
        <f t="shared" si="1260"/>
        <v>54.389313667651116</v>
      </c>
      <c r="CY167" s="24">
        <f t="shared" si="1260"/>
        <v>50.111092711850965</v>
      </c>
      <c r="CZ167" s="24">
        <f t="shared" si="1260"/>
        <v>54.294002658073488</v>
      </c>
      <c r="DA167" s="24">
        <f t="shared" si="1260"/>
        <v>50.215645271106986</v>
      </c>
      <c r="DB167" s="24">
        <f t="shared" si="1260"/>
        <v>62.519005454575321</v>
      </c>
      <c r="DE167" s="123"/>
      <c r="DF167" s="23">
        <v>0</v>
      </c>
    </row>
    <row r="168" spans="1:110" s="23" customFormat="1" outlineLevel="1" x14ac:dyDescent="0.2">
      <c r="A168" s="23" t="s">
        <v>70</v>
      </c>
      <c r="B168" s="23">
        <f>'Annual Raw'!C54</f>
        <v>4.6506544999999999</v>
      </c>
      <c r="C168" s="23">
        <f>'Annual Raw'!D54</f>
        <v>0.90982450000000004</v>
      </c>
      <c r="D168" s="23">
        <f>'Annual Raw'!E54</f>
        <v>0.37430170000000001</v>
      </c>
      <c r="E168" s="23">
        <f>'Annual Raw'!F54</f>
        <v>1.7949584999999999</v>
      </c>
      <c r="F168" s="23">
        <f>'Annual Raw'!G54</f>
        <v>0.99757689999999999</v>
      </c>
      <c r="G168" s="23">
        <f>'Annual Raw'!H54</f>
        <v>8.2772691999999992</v>
      </c>
      <c r="H168" s="23">
        <f>'Annual Raw'!I54</f>
        <v>3.7189584999999998</v>
      </c>
      <c r="I168" s="23">
        <f>'Annual Raw'!J54</f>
        <v>1.6508387</v>
      </c>
      <c r="J168" s="23">
        <f>'Annual Raw'!K54</f>
        <v>1.0938097</v>
      </c>
      <c r="K168" s="23">
        <f>'Annual Raw'!L54</f>
        <v>0.81910430000000001</v>
      </c>
      <c r="L168" s="23">
        <f>'Annual Raw'!M54</f>
        <v>0.57172109999999998</v>
      </c>
      <c r="M168" s="23">
        <f>'Annual Raw'!N54</f>
        <v>0.63609740000000004</v>
      </c>
      <c r="N168" s="23">
        <f>'Annual Raw'!O54</f>
        <v>0.24710019999999999</v>
      </c>
      <c r="O168" s="23">
        <f>'Annual Raw'!P54</f>
        <v>1.0612505000000001</v>
      </c>
      <c r="P168" s="23">
        <f>'Annual Raw'!Q54</f>
        <v>0.47239779999999998</v>
      </c>
      <c r="Q168" s="23">
        <f>'Annual Raw'!R54</f>
        <v>0.32246219999999998</v>
      </c>
      <c r="R168" s="23">
        <f>'Annual Raw'!S54</f>
        <v>0.50632960000000005</v>
      </c>
      <c r="S168" s="23">
        <f>'Annual Raw'!T54</f>
        <v>2.0514682</v>
      </c>
      <c r="T168" s="23">
        <f>'Annual Raw'!U54</f>
        <v>0.16770309999999999</v>
      </c>
      <c r="U168" s="23">
        <f>'Annual Raw'!V54</f>
        <v>1.5546134</v>
      </c>
      <c r="V168" s="23">
        <f>'Annual Raw'!W54</f>
        <v>0.3276</v>
      </c>
      <c r="W168" s="23">
        <f>'Annual Raw'!X54</f>
        <v>0.70609999999999995</v>
      </c>
      <c r="X168" s="23">
        <f>'Annual Raw'!Y54</f>
        <v>3.0537000000000001</v>
      </c>
      <c r="Y168" s="23">
        <f>'Annual Raw'!Z54</f>
        <v>5.8384999999999998</v>
      </c>
      <c r="Z168" s="23">
        <f>'Annual Raw'!AA54</f>
        <v>4.1517999999999997</v>
      </c>
      <c r="AA168" s="23">
        <f>'Annual Raw'!AB54</f>
        <v>1.9735</v>
      </c>
      <c r="AB168" s="24">
        <f t="shared" si="1254"/>
        <v>2.3082705154639176</v>
      </c>
      <c r="AC168" s="24">
        <f t="shared" si="1255"/>
        <v>2.6531808865979376</v>
      </c>
      <c r="AD168" s="24">
        <f t="shared" si="1256"/>
        <v>3.0496947927835043</v>
      </c>
      <c r="AE168" s="24">
        <f t="shared" si="1257"/>
        <v>3.5055394622164937</v>
      </c>
      <c r="AJ168" s="23">
        <f>+'QTR Raw'!D89</f>
        <v>2.0169999999999999</v>
      </c>
      <c r="AK168" s="23">
        <f>+AK198*AK25/90</f>
        <v>7.3181367770098218</v>
      </c>
      <c r="AL168" s="23">
        <f>+'QTR Raw'!F89</f>
        <v>0.247</v>
      </c>
      <c r="AM168" s="23">
        <f>+AM198*AM25/90</f>
        <v>1.9232149110860342E-2</v>
      </c>
      <c r="AN168" s="23">
        <f>+'QTR Raw'!H89</f>
        <v>0.93300000000000005</v>
      </c>
      <c r="AO168" s="23">
        <f>+AO198*AO25/90</f>
        <v>1.5013154761904761</v>
      </c>
      <c r="AP168" s="23">
        <f>+'QTR Raw'!J89</f>
        <v>1.0609999999999999</v>
      </c>
      <c r="AQ168" s="23">
        <f>+AQ198*AQ25/90</f>
        <v>1.4589601798330123</v>
      </c>
      <c r="AR168" s="23">
        <f>+'QTR Raw'!L89</f>
        <v>0.91500000000000004</v>
      </c>
      <c r="AS168" s="23">
        <f>+AS198*AS25/90</f>
        <v>0.57055550169655844</v>
      </c>
      <c r="AT168" s="23">
        <f>+'QTR Raw'!N89</f>
        <v>0.47199999999999998</v>
      </c>
      <c r="AU168" s="23">
        <f>+AU198*AU25/90</f>
        <v>0.41537340274491241</v>
      </c>
      <c r="AV168" s="23">
        <f>+'QTR Raw'!P89</f>
        <v>1.2470000000000001</v>
      </c>
      <c r="AW168" s="23">
        <f>+AW198*AW25/90</f>
        <v>1.2392163849154747</v>
      </c>
      <c r="AX168" s="23">
        <f>+'QTR Raw'!R89</f>
        <v>0.32200000000000001</v>
      </c>
      <c r="AY168" s="23">
        <f>+AY198*AY25/90</f>
        <v>0.19198637705290247</v>
      </c>
      <c r="AZ168" s="23">
        <f>+'QTR Raw'!T89</f>
        <v>1</v>
      </c>
      <c r="BA168" s="23">
        <f>+BA198*BA25/90</f>
        <v>1.0619321817018554</v>
      </c>
      <c r="BB168" s="23">
        <f>+'QTR Raw'!V89</f>
        <v>0.50600000000000001</v>
      </c>
      <c r="BC168" s="23">
        <f>+BC198*BC25/90</f>
        <v>0.46514925373134325</v>
      </c>
      <c r="BD168" s="23">
        <f>+'QTR Raw'!X89</f>
        <v>2.734</v>
      </c>
      <c r="BE168" s="23">
        <f>+BE198*BE25/90</f>
        <v>3.8375298954942605</v>
      </c>
      <c r="BF168" s="23">
        <f>+'QTR Raw'!Z89</f>
        <v>2.052</v>
      </c>
      <c r="BG168" s="23">
        <f>+BG198*BG25/90</f>
        <v>1.7532237340440455</v>
      </c>
      <c r="BH168" s="23">
        <f>+'QTR Raw'!AB89</f>
        <v>0.72699999999999998</v>
      </c>
      <c r="BI168" s="23">
        <f>+BI198*BI25/90</f>
        <v>1.0134420404922588</v>
      </c>
      <c r="BJ168" s="23">
        <f>+'QTR Raw'!AD89</f>
        <v>0.16800000000000001</v>
      </c>
      <c r="BK168" s="23">
        <f>+BK198*BK25/90</f>
        <v>0.10079303675048357</v>
      </c>
      <c r="BL168" s="23">
        <f>+'QTR Raw'!AF89</f>
        <v>0.29799999999999999</v>
      </c>
      <c r="BM168" s="23">
        <f>+BM198*BM25/90</f>
        <v>0.49833023198114379</v>
      </c>
      <c r="BN168" s="23">
        <f>+'QTR Raw'!AH89</f>
        <v>1.554</v>
      </c>
      <c r="BO168" s="23">
        <f>+BO198*BO25/90</f>
        <v>0.7972720567898961</v>
      </c>
      <c r="BP168" s="23">
        <f>+'QTR Raw'!AJ89</f>
        <v>6.5119999999999996</v>
      </c>
      <c r="BQ168" s="23">
        <f>+BQ198*BQ25/90</f>
        <v>13.001625569316818</v>
      </c>
      <c r="BR168" s="23">
        <f>+'QTR Raw'!AL89</f>
        <v>0.32800000000000001</v>
      </c>
      <c r="BS168" s="23">
        <f>+BS198*BS25/90</f>
        <v>0.15479640780373671</v>
      </c>
      <c r="BT168" s="23">
        <f>+'QTR Raw'!AN89</f>
        <v>2.66</v>
      </c>
      <c r="BU168" s="23">
        <f>+BU198*BU25/90</f>
        <v>5.0134348276755638</v>
      </c>
      <c r="BV168" s="23">
        <f>+'QTR Raw'!AP89</f>
        <v>0.70599999999999996</v>
      </c>
      <c r="BW168" s="23">
        <f>+BW198*BW25/90</f>
        <v>0.40793495900147719</v>
      </c>
      <c r="BX168" s="23">
        <f>+'QTR Raw'!AR89</f>
        <v>5.173</v>
      </c>
      <c r="BY168" s="23">
        <f>+BY198*BY25/90</f>
        <v>5.5271487922705314</v>
      </c>
      <c r="BZ168" s="23">
        <f>+'QTR Raw'!AT89</f>
        <v>3.0529999999999999</v>
      </c>
      <c r="CA168" s="23">
        <f>+CA198*CA25/90</f>
        <v>4.0071242504425957</v>
      </c>
      <c r="CB168" s="23">
        <f>+'QTR Raw'!AV89</f>
        <v>3.2210000000000001</v>
      </c>
      <c r="CC168" s="23">
        <f>+CC198*CC25/90</f>
        <v>3.5169386008503123</v>
      </c>
      <c r="CD168" s="23">
        <f>+'QTR Raw'!AX89</f>
        <v>5.8380000000000001</v>
      </c>
      <c r="CE168" s="23">
        <f>+CE198*CE25/90</f>
        <v>7.2363744163214481</v>
      </c>
      <c r="CF168" s="23">
        <f>+'QTR Raw'!AZ89</f>
        <v>7.5540000000000003</v>
      </c>
      <c r="CG168" s="23">
        <f>+CG198*CG25/90</f>
        <v>6.8964644019633168</v>
      </c>
      <c r="CH168" s="23">
        <f t="shared" si="1211"/>
        <v>4.1517999999999997</v>
      </c>
      <c r="CI168" s="23">
        <f>+CI198*CI25/90</f>
        <v>4.3753150240555403</v>
      </c>
      <c r="CJ168" s="23">
        <f>+'QTR Raw'!BD89</f>
        <v>10.545</v>
      </c>
      <c r="CK168" s="24">
        <f t="shared" ref="CK168:DB168" si="1261">+CK198*CK25/90</f>
        <v>9.8405792341838385</v>
      </c>
      <c r="CL168" s="23">
        <f>+'QTR Raw'!BF89</f>
        <v>1.974</v>
      </c>
      <c r="CM168" s="24">
        <f t="shared" si="1261"/>
        <v>1.8478113402061853</v>
      </c>
      <c r="CN168" s="24">
        <f t="shared" si="1261"/>
        <v>2.0029598969072162</v>
      </c>
      <c r="CO168" s="24">
        <f t="shared" si="1261"/>
        <v>1.8533483505154638</v>
      </c>
      <c r="CP168" s="24">
        <f t="shared" si="1261"/>
        <v>2.3082705154639176</v>
      </c>
      <c r="CQ168" s="24">
        <f t="shared" si="1261"/>
        <v>2.1248561443298963</v>
      </c>
      <c r="CR168" s="24">
        <f t="shared" si="1261"/>
        <v>2.3029032680412365</v>
      </c>
      <c r="CS168" s="24">
        <f t="shared" si="1261"/>
        <v>2.1305499278350508</v>
      </c>
      <c r="CT168" s="24">
        <f t="shared" si="1261"/>
        <v>2.6531808865979376</v>
      </c>
      <c r="CU168" s="24">
        <f t="shared" si="1261"/>
        <v>2.4434449793814421</v>
      </c>
      <c r="CV168" s="24">
        <f t="shared" si="1261"/>
        <v>2.6477880835051537</v>
      </c>
      <c r="CW168" s="24">
        <f t="shared" si="1261"/>
        <v>2.4492516742268036</v>
      </c>
      <c r="CX168" s="24">
        <f t="shared" si="1261"/>
        <v>3.0496947927835043</v>
      </c>
      <c r="CY168" s="24">
        <f t="shared" si="1261"/>
        <v>2.809808181030927</v>
      </c>
      <c r="CZ168" s="24">
        <f t="shared" si="1261"/>
        <v>3.0443505538144313</v>
      </c>
      <c r="DA168" s="24">
        <f t="shared" si="1261"/>
        <v>2.815670608298968</v>
      </c>
      <c r="DB168" s="24">
        <f t="shared" si="1261"/>
        <v>3.5055394622164937</v>
      </c>
      <c r="DE168" s="123"/>
      <c r="DF168" s="23">
        <v>1.974</v>
      </c>
    </row>
    <row r="169" spans="1:110" s="23" customFormat="1" outlineLevel="1" x14ac:dyDescent="0.2">
      <c r="A169" s="23" t="s">
        <v>71</v>
      </c>
      <c r="B169" s="23">
        <f>'Annual Raw'!C55-Template!B141</f>
        <v>0.76661820000000003</v>
      </c>
      <c r="C169" s="23">
        <f>'Annual Raw'!D55-Template!C141</f>
        <v>0.254917</v>
      </c>
      <c r="D169" s="23">
        <f>'Annual Raw'!E55-Template!D141</f>
        <v>0.35001480000000001</v>
      </c>
      <c r="E169" s="23">
        <f>'Annual Raw'!F55-Template!E141</f>
        <v>0.4709566</v>
      </c>
      <c r="F169" s="23">
        <f>'Annual Raw'!G55-Template!F141</f>
        <v>0.3669364</v>
      </c>
      <c r="G169" s="23">
        <f>'Annual Raw'!H55-Template!G141</f>
        <v>0.4927164</v>
      </c>
      <c r="H169" s="23">
        <f>'Annual Raw'!I55-Template!H141</f>
        <v>0.44321880000000002</v>
      </c>
      <c r="I169" s="23">
        <f>'Annual Raw'!J55-Template!I141</f>
        <v>0.31240879999999999</v>
      </c>
      <c r="J169" s="23">
        <f>'Annual Raw'!K55-Template!J141</f>
        <v>0.49760490000000002</v>
      </c>
      <c r="K169" s="23">
        <f>'Annual Raw'!L55-Template!K141</f>
        <v>0.44441530000000001</v>
      </c>
      <c r="L169" s="23">
        <f>'Annual Raw'!M55-Template!L141</f>
        <v>0.90792879999999998</v>
      </c>
      <c r="M169" s="23">
        <f>'Annual Raw'!N55-Template!M141</f>
        <v>1.0172306</v>
      </c>
      <c r="N169" s="23">
        <f>'Annual Raw'!O55-Template!N141</f>
        <v>1.3297085</v>
      </c>
      <c r="O169" s="23">
        <f>'Annual Raw'!P55-Template!O141</f>
        <v>1.1769139000000002</v>
      </c>
      <c r="P169" s="23">
        <f>'Annual Raw'!Q55-Template!P141</f>
        <v>0.74716260000000001</v>
      </c>
      <c r="Q169" s="23">
        <f>'Annual Raw'!R55-Template!Q141</f>
        <v>1.4164357000000001</v>
      </c>
      <c r="R169" s="23">
        <f>'Annual Raw'!S55-Template!R141</f>
        <v>1.0083755999999999</v>
      </c>
      <c r="S169" s="23">
        <f>'Annual Raw'!T55-Template!S141</f>
        <v>2.2612117</v>
      </c>
      <c r="T169" s="23">
        <f>'Annual Raw'!U55-Template!T141</f>
        <v>2.4525693</v>
      </c>
      <c r="U169" s="23">
        <f>'Annual Raw'!V55-Template!U141</f>
        <v>8.9172808999999997</v>
      </c>
      <c r="V169" s="23">
        <f>'Annual Raw'!W55-Template!V141</f>
        <v>16.337800000000001</v>
      </c>
      <c r="W169" s="23">
        <f>'Annual Raw'!X55-Template!W141</f>
        <v>8.8756000000000004</v>
      </c>
      <c r="X169" s="23">
        <f>'Annual Raw'!Y55-Template!X141</f>
        <v>5.7666000000000004</v>
      </c>
      <c r="Y169" s="23">
        <f>'Annual Raw'!Z55-Template!Y141</f>
        <v>19.530100000000001</v>
      </c>
      <c r="Z169" s="23">
        <f>'Annual Raw'!AA55-Template!Z141</f>
        <v>20.4832</v>
      </c>
      <c r="AA169" s="23">
        <f>'Annual Raw'!AB55-Template!AA141</f>
        <v>33.080599999999997</v>
      </c>
      <c r="AB169" s="24">
        <f t="shared" si="1254"/>
        <v>0</v>
      </c>
      <c r="AC169" s="24">
        <f t="shared" si="1255"/>
        <v>0</v>
      </c>
      <c r="AD169" s="24">
        <f t="shared" si="1256"/>
        <v>0</v>
      </c>
      <c r="AE169" s="24">
        <f t="shared" si="1257"/>
        <v>0</v>
      </c>
      <c r="AJ169" s="23">
        <f>+'QTR Raw'!D91</f>
        <v>0.66400000000000003</v>
      </c>
      <c r="AK169" s="23">
        <f t="shared" si="1258"/>
        <v>0.66400000000000003</v>
      </c>
      <c r="AL169" s="23">
        <f>+'QTR Raw'!F91</f>
        <v>1.33</v>
      </c>
      <c r="AM169" s="23">
        <f t="shared" si="1258"/>
        <v>1.33</v>
      </c>
      <c r="AN169" s="23">
        <f>+'QTR Raw'!H91</f>
        <v>1.0740000000000001</v>
      </c>
      <c r="AO169" s="23">
        <f t="shared" si="1258"/>
        <v>1.0740000000000001</v>
      </c>
      <c r="AP169" s="23">
        <f>+'QTR Raw'!J91</f>
        <v>2.1970000000000001</v>
      </c>
      <c r="AQ169" s="23">
        <f t="shared" si="1258"/>
        <v>2.1970000000000001</v>
      </c>
      <c r="AR169" s="23">
        <f>+'QTR Raw'!L91</f>
        <v>1.1759999999999999</v>
      </c>
      <c r="AS169" s="23">
        <f t="shared" si="1258"/>
        <v>1.1759999999999999</v>
      </c>
      <c r="AT169" s="23">
        <f>+'QTR Raw'!N91</f>
        <v>1.7669999999999999</v>
      </c>
      <c r="AU169" s="23">
        <f t="shared" si="1258"/>
        <v>1.7669999999999999</v>
      </c>
      <c r="AV169" s="23">
        <f>+'QTR Raw'!P91</f>
        <v>1.62</v>
      </c>
      <c r="AW169" s="23">
        <f t="shared" si="1258"/>
        <v>1.62</v>
      </c>
      <c r="AX169" s="23">
        <f>+'QTR Raw'!R91</f>
        <v>2.4359999999999999</v>
      </c>
      <c r="AY169" s="23">
        <f t="shared" si="1258"/>
        <v>2.4359999999999999</v>
      </c>
      <c r="AZ169" s="23">
        <f>+'QTR Raw'!T91</f>
        <v>1.444</v>
      </c>
      <c r="BA169" s="23">
        <f t="shared" si="1258"/>
        <v>1.444</v>
      </c>
      <c r="BB169" s="23">
        <f>+'QTR Raw'!V91</f>
        <v>2.028</v>
      </c>
      <c r="BC169" s="23">
        <f t="shared" si="1258"/>
        <v>2.028</v>
      </c>
      <c r="BD169" s="23">
        <f>+'QTR Raw'!X91</f>
        <v>1.1040000000000001</v>
      </c>
      <c r="BE169" s="23">
        <f t="shared" si="1258"/>
        <v>1.1040000000000001</v>
      </c>
      <c r="BF169" s="23">
        <f>+'QTR Raw'!Z91</f>
        <v>2.2610000000000001</v>
      </c>
      <c r="BG169" s="23">
        <f t="shared" si="1258"/>
        <v>2.2610000000000001</v>
      </c>
      <c r="BH169" s="23">
        <f>+'QTR Raw'!AB91</f>
        <v>2.552</v>
      </c>
      <c r="BI169" s="23">
        <f t="shared" si="1258"/>
        <v>2.552</v>
      </c>
      <c r="BJ169" s="23">
        <f>+'QTR Raw'!AD91</f>
        <v>2.5870000000000002</v>
      </c>
      <c r="BK169" s="23">
        <f t="shared" si="1258"/>
        <v>2.5870000000000002</v>
      </c>
      <c r="BL169" s="23">
        <f>+'QTR Raw'!AF91</f>
        <v>2.5270000000000001</v>
      </c>
      <c r="BM169" s="23">
        <f t="shared" si="1258"/>
        <v>2.5270000000000001</v>
      </c>
      <c r="BN169" s="23">
        <f>+'QTR Raw'!AH91</f>
        <v>8.9649999999999999</v>
      </c>
      <c r="BO169" s="23">
        <f t="shared" si="1258"/>
        <v>8.9649999999999999</v>
      </c>
      <c r="BP169" s="23">
        <f>+'QTR Raw'!AJ91</f>
        <v>5.4320000000000004</v>
      </c>
      <c r="BQ169" s="23">
        <f t="shared" si="1258"/>
        <v>5.4320000000000004</v>
      </c>
      <c r="BR169" s="23">
        <f>+'QTR Raw'!AL91</f>
        <v>16.338000000000001</v>
      </c>
      <c r="BS169" s="23">
        <f t="shared" si="1258"/>
        <v>16.338000000000001</v>
      </c>
      <c r="BT169" s="23">
        <f>+'QTR Raw'!AN91</f>
        <v>18.565000000000001</v>
      </c>
      <c r="BU169" s="23">
        <f t="shared" si="1258"/>
        <v>18.565000000000001</v>
      </c>
      <c r="BV169" s="23">
        <f>+'QTR Raw'!AP91</f>
        <v>8.8930000000000007</v>
      </c>
      <c r="BW169" s="23">
        <f t="shared" si="1258"/>
        <v>8.8930000000000007</v>
      </c>
      <c r="BX169" s="23">
        <f>+'QTR Raw'!AR91</f>
        <v>6.8550000000000004</v>
      </c>
      <c r="BY169" s="23">
        <f t="shared" si="1258"/>
        <v>6.8550000000000004</v>
      </c>
      <c r="BZ169" s="23">
        <f>+'QTR Raw'!AT91</f>
        <v>7.5039999999999996</v>
      </c>
      <c r="CA169" s="23">
        <f t="shared" si="1258"/>
        <v>7.5039999999999996</v>
      </c>
      <c r="CB169" s="23">
        <f>+'QTR Raw'!AV91</f>
        <v>23.5</v>
      </c>
      <c r="CC169" s="23">
        <f t="shared" si="1258"/>
        <v>23.5</v>
      </c>
      <c r="CD169" s="23">
        <f>+'QTR Raw'!AX91</f>
        <v>27.773</v>
      </c>
      <c r="CE169" s="23">
        <f t="shared" si="1258"/>
        <v>27.773</v>
      </c>
      <c r="CF169" s="23">
        <f>+'QTR Raw'!AZ91</f>
        <v>47.151000000000003</v>
      </c>
      <c r="CG169" s="23">
        <f t="shared" ref="CG169:CG170" si="1262">+CF169</f>
        <v>47.151000000000003</v>
      </c>
      <c r="CH169" s="23">
        <f t="shared" si="1211"/>
        <v>20.4832</v>
      </c>
      <c r="CJ169" s="23">
        <f>+'QTR Raw'!BD91</f>
        <v>23.527000000000001</v>
      </c>
      <c r="CK169" s="24"/>
      <c r="CL169" s="23">
        <f>+'QTR Raw'!BF91</f>
        <v>34.591999999999999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34.591999999999999</v>
      </c>
    </row>
    <row r="170" spans="1:110" s="23" customFormat="1" outlineLevel="1" x14ac:dyDescent="0.2">
      <c r="A170" s="23" t="s">
        <v>72</v>
      </c>
      <c r="B170" s="23">
        <f>'Annual Raw'!C57</f>
        <v>1.2517866</v>
      </c>
      <c r="C170" s="23">
        <f>'Annual Raw'!D57</f>
        <v>2.3925036999999998</v>
      </c>
      <c r="D170" s="23">
        <f>'Annual Raw'!E57</f>
        <v>2.4054622999999999</v>
      </c>
      <c r="E170" s="23">
        <f>'Annual Raw'!F57</f>
        <v>0</v>
      </c>
      <c r="F170" s="23">
        <f>'Annual Raw'!G57</f>
        <v>5.5E-2</v>
      </c>
      <c r="G170" s="23">
        <f>'Annual Raw'!H57</f>
        <v>0.17</v>
      </c>
      <c r="H170" s="23">
        <f>'Annual Raw'!I57</f>
        <v>1.5523108000000001</v>
      </c>
      <c r="I170" s="23">
        <f>'Annual Raw'!J57</f>
        <v>4.3887555999999996</v>
      </c>
      <c r="J170" s="23">
        <f>'Annual Raw'!K57</f>
        <v>5.1157421999999997</v>
      </c>
      <c r="K170" s="23">
        <f>'Annual Raw'!L57</f>
        <v>1.8810194</v>
      </c>
      <c r="L170" s="23">
        <f>'Annual Raw'!M57</f>
        <v>1.8845147</v>
      </c>
      <c r="M170" s="23">
        <f>'Annual Raw'!N57</f>
        <v>2.1242302999999998</v>
      </c>
      <c r="N170" s="23">
        <f>'Annual Raw'!O57</f>
        <v>3.7239103999999998</v>
      </c>
      <c r="O170" s="23">
        <f>'Annual Raw'!P57</f>
        <v>0.13488890000000001</v>
      </c>
      <c r="P170" s="23">
        <f>'Annual Raw'!Q57</f>
        <v>1.2014623</v>
      </c>
      <c r="Q170" s="23">
        <f>'Annual Raw'!R57</f>
        <v>1.0874071999999999</v>
      </c>
      <c r="R170" s="23">
        <f>'Annual Raw'!S57</f>
        <v>0</v>
      </c>
      <c r="S170" s="23">
        <f>'Annual Raw'!T57</f>
        <v>0</v>
      </c>
      <c r="T170" s="23">
        <f>'Annual Raw'!U57</f>
        <v>0.1351676</v>
      </c>
      <c r="U170" s="23">
        <f>'Annual Raw'!V57</f>
        <v>4.7248999999999999E-2</v>
      </c>
      <c r="V170" s="23">
        <f>'Annual Raw'!W57</f>
        <v>0</v>
      </c>
      <c r="W170" s="23">
        <f>'Annual Raw'!X57</f>
        <v>1.7600000000000001E-2</v>
      </c>
      <c r="X170" s="23">
        <f>'Annual Raw'!Y57</f>
        <v>1.7370000000000001</v>
      </c>
      <c r="Y170" s="23">
        <f>'Annual Raw'!Z57</f>
        <v>8.2432999999999996</v>
      </c>
      <c r="Z170" s="23">
        <f>'Annual Raw'!AA57</f>
        <v>0.85740000000000005</v>
      </c>
      <c r="AA170" s="23">
        <f>'Annual Raw'!AB57</f>
        <v>1.5114000000000001</v>
      </c>
      <c r="AB170" s="24">
        <f t="shared" si="1254"/>
        <v>0</v>
      </c>
      <c r="AC170" s="24">
        <f t="shared" si="1255"/>
        <v>0</v>
      </c>
      <c r="AD170" s="24">
        <f t="shared" si="1256"/>
        <v>0</v>
      </c>
      <c r="AE170" s="24">
        <f t="shared" si="1257"/>
        <v>0</v>
      </c>
      <c r="AJ170" s="23">
        <f>+'QTR Raw'!D92</f>
        <v>1.1579999999999999</v>
      </c>
      <c r="AK170" s="23">
        <f t="shared" si="1258"/>
        <v>1.1579999999999999</v>
      </c>
      <c r="AL170" s="23">
        <f>+'QTR Raw'!F92</f>
        <v>3.7240000000000002</v>
      </c>
      <c r="AM170" s="23">
        <f t="shared" si="1258"/>
        <v>3.7240000000000002</v>
      </c>
      <c r="AN170" s="23">
        <f>+'QTR Raw'!H92</f>
        <v>0.14599999999999999</v>
      </c>
      <c r="AO170" s="23">
        <f t="shared" si="1258"/>
        <v>0.14599999999999999</v>
      </c>
      <c r="AP170" s="23">
        <f>+'QTR Raw'!J92</f>
        <v>0.13500000000000001</v>
      </c>
      <c r="AQ170" s="23">
        <f t="shared" si="1258"/>
        <v>0.13500000000000001</v>
      </c>
      <c r="AR170" s="23">
        <f>+'QTR Raw'!L92</f>
        <v>0.19700000000000001</v>
      </c>
      <c r="AS170" s="23">
        <f t="shared" si="1258"/>
        <v>0.19700000000000001</v>
      </c>
      <c r="AT170" s="23">
        <f>+'QTR Raw'!N92</f>
        <v>1.202</v>
      </c>
      <c r="AU170" s="23">
        <f t="shared" si="1258"/>
        <v>1.202</v>
      </c>
      <c r="AV170" s="23">
        <f>+'QTR Raw'!P92</f>
        <v>0.90400000000000003</v>
      </c>
      <c r="AW170" s="23">
        <f t="shared" si="1258"/>
        <v>0.90400000000000003</v>
      </c>
      <c r="AX170" s="23">
        <f>+'QTR Raw'!R92</f>
        <v>1.0880000000000001</v>
      </c>
      <c r="AY170" s="23">
        <f t="shared" si="1258"/>
        <v>1.0880000000000001</v>
      </c>
      <c r="AZ170" s="23">
        <f>+'QTR Raw'!T92</f>
        <v>0.69099999999999995</v>
      </c>
      <c r="BA170" s="23">
        <f t="shared" si="1258"/>
        <v>0.69099999999999995</v>
      </c>
      <c r="BB170" s="23">
        <f>+'QTR Raw'!V92</f>
        <v>0</v>
      </c>
      <c r="BC170" s="23">
        <f t="shared" si="1258"/>
        <v>0</v>
      </c>
      <c r="BD170" s="23">
        <f>+'QTR Raw'!X92</f>
        <v>7.931</v>
      </c>
      <c r="BE170" s="23">
        <f t="shared" si="1258"/>
        <v>7.931</v>
      </c>
      <c r="BF170" s="23">
        <f>+'QTR Raw'!Z92</f>
        <v>0</v>
      </c>
      <c r="BG170" s="23">
        <f t="shared" si="1258"/>
        <v>0</v>
      </c>
      <c r="BH170" s="23">
        <f>+'QTR Raw'!AB92</f>
        <v>0</v>
      </c>
      <c r="BI170" s="23">
        <f t="shared" si="1258"/>
        <v>0</v>
      </c>
      <c r="BJ170" s="23">
        <f>+'QTR Raw'!AD92</f>
        <v>0</v>
      </c>
      <c r="BK170" s="23">
        <f t="shared" si="1258"/>
        <v>0</v>
      </c>
      <c r="BL170" s="23">
        <f>+'QTR Raw'!AF92</f>
        <v>0</v>
      </c>
      <c r="BM170" s="23">
        <f t="shared" si="1258"/>
        <v>0</v>
      </c>
      <c r="BN170" s="23">
        <f>+'QTR Raw'!AH92</f>
        <v>0</v>
      </c>
      <c r="BO170" s="23">
        <f t="shared" si="1258"/>
        <v>0</v>
      </c>
      <c r="BP170" s="23">
        <f>+'QTR Raw'!AJ92</f>
        <v>0</v>
      </c>
      <c r="BQ170" s="23">
        <f t="shared" si="1258"/>
        <v>0</v>
      </c>
      <c r="BR170" s="23">
        <f>+'QTR Raw'!AL92</f>
        <v>0</v>
      </c>
      <c r="BS170" s="23">
        <f t="shared" si="1258"/>
        <v>0</v>
      </c>
      <c r="BT170" s="23">
        <f>+'QTR Raw'!AN92</f>
        <v>0</v>
      </c>
      <c r="BU170" s="23">
        <f t="shared" si="1258"/>
        <v>0</v>
      </c>
      <c r="BV170" s="23">
        <f>+'QTR Raw'!AP92</f>
        <v>0</v>
      </c>
      <c r="BW170" s="23">
        <f t="shared" si="1258"/>
        <v>0</v>
      </c>
      <c r="BX170" s="23">
        <f>+'QTR Raw'!AR92</f>
        <v>0</v>
      </c>
      <c r="BY170" s="23">
        <f t="shared" si="1258"/>
        <v>0</v>
      </c>
      <c r="BZ170" s="23">
        <f>+'QTR Raw'!AT92</f>
        <v>0</v>
      </c>
      <c r="CA170" s="23">
        <f t="shared" si="1258"/>
        <v>0</v>
      </c>
      <c r="CB170" s="23">
        <f>+'QTR Raw'!AV92</f>
        <v>0</v>
      </c>
      <c r="CC170" s="23">
        <f t="shared" si="1258"/>
        <v>0</v>
      </c>
      <c r="CD170" s="23">
        <f>+'QTR Raw'!AX92</f>
        <v>0</v>
      </c>
      <c r="CE170" s="23">
        <f t="shared" si="1258"/>
        <v>0</v>
      </c>
      <c r="CF170" s="23">
        <f>+'QTR Raw'!AZ92</f>
        <v>0</v>
      </c>
      <c r="CG170" s="23">
        <f t="shared" si="1262"/>
        <v>0</v>
      </c>
      <c r="CH170" s="23">
        <f t="shared" si="1211"/>
        <v>0.85740000000000005</v>
      </c>
      <c r="CJ170" s="23">
        <f>+'QTR Raw'!BD92</f>
        <v>0</v>
      </c>
      <c r="CK170" s="24"/>
      <c r="CL170" s="23">
        <f>+'QTR Raw'!BF92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2" customFormat="1" x14ac:dyDescent="0.2">
      <c r="A171" s="22" t="s">
        <v>73</v>
      </c>
      <c r="B171" s="22">
        <f>SUM(B164:B170)</f>
        <v>6.6690592999999998</v>
      </c>
      <c r="C171" s="22">
        <f t="shared" ref="C171:V171" si="1263">SUM(C164:C170)</f>
        <v>3.5572451999999997</v>
      </c>
      <c r="D171" s="22">
        <f t="shared" si="1263"/>
        <v>3.1297788</v>
      </c>
      <c r="E171" s="22">
        <f t="shared" si="1263"/>
        <v>2.2659151</v>
      </c>
      <c r="F171" s="22">
        <f t="shared" si="1263"/>
        <v>1.4195133</v>
      </c>
      <c r="G171" s="22">
        <f t="shared" si="1263"/>
        <v>8.9399856</v>
      </c>
      <c r="H171" s="22">
        <f t="shared" si="1263"/>
        <v>5.7144880999999996</v>
      </c>
      <c r="I171" s="22">
        <f t="shared" si="1263"/>
        <v>6.3520030999999992</v>
      </c>
      <c r="J171" s="22">
        <f t="shared" si="1263"/>
        <v>6.7071567999999999</v>
      </c>
      <c r="K171" s="22">
        <f t="shared" si="1263"/>
        <v>3.144539</v>
      </c>
      <c r="L171" s="22">
        <f t="shared" si="1263"/>
        <v>3.4818534999999997</v>
      </c>
      <c r="M171" s="22">
        <f t="shared" si="1263"/>
        <v>3.9441267999999998</v>
      </c>
      <c r="N171" s="22">
        <f t="shared" si="1263"/>
        <v>5.3481468999999997</v>
      </c>
      <c r="O171" s="22">
        <f t="shared" si="1263"/>
        <v>2.5674786000000003</v>
      </c>
      <c r="P171" s="22">
        <f t="shared" si="1263"/>
        <v>2.6919583999999999</v>
      </c>
      <c r="Q171" s="22">
        <f t="shared" si="1263"/>
        <v>3.0884263000000001</v>
      </c>
      <c r="R171" s="22">
        <f t="shared" si="1263"/>
        <v>1.7684815</v>
      </c>
      <c r="S171" s="22">
        <f t="shared" si="1263"/>
        <v>4.8457973000000001</v>
      </c>
      <c r="T171" s="22">
        <f t="shared" si="1263"/>
        <v>3.1200317000000002</v>
      </c>
      <c r="U171" s="22">
        <f t="shared" si="1263"/>
        <v>14.1784683</v>
      </c>
      <c r="V171" s="22">
        <f t="shared" si="1263"/>
        <v>19.8123</v>
      </c>
      <c r="W171" s="22">
        <f t="shared" ref="W171" si="1264">SUM(W164:W170)</f>
        <v>12.604899999999999</v>
      </c>
      <c r="X171" s="22">
        <f t="shared" ref="X171:Y171" si="1265">SUM(X164:X170)</f>
        <v>13.6181</v>
      </c>
      <c r="Y171" s="22">
        <f t="shared" si="1265"/>
        <v>40.2224</v>
      </c>
      <c r="Z171" s="22">
        <f t="shared" ref="Z171:AA171" si="1266">SUM(Z164:Z170)</f>
        <v>31.691199999999998</v>
      </c>
      <c r="AA171" s="22">
        <f t="shared" ref="AA171" si="1267">SUM(AA164:AA170)</f>
        <v>37.178800000000003</v>
      </c>
      <c r="AB171" s="21">
        <f t="shared" ref="AB171:AD171" si="1268">SUM(AB164:AB170)</f>
        <v>43.474766714505066</v>
      </c>
      <c r="AC171" s="21">
        <f t="shared" si="1268"/>
        <v>49.97092815745934</v>
      </c>
      <c r="AD171" s="21">
        <f t="shared" si="1268"/>
        <v>57.439008460434621</v>
      </c>
      <c r="AE171" s="21">
        <f t="shared" ref="AE171" si="1269">SUM(AE164:AE170)</f>
        <v>66.024544916791811</v>
      </c>
      <c r="AJ171" s="22">
        <f t="shared" ref="AJ171" si="1270">SUM(AJ164:AJ170)</f>
        <v>4.0049999999999999</v>
      </c>
      <c r="AK171" s="22">
        <f t="shared" ref="AK171" si="1271">SUM(AK164:AK170)</f>
        <v>9.3061367770098222</v>
      </c>
      <c r="AL171" s="22">
        <f t="shared" ref="AL171:AM171" si="1272">SUM(AL164:AL170)</f>
        <v>5.3480000000000008</v>
      </c>
      <c r="AM171" s="22">
        <f t="shared" si="1272"/>
        <v>5.1202321491108602</v>
      </c>
      <c r="AN171" s="22">
        <f t="shared" ref="AN171:AO171" si="1273">SUM(AN164:AN170)</f>
        <v>2.2000000000000002</v>
      </c>
      <c r="AO171" s="22">
        <f t="shared" si="1273"/>
        <v>2.7683154761904758</v>
      </c>
      <c r="AP171" s="22">
        <f t="shared" ref="AP171:CE171" si="1274">SUM(AP164:AP170)</f>
        <v>3.5869999999999997</v>
      </c>
      <c r="AQ171" s="22">
        <f t="shared" si="1274"/>
        <v>3.9849601798330125</v>
      </c>
      <c r="AR171" s="22">
        <f t="shared" si="1274"/>
        <v>2.3319999999999999</v>
      </c>
      <c r="AS171" s="22">
        <f t="shared" si="1274"/>
        <v>1.9875555016965585</v>
      </c>
      <c r="AT171" s="22">
        <f t="shared" si="1274"/>
        <v>3.7119999999999997</v>
      </c>
      <c r="AU171" s="22">
        <f t="shared" si="1274"/>
        <v>3.6553734027449121</v>
      </c>
      <c r="AV171" s="22">
        <f t="shared" si="1274"/>
        <v>3.9550000000000001</v>
      </c>
      <c r="AW171" s="22">
        <f t="shared" si="1274"/>
        <v>3.9472163849154747</v>
      </c>
      <c r="AX171" s="22">
        <f t="shared" si="1274"/>
        <v>4.1080000000000005</v>
      </c>
      <c r="AY171" s="22">
        <f t="shared" si="1274"/>
        <v>3.9779863770529023</v>
      </c>
      <c r="AZ171" s="22">
        <f t="shared" si="1274"/>
        <v>3.3969999999999998</v>
      </c>
      <c r="BA171" s="22">
        <f t="shared" si="1274"/>
        <v>3.4589321817018552</v>
      </c>
      <c r="BB171" s="22">
        <f t="shared" si="1274"/>
        <v>2.7880000000000003</v>
      </c>
      <c r="BC171" s="22">
        <f t="shared" si="1274"/>
        <v>2.7471492537313433</v>
      </c>
      <c r="BD171" s="22">
        <f t="shared" si="1274"/>
        <v>11.873000000000001</v>
      </c>
      <c r="BE171" s="22">
        <f t="shared" si="1274"/>
        <v>12.976529895494259</v>
      </c>
      <c r="BF171" s="22">
        <f t="shared" si="1274"/>
        <v>4.8460000000000001</v>
      </c>
      <c r="BG171" s="22">
        <f t="shared" si="1274"/>
        <v>4.5472237340440458</v>
      </c>
      <c r="BH171" s="22">
        <f t="shared" ref="BH171" si="1275">SUM(BH164:BH170)</f>
        <v>4.5169999999999995</v>
      </c>
      <c r="BI171" s="22">
        <f t="shared" si="1274"/>
        <v>4.8034420404922589</v>
      </c>
      <c r="BJ171" s="22">
        <f t="shared" si="1274"/>
        <v>3.12</v>
      </c>
      <c r="BK171" s="22">
        <f t="shared" si="1274"/>
        <v>3.0527930367504839</v>
      </c>
      <c r="BL171" s="22">
        <f t="shared" si="1274"/>
        <v>3.0250000000000004</v>
      </c>
      <c r="BM171" s="22">
        <f t="shared" si="1274"/>
        <v>3.2253302319811441</v>
      </c>
      <c r="BN171" s="22">
        <f t="shared" si="1274"/>
        <v>14.178999999999998</v>
      </c>
      <c r="BO171" s="22">
        <f t="shared" si="1274"/>
        <v>13.422272056789897</v>
      </c>
      <c r="BP171" s="22">
        <f t="shared" si="1274"/>
        <v>15.275</v>
      </c>
      <c r="BQ171" s="22">
        <f t="shared" si="1274"/>
        <v>21.76462556931682</v>
      </c>
      <c r="BR171" s="22">
        <f t="shared" si="1274"/>
        <v>19.813000000000002</v>
      </c>
      <c r="BS171" s="22">
        <f t="shared" si="1274"/>
        <v>19.639796407803736</v>
      </c>
      <c r="BT171" s="22">
        <f t="shared" si="1274"/>
        <v>24.308</v>
      </c>
      <c r="BU171" s="22">
        <f t="shared" si="1274"/>
        <v>26.661434827675563</v>
      </c>
      <c r="BV171" s="22">
        <f t="shared" si="1274"/>
        <v>12.605</v>
      </c>
      <c r="BW171" s="22">
        <f t="shared" si="1274"/>
        <v>12.306934959001477</v>
      </c>
      <c r="BX171" s="22">
        <f t="shared" si="1274"/>
        <v>14.801</v>
      </c>
      <c r="BY171" s="22">
        <f t="shared" si="1274"/>
        <v>15.155148792270532</v>
      </c>
      <c r="BZ171" s="22">
        <f t="shared" si="1274"/>
        <v>13.617999999999999</v>
      </c>
      <c r="CA171" s="22">
        <f t="shared" si="1274"/>
        <v>14.572124250442595</v>
      </c>
      <c r="CB171" s="22">
        <f t="shared" si="1274"/>
        <v>29.734000000000002</v>
      </c>
      <c r="CC171" s="22">
        <f t="shared" si="1274"/>
        <v>30.029938600850311</v>
      </c>
      <c r="CD171" s="22">
        <f t="shared" si="1274"/>
        <v>40.222000000000001</v>
      </c>
      <c r="CE171" s="22">
        <f t="shared" si="1274"/>
        <v>41.620374416321447</v>
      </c>
      <c r="CF171" s="22">
        <f t="shared" ref="CF171:CG171" si="1276">SUM(CF164:CF170)</f>
        <v>60.676000000000002</v>
      </c>
      <c r="CG171" s="22">
        <f t="shared" si="1276"/>
        <v>60.018464401963321</v>
      </c>
      <c r="CH171" s="22">
        <f t="shared" ref="CH171:CI171" si="1277">SUM(CH164:CH170)</f>
        <v>31.691199999999998</v>
      </c>
      <c r="CI171" s="22">
        <f t="shared" si="1277"/>
        <v>33.397317667120028</v>
      </c>
      <c r="CJ171" s="22">
        <f t="shared" ref="CJ171:DB171" si="1278">SUM(CJ164:CJ170)</f>
        <v>34.572000000000003</v>
      </c>
      <c r="CK171" s="21">
        <f t="shared" si="1278"/>
        <v>32.262541989967161</v>
      </c>
      <c r="CL171" s="22">
        <f t="shared" ref="CL171" si="1279">SUM(CL164:CL170)</f>
        <v>37.179000000000002</v>
      </c>
      <c r="CM171" s="21">
        <f t="shared" si="1278"/>
        <v>34.802319056497353</v>
      </c>
      <c r="CN171" s="21">
        <f t="shared" si="1278"/>
        <v>37.724440733086823</v>
      </c>
      <c r="CO171" s="21">
        <f t="shared" si="1278"/>
        <v>34.90660502726162</v>
      </c>
      <c r="CP171" s="21">
        <f t="shared" si="1278"/>
        <v>43.474766714505066</v>
      </c>
      <c r="CQ171" s="21">
        <f t="shared" si="1278"/>
        <v>40.020276894651076</v>
      </c>
      <c r="CR171" s="21">
        <f t="shared" si="1278"/>
        <v>43.373678116770591</v>
      </c>
      <c r="CS171" s="21">
        <f t="shared" si="1278"/>
        <v>40.127515586109105</v>
      </c>
      <c r="CT171" s="21">
        <f t="shared" si="1278"/>
        <v>49.97092815745934</v>
      </c>
      <c r="CU171" s="21">
        <f t="shared" si="1278"/>
        <v>46.020689406495777</v>
      </c>
      <c r="CV171" s="21">
        <f t="shared" si="1278"/>
        <v>49.869358235378989</v>
      </c>
      <c r="CW171" s="21">
        <f t="shared" si="1278"/>
        <v>46.130054709259539</v>
      </c>
      <c r="CX171" s="21">
        <f t="shared" si="1278"/>
        <v>57.439008460434621</v>
      </c>
      <c r="CY171" s="21">
        <f t="shared" si="1278"/>
        <v>52.920900892881889</v>
      </c>
      <c r="CZ171" s="21">
        <f t="shared" si="1278"/>
        <v>57.33835321188792</v>
      </c>
      <c r="DA171" s="21">
        <f t="shared" si="1278"/>
        <v>53.031315879405952</v>
      </c>
      <c r="DB171" s="21">
        <f t="shared" si="1278"/>
        <v>66.024544916791811</v>
      </c>
      <c r="DE171" s="126"/>
      <c r="DF171" s="22">
        <v>37.179000000000002</v>
      </c>
    </row>
    <row r="172" spans="1:110" s="22" customFormat="1" x14ac:dyDescent="0.2">
      <c r="A172" s="22" t="s">
        <v>74</v>
      </c>
      <c r="B172" s="22">
        <f>B163-B171</f>
        <v>13.330792199999998</v>
      </c>
      <c r="C172" s="22">
        <f t="shared" ref="C172:V172" si="1280">C163-C171</f>
        <v>5.5164602999999994</v>
      </c>
      <c r="D172" s="22">
        <f t="shared" si="1280"/>
        <v>4.6623876999999982</v>
      </c>
      <c r="E172" s="22">
        <f t="shared" si="1280"/>
        <v>5.4300652999999999</v>
      </c>
      <c r="F172" s="22">
        <f t="shared" si="1280"/>
        <v>6.6791701000000003</v>
      </c>
      <c r="G172" s="22">
        <f t="shared" si="1280"/>
        <v>1.4542923999999999</v>
      </c>
      <c r="H172" s="22">
        <f t="shared" si="1280"/>
        <v>5.0573406000000007</v>
      </c>
      <c r="I172" s="22">
        <f t="shared" si="1280"/>
        <v>6.6448619000000004</v>
      </c>
      <c r="J172" s="22">
        <f t="shared" si="1280"/>
        <v>8.8174498000000021</v>
      </c>
      <c r="K172" s="22">
        <f t="shared" si="1280"/>
        <v>9.0962999</v>
      </c>
      <c r="L172" s="22">
        <f t="shared" si="1280"/>
        <v>10.146581400000001</v>
      </c>
      <c r="M172" s="22">
        <f t="shared" si="1280"/>
        <v>9.4373449000000011</v>
      </c>
      <c r="N172" s="22">
        <f t="shared" si="1280"/>
        <v>9.6234391000000006</v>
      </c>
      <c r="O172" s="22">
        <f t="shared" si="1280"/>
        <v>15.067184499999996</v>
      </c>
      <c r="P172" s="22">
        <f t="shared" si="1280"/>
        <v>14.4995498</v>
      </c>
      <c r="Q172" s="22">
        <f t="shared" si="1280"/>
        <v>14.940591300000003</v>
      </c>
      <c r="R172" s="22">
        <f t="shared" si="1280"/>
        <v>17.974616499999996</v>
      </c>
      <c r="S172" s="22">
        <f t="shared" si="1280"/>
        <v>15.135144499999999</v>
      </c>
      <c r="T172" s="22">
        <f t="shared" si="1280"/>
        <v>22.318464900000002</v>
      </c>
      <c r="U172" s="22">
        <f t="shared" si="1280"/>
        <v>30.562090300000008</v>
      </c>
      <c r="V172" s="22">
        <f t="shared" si="1280"/>
        <v>7.2190000000000012</v>
      </c>
      <c r="W172" s="22">
        <f t="shared" ref="W172" si="1281">W163-W171</f>
        <v>61.379499999999993</v>
      </c>
      <c r="X172" s="22">
        <f t="shared" ref="X172:Y172" si="1282">X163-X171</f>
        <v>94.793899999999994</v>
      </c>
      <c r="Y172" s="22">
        <f t="shared" si="1282"/>
        <v>95.585000000000008</v>
      </c>
      <c r="Z172" s="22">
        <f t="shared" ref="Z172:AA172" si="1283">Z163-Z171</f>
        <v>130.91419999999997</v>
      </c>
      <c r="AA172" s="22">
        <f t="shared" ref="AA172" si="1284">AA163-AA171</f>
        <v>174.50090000000003</v>
      </c>
      <c r="AB172" s="21">
        <f t="shared" ref="AB172:AD172" si="1285">AB163-AB171</f>
        <v>204.04924262839586</v>
      </c>
      <c r="AC172" s="21">
        <f t="shared" si="1285"/>
        <v>234.53903987403243</v>
      </c>
      <c r="AD172" s="21">
        <f t="shared" si="1285"/>
        <v>269.59054779165217</v>
      </c>
      <c r="AE172" s="21">
        <f t="shared" ref="AE172" si="1286">AE163-AE171</f>
        <v>309.88684709056645</v>
      </c>
      <c r="AJ172" s="22">
        <f t="shared" ref="AJ172" si="1287">AJ163-AJ171</f>
        <v>16.723000000000003</v>
      </c>
      <c r="AK172" s="22">
        <f t="shared" ref="AK172" si="1288">AK163-AK171</f>
        <v>57.499964350672968</v>
      </c>
      <c r="AL172" s="22">
        <f t="shared" ref="AL172:AM172" si="1289">AL163-AL171</f>
        <v>9.6240000000000006</v>
      </c>
      <c r="AM172" s="22">
        <f t="shared" si="1289"/>
        <v>-1.8953360052920347</v>
      </c>
      <c r="AN172" s="22">
        <f t="shared" ref="AN172:AO172" si="1290">AN163-AN171</f>
        <v>8.5810000000000031</v>
      </c>
      <c r="AO172" s="22">
        <f t="shared" si="1290"/>
        <v>13.211583333333333</v>
      </c>
      <c r="AP172" s="22">
        <f t="shared" ref="AP172:CE172" si="1291">AP163-AP171</f>
        <v>14.047000000000001</v>
      </c>
      <c r="AQ172" s="22">
        <f t="shared" si="1291"/>
        <v>19.806732819524726</v>
      </c>
      <c r="AR172" s="22">
        <f t="shared" si="1291"/>
        <v>16.831</v>
      </c>
      <c r="AS172" s="22">
        <f t="shared" si="1291"/>
        <v>11.32929907901115</v>
      </c>
      <c r="AT172" s="22">
        <f t="shared" si="1291"/>
        <v>13.478999999999999</v>
      </c>
      <c r="AU172" s="22">
        <f t="shared" si="1291"/>
        <v>11.7120582110743</v>
      </c>
      <c r="AV172" s="22">
        <f t="shared" si="1291"/>
        <v>17.987000000000002</v>
      </c>
      <c r="AW172" s="22">
        <f t="shared" si="1291"/>
        <v>17.869128478543562</v>
      </c>
      <c r="AX172" s="22">
        <f t="shared" si="1291"/>
        <v>13.920999999999996</v>
      </c>
      <c r="AY172" s="22">
        <f t="shared" si="1291"/>
        <v>7.3746929539090313</v>
      </c>
      <c r="AZ172" s="22">
        <f t="shared" si="1291"/>
        <v>14.702999999999998</v>
      </c>
      <c r="BA172" s="22">
        <f t="shared" si="1291"/>
        <v>15.608758157389634</v>
      </c>
      <c r="BB172" s="22">
        <f t="shared" si="1291"/>
        <v>16.954999999999998</v>
      </c>
      <c r="BC172" s="22">
        <f t="shared" si="1291"/>
        <v>15.597318181818181</v>
      </c>
      <c r="BD172" s="22">
        <f t="shared" si="1291"/>
        <v>20.2</v>
      </c>
      <c r="BE172" s="22">
        <f t="shared" si="1291"/>
        <v>29.744685968819603</v>
      </c>
      <c r="BF172" s="22">
        <f t="shared" si="1291"/>
        <v>15.134</v>
      </c>
      <c r="BG172" s="22">
        <f t="shared" si="1291"/>
        <v>13.162979379997196</v>
      </c>
      <c r="BH172" s="22">
        <f t="shared" ref="BH172" si="1292">BH163-BH171</f>
        <v>10.417000000000002</v>
      </c>
      <c r="BI172" s="22">
        <f t="shared" si="1291"/>
        <v>14.510323739579198</v>
      </c>
      <c r="BJ172" s="22">
        <f t="shared" si="1291"/>
        <v>22.317999999999998</v>
      </c>
      <c r="BK172" s="22">
        <f t="shared" si="1291"/>
        <v>13.703907502072397</v>
      </c>
      <c r="BL172" s="22">
        <f t="shared" si="1291"/>
        <v>17.932000000000002</v>
      </c>
      <c r="BM172" s="22">
        <f t="shared" si="1291"/>
        <v>28.712186577347719</v>
      </c>
      <c r="BN172" s="22">
        <f t="shared" si="1291"/>
        <v>33.60199999999999</v>
      </c>
      <c r="BO172" s="22">
        <f t="shared" si="1291"/>
        <v>17.442401032543561</v>
      </c>
      <c r="BP172" s="22">
        <f t="shared" si="1291"/>
        <v>26.890999999999998</v>
      </c>
      <c r="BQ172" s="22">
        <f t="shared" si="1291"/>
        <v>49.230977946464236</v>
      </c>
      <c r="BR172" s="22">
        <f t="shared" si="1291"/>
        <v>9.8459999999999965</v>
      </c>
      <c r="BS172" s="22">
        <f t="shared" si="1291"/>
        <v>1.7598213192031125</v>
      </c>
      <c r="BT172" s="22">
        <f t="shared" si="1291"/>
        <v>30.893999999999998</v>
      </c>
      <c r="BU172" s="22">
        <f t="shared" si="1291"/>
        <v>60.27654534853589</v>
      </c>
      <c r="BV172" s="22">
        <f t="shared" si="1291"/>
        <v>63.589999999999989</v>
      </c>
      <c r="BW172" s="22">
        <f t="shared" si="1291"/>
        <v>41.542897300306151</v>
      </c>
      <c r="BX172" s="22">
        <f t="shared" si="1291"/>
        <v>86.654999999999987</v>
      </c>
      <c r="BY172" s="22">
        <f t="shared" si="1291"/>
        <v>91.363748102139411</v>
      </c>
      <c r="BZ172" s="22">
        <f t="shared" si="1291"/>
        <v>96.59</v>
      </c>
      <c r="CA172" s="22">
        <f t="shared" si="1291"/>
        <v>122.02414608516874</v>
      </c>
      <c r="CB172" s="22">
        <f t="shared" si="1291"/>
        <v>99.819999999999965</v>
      </c>
      <c r="CC172" s="22">
        <f t="shared" si="1291"/>
        <v>109.03167467285074</v>
      </c>
      <c r="CD172" s="22">
        <f t="shared" si="1291"/>
        <v>100.83500000000001</v>
      </c>
      <c r="CE172" s="22">
        <f t="shared" si="1291"/>
        <v>125.83639199252892</v>
      </c>
      <c r="CF172" s="22">
        <f t="shared" ref="CF172:CG172" si="1293">CF163-CF171</f>
        <v>125.72200000000002</v>
      </c>
      <c r="CG172" s="22">
        <f t="shared" si="1293"/>
        <v>113.09146711444072</v>
      </c>
      <c r="CH172" s="22">
        <f t="shared" ref="CH172:CI172" si="1294">CH163-CH171</f>
        <v>130.91419999999997</v>
      </c>
      <c r="CI172" s="22">
        <f t="shared" si="1294"/>
        <v>137.96205648687598</v>
      </c>
      <c r="CJ172" s="22">
        <f t="shared" ref="CJ172:DB172" si="1295">CJ163-CJ171</f>
        <v>155.68499999999997</v>
      </c>
      <c r="CK172" s="21">
        <f t="shared" si="1295"/>
        <v>145.28502399942252</v>
      </c>
      <c r="CL172" s="22">
        <f t="shared" ref="CL172" si="1296">CL163-CL171</f>
        <v>174.49999999999997</v>
      </c>
      <c r="CM172" s="21">
        <f t="shared" si="1295"/>
        <v>163.34502475480207</v>
      </c>
      <c r="CN172" s="21">
        <f t="shared" si="1295"/>
        <v>177.06003141353045</v>
      </c>
      <c r="CO172" s="21">
        <f t="shared" si="1295"/>
        <v>163.83449197819067</v>
      </c>
      <c r="CP172" s="21">
        <f t="shared" si="1295"/>
        <v>204.04924262839586</v>
      </c>
      <c r="CQ172" s="21">
        <f t="shared" si="1295"/>
        <v>187.83556088427906</v>
      </c>
      <c r="CR172" s="21">
        <f t="shared" si="1295"/>
        <v>203.57478230658342</v>
      </c>
      <c r="CS172" s="21">
        <f t="shared" si="1295"/>
        <v>188.33888673111267</v>
      </c>
      <c r="CT172" s="21">
        <f t="shared" si="1295"/>
        <v>234.53903987403243</v>
      </c>
      <c r="CU172" s="21">
        <f t="shared" si="1295"/>
        <v>215.99855567480324</v>
      </c>
      <c r="CV172" s="21">
        <f t="shared" si="1295"/>
        <v>234.06232045169659</v>
      </c>
      <c r="CW172" s="21">
        <f t="shared" si="1295"/>
        <v>216.51186279259224</v>
      </c>
      <c r="CX172" s="21">
        <f t="shared" si="1295"/>
        <v>269.59054779165217</v>
      </c>
      <c r="CY172" s="21">
        <f t="shared" si="1295"/>
        <v>248.38476574969434</v>
      </c>
      <c r="CZ172" s="21">
        <f t="shared" si="1295"/>
        <v>269.11812139848939</v>
      </c>
      <c r="DA172" s="21">
        <f t="shared" si="1295"/>
        <v>248.90299956847508</v>
      </c>
      <c r="DB172" s="21">
        <f t="shared" si="1295"/>
        <v>309.88684709056645</v>
      </c>
      <c r="DE172" s="126"/>
      <c r="DF172" s="22">
        <v>174.49999999999997</v>
      </c>
    </row>
    <row r="173" spans="1:110" s="23" customFormat="1" x14ac:dyDescent="0.2">
      <c r="AB173" s="24"/>
      <c r="AC173" s="24"/>
      <c r="AD173" s="24"/>
      <c r="AE173" s="24"/>
      <c r="CK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outlineLevel="1" x14ac:dyDescent="0.2">
      <c r="A174" s="23" t="s">
        <v>75</v>
      </c>
      <c r="B174" s="23">
        <f>'Annual Raw'!C75</f>
        <v>0</v>
      </c>
      <c r="C174" s="23">
        <f>'Annual Raw'!D75</f>
        <v>0</v>
      </c>
      <c r="D174" s="23">
        <f>'Annual Raw'!E75</f>
        <v>0</v>
      </c>
      <c r="E174" s="23">
        <f>'Annual Raw'!F75</f>
        <v>0</v>
      </c>
      <c r="F174" s="23">
        <f>'Annual Raw'!G75</f>
        <v>0</v>
      </c>
      <c r="G174" s="23">
        <f>'Annual Raw'!H75</f>
        <v>0</v>
      </c>
      <c r="H174" s="23">
        <f>'Annual Raw'!I75</f>
        <v>0</v>
      </c>
      <c r="I174" s="23">
        <f>'Annual Raw'!J75</f>
        <v>0</v>
      </c>
      <c r="J174" s="23">
        <f>'Annual Raw'!K75</f>
        <v>0</v>
      </c>
      <c r="K174" s="23">
        <f>'Annual Raw'!L75</f>
        <v>0</v>
      </c>
      <c r="L174" s="23">
        <f>'Annual Raw'!M75</f>
        <v>0</v>
      </c>
      <c r="M174" s="23">
        <f>'Annual Raw'!N75</f>
        <v>0</v>
      </c>
      <c r="N174" s="23">
        <f>'Annual Raw'!O75</f>
        <v>0</v>
      </c>
      <c r="O174" s="23">
        <f>'Annual Raw'!P75</f>
        <v>0</v>
      </c>
      <c r="P174" s="23">
        <f>'Annual Raw'!Q75</f>
        <v>0</v>
      </c>
      <c r="Q174" s="23">
        <f>'Annual Raw'!R75</f>
        <v>0</v>
      </c>
      <c r="R174" s="23">
        <f>'Annual Raw'!S75</f>
        <v>0</v>
      </c>
      <c r="S174" s="23">
        <f>'Annual Raw'!T75</f>
        <v>0</v>
      </c>
      <c r="T174" s="23">
        <f>'Annual Raw'!U75</f>
        <v>0</v>
      </c>
      <c r="U174" s="23">
        <f>'Annual Raw'!V75</f>
        <v>0</v>
      </c>
      <c r="V174" s="23">
        <f>'Annual Raw'!W75</f>
        <v>0</v>
      </c>
      <c r="W174" s="23">
        <f>'Annual Raw'!X75</f>
        <v>0</v>
      </c>
      <c r="X174" s="23">
        <f>'Annual Raw'!Y75</f>
        <v>0</v>
      </c>
      <c r="Y174" s="23">
        <f>'Annual Raw'!Z75</f>
        <v>0</v>
      </c>
      <c r="Z174" s="23">
        <f>'Annual Raw'!AA75</f>
        <v>0</v>
      </c>
      <c r="AA174" s="23">
        <f>'Annual Raw'!AB75</f>
        <v>0</v>
      </c>
      <c r="AB174" s="24">
        <f t="shared" ref="AB174:AB175" si="1297">+CP174</f>
        <v>0</v>
      </c>
      <c r="AC174" s="24">
        <f t="shared" ref="AC174:AC175" si="1298">+CT174</f>
        <v>0</v>
      </c>
      <c r="AD174" s="24">
        <f t="shared" ref="AD174:AD175" si="1299">+CX174</f>
        <v>0</v>
      </c>
      <c r="AE174" s="24">
        <f t="shared" ref="AE174:AE175" si="1300">+DB174</f>
        <v>0</v>
      </c>
      <c r="AJ174" s="23">
        <f>+'QTR Raw'!D80</f>
        <v>0</v>
      </c>
      <c r="AL174" s="23">
        <f>+'QTR Raw'!F80</f>
        <v>0</v>
      </c>
      <c r="AN174" s="23">
        <f>+'QTR Raw'!H80</f>
        <v>0</v>
      </c>
      <c r="AP174" s="23">
        <f>+'QTR Raw'!J80</f>
        <v>0</v>
      </c>
      <c r="AR174" s="23">
        <f>+'QTR Raw'!L80</f>
        <v>0</v>
      </c>
      <c r="AT174" s="23">
        <f>+'QTR Raw'!N80</f>
        <v>0</v>
      </c>
      <c r="AV174" s="23">
        <f>+'QTR Raw'!P80</f>
        <v>0</v>
      </c>
      <c r="AX174" s="23">
        <f>+'QTR Raw'!R80</f>
        <v>0.34300000000000003</v>
      </c>
      <c r="AZ174" s="23">
        <f>+'QTR Raw'!T80</f>
        <v>0</v>
      </c>
      <c r="BB174" s="23">
        <f>+'QTR Raw'!V80</f>
        <v>0</v>
      </c>
      <c r="BD174" s="23">
        <f>+'QTR Raw'!X80</f>
        <v>0</v>
      </c>
      <c r="BF174" s="23">
        <f>+'QTR Raw'!Z80</f>
        <v>0</v>
      </c>
      <c r="BH174" s="23">
        <f>+'QTR Raw'!AB80</f>
        <v>0</v>
      </c>
      <c r="BJ174" s="23">
        <f>+'QTR Raw'!AD80</f>
        <v>0</v>
      </c>
      <c r="BL174" s="23">
        <f>+'QTR Raw'!AF80</f>
        <v>0</v>
      </c>
      <c r="BN174" s="23">
        <f>+'QTR Raw'!AH80</f>
        <v>0</v>
      </c>
      <c r="BP174" s="23">
        <f>+'QTR Raw'!AJ80</f>
        <v>0</v>
      </c>
      <c r="BR174" s="23">
        <f>+'QTR Raw'!AL80</f>
        <v>0</v>
      </c>
      <c r="BT174" s="23">
        <f>+'QTR Raw'!AN80</f>
        <v>0</v>
      </c>
      <c r="BV174" s="23">
        <f>+'QTR Raw'!AP80</f>
        <v>0</v>
      </c>
      <c r="BX174" s="23">
        <f>+'QTR Raw'!AR80</f>
        <v>0</v>
      </c>
      <c r="BZ174" s="23">
        <f>+'QTR Raw'!AT80</f>
        <v>0</v>
      </c>
      <c r="CB174" s="23">
        <f>+'QTR Raw'!AV80</f>
        <v>0</v>
      </c>
      <c r="CD174" s="23">
        <f>+'QTR Raw'!AX80</f>
        <v>0</v>
      </c>
      <c r="CF174" s="23">
        <f>+'QTR Raw'!AZ80</f>
        <v>0</v>
      </c>
      <c r="CH174" s="23">
        <f t="shared" ref="CH174:CH175" si="1301">Z174</f>
        <v>0</v>
      </c>
      <c r="CJ174" s="23">
        <f>+'QTR Raw'!BD80</f>
        <v>0</v>
      </c>
      <c r="CK174" s="24"/>
      <c r="CL174" s="23">
        <f>+'QTR Raw'!BF80</f>
        <v>0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</v>
      </c>
    </row>
    <row r="175" spans="1:110" s="23" customFormat="1" outlineLevel="1" x14ac:dyDescent="0.2">
      <c r="A175" s="23" t="s">
        <v>76</v>
      </c>
      <c r="B175" s="23">
        <f>'Annual Raw'!C78</f>
        <v>0.63867200000000002</v>
      </c>
      <c r="C175" s="23">
        <f>'Annual Raw'!D78</f>
        <v>0.34116419999999997</v>
      </c>
      <c r="D175" s="23">
        <f>'Annual Raw'!E78</f>
        <v>0.18395420000000001</v>
      </c>
      <c r="E175" s="23">
        <f>'Annual Raw'!F78</f>
        <v>0.5966205</v>
      </c>
      <c r="F175" s="23">
        <f>'Annual Raw'!G78</f>
        <v>0.6361928</v>
      </c>
      <c r="G175" s="23">
        <f>'Annual Raw'!H78</f>
        <v>3.5011817000000001</v>
      </c>
      <c r="H175" s="23">
        <f>'Annual Raw'!I78</f>
        <v>1.0375673999999999</v>
      </c>
      <c r="I175" s="23">
        <f>'Annual Raw'!J78</f>
        <v>2.9115864</v>
      </c>
      <c r="J175" s="23">
        <f>'Annual Raw'!K78</f>
        <v>2.5565711000000002</v>
      </c>
      <c r="K175" s="23">
        <f>'Annual Raw'!L78</f>
        <v>1.1879820999999999</v>
      </c>
      <c r="L175" s="23">
        <f>'Annual Raw'!M78</f>
        <v>0.57216149999999999</v>
      </c>
      <c r="M175" s="23">
        <f>'Annual Raw'!N78</f>
        <v>0.37648350000000003</v>
      </c>
      <c r="N175" s="23">
        <f>'Annual Raw'!O78</f>
        <v>1.3048930000000001</v>
      </c>
      <c r="O175" s="23">
        <f>'Annual Raw'!P78</f>
        <v>0.39952910000000003</v>
      </c>
      <c r="P175" s="23">
        <f>'Annual Raw'!Q78</f>
        <v>0.44974730000000002</v>
      </c>
      <c r="Q175" s="23">
        <f>'Annual Raw'!R78</f>
        <v>0.45367970000000002</v>
      </c>
      <c r="R175" s="23">
        <f>'Annual Raw'!S78</f>
        <v>0.31995600000000002</v>
      </c>
      <c r="S175" s="23">
        <f>'Annual Raw'!T78</f>
        <v>10.963350800000001</v>
      </c>
      <c r="T175" s="23">
        <f>'Annual Raw'!U78</f>
        <v>10.1011864</v>
      </c>
      <c r="U175" s="23">
        <f>'Annual Raw'!V78</f>
        <v>7.9235727000000002</v>
      </c>
      <c r="V175" s="23">
        <f>'Annual Raw'!W78</f>
        <v>42.970500000000001</v>
      </c>
      <c r="W175" s="23">
        <f>'Annual Raw'!X78</f>
        <v>1.3331999999999999</v>
      </c>
      <c r="X175" s="23">
        <f>'Annual Raw'!Y78</f>
        <v>1.2517</v>
      </c>
      <c r="Y175" s="23">
        <f>'Annual Raw'!Z78</f>
        <v>13.2859</v>
      </c>
      <c r="Z175" s="23">
        <f>'Annual Raw'!AA78</f>
        <v>7.7664</v>
      </c>
      <c r="AA175" s="23">
        <f>'Annual Raw'!AB78</f>
        <v>11.0494</v>
      </c>
      <c r="AB175" s="24">
        <f t="shared" si="1297"/>
        <v>27.643794457062821</v>
      </c>
      <c r="AC175" s="24">
        <f t="shared" si="1298"/>
        <v>45.488738166204776</v>
      </c>
      <c r="AD175" s="24">
        <f t="shared" si="1299"/>
        <v>62.046538406022407</v>
      </c>
      <c r="AE175" s="24">
        <f t="shared" si="1300"/>
        <v>77.817676505686578</v>
      </c>
      <c r="AJ175" s="23">
        <f>+'QTR Raw'!D83</f>
        <v>0.36399999999999999</v>
      </c>
      <c r="AK175" s="23">
        <f t="shared" ref="AK175:AM175" si="1302">+AK225</f>
        <v>-38.581964350672976</v>
      </c>
      <c r="AL175" s="23">
        <f>+'QTR Raw'!F83</f>
        <v>1.3049999999999999</v>
      </c>
      <c r="AM175" s="23">
        <f t="shared" si="1302"/>
        <v>11.445336005292036</v>
      </c>
      <c r="AN175" s="23">
        <f>+'QTR Raw'!H83</f>
        <v>1.407</v>
      </c>
      <c r="AO175" s="23">
        <f t="shared" ref="AO175" si="1303">+AO225</f>
        <v>-2.8015833333333324</v>
      </c>
      <c r="AP175" s="23">
        <f>+'QTR Raw'!J83</f>
        <v>0.4</v>
      </c>
      <c r="AQ175" s="23">
        <f t="shared" ref="AQ175" si="1304">+AQ225</f>
        <v>-7.0277328195247257</v>
      </c>
      <c r="AR175" s="23">
        <f>+'QTR Raw'!L83</f>
        <v>3.0419999999999998</v>
      </c>
      <c r="AS175" s="23">
        <f t="shared" ref="AS175" si="1305">+AS225</f>
        <v>8.7587009209888507</v>
      </c>
      <c r="AT175" s="23">
        <f>+'QTR Raw'!N83</f>
        <v>0.45</v>
      </c>
      <c r="AU175" s="23">
        <f t="shared" ref="AU175" si="1306">+AU225</f>
        <v>2.4029417889256992</v>
      </c>
      <c r="AV175" s="23">
        <f>+'QTR Raw'!P83</f>
        <v>1.0069999999999999</v>
      </c>
      <c r="AW175" s="23">
        <f t="shared" ref="AW175" si="1307">+AW225</f>
        <v>1.3438715214564381</v>
      </c>
      <c r="AX175" s="23">
        <f>+'QTR Raw'!R83</f>
        <v>0.109</v>
      </c>
      <c r="AY175" s="23">
        <f t="shared" ref="AY175" si="1308">+AY225</f>
        <v>7.3713070460909655</v>
      </c>
      <c r="AZ175" s="23">
        <f>+'QTR Raw'!T83</f>
        <v>0.51300000000000001</v>
      </c>
      <c r="BA175" s="23">
        <f t="shared" ref="BA175" si="1309">+BA225</f>
        <v>-4.8758157389635404E-2</v>
      </c>
      <c r="BB175" s="23">
        <f>+'QTR Raw'!V83</f>
        <v>0.32</v>
      </c>
      <c r="BC175" s="23">
        <f t="shared" ref="BC175" si="1310">+BC225</f>
        <v>13.881681818181821</v>
      </c>
      <c r="BD175" s="23">
        <f>+'QTR Raw'!X83</f>
        <v>2.7759999999999998</v>
      </c>
      <c r="BE175" s="23">
        <f t="shared" ref="BE175" si="1311">+BE225</f>
        <v>-3.6376859688195946</v>
      </c>
      <c r="BF175" s="23">
        <f>+'QTR Raw'!Z83</f>
        <v>10.964</v>
      </c>
      <c r="BG175" s="23">
        <f t="shared" ref="BG175" si="1312">+BG225</f>
        <v>15.353020620002804</v>
      </c>
      <c r="BH175" s="23">
        <f>+'QTR Raw'!AB83</f>
        <v>15.704000000000001</v>
      </c>
      <c r="BI175" s="23">
        <f t="shared" ref="BI175" si="1313">+BI225</f>
        <v>14.921676260420805</v>
      </c>
      <c r="BJ175" s="23">
        <f>+'QTR Raw'!AD83</f>
        <v>10.101000000000001</v>
      </c>
      <c r="BK175" s="23">
        <f t="shared" ref="BK175" si="1314">+BK225</f>
        <v>20.072092497927606</v>
      </c>
      <c r="BL175" s="23">
        <f>+'QTR Raw'!AF83</f>
        <v>17.321999999999999</v>
      </c>
      <c r="BM175" s="23">
        <f t="shared" ref="BM175" si="1315">+BM225</f>
        <v>9.4458134226522841</v>
      </c>
      <c r="BN175" s="23">
        <f>+'QTR Raw'!AH83</f>
        <v>7.9240000000000004</v>
      </c>
      <c r="BO175" s="23">
        <f t="shared" ref="BO175" si="1316">+BO225</f>
        <v>25.530598967456434</v>
      </c>
      <c r="BP175" s="23">
        <f>+'QTR Raw'!AJ83</f>
        <v>18.928000000000001</v>
      </c>
      <c r="BQ175" s="23">
        <f t="shared" ref="BQ175" si="1317">+BQ225</f>
        <v>1.5600220535357607</v>
      </c>
      <c r="BR175" s="23">
        <f>+'QTR Raw'!AL83</f>
        <v>42.970999999999997</v>
      </c>
      <c r="BS175" s="23">
        <f t="shared" ref="BS175" si="1318">+BS225</f>
        <v>54.131178680796864</v>
      </c>
      <c r="BT175" s="23">
        <f>+'QTR Raw'!AN83</f>
        <v>25.989000000000001</v>
      </c>
      <c r="BU175" s="23">
        <f t="shared" ref="BU175" si="1319">+BU225</f>
        <v>1.9924546514641079</v>
      </c>
      <c r="BV175" s="23">
        <f>+'QTR Raw'!AP83</f>
        <v>1.333</v>
      </c>
      <c r="BW175" s="23">
        <f t="shared" ref="BW175" si="1320">+BW225</f>
        <v>27.761102699693843</v>
      </c>
      <c r="BX175" s="23">
        <f>+'QTR Raw'!AR83</f>
        <v>6.8380000000000001</v>
      </c>
      <c r="BY175" s="23">
        <f t="shared" ref="BY175" si="1321">+BY225</f>
        <v>8.8152518978605876</v>
      </c>
      <c r="BZ175" s="23">
        <f>+'QTR Raw'!AT83</f>
        <v>1.252</v>
      </c>
      <c r="CA175" s="23">
        <f t="shared" ref="CA175" si="1322">+CA225</f>
        <v>-16.170146085168746</v>
      </c>
      <c r="CB175" s="23">
        <f>+'QTR Raw'!AV83</f>
        <v>6.681</v>
      </c>
      <c r="CC175" s="23">
        <f t="shared" ref="CC175" si="1323">+CC225</f>
        <v>13.790325327149226</v>
      </c>
      <c r="CD175" s="23">
        <f>+'QTR Raw'!AX83</f>
        <v>13.286</v>
      </c>
      <c r="CE175" s="23">
        <f t="shared" ref="CE175" si="1324">+CE225</f>
        <v>-4.3343919925289072</v>
      </c>
      <c r="CF175" s="23">
        <f>+'QTR Raw'!AZ83</f>
        <v>8.5380000000000003</v>
      </c>
      <c r="CG175" s="23">
        <f t="shared" ref="CG175:CI175" si="1325">+CG225</f>
        <v>41.248532885559314</v>
      </c>
      <c r="CH175" s="23">
        <f t="shared" si="1301"/>
        <v>7.7664</v>
      </c>
      <c r="CI175" s="23">
        <f t="shared" si="1325"/>
        <v>8.3415435131239839</v>
      </c>
      <c r="CJ175" s="23">
        <f>+'QTR Raw'!BD83</f>
        <v>49.563000000000002</v>
      </c>
      <c r="CK175" s="24">
        <f t="shared" ref="CK175:DB175" si="1326">+CK225</f>
        <v>68.062976000577436</v>
      </c>
      <c r="CL175" s="23">
        <f>+'QTR Raw'!BF83</f>
        <v>11.048999999999999</v>
      </c>
      <c r="CM175" s="24">
        <f t="shared" si="1326"/>
        <v>33.441580505967806</v>
      </c>
      <c r="CN175" s="24">
        <f t="shared" si="1326"/>
        <v>31.348187493103467</v>
      </c>
      <c r="CO175" s="24">
        <f t="shared" si="1326"/>
        <v>55.451066003000896</v>
      </c>
      <c r="CP175" s="24">
        <f t="shared" si="1326"/>
        <v>27.643794457062821</v>
      </c>
      <c r="CQ175" s="24">
        <f t="shared" si="1326"/>
        <v>55.63477603705276</v>
      </c>
      <c r="CR175" s="24">
        <f t="shared" si="1326"/>
        <v>52.016278942212864</v>
      </c>
      <c r="CS175" s="24">
        <f t="shared" si="1326"/>
        <v>78.562584886899174</v>
      </c>
      <c r="CT175" s="24">
        <f t="shared" si="1326"/>
        <v>45.488738166204776</v>
      </c>
      <c r="CU175" s="24">
        <f t="shared" si="1326"/>
        <v>76.524759463472847</v>
      </c>
      <c r="CV175" s="24">
        <f t="shared" si="1326"/>
        <v>71.377896474882448</v>
      </c>
      <c r="CW175" s="24">
        <f t="shared" si="1326"/>
        <v>100.96358876860495</v>
      </c>
      <c r="CX175" s="24">
        <f t="shared" si="1326"/>
        <v>62.046538406022407</v>
      </c>
      <c r="CY175" s="24">
        <f t="shared" si="1326"/>
        <v>96.746124845897072</v>
      </c>
      <c r="CZ175" s="24">
        <f t="shared" si="1326"/>
        <v>90.027879457323678</v>
      </c>
      <c r="DA175" s="24">
        <f t="shared" si="1326"/>
        <v>123.28273753552811</v>
      </c>
      <c r="DB175" s="24">
        <f t="shared" si="1326"/>
        <v>77.817676505686578</v>
      </c>
      <c r="DE175" s="123"/>
      <c r="DF175" s="23">
        <v>11.048999999999999</v>
      </c>
    </row>
    <row r="176" spans="1:110" s="22" customFormat="1" x14ac:dyDescent="0.2">
      <c r="A176" s="22" t="s">
        <v>77</v>
      </c>
      <c r="B176" s="22">
        <f>B174+B175</f>
        <v>0.63867200000000002</v>
      </c>
      <c r="C176" s="22">
        <f t="shared" ref="C176:V176" si="1327">C174+C175</f>
        <v>0.34116419999999997</v>
      </c>
      <c r="D176" s="22">
        <f t="shared" si="1327"/>
        <v>0.18395420000000001</v>
      </c>
      <c r="E176" s="22">
        <f t="shared" si="1327"/>
        <v>0.5966205</v>
      </c>
      <c r="F176" s="22">
        <f t="shared" si="1327"/>
        <v>0.6361928</v>
      </c>
      <c r="G176" s="22">
        <f t="shared" si="1327"/>
        <v>3.5011817000000001</v>
      </c>
      <c r="H176" s="22">
        <f t="shared" si="1327"/>
        <v>1.0375673999999999</v>
      </c>
      <c r="I176" s="22">
        <f t="shared" si="1327"/>
        <v>2.9115864</v>
      </c>
      <c r="J176" s="22">
        <f t="shared" si="1327"/>
        <v>2.5565711000000002</v>
      </c>
      <c r="K176" s="22">
        <f t="shared" si="1327"/>
        <v>1.1879820999999999</v>
      </c>
      <c r="L176" s="22">
        <f t="shared" si="1327"/>
        <v>0.57216149999999999</v>
      </c>
      <c r="M176" s="22">
        <f t="shared" si="1327"/>
        <v>0.37648350000000003</v>
      </c>
      <c r="N176" s="22">
        <f t="shared" si="1327"/>
        <v>1.3048930000000001</v>
      </c>
      <c r="O176" s="22">
        <f t="shared" si="1327"/>
        <v>0.39952910000000003</v>
      </c>
      <c r="P176" s="22">
        <f t="shared" si="1327"/>
        <v>0.44974730000000002</v>
      </c>
      <c r="Q176" s="22">
        <f t="shared" si="1327"/>
        <v>0.45367970000000002</v>
      </c>
      <c r="R176" s="22">
        <f t="shared" si="1327"/>
        <v>0.31995600000000002</v>
      </c>
      <c r="S176" s="22">
        <f t="shared" si="1327"/>
        <v>10.963350800000001</v>
      </c>
      <c r="T176" s="22">
        <f t="shared" si="1327"/>
        <v>10.1011864</v>
      </c>
      <c r="U176" s="22">
        <f t="shared" si="1327"/>
        <v>7.9235727000000002</v>
      </c>
      <c r="V176" s="22">
        <f t="shared" si="1327"/>
        <v>42.970500000000001</v>
      </c>
      <c r="W176" s="22">
        <f t="shared" ref="W176" si="1328">W174+W175</f>
        <v>1.3331999999999999</v>
      </c>
      <c r="X176" s="22">
        <f t="shared" ref="X176:Y176" si="1329">X174+X175</f>
        <v>1.2517</v>
      </c>
      <c r="Y176" s="22">
        <f t="shared" si="1329"/>
        <v>13.2859</v>
      </c>
      <c r="Z176" s="22">
        <f t="shared" ref="Z176:AA176" si="1330">Z174+Z175</f>
        <v>7.7664</v>
      </c>
      <c r="AA176" s="22">
        <f t="shared" ref="AA176" si="1331">AA174+AA175</f>
        <v>11.0494</v>
      </c>
      <c r="AB176" s="21">
        <f t="shared" ref="AB176:AD176" si="1332">AB174+AB175</f>
        <v>27.643794457062821</v>
      </c>
      <c r="AC176" s="21">
        <f t="shared" si="1332"/>
        <v>45.488738166204776</v>
      </c>
      <c r="AD176" s="21">
        <f t="shared" si="1332"/>
        <v>62.046538406022407</v>
      </c>
      <c r="AE176" s="21">
        <f t="shared" ref="AE176" si="1333">AE174+AE175</f>
        <v>77.817676505686578</v>
      </c>
      <c r="AJ176" s="22">
        <f t="shared" ref="AJ176" si="1334">AJ174+AJ175</f>
        <v>0.36399999999999999</v>
      </c>
      <c r="AK176" s="22">
        <f t="shared" ref="AK176" si="1335">AK174+AK175</f>
        <v>-38.581964350672976</v>
      </c>
      <c r="AL176" s="22">
        <f t="shared" ref="AL176:AM176" si="1336">AL174+AL175</f>
        <v>1.3049999999999999</v>
      </c>
      <c r="AM176" s="22">
        <f t="shared" si="1336"/>
        <v>11.445336005292036</v>
      </c>
      <c r="AN176" s="22">
        <f t="shared" ref="AN176:AO176" si="1337">AN174+AN175</f>
        <v>1.407</v>
      </c>
      <c r="AO176" s="22">
        <f t="shared" si="1337"/>
        <v>-2.8015833333333324</v>
      </c>
      <c r="AP176" s="22">
        <f t="shared" ref="AP176:CE176" si="1338">AP174+AP175</f>
        <v>0.4</v>
      </c>
      <c r="AQ176" s="22">
        <f t="shared" si="1338"/>
        <v>-7.0277328195247257</v>
      </c>
      <c r="AR176" s="22">
        <f t="shared" si="1338"/>
        <v>3.0419999999999998</v>
      </c>
      <c r="AS176" s="22">
        <f t="shared" si="1338"/>
        <v>8.7587009209888507</v>
      </c>
      <c r="AT176" s="22">
        <f t="shared" si="1338"/>
        <v>0.45</v>
      </c>
      <c r="AU176" s="22">
        <f t="shared" si="1338"/>
        <v>2.4029417889256992</v>
      </c>
      <c r="AV176" s="22">
        <f t="shared" si="1338"/>
        <v>1.0069999999999999</v>
      </c>
      <c r="AW176" s="22">
        <f t="shared" si="1338"/>
        <v>1.3438715214564381</v>
      </c>
      <c r="AX176" s="22">
        <f t="shared" si="1338"/>
        <v>0.45200000000000001</v>
      </c>
      <c r="AY176" s="22">
        <f t="shared" si="1338"/>
        <v>7.3713070460909655</v>
      </c>
      <c r="AZ176" s="22">
        <f t="shared" si="1338"/>
        <v>0.51300000000000001</v>
      </c>
      <c r="BA176" s="22">
        <f t="shared" si="1338"/>
        <v>-4.8758157389635404E-2</v>
      </c>
      <c r="BB176" s="22">
        <f t="shared" si="1338"/>
        <v>0.32</v>
      </c>
      <c r="BC176" s="22">
        <f t="shared" si="1338"/>
        <v>13.881681818181821</v>
      </c>
      <c r="BD176" s="22">
        <f t="shared" si="1338"/>
        <v>2.7759999999999998</v>
      </c>
      <c r="BE176" s="22">
        <f t="shared" si="1338"/>
        <v>-3.6376859688195946</v>
      </c>
      <c r="BF176" s="22">
        <f t="shared" si="1338"/>
        <v>10.964</v>
      </c>
      <c r="BG176" s="22">
        <f t="shared" si="1338"/>
        <v>15.353020620002804</v>
      </c>
      <c r="BH176" s="22">
        <f t="shared" si="1338"/>
        <v>15.704000000000001</v>
      </c>
      <c r="BI176" s="22">
        <f t="shared" si="1338"/>
        <v>14.921676260420805</v>
      </c>
      <c r="BJ176" s="22">
        <f t="shared" si="1338"/>
        <v>10.101000000000001</v>
      </c>
      <c r="BK176" s="22">
        <f t="shared" si="1338"/>
        <v>20.072092497927606</v>
      </c>
      <c r="BL176" s="22">
        <f t="shared" si="1338"/>
        <v>17.321999999999999</v>
      </c>
      <c r="BM176" s="22">
        <f t="shared" si="1338"/>
        <v>9.4458134226522841</v>
      </c>
      <c r="BN176" s="22">
        <f t="shared" si="1338"/>
        <v>7.9240000000000004</v>
      </c>
      <c r="BO176" s="22">
        <f t="shared" si="1338"/>
        <v>25.530598967456434</v>
      </c>
      <c r="BP176" s="22">
        <f t="shared" si="1338"/>
        <v>18.928000000000001</v>
      </c>
      <c r="BQ176" s="22">
        <f t="shared" si="1338"/>
        <v>1.5600220535357607</v>
      </c>
      <c r="BR176" s="22">
        <f t="shared" si="1338"/>
        <v>42.970999999999997</v>
      </c>
      <c r="BS176" s="22">
        <f t="shared" si="1338"/>
        <v>54.131178680796864</v>
      </c>
      <c r="BT176" s="22">
        <f t="shared" si="1338"/>
        <v>25.989000000000001</v>
      </c>
      <c r="BU176" s="22">
        <f t="shared" si="1338"/>
        <v>1.9924546514641079</v>
      </c>
      <c r="BV176" s="22">
        <f t="shared" si="1338"/>
        <v>1.333</v>
      </c>
      <c r="BW176" s="22">
        <f t="shared" si="1338"/>
        <v>27.761102699693843</v>
      </c>
      <c r="BX176" s="22">
        <f t="shared" si="1338"/>
        <v>6.8380000000000001</v>
      </c>
      <c r="BY176" s="22">
        <f t="shared" si="1338"/>
        <v>8.8152518978605876</v>
      </c>
      <c r="BZ176" s="22">
        <f t="shared" si="1338"/>
        <v>1.252</v>
      </c>
      <c r="CA176" s="22">
        <f t="shared" si="1338"/>
        <v>-16.170146085168746</v>
      </c>
      <c r="CB176" s="22">
        <f t="shared" si="1338"/>
        <v>6.681</v>
      </c>
      <c r="CC176" s="22">
        <f t="shared" si="1338"/>
        <v>13.790325327149226</v>
      </c>
      <c r="CD176" s="22">
        <f t="shared" si="1338"/>
        <v>13.286</v>
      </c>
      <c r="CE176" s="22">
        <f t="shared" si="1338"/>
        <v>-4.3343919925289072</v>
      </c>
      <c r="CF176" s="22">
        <f t="shared" ref="CF176:CG176" si="1339">CF174+CF175</f>
        <v>8.5380000000000003</v>
      </c>
      <c r="CG176" s="22">
        <f t="shared" si="1339"/>
        <v>41.248532885559314</v>
      </c>
      <c r="CH176" s="22">
        <f t="shared" ref="CH176:CI176" si="1340">CH174+CH175</f>
        <v>7.7664</v>
      </c>
      <c r="CI176" s="22">
        <f t="shared" si="1340"/>
        <v>8.3415435131239839</v>
      </c>
      <c r="CJ176" s="22">
        <f t="shared" ref="CJ176:DB176" si="1341">CJ174+CJ175</f>
        <v>49.563000000000002</v>
      </c>
      <c r="CK176" s="21">
        <f t="shared" si="1341"/>
        <v>68.062976000577436</v>
      </c>
      <c r="CL176" s="22">
        <f t="shared" ref="CL176" si="1342">CL174+CL175</f>
        <v>11.048999999999999</v>
      </c>
      <c r="CM176" s="21">
        <f t="shared" si="1341"/>
        <v>33.441580505967806</v>
      </c>
      <c r="CN176" s="21">
        <f t="shared" si="1341"/>
        <v>31.348187493103467</v>
      </c>
      <c r="CO176" s="21">
        <f t="shared" si="1341"/>
        <v>55.451066003000896</v>
      </c>
      <c r="CP176" s="21">
        <f t="shared" si="1341"/>
        <v>27.643794457062821</v>
      </c>
      <c r="CQ176" s="21">
        <f t="shared" si="1341"/>
        <v>55.63477603705276</v>
      </c>
      <c r="CR176" s="21">
        <f t="shared" si="1341"/>
        <v>52.016278942212864</v>
      </c>
      <c r="CS176" s="21">
        <f t="shared" si="1341"/>
        <v>78.562584886899174</v>
      </c>
      <c r="CT176" s="21">
        <f t="shared" si="1341"/>
        <v>45.488738166204776</v>
      </c>
      <c r="CU176" s="21">
        <f t="shared" si="1341"/>
        <v>76.524759463472847</v>
      </c>
      <c r="CV176" s="21">
        <f t="shared" si="1341"/>
        <v>71.377896474882448</v>
      </c>
      <c r="CW176" s="21">
        <f t="shared" si="1341"/>
        <v>100.96358876860495</v>
      </c>
      <c r="CX176" s="21">
        <f t="shared" si="1341"/>
        <v>62.046538406022407</v>
      </c>
      <c r="CY176" s="21">
        <f t="shared" si="1341"/>
        <v>96.746124845897072</v>
      </c>
      <c r="CZ176" s="21">
        <f t="shared" si="1341"/>
        <v>90.027879457323678</v>
      </c>
      <c r="DA176" s="21">
        <f t="shared" si="1341"/>
        <v>123.28273753552811</v>
      </c>
      <c r="DB176" s="21">
        <f t="shared" si="1341"/>
        <v>77.817676505686578</v>
      </c>
      <c r="DE176" s="126"/>
      <c r="DF176" s="22">
        <v>11.048999999999999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x14ac:dyDescent="0.2">
      <c r="A178" s="23" t="s">
        <v>78</v>
      </c>
      <c r="B178" s="23">
        <f>-'Annual Raw'!C49</f>
        <v>0</v>
      </c>
      <c r="C178" s="23">
        <f>-'Annual Raw'!D49</f>
        <v>0</v>
      </c>
      <c r="D178" s="23">
        <f>-'Annual Raw'!E49</f>
        <v>0</v>
      </c>
      <c r="E178" s="23">
        <f>-'Annual Raw'!F49</f>
        <v>-0.4044933</v>
      </c>
      <c r="F178" s="23">
        <f>-'Annual Raw'!G49</f>
        <v>-0.3788588</v>
      </c>
      <c r="G178" s="23">
        <f>-'Annual Raw'!H49</f>
        <v>-0.24961120000000001</v>
      </c>
      <c r="H178" s="23">
        <f>-'Annual Raw'!I49</f>
        <v>-0.57366170000000005</v>
      </c>
      <c r="I178" s="23">
        <f>-'Annual Raw'!J49</f>
        <v>-0.2485879</v>
      </c>
      <c r="J178" s="23">
        <f>-'Annual Raw'!K49</f>
        <v>-9.4497999999999999E-2</v>
      </c>
      <c r="K178" s="23">
        <f>-'Annual Raw'!L49</f>
        <v>0</v>
      </c>
      <c r="L178" s="23">
        <f>-'Annual Raw'!M49</f>
        <v>0</v>
      </c>
      <c r="M178" s="23">
        <f>-'Annual Raw'!N49</f>
        <v>0.17311799999999999</v>
      </c>
      <c r="N178" s="23">
        <f>-'Annual Raw'!O49</f>
        <v>0.30740899999999999</v>
      </c>
      <c r="O178" s="23">
        <f>-'Annual Raw'!P49</f>
        <v>0.38605</v>
      </c>
      <c r="P178" s="23">
        <f>-'Annual Raw'!Q49</f>
        <v>0.35971999999999998</v>
      </c>
      <c r="Q178" s="23">
        <f>-'Annual Raw'!R49</f>
        <v>0.42343500000000001</v>
      </c>
      <c r="R178" s="23">
        <f>-'Annual Raw'!S49</f>
        <v>0.48644690000000002</v>
      </c>
      <c r="S178" s="23">
        <f>-'Annual Raw'!T49</f>
        <v>-1.238442</v>
      </c>
      <c r="T178" s="23">
        <f>-'Annual Raw'!U49</f>
        <v>-1.1139140000000001</v>
      </c>
      <c r="U178" s="23">
        <f>-'Annual Raw'!V49</f>
        <v>-1.0329778000000001</v>
      </c>
      <c r="V178" s="23">
        <f>-'Annual Raw'!W49</f>
        <v>-0.71140000000000003</v>
      </c>
      <c r="W178" s="23">
        <f>-'Annual Raw'!X49</f>
        <v>-1.0064</v>
      </c>
      <c r="X178" s="23">
        <f>-'Annual Raw'!Y49</f>
        <v>-0.46800000000000003</v>
      </c>
      <c r="Y178" s="23">
        <f>-'Annual Raw'!Z49</f>
        <v>0.2447</v>
      </c>
      <c r="Z178" s="23">
        <f>-'Annual Raw'!AA49</f>
        <v>0.4511</v>
      </c>
      <c r="AA178" s="23">
        <f>-'Annual Raw'!AB49</f>
        <v>-5.1499999999999997E-2</v>
      </c>
      <c r="AB178" s="24">
        <f t="shared" ref="AB178:AB179" si="1343">+CP178</f>
        <v>-5.1999999999999998E-2</v>
      </c>
      <c r="AC178" s="24">
        <f t="shared" ref="AC178:AC179" si="1344">+CT178</f>
        <v>-5.1999999999999998E-2</v>
      </c>
      <c r="AD178" s="24">
        <f t="shared" ref="AD178:AD179" si="1345">+CX178</f>
        <v>-5.1999999999999998E-2</v>
      </c>
      <c r="AE178" s="24">
        <f t="shared" ref="AE178:AE179" si="1346">+DB178</f>
        <v>-5.1999999999999998E-2</v>
      </c>
      <c r="AJ178" s="23">
        <f>+'QTR Raw'!D96</f>
        <v>0.17299999999999999</v>
      </c>
      <c r="AK178" s="23">
        <f t="shared" ref="AK178:CE178" si="1347">+AJ178</f>
        <v>0.17299999999999999</v>
      </c>
      <c r="AL178" s="23">
        <f>+'QTR Raw'!F96</f>
        <v>0.307</v>
      </c>
      <c r="AM178" s="23">
        <f t="shared" si="1347"/>
        <v>0.307</v>
      </c>
      <c r="AN178" s="23">
        <f>+'QTR Raw'!H96</f>
        <v>0.307</v>
      </c>
      <c r="AO178" s="23">
        <f t="shared" si="1347"/>
        <v>0.307</v>
      </c>
      <c r="AP178" s="23">
        <f>+'QTR Raw'!J96</f>
        <v>0.38600000000000001</v>
      </c>
      <c r="AQ178" s="23">
        <f t="shared" si="1347"/>
        <v>0.38600000000000001</v>
      </c>
      <c r="AR178" s="23">
        <f>+'QTR Raw'!L96</f>
        <v>0.38600000000000001</v>
      </c>
      <c r="AS178" s="23">
        <f t="shared" si="1347"/>
        <v>0.38600000000000001</v>
      </c>
      <c r="AT178" s="23">
        <f>+'QTR Raw'!N96</f>
        <v>0.36</v>
      </c>
      <c r="AU178" s="23">
        <f t="shared" si="1347"/>
        <v>0.36</v>
      </c>
      <c r="AV178" s="23">
        <f>+'QTR Raw'!P96</f>
        <v>0.36</v>
      </c>
      <c r="AW178" s="23">
        <f t="shared" si="1347"/>
        <v>0.36</v>
      </c>
      <c r="AX178" s="23">
        <f>+'QTR Raw'!R96</f>
        <v>0.42299999999999999</v>
      </c>
      <c r="AY178" s="23">
        <f t="shared" si="1347"/>
        <v>0.42299999999999999</v>
      </c>
      <c r="AZ178" s="23">
        <f>+'QTR Raw'!T96</f>
        <v>0.40899999999999997</v>
      </c>
      <c r="BA178" s="23">
        <f t="shared" si="1347"/>
        <v>0.40899999999999997</v>
      </c>
      <c r="BB178" s="23">
        <f>+'QTR Raw'!V96</f>
        <v>0.48599999999999999</v>
      </c>
      <c r="BC178" s="23">
        <f t="shared" si="1347"/>
        <v>0.48599999999999999</v>
      </c>
      <c r="BD178" s="23">
        <f>+'QTR Raw'!X96</f>
        <v>0.48599999999999999</v>
      </c>
      <c r="BE178" s="23">
        <f t="shared" si="1347"/>
        <v>0.48599999999999999</v>
      </c>
      <c r="BF178" s="23">
        <f>+'QTR Raw'!Z96</f>
        <v>-1.238</v>
      </c>
      <c r="BG178" s="23">
        <f t="shared" si="1347"/>
        <v>-1.238</v>
      </c>
      <c r="BH178" s="23">
        <f>+'QTR Raw'!AB96</f>
        <v>0</v>
      </c>
      <c r="BI178" s="23">
        <f t="shared" si="1347"/>
        <v>0</v>
      </c>
      <c r="BJ178" s="23">
        <f>+'QTR Raw'!AD96</f>
        <v>-1.1140000000000001</v>
      </c>
      <c r="BK178" s="23">
        <f t="shared" si="1347"/>
        <v>-1.1140000000000001</v>
      </c>
      <c r="BL178" s="23">
        <f>+'QTR Raw'!AF96</f>
        <v>-1.1140000000000001</v>
      </c>
      <c r="BM178" s="23">
        <f t="shared" si="1347"/>
        <v>-1.1140000000000001</v>
      </c>
      <c r="BN178" s="23">
        <f>+'QTR Raw'!AH96</f>
        <v>-1.0329999999999999</v>
      </c>
      <c r="BO178" s="23">
        <f t="shared" si="1347"/>
        <v>-1.0329999999999999</v>
      </c>
      <c r="BP178" s="23">
        <f>+'QTR Raw'!AJ96</f>
        <v>-1.0329999999999999</v>
      </c>
      <c r="BQ178" s="23">
        <f t="shared" si="1347"/>
        <v>-1.0329999999999999</v>
      </c>
      <c r="BR178" s="23">
        <f>+'QTR Raw'!AL96</f>
        <v>-0.71099999999999997</v>
      </c>
      <c r="BS178" s="23">
        <f t="shared" si="1347"/>
        <v>-0.71099999999999997</v>
      </c>
      <c r="BT178" s="23">
        <f>+'QTR Raw'!AN96</f>
        <v>-0.71099999999999997</v>
      </c>
      <c r="BU178" s="23">
        <f t="shared" si="1347"/>
        <v>-0.71099999999999997</v>
      </c>
      <c r="BV178" s="23">
        <f>+'QTR Raw'!AP96</f>
        <v>-1.006</v>
      </c>
      <c r="BW178" s="23">
        <f t="shared" si="1347"/>
        <v>-1.006</v>
      </c>
      <c r="BX178" s="23">
        <f>+'QTR Raw'!AR96</f>
        <v>-1.006</v>
      </c>
      <c r="BY178" s="23">
        <f t="shared" si="1347"/>
        <v>-1.006</v>
      </c>
      <c r="BZ178" s="23">
        <f>+'QTR Raw'!AT96</f>
        <v>-0.46800000000000003</v>
      </c>
      <c r="CA178" s="23">
        <f t="shared" si="1347"/>
        <v>-0.46800000000000003</v>
      </c>
      <c r="CB178" s="23">
        <f>+'QTR Raw'!AV96</f>
        <v>-0.46800000000000003</v>
      </c>
      <c r="CC178" s="23">
        <f t="shared" si="1347"/>
        <v>-0.46800000000000003</v>
      </c>
      <c r="CD178" s="23">
        <f>+'QTR Raw'!AX96</f>
        <v>0.245</v>
      </c>
      <c r="CE178" s="23">
        <f t="shared" si="1347"/>
        <v>0.245</v>
      </c>
      <c r="CF178" s="23">
        <f>+'QTR Raw'!AZ96</f>
        <v>0.245</v>
      </c>
      <c r="CG178" s="23">
        <f t="shared" ref="CG178:CI179" si="1348">+CF178</f>
        <v>0.245</v>
      </c>
      <c r="CH178" s="23">
        <f t="shared" ref="CH178:CH179" si="1349">Z178</f>
        <v>0.4511</v>
      </c>
      <c r="CI178" s="23">
        <f t="shared" si="1348"/>
        <v>0.4511</v>
      </c>
      <c r="CJ178" s="23">
        <f>+'QTR Raw'!BD96</f>
        <v>0.45100000000000001</v>
      </c>
      <c r="CK178" s="24">
        <f t="shared" ref="CK178:CK179" si="1350">+CJ178</f>
        <v>0.45100000000000001</v>
      </c>
      <c r="CL178" s="23">
        <f>+'QTR Raw'!BF96</f>
        <v>-5.1999999999999998E-2</v>
      </c>
      <c r="CM178" s="24">
        <f t="shared" ref="CM178:CM179" si="1351">+CL178</f>
        <v>-5.1999999999999998E-2</v>
      </c>
      <c r="CN178" s="24">
        <f t="shared" ref="CN178:CN179" si="1352">+CM178</f>
        <v>-5.1999999999999998E-2</v>
      </c>
      <c r="CO178" s="24">
        <f t="shared" ref="CO178:CO179" si="1353">+CN178</f>
        <v>-5.1999999999999998E-2</v>
      </c>
      <c r="CP178" s="24">
        <f t="shared" ref="CP178:CP179" si="1354">+CO178</f>
        <v>-5.1999999999999998E-2</v>
      </c>
      <c r="CQ178" s="24">
        <f t="shared" ref="CQ178:CQ179" si="1355">+CP178</f>
        <v>-5.1999999999999998E-2</v>
      </c>
      <c r="CR178" s="24">
        <f t="shared" ref="CR178:CR179" si="1356">+CQ178</f>
        <v>-5.1999999999999998E-2</v>
      </c>
      <c r="CS178" s="24">
        <f t="shared" ref="CS178:CS179" si="1357">+CR178</f>
        <v>-5.1999999999999998E-2</v>
      </c>
      <c r="CT178" s="24">
        <f t="shared" ref="CT178:CT179" si="1358">+CS178</f>
        <v>-5.1999999999999998E-2</v>
      </c>
      <c r="CU178" s="24">
        <f t="shared" ref="CU178:CU179" si="1359">+CT178</f>
        <v>-5.1999999999999998E-2</v>
      </c>
      <c r="CV178" s="24">
        <f t="shared" ref="CV178:CV179" si="1360">+CU178</f>
        <v>-5.1999999999999998E-2</v>
      </c>
      <c r="CW178" s="24">
        <f t="shared" ref="CW178:CW179" si="1361">+CV178</f>
        <v>-5.1999999999999998E-2</v>
      </c>
      <c r="CX178" s="24">
        <f t="shared" ref="CX178:CX179" si="1362">+CW178</f>
        <v>-5.1999999999999998E-2</v>
      </c>
      <c r="CY178" s="24">
        <f t="shared" ref="CY178:CY179" si="1363">+CX178</f>
        <v>-5.1999999999999998E-2</v>
      </c>
      <c r="CZ178" s="24">
        <f t="shared" ref="CZ178:CZ179" si="1364">+CY178</f>
        <v>-5.1999999999999998E-2</v>
      </c>
      <c r="DA178" s="24">
        <f t="shared" ref="DA178:DA179" si="1365">+CZ178</f>
        <v>-5.1999999999999998E-2</v>
      </c>
      <c r="DB178" s="24">
        <f t="shared" ref="DB178:DB179" si="1366">+DA178</f>
        <v>-5.1999999999999998E-2</v>
      </c>
      <c r="DE178" s="123"/>
      <c r="DF178" s="23">
        <v>-5.1999999999999998E-2</v>
      </c>
    </row>
    <row r="179" spans="1:110" s="23" customFormat="1" x14ac:dyDescent="0.2">
      <c r="A179" s="23" t="s">
        <v>79</v>
      </c>
      <c r="B179" s="23">
        <f>'Annual Raw'!C83</f>
        <v>0.68187620000000004</v>
      </c>
      <c r="C179" s="23">
        <f>'Annual Raw'!D83</f>
        <v>0.46493709999999999</v>
      </c>
      <c r="D179" s="23">
        <f>'Annual Raw'!E83</f>
        <v>0.2397087</v>
      </c>
      <c r="E179" s="23">
        <f>'Annual Raw'!F83</f>
        <v>1.455E-2</v>
      </c>
      <c r="F179" s="23">
        <f>'Annual Raw'!G83</f>
        <v>0</v>
      </c>
      <c r="G179" s="23">
        <f>'Annual Raw'!H83</f>
        <v>0</v>
      </c>
      <c r="H179" s="23">
        <f>'Annual Raw'!I83</f>
        <v>0</v>
      </c>
      <c r="I179" s="23">
        <f>'Annual Raw'!J83</f>
        <v>0</v>
      </c>
      <c r="J179" s="23">
        <f>'Annual Raw'!K83</f>
        <v>0</v>
      </c>
      <c r="K179" s="23">
        <f>'Annual Raw'!L83</f>
        <v>0</v>
      </c>
      <c r="L179" s="23">
        <f>'Annual Raw'!M83</f>
        <v>0</v>
      </c>
      <c r="M179" s="23">
        <f>'Annual Raw'!N83</f>
        <v>0</v>
      </c>
      <c r="N179" s="23">
        <f>'Annual Raw'!O83</f>
        <v>0</v>
      </c>
      <c r="O179" s="23">
        <f>'Annual Raw'!P83</f>
        <v>0</v>
      </c>
      <c r="P179" s="23">
        <f>'Annual Raw'!Q83</f>
        <v>0</v>
      </c>
      <c r="Q179" s="23">
        <f>'Annual Raw'!R83</f>
        <v>0</v>
      </c>
      <c r="R179" s="23">
        <f>'Annual Raw'!S83</f>
        <v>0</v>
      </c>
      <c r="S179" s="23">
        <f>'Annual Raw'!T83</f>
        <v>0</v>
      </c>
      <c r="T179" s="23">
        <f>'Annual Raw'!U83</f>
        <v>0</v>
      </c>
      <c r="U179" s="23">
        <f>'Annual Raw'!V83</f>
        <v>0</v>
      </c>
      <c r="V179" s="23">
        <f>'Annual Raw'!W83</f>
        <v>0</v>
      </c>
      <c r="W179" s="23">
        <f>'Annual Raw'!X83</f>
        <v>0</v>
      </c>
      <c r="X179" s="23">
        <f>'Annual Raw'!Y83</f>
        <v>0</v>
      </c>
      <c r="Y179" s="23">
        <f>'Annual Raw'!Z83</f>
        <v>0</v>
      </c>
      <c r="Z179" s="23">
        <f>'Annual Raw'!AA83</f>
        <v>0</v>
      </c>
      <c r="AA179" s="23">
        <f>'Annual Raw'!AB83</f>
        <v>0</v>
      </c>
      <c r="AB179" s="24">
        <f t="shared" si="1343"/>
        <v>0</v>
      </c>
      <c r="AC179" s="24">
        <f t="shared" si="1344"/>
        <v>0</v>
      </c>
      <c r="AD179" s="24">
        <f t="shared" si="1345"/>
        <v>0</v>
      </c>
      <c r="AE179" s="24">
        <f t="shared" si="1346"/>
        <v>0</v>
      </c>
      <c r="AJ179" s="23">
        <f>+'QTR Raw'!D95</f>
        <v>0</v>
      </c>
      <c r="AK179" s="23">
        <f t="shared" ref="AK179:CE179" si="1367">+AJ179</f>
        <v>0</v>
      </c>
      <c r="AL179" s="23">
        <f>+'QTR Raw'!F95</f>
        <v>0</v>
      </c>
      <c r="AM179" s="23">
        <f t="shared" si="1367"/>
        <v>0</v>
      </c>
      <c r="AN179" s="23">
        <f>+'QTR Raw'!H95</f>
        <v>0</v>
      </c>
      <c r="AO179" s="23">
        <f t="shared" si="1367"/>
        <v>0</v>
      </c>
      <c r="AP179" s="23">
        <f>+'QTR Raw'!J95</f>
        <v>0</v>
      </c>
      <c r="AQ179" s="23">
        <f t="shared" si="1367"/>
        <v>0</v>
      </c>
      <c r="AR179" s="23">
        <f>+'QTR Raw'!L95</f>
        <v>0</v>
      </c>
      <c r="AS179" s="23">
        <f t="shared" si="1367"/>
        <v>0</v>
      </c>
      <c r="AT179" s="23">
        <f>+'QTR Raw'!N95</f>
        <v>0</v>
      </c>
      <c r="AU179" s="23">
        <f t="shared" si="1367"/>
        <v>0</v>
      </c>
      <c r="AV179" s="23">
        <f>+'QTR Raw'!P95</f>
        <v>0</v>
      </c>
      <c r="AW179" s="23">
        <f t="shared" si="1367"/>
        <v>0</v>
      </c>
      <c r="AX179" s="23">
        <f>+'QTR Raw'!R95</f>
        <v>0</v>
      </c>
      <c r="AY179" s="23">
        <f t="shared" si="1367"/>
        <v>0</v>
      </c>
      <c r="AZ179" s="23">
        <f>+'QTR Raw'!T95</f>
        <v>0</v>
      </c>
      <c r="BA179" s="23">
        <f t="shared" si="1367"/>
        <v>0</v>
      </c>
      <c r="BB179" s="23">
        <f>+'QTR Raw'!V95</f>
        <v>0</v>
      </c>
      <c r="BC179" s="23">
        <f t="shared" si="1367"/>
        <v>0</v>
      </c>
      <c r="BD179" s="23">
        <f>+'QTR Raw'!X95</f>
        <v>0</v>
      </c>
      <c r="BE179" s="23">
        <f t="shared" si="1367"/>
        <v>0</v>
      </c>
      <c r="BF179" s="23">
        <f>+'QTR Raw'!Z95</f>
        <v>0</v>
      </c>
      <c r="BG179" s="23">
        <f t="shared" si="1367"/>
        <v>0</v>
      </c>
      <c r="BH179" s="23">
        <f>+'QTR Raw'!AB95</f>
        <v>0</v>
      </c>
      <c r="BI179" s="23">
        <f t="shared" si="1367"/>
        <v>0</v>
      </c>
      <c r="BJ179" s="23">
        <f>+'QTR Raw'!AD95</f>
        <v>0</v>
      </c>
      <c r="BK179" s="23">
        <f t="shared" si="1367"/>
        <v>0</v>
      </c>
      <c r="BL179" s="23">
        <f>+'QTR Raw'!AF95</f>
        <v>0</v>
      </c>
      <c r="BM179" s="23">
        <f t="shared" si="1367"/>
        <v>0</v>
      </c>
      <c r="BN179" s="23">
        <f>+'QTR Raw'!AH95</f>
        <v>0</v>
      </c>
      <c r="BO179" s="23">
        <f t="shared" si="1367"/>
        <v>0</v>
      </c>
      <c r="BP179" s="23">
        <f>+'QTR Raw'!AJ95</f>
        <v>0</v>
      </c>
      <c r="BQ179" s="23">
        <f t="shared" si="1367"/>
        <v>0</v>
      </c>
      <c r="BR179" s="23">
        <f>+'QTR Raw'!AL95</f>
        <v>0</v>
      </c>
      <c r="BS179" s="23">
        <f t="shared" si="1367"/>
        <v>0</v>
      </c>
      <c r="BT179" s="23">
        <f>+'QTR Raw'!AN95</f>
        <v>0</v>
      </c>
      <c r="BU179" s="23">
        <f t="shared" si="1367"/>
        <v>0</v>
      </c>
      <c r="BV179" s="23">
        <f>+'QTR Raw'!AP95</f>
        <v>0</v>
      </c>
      <c r="BW179" s="23">
        <f t="shared" si="1367"/>
        <v>0</v>
      </c>
      <c r="BX179" s="23">
        <f>+'QTR Raw'!AR95</f>
        <v>0</v>
      </c>
      <c r="BY179" s="23">
        <f t="shared" si="1367"/>
        <v>0</v>
      </c>
      <c r="BZ179" s="23">
        <f>+'QTR Raw'!AT95</f>
        <v>0</v>
      </c>
      <c r="CA179" s="23">
        <f t="shared" si="1367"/>
        <v>0</v>
      </c>
      <c r="CB179" s="23">
        <f>+'QTR Raw'!AV95</f>
        <v>0</v>
      </c>
      <c r="CC179" s="23">
        <f t="shared" si="1367"/>
        <v>0</v>
      </c>
      <c r="CD179" s="23">
        <f>+'QTR Raw'!AX95</f>
        <v>0</v>
      </c>
      <c r="CE179" s="23">
        <f t="shared" si="1367"/>
        <v>0</v>
      </c>
      <c r="CF179" s="23">
        <f>+'QTR Raw'!AZ95</f>
        <v>0</v>
      </c>
      <c r="CG179" s="23">
        <f t="shared" si="1348"/>
        <v>0</v>
      </c>
      <c r="CH179" s="23">
        <f t="shared" si="1349"/>
        <v>0</v>
      </c>
      <c r="CI179" s="23">
        <f t="shared" si="1348"/>
        <v>0</v>
      </c>
      <c r="CJ179" s="23">
        <f>+'QTR Raw'!BD95</f>
        <v>0</v>
      </c>
      <c r="CK179" s="24">
        <f t="shared" si="1350"/>
        <v>0</v>
      </c>
      <c r="CL179" s="23">
        <f>+'QTR Raw'!BF95</f>
        <v>0</v>
      </c>
      <c r="CM179" s="24">
        <f t="shared" si="1351"/>
        <v>0</v>
      </c>
      <c r="CN179" s="24">
        <f t="shared" si="1352"/>
        <v>0</v>
      </c>
      <c r="CO179" s="24">
        <f t="shared" si="1353"/>
        <v>0</v>
      </c>
      <c r="CP179" s="24">
        <f t="shared" si="1354"/>
        <v>0</v>
      </c>
      <c r="CQ179" s="24">
        <f t="shared" si="1355"/>
        <v>0</v>
      </c>
      <c r="CR179" s="24">
        <f t="shared" si="1356"/>
        <v>0</v>
      </c>
      <c r="CS179" s="24">
        <f t="shared" si="1357"/>
        <v>0</v>
      </c>
      <c r="CT179" s="24">
        <f t="shared" si="1358"/>
        <v>0</v>
      </c>
      <c r="CU179" s="24">
        <f t="shared" si="1359"/>
        <v>0</v>
      </c>
      <c r="CV179" s="24">
        <f t="shared" si="1360"/>
        <v>0</v>
      </c>
      <c r="CW179" s="24">
        <f t="shared" si="1361"/>
        <v>0</v>
      </c>
      <c r="CX179" s="24">
        <f t="shared" si="1362"/>
        <v>0</v>
      </c>
      <c r="CY179" s="24">
        <f t="shared" si="1363"/>
        <v>0</v>
      </c>
      <c r="CZ179" s="24">
        <f t="shared" si="1364"/>
        <v>0</v>
      </c>
      <c r="DA179" s="24">
        <f t="shared" si="1365"/>
        <v>0</v>
      </c>
      <c r="DB179" s="24">
        <f t="shared" si="1366"/>
        <v>0</v>
      </c>
      <c r="DE179" s="123"/>
      <c r="DF179" s="23">
        <v>0</v>
      </c>
    </row>
    <row r="180" spans="1:110" s="26" customFormat="1" x14ac:dyDescent="0.2">
      <c r="A180" s="26" t="s">
        <v>438</v>
      </c>
      <c r="B180" s="26">
        <f t="shared" ref="B180:W180" si="1368">B178+B176+B172+B155+B153+B179</f>
        <v>22.5724789</v>
      </c>
      <c r="C180" s="26">
        <f t="shared" si="1368"/>
        <v>15.055592600000001</v>
      </c>
      <c r="D180" s="26">
        <f t="shared" si="1368"/>
        <v>14.799844799999997</v>
      </c>
      <c r="E180" s="26">
        <f t="shared" si="1368"/>
        <v>12.424031599999999</v>
      </c>
      <c r="F180" s="26">
        <f t="shared" si="1368"/>
        <v>13.440910800000001</v>
      </c>
      <c r="G180" s="26">
        <f t="shared" si="1368"/>
        <v>11.740349899999998</v>
      </c>
      <c r="H180" s="26">
        <f t="shared" si="1368"/>
        <v>13.098804000000001</v>
      </c>
      <c r="I180" s="26">
        <f t="shared" si="1368"/>
        <v>15.861685300000001</v>
      </c>
      <c r="J180" s="26">
        <f t="shared" si="1368"/>
        <v>17.5486644</v>
      </c>
      <c r="K180" s="26">
        <f t="shared" si="1368"/>
        <v>15.825681799999998</v>
      </c>
      <c r="L180" s="26">
        <f t="shared" si="1368"/>
        <v>19.685086699999999</v>
      </c>
      <c r="M180" s="26">
        <f t="shared" si="1368"/>
        <v>21.329801300000003</v>
      </c>
      <c r="N180" s="26">
        <f t="shared" si="1368"/>
        <v>27.604655700000002</v>
      </c>
      <c r="O180" s="26">
        <f t="shared" si="1368"/>
        <v>31.242145199999996</v>
      </c>
      <c r="P180" s="26">
        <f t="shared" si="1368"/>
        <v>29.002975899999999</v>
      </c>
      <c r="Q180" s="26">
        <f t="shared" si="1368"/>
        <v>29.208789500000002</v>
      </c>
      <c r="R180" s="26">
        <f t="shared" si="1368"/>
        <v>32.082664599999994</v>
      </c>
      <c r="S180" s="26">
        <f t="shared" si="1368"/>
        <v>36.9578597</v>
      </c>
      <c r="T180" s="26">
        <f t="shared" si="1368"/>
        <v>43.044230100000007</v>
      </c>
      <c r="U180" s="26">
        <f t="shared" si="1368"/>
        <v>51.674126100000009</v>
      </c>
      <c r="V180" s="26">
        <f t="shared" si="1368"/>
        <v>66.239699999999999</v>
      </c>
      <c r="W180" s="26">
        <f t="shared" si="1368"/>
        <v>95.385499999999993</v>
      </c>
      <c r="X180" s="26">
        <f t="shared" ref="X180:Y180" si="1369">X178+X176+X172+X155+X153+X179</f>
        <v>135.38509999999999</v>
      </c>
      <c r="Y180" s="26">
        <f t="shared" si="1369"/>
        <v>175.62309999999999</v>
      </c>
      <c r="Z180" s="26">
        <f t="shared" ref="Z180:AA180" si="1370">Z178+Z176+Z172+Z155+Z153+Z179</f>
        <v>258.35539999999997</v>
      </c>
      <c r="AA180" s="26">
        <f t="shared" ref="AA180" si="1371">AA178+AA176+AA172+AA155+AA153+AA179</f>
        <v>372.61270000000002</v>
      </c>
      <c r="AB180" s="27">
        <f t="shared" ref="AB180:AD180" si="1372">AB178+AB176+AB172+AB155+AB153+AB179</f>
        <v>388.51873063858142</v>
      </c>
      <c r="AC180" s="27">
        <f t="shared" si="1372"/>
        <v>411.66322055911257</v>
      </c>
      <c r="AD180" s="27">
        <f t="shared" si="1372"/>
        <v>442.28621055354131</v>
      </c>
      <c r="AE180" s="27">
        <f t="shared" ref="AE180" si="1373">AE178+AE176+AE172+AE155+AE153+AE179</f>
        <v>480.86967967247654</v>
      </c>
      <c r="AJ180" s="26">
        <f t="shared" ref="AJ180" si="1374">AJ178+AJ176+AJ172+AJ155+AJ153+AJ179</f>
        <v>29.675000000000001</v>
      </c>
      <c r="AK180" s="26">
        <f t="shared" ref="AK180:AL180" si="1375">AK178+AK176+AK172+AK155+AK153+AK179</f>
        <v>31.505999999999993</v>
      </c>
      <c r="AL180" s="26">
        <f t="shared" si="1375"/>
        <v>27.605</v>
      </c>
      <c r="AM180" s="26">
        <f t="shared" ref="AM180:AO180" si="1376">AM178+AM176+AM172+AM155+AM153+AM179</f>
        <v>26.226000000000003</v>
      </c>
      <c r="AN180" s="26">
        <f t="shared" si="1376"/>
        <v>26.292000000000002</v>
      </c>
      <c r="AO180" s="26">
        <f t="shared" si="1376"/>
        <v>26.713999999999999</v>
      </c>
      <c r="AP180" s="26">
        <f t="shared" ref="AP180:CE180" si="1377">AP178+AP176+AP172+AP155+AP153+AP179</f>
        <v>30.222000000000001</v>
      </c>
      <c r="AQ180" s="26">
        <f t="shared" si="1377"/>
        <v>28.553999999999998</v>
      </c>
      <c r="AR180" s="26">
        <f t="shared" si="1377"/>
        <v>34.683</v>
      </c>
      <c r="AS180" s="26">
        <f t="shared" si="1377"/>
        <v>34.897999999999996</v>
      </c>
      <c r="AT180" s="26">
        <f t="shared" si="1377"/>
        <v>27.983000000000001</v>
      </c>
      <c r="AU180" s="26">
        <f t="shared" si="1377"/>
        <v>28.169</v>
      </c>
      <c r="AV180" s="26">
        <f t="shared" si="1377"/>
        <v>33.043000000000006</v>
      </c>
      <c r="AW180" s="26">
        <f t="shared" si="1377"/>
        <v>33.262</v>
      </c>
      <c r="AX180" s="26">
        <f t="shared" si="1377"/>
        <v>28.186999999999998</v>
      </c>
      <c r="AY180" s="26">
        <f t="shared" si="1377"/>
        <v>28.559999999999995</v>
      </c>
      <c r="AZ180" s="26">
        <f t="shared" si="1377"/>
        <v>28.689999999999998</v>
      </c>
      <c r="BA180" s="26">
        <f t="shared" si="1377"/>
        <v>29.033999999999999</v>
      </c>
      <c r="BB180" s="26">
        <f t="shared" si="1377"/>
        <v>31.062999999999999</v>
      </c>
      <c r="BC180" s="26">
        <f t="shared" si="1377"/>
        <v>43.267000000000003</v>
      </c>
      <c r="BD180" s="26">
        <f t="shared" si="1377"/>
        <v>35.110999999999997</v>
      </c>
      <c r="BE180" s="26">
        <f t="shared" si="1377"/>
        <v>38.242000000000004</v>
      </c>
      <c r="BF180" s="26">
        <f t="shared" si="1377"/>
        <v>36.959000000000003</v>
      </c>
      <c r="BG180" s="26">
        <f t="shared" si="1377"/>
        <v>39.376999999999995</v>
      </c>
      <c r="BH180" s="26">
        <f t="shared" ref="BH180" si="1378">BH178+BH176+BH172+BH155+BH153+BH179</f>
        <v>38.045000000000002</v>
      </c>
      <c r="BI180" s="26">
        <f t="shared" si="1377"/>
        <v>41.356000000000002</v>
      </c>
      <c r="BJ180" s="26">
        <f t="shared" si="1377"/>
        <v>43.043999999999997</v>
      </c>
      <c r="BK180" s="26">
        <f t="shared" si="1377"/>
        <v>44.40100000000001</v>
      </c>
      <c r="BL180" s="26">
        <f t="shared" si="1377"/>
        <v>45.805</v>
      </c>
      <c r="BM180" s="26">
        <f t="shared" si="1377"/>
        <v>48.709000000000003</v>
      </c>
      <c r="BN180" s="26">
        <f t="shared" si="1377"/>
        <v>51.673999999999985</v>
      </c>
      <c r="BO180" s="26">
        <f t="shared" si="1377"/>
        <v>53.120999999999995</v>
      </c>
      <c r="BP180" s="26">
        <f t="shared" si="1377"/>
        <v>55.6</v>
      </c>
      <c r="BQ180" s="26">
        <f t="shared" si="1377"/>
        <v>60.571999999999996</v>
      </c>
      <c r="BR180" s="26">
        <f t="shared" si="1377"/>
        <v>66.241</v>
      </c>
      <c r="BS180" s="26">
        <f t="shared" si="1377"/>
        <v>69.314999999999984</v>
      </c>
      <c r="BT180" s="26">
        <f t="shared" si="1377"/>
        <v>71.132999999999996</v>
      </c>
      <c r="BU180" s="26">
        <f t="shared" si="1377"/>
        <v>76.519000000000005</v>
      </c>
      <c r="BV180" s="26">
        <f t="shared" si="1377"/>
        <v>95.384999999999991</v>
      </c>
      <c r="BW180" s="26">
        <f t="shared" si="1377"/>
        <v>99.766000000000005</v>
      </c>
      <c r="BX180" s="26">
        <f t="shared" si="1377"/>
        <v>126.34899999999999</v>
      </c>
      <c r="BY180" s="26">
        <f t="shared" si="1377"/>
        <v>133.035</v>
      </c>
      <c r="BZ180" s="26">
        <f t="shared" si="1377"/>
        <v>135.38500000000002</v>
      </c>
      <c r="CA180" s="26">
        <f t="shared" si="1377"/>
        <v>143.39699999999999</v>
      </c>
      <c r="CB180" s="26">
        <f t="shared" si="1377"/>
        <v>147.47899999999996</v>
      </c>
      <c r="CC180" s="26">
        <f t="shared" si="1377"/>
        <v>163.79999999999995</v>
      </c>
      <c r="CD180" s="26">
        <f t="shared" si="1377"/>
        <v>175.62300000000002</v>
      </c>
      <c r="CE180" s="26">
        <f t="shared" si="1377"/>
        <v>183.00400000000002</v>
      </c>
      <c r="CF180" s="26">
        <f t="shared" ref="CF180:CG180" si="1379">CF178+CF176+CF172+CF155+CF153+CF179</f>
        <v>208.50800000000004</v>
      </c>
      <c r="CG180" s="26">
        <f t="shared" si="1379"/>
        <v>228.58800000000002</v>
      </c>
      <c r="CH180" s="26">
        <f t="shared" ref="CH180:CI180" si="1380">CH178+CH176+CH172+CH155+CH153+CH179</f>
        <v>258.35539999999997</v>
      </c>
      <c r="CI180" s="26">
        <f t="shared" si="1380"/>
        <v>261.58139999999997</v>
      </c>
      <c r="CJ180" s="26">
        <f t="shared" ref="CJ180:DB180" si="1381">CJ178+CJ176+CJ172+CJ155+CJ153+CJ179</f>
        <v>354.33000000000004</v>
      </c>
      <c r="CK180" s="27">
        <f t="shared" si="1381"/>
        <v>357.07299999999998</v>
      </c>
      <c r="CL180" s="26">
        <f t="shared" ref="CL180" si="1382">CL178+CL176+CL172+CL155+CL153+CL179</f>
        <v>372.61099999999999</v>
      </c>
      <c r="CM180" s="27">
        <f t="shared" si="1381"/>
        <v>375.76436072208571</v>
      </c>
      <c r="CN180" s="27">
        <f t="shared" si="1381"/>
        <v>379.66245248743189</v>
      </c>
      <c r="CO180" s="27">
        <f t="shared" si="1381"/>
        <v>383.16089673101396</v>
      </c>
      <c r="CP180" s="27">
        <f t="shared" si="1381"/>
        <v>388.51873063858142</v>
      </c>
      <c r="CQ180" s="27">
        <f t="shared" si="1381"/>
        <v>393.56094364400838</v>
      </c>
      <c r="CR180" s="27">
        <f t="shared" si="1381"/>
        <v>399.24710377030073</v>
      </c>
      <c r="CS180" s="27">
        <f t="shared" si="1381"/>
        <v>404.41006311158878</v>
      </c>
      <c r="CT180" s="27">
        <f t="shared" si="1381"/>
        <v>411.66322055911257</v>
      </c>
      <c r="CU180" s="27">
        <f t="shared" si="1381"/>
        <v>418.54767125364293</v>
      </c>
      <c r="CV180" s="27">
        <f t="shared" si="1381"/>
        <v>426.10385585883751</v>
      </c>
      <c r="CW180" s="27">
        <f t="shared" si="1381"/>
        <v>433.01757094257056</v>
      </c>
      <c r="CX180" s="27">
        <f t="shared" si="1381"/>
        <v>442.28621055354131</v>
      </c>
      <c r="CY180" s="27">
        <f t="shared" si="1381"/>
        <v>451.10534758335342</v>
      </c>
      <c r="CZ180" s="27">
        <f t="shared" si="1381"/>
        <v>460.65437625376995</v>
      </c>
      <c r="DA180" s="27">
        <f t="shared" si="1381"/>
        <v>469.42730949841655</v>
      </c>
      <c r="DB180" s="27">
        <f t="shared" si="1381"/>
        <v>480.86967967247654</v>
      </c>
      <c r="DE180" s="121"/>
      <c r="DF180" s="26">
        <v>372.61099999999999</v>
      </c>
    </row>
    <row r="181" spans="1:110" s="23" customFormat="1" x14ac:dyDescent="0.2">
      <c r="A181" s="28" t="s">
        <v>439</v>
      </c>
      <c r="B181" s="23">
        <f t="shared" ref="B181:W181" si="1383">B180-B144</f>
        <v>0</v>
      </c>
      <c r="C181" s="23">
        <f t="shared" si="1383"/>
        <v>0</v>
      </c>
      <c r="D181" s="23">
        <f t="shared" si="1383"/>
        <v>0</v>
      </c>
      <c r="E181" s="23">
        <f t="shared" si="1383"/>
        <v>0</v>
      </c>
      <c r="F181" s="23">
        <f t="shared" si="1383"/>
        <v>0</v>
      </c>
      <c r="G181" s="23">
        <f t="shared" si="1383"/>
        <v>0</v>
      </c>
      <c r="H181" s="23">
        <f t="shared" si="1383"/>
        <v>0</v>
      </c>
      <c r="I181" s="23">
        <f t="shared" si="1383"/>
        <v>0</v>
      </c>
      <c r="J181" s="23">
        <f t="shared" si="1383"/>
        <v>0</v>
      </c>
      <c r="K181" s="23">
        <f t="shared" si="1383"/>
        <v>0</v>
      </c>
      <c r="L181" s="23">
        <f t="shared" si="1383"/>
        <v>0</v>
      </c>
      <c r="M181" s="23">
        <f t="shared" si="1383"/>
        <v>0</v>
      </c>
      <c r="N181" s="23">
        <f t="shared" si="1383"/>
        <v>0</v>
      </c>
      <c r="O181" s="23">
        <f t="shared" si="1383"/>
        <v>0</v>
      </c>
      <c r="P181" s="23">
        <f t="shared" si="1383"/>
        <v>0</v>
      </c>
      <c r="Q181" s="23">
        <f t="shared" si="1383"/>
        <v>0</v>
      </c>
      <c r="R181" s="23">
        <f t="shared" si="1383"/>
        <v>0</v>
      </c>
      <c r="S181" s="23">
        <f t="shared" si="1383"/>
        <v>0</v>
      </c>
      <c r="T181" s="23">
        <f t="shared" si="1383"/>
        <v>0</v>
      </c>
      <c r="U181" s="23">
        <f t="shared" si="1383"/>
        <v>0</v>
      </c>
      <c r="V181" s="23">
        <f t="shared" si="1383"/>
        <v>0</v>
      </c>
      <c r="W181" s="23">
        <f t="shared" si="1383"/>
        <v>0</v>
      </c>
      <c r="X181" s="23">
        <f t="shared" ref="X181:Y181" si="1384">X180-X144</f>
        <v>0</v>
      </c>
      <c r="Y181" s="23">
        <f t="shared" si="1384"/>
        <v>0</v>
      </c>
      <c r="Z181" s="23">
        <f t="shared" ref="Z181:AA181" si="1385">Z180-Z144</f>
        <v>0</v>
      </c>
      <c r="AA181" s="23">
        <f t="shared" ref="AA181" si="1386">AA180-AA144</f>
        <v>0</v>
      </c>
      <c r="AB181" s="24">
        <f t="shared" ref="AB181:AD181" si="1387">AB180-AB144</f>
        <v>-1.0000000000331966E-3</v>
      </c>
      <c r="AC181" s="24">
        <f t="shared" si="1387"/>
        <v>-1.00000000009004E-3</v>
      </c>
      <c r="AD181" s="24">
        <f t="shared" si="1387"/>
        <v>-1.00000000009004E-3</v>
      </c>
      <c r="AE181" s="24">
        <f t="shared" ref="AE181" si="1388">AE180-AE144</f>
        <v>-1.00000000009004E-3</v>
      </c>
      <c r="AJ181" s="23">
        <f t="shared" ref="AJ181" si="1389">AJ180-AJ144</f>
        <v>-1.0000000000012221E-3</v>
      </c>
      <c r="AK181" s="23">
        <f t="shared" ref="AK181" si="1390">AK180-AK144</f>
        <v>-1.0000000000047748E-3</v>
      </c>
      <c r="AL181" s="23">
        <f t="shared" ref="AL181:AM181" si="1391">AL180-AL144</f>
        <v>0</v>
      </c>
      <c r="AM181" s="23">
        <f t="shared" si="1391"/>
        <v>0</v>
      </c>
      <c r="AN181" s="23">
        <f t="shared" ref="AN181:AO181" si="1392">AN180-AN144</f>
        <v>-9.9999999999766942E-4</v>
      </c>
      <c r="AO181" s="23">
        <f t="shared" si="1392"/>
        <v>-1.0000000000012221E-3</v>
      </c>
      <c r="AP181" s="23">
        <f t="shared" ref="AP181:CE181" si="1393">AP180-AP144</f>
        <v>-9.9999999999766942E-4</v>
      </c>
      <c r="AQ181" s="23">
        <f t="shared" si="1393"/>
        <v>-1.0000000000012221E-3</v>
      </c>
      <c r="AR181" s="23">
        <f t="shared" si="1393"/>
        <v>3.0000000000001137E-3</v>
      </c>
      <c r="AS181" s="23">
        <f t="shared" si="1393"/>
        <v>3.0000000000001137E-3</v>
      </c>
      <c r="AT181" s="23">
        <f t="shared" si="1393"/>
        <v>0</v>
      </c>
      <c r="AU181" s="23">
        <f t="shared" si="1393"/>
        <v>0</v>
      </c>
      <c r="AV181" s="23">
        <f t="shared" si="1393"/>
        <v>0</v>
      </c>
      <c r="AW181" s="23">
        <f t="shared" si="1393"/>
        <v>0</v>
      </c>
      <c r="AX181" s="23">
        <f t="shared" si="1393"/>
        <v>-2.0000000000024443E-3</v>
      </c>
      <c r="AY181" s="23">
        <f t="shared" si="1393"/>
        <v>-2.0000000000024443E-3</v>
      </c>
      <c r="AZ181" s="23">
        <f t="shared" si="1393"/>
        <v>0</v>
      </c>
      <c r="BA181" s="23">
        <f t="shared" si="1393"/>
        <v>0</v>
      </c>
      <c r="BB181" s="23">
        <f t="shared" si="1393"/>
        <v>0</v>
      </c>
      <c r="BC181" s="23">
        <f t="shared" si="1393"/>
        <v>0</v>
      </c>
      <c r="BD181" s="23">
        <f t="shared" si="1393"/>
        <v>-9.9999999999766942E-4</v>
      </c>
      <c r="BE181" s="23">
        <f t="shared" si="1393"/>
        <v>-9.9999999999766942E-4</v>
      </c>
      <c r="BF181" s="23">
        <f t="shared" si="1393"/>
        <v>1.0000000000047748E-3</v>
      </c>
      <c r="BG181" s="23">
        <f t="shared" si="1393"/>
        <v>9.9999999999766942E-4</v>
      </c>
      <c r="BH181" s="23">
        <f t="shared" ref="BH181" si="1394">BH180-BH144</f>
        <v>0</v>
      </c>
      <c r="BI181" s="23">
        <f t="shared" si="1393"/>
        <v>0</v>
      </c>
      <c r="BJ181" s="23">
        <f t="shared" si="1393"/>
        <v>0</v>
      </c>
      <c r="BK181" s="23">
        <f t="shared" si="1393"/>
        <v>0</v>
      </c>
      <c r="BL181" s="23">
        <f t="shared" si="1393"/>
        <v>2.0000000000024443E-3</v>
      </c>
      <c r="BM181" s="23">
        <f t="shared" si="1393"/>
        <v>2.0000000000024443E-3</v>
      </c>
      <c r="BN181" s="23">
        <f t="shared" si="1393"/>
        <v>0</v>
      </c>
      <c r="BO181" s="23">
        <f t="shared" si="1393"/>
        <v>0</v>
      </c>
      <c r="BP181" s="23">
        <f t="shared" si="1393"/>
        <v>0</v>
      </c>
      <c r="BQ181" s="23">
        <f t="shared" si="1393"/>
        <v>0</v>
      </c>
      <c r="BR181" s="23">
        <f t="shared" si="1393"/>
        <v>9.9999999999056399E-4</v>
      </c>
      <c r="BS181" s="23">
        <f t="shared" si="1393"/>
        <v>9.9999999999056399E-4</v>
      </c>
      <c r="BT181" s="23">
        <f t="shared" si="1393"/>
        <v>0</v>
      </c>
      <c r="BU181" s="23">
        <f t="shared" si="1393"/>
        <v>0</v>
      </c>
      <c r="BV181" s="23">
        <f t="shared" si="1393"/>
        <v>-1.0000000000189857E-3</v>
      </c>
      <c r="BW181" s="23">
        <f t="shared" si="1393"/>
        <v>-1.0000000000047748E-3</v>
      </c>
      <c r="BX181" s="23">
        <f t="shared" si="1393"/>
        <v>-1.0000000000047748E-3</v>
      </c>
      <c r="BY181" s="23">
        <f t="shared" si="1393"/>
        <v>-1.0000000000047748E-3</v>
      </c>
      <c r="BZ181" s="23">
        <f t="shared" si="1393"/>
        <v>0</v>
      </c>
      <c r="CA181" s="23">
        <f t="shared" si="1393"/>
        <v>0</v>
      </c>
      <c r="CB181" s="23">
        <f t="shared" si="1393"/>
        <v>-1.0000000000616183E-3</v>
      </c>
      <c r="CC181" s="23">
        <f t="shared" si="1393"/>
        <v>-1.0000000000616183E-3</v>
      </c>
      <c r="CD181" s="23">
        <f t="shared" si="1393"/>
        <v>0</v>
      </c>
      <c r="CE181" s="23">
        <f t="shared" si="1393"/>
        <v>0</v>
      </c>
      <c r="CF181" s="23">
        <f t="shared" ref="CF181:CG181" si="1395">CF180-CF144</f>
        <v>0</v>
      </c>
      <c r="CG181" s="23">
        <f t="shared" si="1395"/>
        <v>0</v>
      </c>
      <c r="CH181" s="23">
        <f t="shared" ref="CH181:CI181" si="1396">CH180-CH144</f>
        <v>0</v>
      </c>
      <c r="CI181" s="23">
        <f t="shared" si="1396"/>
        <v>0</v>
      </c>
      <c r="CJ181" s="23">
        <f t="shared" ref="CJ181:DB181" si="1397">CJ180-CJ144</f>
        <v>-9.9999999997635314E-4</v>
      </c>
      <c r="CK181" s="24">
        <f t="shared" si="1397"/>
        <v>-1.0000000000331966E-3</v>
      </c>
      <c r="CL181" s="23">
        <f t="shared" ref="CL181" si="1398">CL180-CL144</f>
        <v>-9.9999999997635314E-4</v>
      </c>
      <c r="CM181" s="24">
        <f t="shared" si="1397"/>
        <v>-9.9999999997635314E-4</v>
      </c>
      <c r="CN181" s="24">
        <f t="shared" si="1397"/>
        <v>-9.9999999997635314E-4</v>
      </c>
      <c r="CO181" s="24">
        <f t="shared" si="1397"/>
        <v>-9.9999999997635314E-4</v>
      </c>
      <c r="CP181" s="24">
        <f t="shared" si="1397"/>
        <v>-1.0000000000331966E-3</v>
      </c>
      <c r="CQ181" s="24">
        <f t="shared" si="1397"/>
        <v>-1.00000000009004E-3</v>
      </c>
      <c r="CR181" s="24">
        <f t="shared" si="1397"/>
        <v>-1.0000000000331966E-3</v>
      </c>
      <c r="CS181" s="24">
        <f t="shared" si="1397"/>
        <v>-1.00000000009004E-3</v>
      </c>
      <c r="CT181" s="24">
        <f t="shared" si="1397"/>
        <v>-1.00000000009004E-3</v>
      </c>
      <c r="CU181" s="24">
        <f t="shared" si="1397"/>
        <v>-1.0000000000331966E-3</v>
      </c>
      <c r="CV181" s="24">
        <f t="shared" si="1397"/>
        <v>-9.9999999997635314E-4</v>
      </c>
      <c r="CW181" s="24">
        <f t="shared" si="1397"/>
        <v>-1.0000000000331966E-3</v>
      </c>
      <c r="CX181" s="24">
        <f t="shared" si="1397"/>
        <v>-1.00000000009004E-3</v>
      </c>
      <c r="CY181" s="24">
        <f t="shared" si="1397"/>
        <v>-1.0000000000331966E-3</v>
      </c>
      <c r="CZ181" s="24">
        <f t="shared" si="1397"/>
        <v>-1.0000000000331966E-3</v>
      </c>
      <c r="DA181" s="24">
        <f t="shared" si="1397"/>
        <v>-9.9999999997635314E-4</v>
      </c>
      <c r="DB181" s="24">
        <f t="shared" si="1397"/>
        <v>-1.00000000009004E-3</v>
      </c>
      <c r="DE181" s="123"/>
      <c r="DF181" s="23">
        <v>-9.9999999997635314E-4</v>
      </c>
    </row>
    <row r="182" spans="1:110" s="23" customFormat="1" x14ac:dyDescent="0.2">
      <c r="A182" s="28"/>
      <c r="AB182" s="24"/>
      <c r="AC182" s="24"/>
      <c r="AD182" s="24"/>
      <c r="AE182" s="24"/>
      <c r="CK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</row>
    <row r="183" spans="1:110" s="22" customFormat="1" x14ac:dyDescent="0.2">
      <c r="A183" s="22" t="s">
        <v>80</v>
      </c>
      <c r="B183" s="22">
        <f t="shared" ref="B183:W183" si="1399">B143-B176</f>
        <v>4.926952</v>
      </c>
      <c r="C183" s="22">
        <f t="shared" si="1399"/>
        <v>4.3623892</v>
      </c>
      <c r="D183" s="22">
        <f t="shared" si="1399"/>
        <v>4.0970407</v>
      </c>
      <c r="E183" s="22">
        <f t="shared" si="1399"/>
        <v>2.0096995</v>
      </c>
      <c r="F183" s="22">
        <f t="shared" si="1399"/>
        <v>2.1944583</v>
      </c>
      <c r="G183" s="22">
        <f t="shared" si="1399"/>
        <v>-3.2707857000000002</v>
      </c>
      <c r="H183" s="22">
        <f t="shared" si="1399"/>
        <v>-0.90717139999999996</v>
      </c>
      <c r="I183" s="22">
        <f t="shared" si="1399"/>
        <v>-2.7811903999999998</v>
      </c>
      <c r="J183" s="22">
        <f t="shared" si="1399"/>
        <v>-2.4181287</v>
      </c>
      <c r="K183" s="22">
        <f t="shared" si="1399"/>
        <v>-1.1879820999999999</v>
      </c>
      <c r="L183" s="22">
        <f t="shared" si="1399"/>
        <v>1.7338678999999999</v>
      </c>
      <c r="M183" s="22">
        <f t="shared" si="1399"/>
        <v>2.2353166</v>
      </c>
      <c r="N183" s="22">
        <f t="shared" si="1399"/>
        <v>2.4531833000000001</v>
      </c>
      <c r="O183" s="22">
        <f t="shared" si="1399"/>
        <v>10.133029299999999</v>
      </c>
      <c r="P183" s="22">
        <f t="shared" si="1399"/>
        <v>8.8374007000000017</v>
      </c>
      <c r="Q183" s="22">
        <f t="shared" si="1399"/>
        <v>9.0131941999999992</v>
      </c>
      <c r="R183" s="22">
        <f t="shared" si="1399"/>
        <v>11.133100499999999</v>
      </c>
      <c r="S183" s="22">
        <f t="shared" si="1399"/>
        <v>-10.963350800000001</v>
      </c>
      <c r="T183" s="22">
        <f t="shared" si="1399"/>
        <v>-10.1011864</v>
      </c>
      <c r="U183" s="22">
        <f t="shared" si="1399"/>
        <v>-7.9235727000000002</v>
      </c>
      <c r="V183" s="22">
        <f t="shared" si="1399"/>
        <v>-42.970500000000001</v>
      </c>
      <c r="W183" s="22">
        <f t="shared" si="1399"/>
        <v>11.533300000000001</v>
      </c>
      <c r="X183" s="22">
        <f t="shared" ref="X183:Y183" si="1400">X143-X176</f>
        <v>26.651700000000002</v>
      </c>
      <c r="Y183" s="22">
        <f t="shared" si="1400"/>
        <v>-1.782</v>
      </c>
      <c r="Z183" s="22">
        <f t="shared" ref="Z183:AA183" si="1401">Z143-Z176</f>
        <v>13.342899999999997</v>
      </c>
      <c r="AA183" s="22">
        <f t="shared" ref="AA183" si="1402">AA143-AA176</f>
        <v>23.330100000000002</v>
      </c>
      <c r="AB183" s="21">
        <f t="shared" ref="AB183:AD183" si="1403">AB143-AB176</f>
        <v>6.7352055429371767</v>
      </c>
      <c r="AC183" s="21">
        <f t="shared" si="1403"/>
        <v>-11.109738166204778</v>
      </c>
      <c r="AD183" s="21">
        <f t="shared" si="1403"/>
        <v>-27.667538406022409</v>
      </c>
      <c r="AE183" s="21">
        <f t="shared" ref="AE183" si="1404">AE143-AE176</f>
        <v>-43.43867650568658</v>
      </c>
      <c r="AJ183" s="22">
        <f t="shared" ref="AJ183:AM183" si="1405">AJ143-AJ176</f>
        <v>9.0879999999999992</v>
      </c>
      <c r="AK183" s="22">
        <f t="shared" si="1405"/>
        <v>48.033964350672974</v>
      </c>
      <c r="AL183" s="22">
        <f t="shared" si="1405"/>
        <v>2.4530000000000003</v>
      </c>
      <c r="AM183" s="22">
        <f t="shared" si="1405"/>
        <v>-7.6873360052920363</v>
      </c>
      <c r="AN183" s="22">
        <f t="shared" ref="AN183:AO183" si="1406">AN143-AN176</f>
        <v>5.5659999999999998</v>
      </c>
      <c r="AO183" s="22">
        <f t="shared" si="1406"/>
        <v>9.7745833333333323</v>
      </c>
      <c r="AP183" s="22">
        <f t="shared" ref="AP183:CE183" si="1407">AP143-AP176</f>
        <v>9.1129999999999995</v>
      </c>
      <c r="AQ183" s="22">
        <f t="shared" si="1407"/>
        <v>16.540732819524727</v>
      </c>
      <c r="AR183" s="22">
        <f t="shared" si="1407"/>
        <v>11.266</v>
      </c>
      <c r="AS183" s="22">
        <f t="shared" si="1407"/>
        <v>5.5492990790111492</v>
      </c>
      <c r="AT183" s="22">
        <f t="shared" si="1407"/>
        <v>7.8169999999999993</v>
      </c>
      <c r="AU183" s="22">
        <f t="shared" si="1407"/>
        <v>5.8640582110743003</v>
      </c>
      <c r="AV183" s="22">
        <f t="shared" si="1407"/>
        <v>12.011000000000001</v>
      </c>
      <c r="AW183" s="22">
        <f t="shared" si="1407"/>
        <v>11.674128478543562</v>
      </c>
      <c r="AX183" s="22">
        <f t="shared" si="1407"/>
        <v>7.995000000000001</v>
      </c>
      <c r="AY183" s="22">
        <f t="shared" si="1407"/>
        <v>1.0756929539090354</v>
      </c>
      <c r="AZ183" s="22">
        <f t="shared" si="1407"/>
        <v>7.7949999999999999</v>
      </c>
      <c r="BA183" s="22">
        <f t="shared" si="1407"/>
        <v>8.3567581573896348</v>
      </c>
      <c r="BB183" s="22">
        <f t="shared" si="1407"/>
        <v>10.113</v>
      </c>
      <c r="BC183" s="22">
        <f t="shared" si="1407"/>
        <v>-3.4486818181818215</v>
      </c>
      <c r="BD183" s="22">
        <f t="shared" si="1407"/>
        <v>-2.7759999999999998</v>
      </c>
      <c r="BE183" s="22">
        <f t="shared" si="1407"/>
        <v>3.6376859688195946</v>
      </c>
      <c r="BF183" s="22">
        <f t="shared" si="1407"/>
        <v>-10.964</v>
      </c>
      <c r="BG183" s="22">
        <f t="shared" si="1407"/>
        <v>-15.353020620002804</v>
      </c>
      <c r="BH183" s="22">
        <f t="shared" si="1407"/>
        <v>-15.704000000000001</v>
      </c>
      <c r="BI183" s="22">
        <f t="shared" si="1407"/>
        <v>-14.921676260420805</v>
      </c>
      <c r="BJ183" s="22">
        <f t="shared" si="1407"/>
        <v>-10.101000000000001</v>
      </c>
      <c r="BK183" s="22">
        <f t="shared" si="1407"/>
        <v>-20.072092497927606</v>
      </c>
      <c r="BL183" s="22">
        <f t="shared" si="1407"/>
        <v>-17.321999999999999</v>
      </c>
      <c r="BM183" s="22">
        <f t="shared" si="1407"/>
        <v>-9.4458134226522841</v>
      </c>
      <c r="BN183" s="22">
        <f t="shared" si="1407"/>
        <v>-7.9240000000000004</v>
      </c>
      <c r="BO183" s="22">
        <f t="shared" si="1407"/>
        <v>-25.530598967456434</v>
      </c>
      <c r="BP183" s="22">
        <f t="shared" si="1407"/>
        <v>-18.928000000000001</v>
      </c>
      <c r="BQ183" s="22">
        <f t="shared" si="1407"/>
        <v>-1.5600220535357607</v>
      </c>
      <c r="BR183" s="22">
        <f t="shared" si="1407"/>
        <v>-42.970999999999997</v>
      </c>
      <c r="BS183" s="22">
        <f t="shared" si="1407"/>
        <v>-54.131178680796864</v>
      </c>
      <c r="BT183" s="22">
        <f t="shared" si="1407"/>
        <v>-25.989000000000001</v>
      </c>
      <c r="BU183" s="22">
        <f t="shared" si="1407"/>
        <v>-1.9924546514641079</v>
      </c>
      <c r="BV183" s="22">
        <f t="shared" si="1407"/>
        <v>11.534000000000001</v>
      </c>
      <c r="BW183" s="22">
        <f t="shared" si="1407"/>
        <v>-14.894102699693843</v>
      </c>
      <c r="BX183" s="22">
        <f t="shared" si="1407"/>
        <v>28.089999999999996</v>
      </c>
      <c r="BY183" s="22">
        <f t="shared" si="1407"/>
        <v>26.11274810213941</v>
      </c>
      <c r="BZ183" s="22">
        <f t="shared" si="1407"/>
        <v>26.651</v>
      </c>
      <c r="CA183" s="22">
        <f t="shared" si="1407"/>
        <v>44.073146085168744</v>
      </c>
      <c r="CB183" s="22">
        <f t="shared" si="1407"/>
        <v>10.856999999999999</v>
      </c>
      <c r="CC183" s="22">
        <f t="shared" si="1407"/>
        <v>3.7476746728507742</v>
      </c>
      <c r="CD183" s="22">
        <f t="shared" si="1407"/>
        <v>-1.782</v>
      </c>
      <c r="CE183" s="22">
        <f t="shared" si="1407"/>
        <v>15.838391992528907</v>
      </c>
      <c r="CF183" s="22">
        <f t="shared" ref="CF183:CG183" si="1408">CF143-CF176</f>
        <v>3.1169999999999991</v>
      </c>
      <c r="CG183" s="22">
        <f t="shared" si="1408"/>
        <v>-29.593532885559313</v>
      </c>
      <c r="CH183" s="22">
        <f t="shared" ref="CH183:CI183" si="1409">CH143-CH176</f>
        <v>13.342899999999997</v>
      </c>
      <c r="CI183" s="22">
        <f t="shared" si="1409"/>
        <v>12.767756486876014</v>
      </c>
      <c r="CJ183" s="22">
        <f t="shared" ref="CJ183:DB183" si="1410">CJ143-CJ176</f>
        <v>-18.873000000000001</v>
      </c>
      <c r="CK183" s="21">
        <f t="shared" si="1410"/>
        <v>-37.372976000577438</v>
      </c>
      <c r="CL183" s="22">
        <f t="shared" ref="CL183" si="1411">CL143-CL176</f>
        <v>23.33</v>
      </c>
      <c r="CM183" s="21">
        <f t="shared" si="1410"/>
        <v>0.93741949403219138</v>
      </c>
      <c r="CN183" s="21">
        <f t="shared" si="1410"/>
        <v>3.030812506896531</v>
      </c>
      <c r="CO183" s="21">
        <f t="shared" si="1410"/>
        <v>-21.072066003000899</v>
      </c>
      <c r="CP183" s="21">
        <f t="shared" si="1410"/>
        <v>6.7352055429371767</v>
      </c>
      <c r="CQ183" s="21">
        <f t="shared" si="1410"/>
        <v>-21.255776037052762</v>
      </c>
      <c r="CR183" s="21">
        <f t="shared" si="1410"/>
        <v>-17.637278942212866</v>
      </c>
      <c r="CS183" s="21">
        <f t="shared" si="1410"/>
        <v>-44.183584886899176</v>
      </c>
      <c r="CT183" s="21">
        <f t="shared" si="1410"/>
        <v>-11.109738166204778</v>
      </c>
      <c r="CU183" s="21">
        <f t="shared" si="1410"/>
        <v>-42.145759463472849</v>
      </c>
      <c r="CV183" s="21">
        <f t="shared" si="1410"/>
        <v>-36.99889647488245</v>
      </c>
      <c r="CW183" s="21">
        <f t="shared" si="1410"/>
        <v>-66.584588768604959</v>
      </c>
      <c r="CX183" s="21">
        <f t="shared" si="1410"/>
        <v>-27.667538406022409</v>
      </c>
      <c r="CY183" s="21">
        <f t="shared" si="1410"/>
        <v>-62.367124845897074</v>
      </c>
      <c r="CZ183" s="21">
        <f t="shared" si="1410"/>
        <v>-55.64887945732368</v>
      </c>
      <c r="DA183" s="21">
        <f t="shared" si="1410"/>
        <v>-88.903737535528109</v>
      </c>
      <c r="DB183" s="21">
        <f t="shared" si="1410"/>
        <v>-43.43867650568658</v>
      </c>
      <c r="DE183" s="126"/>
      <c r="DF183" s="22">
        <v>23.33</v>
      </c>
    </row>
    <row r="184" spans="1:110" x14ac:dyDescent="0.2">
      <c r="AA184" s="2"/>
      <c r="CE184" s="111"/>
      <c r="CG184" s="111"/>
      <c r="CL184" s="2"/>
    </row>
    <row r="185" spans="1:110" s="49" customFormat="1" x14ac:dyDescent="0.2">
      <c r="A185" s="49" t="s">
        <v>81</v>
      </c>
      <c r="B185" s="49">
        <f>'Annual Raw'!C85</f>
        <v>0.70221990000000001</v>
      </c>
      <c r="C185" s="49">
        <f>'Annual Raw'!D85</f>
        <v>1.2798737</v>
      </c>
      <c r="D185" s="49">
        <f>'Annual Raw'!E85</f>
        <v>0.64844239999999997</v>
      </c>
      <c r="E185" s="49">
        <f>'Annual Raw'!F85</f>
        <v>0</v>
      </c>
      <c r="F185" s="49">
        <f>'Annual Raw'!G85</f>
        <v>0</v>
      </c>
      <c r="G185" s="49">
        <f>'Annual Raw'!H85</f>
        <v>0</v>
      </c>
      <c r="H185" s="49">
        <f>'Annual Raw'!I85</f>
        <v>0</v>
      </c>
      <c r="I185" s="49">
        <f>'Annual Raw'!J85</f>
        <v>2.4468437999999999</v>
      </c>
      <c r="J185" s="49">
        <f>'Annual Raw'!K85</f>
        <v>1.6795585</v>
      </c>
      <c r="K185" s="49">
        <f>'Annual Raw'!L85</f>
        <v>1.4466540000000001</v>
      </c>
      <c r="L185" s="49">
        <f>'Annual Raw'!M85</f>
        <v>1.7146888</v>
      </c>
      <c r="M185" s="49">
        <f>'Annual Raw'!N85</f>
        <v>2.0061726000000002</v>
      </c>
      <c r="N185" s="49">
        <f>'Annual Raw'!O85</f>
        <v>5.6695193000000002</v>
      </c>
      <c r="O185" s="49">
        <f>'Annual Raw'!P85</f>
        <v>5.6301978000000004</v>
      </c>
      <c r="P185" s="49">
        <f>'Annual Raw'!Q85</f>
        <v>6.6903046000000002</v>
      </c>
      <c r="Q185" s="49">
        <f>'Annual Raw'!R85</f>
        <v>5.9250157999999997</v>
      </c>
      <c r="R185" s="49">
        <f>'Annual Raw'!S85</f>
        <v>6.5259833</v>
      </c>
      <c r="S185" s="49">
        <f>'Annual Raw'!T85</f>
        <v>10.4152805</v>
      </c>
      <c r="T185" s="49">
        <f>'Annual Raw'!U85</f>
        <v>10.254697999999999</v>
      </c>
      <c r="U185" s="49">
        <f>'Annual Raw'!V85</f>
        <v>22.986949299999999</v>
      </c>
      <c r="V185" s="49">
        <f>'Annual Raw'!W85</f>
        <v>32.744100000000003</v>
      </c>
      <c r="W185" s="49">
        <f>'Annual Raw'!X85</f>
        <v>25.219200000000001</v>
      </c>
      <c r="X185" s="49">
        <f>'Annual Raw'!Y85</f>
        <v>14.1629</v>
      </c>
      <c r="Y185" s="49">
        <f>'Annual Raw'!Z85</f>
        <v>34.584800000000001</v>
      </c>
      <c r="Z185" s="49">
        <f>'Annual Raw'!AA85</f>
        <v>34.584800000000001</v>
      </c>
      <c r="AA185" s="49">
        <f>'Annual Raw'!AB85</f>
        <v>60.805199999999999</v>
      </c>
      <c r="AB185" s="50"/>
      <c r="AC185" s="50"/>
      <c r="AD185" s="50"/>
      <c r="AE185" s="50"/>
      <c r="CK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E185" s="138"/>
      <c r="DF185" s="49">
        <v>60.805199999999999</v>
      </c>
    </row>
    <row r="186" spans="1:110" s="29" customFormat="1" x14ac:dyDescent="0.2">
      <c r="A186" s="29" t="s">
        <v>82</v>
      </c>
      <c r="B186" s="29">
        <f>'Annual Raw'!C95</f>
        <v>0.70221990000000001</v>
      </c>
      <c r="C186" s="29">
        <f>'Annual Raw'!D95</f>
        <v>1.2798737</v>
      </c>
      <c r="D186" s="29">
        <f>'Annual Raw'!E95</f>
        <v>0.64844239999999997</v>
      </c>
      <c r="E186" s="29">
        <f>'Annual Raw'!F95</f>
        <v>0</v>
      </c>
      <c r="F186" s="29">
        <f>'Annual Raw'!G95</f>
        <v>0</v>
      </c>
      <c r="G186" s="29">
        <f>'Annual Raw'!H95</f>
        <v>0</v>
      </c>
      <c r="H186" s="29">
        <f>'Annual Raw'!I95</f>
        <v>0</v>
      </c>
      <c r="I186" s="29">
        <f>'Annual Raw'!J95</f>
        <v>2.4468437999999999</v>
      </c>
      <c r="J186" s="29">
        <f>'Annual Raw'!K95</f>
        <v>1.6531585</v>
      </c>
      <c r="K186" s="29">
        <f>'Annual Raw'!L95</f>
        <v>1.1056307999999999</v>
      </c>
      <c r="L186" s="29">
        <f>'Annual Raw'!M95</f>
        <v>1.7146888</v>
      </c>
      <c r="M186" s="29">
        <f>'Annual Raw'!N95</f>
        <v>2.0061726000000002</v>
      </c>
      <c r="N186" s="29">
        <f>'Annual Raw'!O95</f>
        <v>5.6695193000000002</v>
      </c>
      <c r="O186" s="29">
        <f>'Annual Raw'!P95</f>
        <v>5.6301978000000004</v>
      </c>
      <c r="P186" s="29">
        <f>'Annual Raw'!Q95</f>
        <v>6.6903046000000002</v>
      </c>
      <c r="Q186" s="29">
        <f>'Annual Raw'!R95</f>
        <v>5.9250157999999997</v>
      </c>
      <c r="R186" s="29">
        <f>'Annual Raw'!S95</f>
        <v>6.5259833</v>
      </c>
      <c r="S186" s="29">
        <f>'Annual Raw'!T95</f>
        <v>10.4152805</v>
      </c>
      <c r="T186" s="29">
        <f>'Annual Raw'!U95</f>
        <v>10.254697999999999</v>
      </c>
      <c r="U186" s="29">
        <f>'Annual Raw'!V95</f>
        <v>22.986949299999999</v>
      </c>
      <c r="V186" s="29">
        <f>'Annual Raw'!W95</f>
        <v>32.744100000000003</v>
      </c>
      <c r="W186" s="29">
        <f>'Annual Raw'!X95</f>
        <v>25.219200000000001</v>
      </c>
      <c r="X186" s="29">
        <f>'Annual Raw'!Y95</f>
        <v>11.9724</v>
      </c>
      <c r="Y186" s="29">
        <f>'Annual Raw'!Z95</f>
        <v>32.394300000000001</v>
      </c>
      <c r="Z186" s="29">
        <f>'Annual Raw'!AA95</f>
        <v>32.394300000000001</v>
      </c>
      <c r="AA186" s="29">
        <f>'Annual Raw'!AB95</f>
        <v>60.805199999999999</v>
      </c>
      <c r="AB186" s="30"/>
      <c r="AC186" s="30"/>
      <c r="AD186" s="30"/>
      <c r="AE186" s="30"/>
      <c r="CK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  <c r="DF186" s="29">
        <v>60.805199999999999</v>
      </c>
    </row>
    <row r="187" spans="1:110" s="29" customFormat="1" x14ac:dyDescent="0.2">
      <c r="A187" s="29" t="s">
        <v>83</v>
      </c>
      <c r="B187" s="29">
        <f>'Annual Raw'!C93</f>
        <v>0</v>
      </c>
      <c r="C187" s="29">
        <f>'Annual Raw'!D93</f>
        <v>0</v>
      </c>
      <c r="D187" s="29">
        <f>'Annual Raw'!E93</f>
        <v>0</v>
      </c>
      <c r="E187" s="29">
        <f>'Annual Raw'!F93</f>
        <v>0</v>
      </c>
      <c r="F187" s="29">
        <f>'Annual Raw'!G93</f>
        <v>0</v>
      </c>
      <c r="G187" s="29">
        <f>'Annual Raw'!H93</f>
        <v>0</v>
      </c>
      <c r="H187" s="29">
        <f>'Annual Raw'!I93</f>
        <v>0</v>
      </c>
      <c r="I187" s="29">
        <f>'Annual Raw'!J93</f>
        <v>0</v>
      </c>
      <c r="J187" s="29">
        <f>'Annual Raw'!K93</f>
        <v>0</v>
      </c>
      <c r="K187" s="29">
        <f>'Annual Raw'!L93</f>
        <v>0</v>
      </c>
      <c r="L187" s="29">
        <f>'Annual Raw'!M93</f>
        <v>0</v>
      </c>
      <c r="M187" s="29">
        <f>'Annual Raw'!N93</f>
        <v>0</v>
      </c>
      <c r="N187" s="29">
        <f>'Annual Raw'!O93</f>
        <v>0</v>
      </c>
      <c r="O187" s="29">
        <f>'Annual Raw'!P93</f>
        <v>0</v>
      </c>
      <c r="P187" s="29">
        <f>'Annual Raw'!Q93</f>
        <v>0</v>
      </c>
      <c r="Q187" s="29">
        <f>'Annual Raw'!R93</f>
        <v>0</v>
      </c>
      <c r="R187" s="29">
        <f>'Annual Raw'!S93</f>
        <v>0</v>
      </c>
      <c r="S187" s="29">
        <f>'Annual Raw'!T93</f>
        <v>0</v>
      </c>
      <c r="T187" s="29">
        <f>'Annual Raw'!U93</f>
        <v>0</v>
      </c>
      <c r="U187" s="29">
        <f>'Annual Raw'!V93</f>
        <v>0</v>
      </c>
      <c r="V187" s="29">
        <f>'Annual Raw'!W93</f>
        <v>0</v>
      </c>
      <c r="W187" s="29">
        <f>'Annual Raw'!X93</f>
        <v>0</v>
      </c>
      <c r="X187" s="29">
        <f>'Annual Raw'!Y93</f>
        <v>2.1905000000000001</v>
      </c>
      <c r="Y187" s="29">
        <f>'Annual Raw'!Z93</f>
        <v>2.1905000000000001</v>
      </c>
      <c r="Z187" s="29">
        <f>'Annual Raw'!AA93</f>
        <v>2.1905000000000001</v>
      </c>
      <c r="AA187" s="29">
        <f>'Annual Raw'!AB93</f>
        <v>0</v>
      </c>
      <c r="AB187" s="30"/>
      <c r="AC187" s="30"/>
      <c r="AD187" s="30"/>
      <c r="AE187" s="30"/>
      <c r="CK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29" customFormat="1" x14ac:dyDescent="0.2">
      <c r="A188" s="29" t="s">
        <v>84</v>
      </c>
      <c r="B188" s="29">
        <f t="shared" ref="B188:V188" si="1412">B185-B186-B187</f>
        <v>0</v>
      </c>
      <c r="C188" s="29">
        <f t="shared" si="1412"/>
        <v>0</v>
      </c>
      <c r="D188" s="29">
        <f t="shared" si="1412"/>
        <v>0</v>
      </c>
      <c r="E188" s="29">
        <f t="shared" si="1412"/>
        <v>0</v>
      </c>
      <c r="F188" s="29">
        <f t="shared" si="1412"/>
        <v>0</v>
      </c>
      <c r="G188" s="29">
        <f t="shared" si="1412"/>
        <v>0</v>
      </c>
      <c r="H188" s="29">
        <f t="shared" si="1412"/>
        <v>0</v>
      </c>
      <c r="I188" s="29">
        <f t="shared" si="1412"/>
        <v>0</v>
      </c>
      <c r="J188" s="29">
        <f t="shared" si="1412"/>
        <v>2.6399999999999979E-2</v>
      </c>
      <c r="K188" s="29">
        <f t="shared" si="1412"/>
        <v>0.34102320000000019</v>
      </c>
      <c r="L188" s="29">
        <f t="shared" si="1412"/>
        <v>0</v>
      </c>
      <c r="M188" s="29">
        <f t="shared" si="1412"/>
        <v>0</v>
      </c>
      <c r="N188" s="29">
        <f t="shared" si="1412"/>
        <v>0</v>
      </c>
      <c r="O188" s="29">
        <f t="shared" si="1412"/>
        <v>0</v>
      </c>
      <c r="P188" s="29">
        <f t="shared" si="1412"/>
        <v>0</v>
      </c>
      <c r="Q188" s="29">
        <f t="shared" si="1412"/>
        <v>0</v>
      </c>
      <c r="R188" s="29">
        <f t="shared" si="1412"/>
        <v>0</v>
      </c>
      <c r="S188" s="29">
        <f t="shared" si="1412"/>
        <v>0</v>
      </c>
      <c r="T188" s="29">
        <f t="shared" si="1412"/>
        <v>0</v>
      </c>
      <c r="U188" s="29">
        <f t="shared" si="1412"/>
        <v>0</v>
      </c>
      <c r="V188" s="29">
        <f t="shared" si="1412"/>
        <v>0</v>
      </c>
      <c r="W188" s="29">
        <f t="shared" ref="W188" si="1413">W185-W186-W187</f>
        <v>0</v>
      </c>
      <c r="X188" s="29">
        <f t="shared" ref="X188:Y188" si="1414">X185-X186-X187</f>
        <v>0</v>
      </c>
      <c r="Y188" s="29">
        <f t="shared" si="1414"/>
        <v>0</v>
      </c>
      <c r="Z188" s="29">
        <f t="shared" ref="Z188:AA188" si="1415">Z185-Z186-Z187</f>
        <v>0</v>
      </c>
      <c r="AA188" s="29">
        <f t="shared" ref="AA188" si="1416">AA185-AA186-AA187</f>
        <v>0</v>
      </c>
      <c r="AB188" s="30">
        <f t="shared" ref="AB188:AD188" si="1417">AB185-AB186-AB187</f>
        <v>0</v>
      </c>
      <c r="AC188" s="30">
        <f t="shared" si="1417"/>
        <v>0</v>
      </c>
      <c r="AD188" s="30">
        <f t="shared" si="1417"/>
        <v>0</v>
      </c>
      <c r="AE188" s="30">
        <f t="shared" ref="AE188" si="1418">AE185-AE186-AE187</f>
        <v>0</v>
      </c>
      <c r="CK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  <c r="DF188" s="29">
        <v>0</v>
      </c>
    </row>
    <row r="189" spans="1:110" s="5" customFormat="1" x14ac:dyDescent="0.2">
      <c r="AB189" s="63"/>
      <c r="AC189" s="63"/>
      <c r="AD189" s="63"/>
      <c r="AE189" s="63"/>
      <c r="CE189" s="112"/>
      <c r="CG189" s="112"/>
      <c r="CK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</row>
    <row r="190" spans="1:110" s="95" customFormat="1" x14ac:dyDescent="0.2">
      <c r="A190" s="95" t="s">
        <v>85</v>
      </c>
      <c r="B190" s="95">
        <f t="shared" ref="B190:W190" si="1419">B185/B135</f>
        <v>4.1290403436087413E-2</v>
      </c>
      <c r="C190" s="95">
        <f t="shared" si="1419"/>
        <v>0.12363493561732262</v>
      </c>
      <c r="D190" s="95">
        <f t="shared" si="1419"/>
        <v>6.164575083441394E-2</v>
      </c>
      <c r="E190" s="95">
        <f t="shared" si="1419"/>
        <v>0</v>
      </c>
      <c r="F190" s="95">
        <f t="shared" si="1419"/>
        <v>0</v>
      </c>
      <c r="G190" s="95">
        <f t="shared" si="1419"/>
        <v>0</v>
      </c>
      <c r="H190" s="95">
        <f t="shared" si="1419"/>
        <v>0</v>
      </c>
      <c r="I190" s="95">
        <f t="shared" si="1419"/>
        <v>0.15553994039128122</v>
      </c>
      <c r="J190" s="95">
        <f t="shared" si="1419"/>
        <v>9.6469677411350638E-2</v>
      </c>
      <c r="K190" s="95">
        <f t="shared" si="1419"/>
        <v>9.1411796236165951E-2</v>
      </c>
      <c r="L190" s="95">
        <f t="shared" si="1419"/>
        <v>9.8664085767183704E-2</v>
      </c>
      <c r="M190" s="95">
        <f t="shared" si="1419"/>
        <v>0.10717878359789827</v>
      </c>
      <c r="N190" s="95">
        <f t="shared" si="1419"/>
        <v>0.2377497923245126</v>
      </c>
      <c r="O190" s="95">
        <f t="shared" si="1419"/>
        <v>0.27186432324183318</v>
      </c>
      <c r="P190" s="95">
        <f t="shared" si="1419"/>
        <v>0.33933673158102584</v>
      </c>
      <c r="Q190" s="95">
        <f t="shared" si="1419"/>
        <v>0.30012365162780863</v>
      </c>
      <c r="R190" s="95">
        <f t="shared" si="1419"/>
        <v>0.3163406337321551</v>
      </c>
      <c r="S190" s="95">
        <f t="shared" si="1419"/>
        <v>0.2818150343267849</v>
      </c>
      <c r="T190" s="95">
        <f t="shared" si="1419"/>
        <v>0.23823629731967258</v>
      </c>
      <c r="U190" s="95">
        <f t="shared" si="1419"/>
        <v>0.44484447120625809</v>
      </c>
      <c r="V190" s="95">
        <f t="shared" si="1419"/>
        <v>0.49432741996114116</v>
      </c>
      <c r="W190" s="95">
        <f t="shared" si="1419"/>
        <v>0.30561688823180122</v>
      </c>
      <c r="X190" s="95">
        <f t="shared" ref="X190:Y190" si="1420">X185/X135</f>
        <v>0.13177033857856735</v>
      </c>
      <c r="Y190" s="95">
        <f t="shared" si="1420"/>
        <v>0.21072976227034984</v>
      </c>
      <c r="Z190" s="95">
        <f t="shared" ref="Z190:AA190" si="1421">Z185/Z135</f>
        <v>0.14577605279918196</v>
      </c>
      <c r="AA190" s="95">
        <f t="shared" ref="AA190" si="1422">AA185/AA135</f>
        <v>0.17977300868158419</v>
      </c>
      <c r="AB190" s="87">
        <f t="shared" ref="AB190:AD190" si="1423">AB185/AB135</f>
        <v>0</v>
      </c>
      <c r="AC190" s="87">
        <f t="shared" si="1423"/>
        <v>0</v>
      </c>
      <c r="AD190" s="87">
        <f t="shared" si="1423"/>
        <v>0</v>
      </c>
      <c r="AE190" s="87">
        <f t="shared" ref="AE190" si="1424">AE185/AE135</f>
        <v>0</v>
      </c>
      <c r="CK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E190" s="140"/>
      <c r="DF190" s="95">
        <v>0</v>
      </c>
    </row>
    <row r="191" spans="1:110" x14ac:dyDescent="0.2">
      <c r="A191" s="152" t="s">
        <v>492</v>
      </c>
      <c r="AA191" s="2"/>
      <c r="CE191" s="111"/>
      <c r="CG191" s="111"/>
      <c r="CL191" s="2"/>
    </row>
    <row r="192" spans="1:110" s="6" customFormat="1" x14ac:dyDescent="0.2">
      <c r="AB192" s="19"/>
      <c r="AC192" s="19"/>
      <c r="AD192" s="19"/>
      <c r="AE192" s="19"/>
      <c r="CE192" s="113"/>
      <c r="CG192" s="113"/>
      <c r="CK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</row>
    <row r="193" spans="1:110" s="62" customFormat="1" x14ac:dyDescent="0.2">
      <c r="A193" s="153" t="s">
        <v>493</v>
      </c>
      <c r="AB193" s="63"/>
      <c r="AC193" s="63"/>
      <c r="AD193" s="63"/>
      <c r="AE193" s="63"/>
      <c r="CE193" s="114"/>
      <c r="CG193" s="114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62" customFormat="1" outlineLevel="1" x14ac:dyDescent="0.2">
      <c r="A194" s="68" t="s">
        <v>464</v>
      </c>
      <c r="B194" s="67">
        <f t="shared" ref="B194:AE194" si="1425">B159/B23*365</f>
        <v>117.79274414876144</v>
      </c>
      <c r="C194" s="67">
        <f t="shared" si="1425"/>
        <v>217.11423835799704</v>
      </c>
      <c r="D194" s="67">
        <f t="shared" si="1425"/>
        <v>242.28431113712389</v>
      </c>
      <c r="E194" s="67">
        <f t="shared" si="1425"/>
        <v>153.0157344885346</v>
      </c>
      <c r="F194" s="67">
        <f t="shared" si="1425"/>
        <v>106.28329030229297</v>
      </c>
      <c r="G194" s="67">
        <f t="shared" si="1425"/>
        <v>79.481265741608013</v>
      </c>
      <c r="H194" s="67">
        <f t="shared" si="1425"/>
        <v>52.558965818737803</v>
      </c>
      <c r="I194" s="67">
        <f t="shared" si="1425"/>
        <v>45.714224196705388</v>
      </c>
      <c r="J194" s="67">
        <f t="shared" si="1425"/>
        <v>32.865730952519101</v>
      </c>
      <c r="K194" s="67">
        <f t="shared" si="1425"/>
        <v>32.210235374161002</v>
      </c>
      <c r="L194" s="67">
        <f t="shared" si="1425"/>
        <v>60.151277476498635</v>
      </c>
      <c r="M194" s="67">
        <f t="shared" si="1425"/>
        <v>63.899222066575746</v>
      </c>
      <c r="N194" s="67">
        <f t="shared" si="1425"/>
        <v>8.361911376191653</v>
      </c>
      <c r="O194" s="67">
        <f t="shared" si="1425"/>
        <v>323.18354163716907</v>
      </c>
      <c r="P194" s="67">
        <f t="shared" si="1425"/>
        <v>147.97112125658063</v>
      </c>
      <c r="Q194" s="67">
        <f t="shared" si="1425"/>
        <v>167.57335951405472</v>
      </c>
      <c r="R194" s="67">
        <f t="shared" si="1425"/>
        <v>79.811951242709867</v>
      </c>
      <c r="S194" s="67">
        <f t="shared" si="1425"/>
        <v>39.490568620440705</v>
      </c>
      <c r="T194" s="67">
        <f t="shared" si="1425"/>
        <v>15.172632907376979</v>
      </c>
      <c r="U194" s="67">
        <f t="shared" si="1425"/>
        <v>31.542118063408811</v>
      </c>
      <c r="V194" s="67">
        <f t="shared" si="1425"/>
        <v>10.712137129250271</v>
      </c>
      <c r="W194" s="67">
        <f t="shared" si="1425"/>
        <v>53.277515355818934</v>
      </c>
      <c r="X194" s="67">
        <f t="shared" si="1425"/>
        <v>94.374774259789504</v>
      </c>
      <c r="Y194" s="67">
        <f t="shared" si="1425"/>
        <v>66.916015034689764</v>
      </c>
      <c r="Z194" s="67">
        <f t="shared" si="1425"/>
        <v>79.938098491742849</v>
      </c>
      <c r="AA194" s="67">
        <f t="shared" ref="AA194" si="1426">AA159/AA23*365</f>
        <v>132.47452273391951</v>
      </c>
      <c r="AB194" s="18">
        <f t="shared" si="1425"/>
        <v>153.74931867338904</v>
      </c>
      <c r="AC194" s="18">
        <f t="shared" si="1425"/>
        <v>153.71829045875361</v>
      </c>
      <c r="AD194" s="18">
        <f t="shared" si="1425"/>
        <v>153.68859390343678</v>
      </c>
      <c r="AE194" s="18">
        <f t="shared" si="1425"/>
        <v>153.66017257511345</v>
      </c>
      <c r="AI194" s="67">
        <f>AJ159/AI23*90</f>
        <v>265.3458563535911</v>
      </c>
      <c r="AJ194" s="67">
        <f>AJ159/AJ23*90</f>
        <v>436.77337213532189</v>
      </c>
      <c r="AK194" s="67">
        <f t="shared" ref="AK194:CE194" si="1427">+AJ194</f>
        <v>436.77337213532189</v>
      </c>
      <c r="AL194" s="67">
        <f>AL159/AL23*90</f>
        <v>3.7717420911319501</v>
      </c>
      <c r="AM194" s="67">
        <f t="shared" ref="AM194:AM195" si="1428">+AL194</f>
        <v>3.7717420911319501</v>
      </c>
      <c r="AN194" s="67">
        <f>AN159/AN23*90</f>
        <v>137.5</v>
      </c>
      <c r="AO194" s="67">
        <f t="shared" ref="AO194:AO195" si="1429">+AN194</f>
        <v>137.5</v>
      </c>
      <c r="AP194" s="67">
        <f>AP159/AP23*90</f>
        <v>349.82658959537571</v>
      </c>
      <c r="AQ194" s="67">
        <f t="shared" ref="AQ194:AQ195" si="1430">+AP194</f>
        <v>349.82658959537571</v>
      </c>
      <c r="AR194" s="67">
        <f>AR159/AR23*90</f>
        <v>77.086766844401367</v>
      </c>
      <c r="AS194" s="67">
        <f t="shared" ref="AS194:AS195" si="1431">+AR194</f>
        <v>77.086766844401367</v>
      </c>
      <c r="AT194" s="67">
        <f>AT159/AT23*90</f>
        <v>225.4898248935163</v>
      </c>
      <c r="AU194" s="67">
        <f t="shared" ref="AU194:AU195" si="1432">+AT194</f>
        <v>225.4898248935163</v>
      </c>
      <c r="AV194" s="67">
        <f>AV159/AV23*90</f>
        <v>367.91157347204154</v>
      </c>
      <c r="AW194" s="67">
        <f t="shared" ref="AW194:AW195" si="1433">+AV194</f>
        <v>367.91157347204154</v>
      </c>
      <c r="AX194" s="67">
        <f>AX159/AX23*90</f>
        <v>84.755165367441165</v>
      </c>
      <c r="AY194" s="67">
        <f t="shared" ref="AY194:AY195" si="1434">+AX194</f>
        <v>84.755165367441165</v>
      </c>
      <c r="AZ194" s="67">
        <f>AZ159/AZ23*90</f>
        <v>105.65067178502878</v>
      </c>
      <c r="BA194" s="67">
        <f t="shared" ref="BA194:BA195" si="1435">+AZ194</f>
        <v>105.65067178502878</v>
      </c>
      <c r="BB194" s="67">
        <f>BB159/BB23*90</f>
        <v>67.14673386315178</v>
      </c>
      <c r="BC194" s="67">
        <f t="shared" ref="BC194:BC195" si="1436">+BB194</f>
        <v>67.14673386315178</v>
      </c>
      <c r="BD194" s="67">
        <f>BD159/BD23*90</f>
        <v>42.532979270173037</v>
      </c>
      <c r="BE194" s="67">
        <f t="shared" ref="BE194:BE195" si="1437">+BD194</f>
        <v>42.532979270173037</v>
      </c>
      <c r="BF194" s="67">
        <f>BF159/BF23*90</f>
        <v>42.121615934913734</v>
      </c>
      <c r="BG194" s="67">
        <f t="shared" ref="BG194:BG195" si="1438">+BF194</f>
        <v>42.121615934913734</v>
      </c>
      <c r="BH194" s="67">
        <f>BH159/BH23*90</f>
        <v>34.183207622072246</v>
      </c>
      <c r="BI194" s="67">
        <f t="shared" ref="BI194:BI195" si="1439">+BH194</f>
        <v>34.183207622072246</v>
      </c>
      <c r="BJ194" s="67">
        <f>BJ159/BJ23*90</f>
        <v>15.182370820668694</v>
      </c>
      <c r="BK194" s="67">
        <f t="shared" ref="BK194:BK195" si="1440">+BJ194</f>
        <v>15.182370820668694</v>
      </c>
      <c r="BL194" s="67">
        <f>BL159/BL23*90</f>
        <v>67.659099367324146</v>
      </c>
      <c r="BM194" s="67">
        <f t="shared" ref="BM194:BM195" si="1441">+BL194</f>
        <v>67.659099367324146</v>
      </c>
      <c r="BN194" s="67">
        <f>BN159/BN23*90</f>
        <v>21.112289112196923</v>
      </c>
      <c r="BO194" s="67">
        <f t="shared" ref="BO194:BO195" si="1442">+BN194</f>
        <v>21.112289112196923</v>
      </c>
      <c r="BP194" s="67">
        <f>BP159/BP23*90</f>
        <v>117.39912105473432</v>
      </c>
      <c r="BQ194" s="67">
        <f t="shared" ref="BQ194:BQ195" si="1443">+BP194</f>
        <v>117.39912105473432</v>
      </c>
      <c r="BR194" s="67">
        <f>BR159/BR23*90</f>
        <v>7.7851563844062888</v>
      </c>
      <c r="BS194" s="67">
        <f t="shared" ref="BS194:BS195" si="1444">+BR194</f>
        <v>7.7851563844062888</v>
      </c>
      <c r="BT194" s="67">
        <f>BT159/BT23*90</f>
        <v>89.463591604042492</v>
      </c>
      <c r="BU194" s="67">
        <f t="shared" ref="BU194:BU195" si="1445">+BT194</f>
        <v>89.463591604042492</v>
      </c>
      <c r="BV194" s="67">
        <f>BV159/BV23*90</f>
        <v>32.312830503757304</v>
      </c>
      <c r="BW194" s="67">
        <f t="shared" ref="BW194:BW195" si="1446">+BV194</f>
        <v>32.312830503757304</v>
      </c>
      <c r="BX194" s="67">
        <f>BX159/BX23*90</f>
        <v>92.159006211180127</v>
      </c>
      <c r="BY194" s="67">
        <f t="shared" ref="BY194:BY195" si="1447">+BX194</f>
        <v>92.159006211180127</v>
      </c>
      <c r="BZ194" s="67">
        <f>BZ159/BZ23*90</f>
        <v>76.410310102606076</v>
      </c>
      <c r="CA194" s="67">
        <f t="shared" ref="CA194:CA195" si="1448">+BZ194</f>
        <v>76.410310102606076</v>
      </c>
      <c r="CB194" s="67">
        <f>CB159/CB23*90</f>
        <v>41.01706145436475</v>
      </c>
      <c r="CC194" s="67">
        <f t="shared" ref="CC194:CC195" si="1449">+CB194</f>
        <v>41.01706145436475</v>
      </c>
      <c r="CD194" s="67">
        <f>CD159/CD23*90</f>
        <v>99.219606810181745</v>
      </c>
      <c r="CE194" s="67">
        <f t="shared" si="1427"/>
        <v>99.219606810181745</v>
      </c>
      <c r="CF194" s="67">
        <f>CF159/CF23*90</f>
        <v>69.455308705760785</v>
      </c>
      <c r="CG194" s="67">
        <f t="shared" ref="CG194:CI195" si="1450">+CF194</f>
        <v>69.455308705760785</v>
      </c>
      <c r="CH194" s="67">
        <f>CH159/CH23*90</f>
        <v>110.44653985911776</v>
      </c>
      <c r="CI194" s="67">
        <f t="shared" si="1450"/>
        <v>110.44653985911776</v>
      </c>
      <c r="CJ194" s="67">
        <f>CJ159/CJ23*90</f>
        <v>89.680067847991623</v>
      </c>
      <c r="CK194" s="30">
        <f t="shared" ref="CK194:CK195" si="1451">+CJ194</f>
        <v>89.680067847991623</v>
      </c>
      <c r="CL194" s="67">
        <f>CL159/CL23*90</f>
        <v>131.59464794911165</v>
      </c>
      <c r="CM194" s="30">
        <f t="shared" ref="CM194:CM195" si="1452">+CL194</f>
        <v>131.59464794911165</v>
      </c>
      <c r="CN194" s="30">
        <f t="shared" ref="CN194:CN195" si="1453">+CM194</f>
        <v>131.59464794911165</v>
      </c>
      <c r="CO194" s="30">
        <f t="shared" ref="CO194:CO195" si="1454">+CN194</f>
        <v>131.59464794911165</v>
      </c>
      <c r="CP194" s="30">
        <f t="shared" ref="CP194:CP195" si="1455">+CO194</f>
        <v>131.59464794911165</v>
      </c>
      <c r="CQ194" s="30">
        <f t="shared" ref="CQ194:CQ195" si="1456">+CP194</f>
        <v>131.59464794911165</v>
      </c>
      <c r="CR194" s="30">
        <f t="shared" ref="CR194:CR195" si="1457">+CQ194</f>
        <v>131.59464794911165</v>
      </c>
      <c r="CS194" s="30">
        <f t="shared" ref="CS194:CS195" si="1458">+CR194</f>
        <v>131.59464794911165</v>
      </c>
      <c r="CT194" s="30">
        <f t="shared" ref="CT194:CT195" si="1459">+CS194</f>
        <v>131.59464794911165</v>
      </c>
      <c r="CU194" s="30">
        <f t="shared" ref="CU194:CU195" si="1460">+CT194</f>
        <v>131.59464794911165</v>
      </c>
      <c r="CV194" s="30">
        <f t="shared" ref="CV194:CV195" si="1461">+CU194</f>
        <v>131.59464794911165</v>
      </c>
      <c r="CW194" s="30">
        <f t="shared" ref="CW194:CW195" si="1462">+CV194</f>
        <v>131.59464794911165</v>
      </c>
      <c r="CX194" s="30">
        <f t="shared" ref="CX194:CX195" si="1463">+CW194</f>
        <v>131.59464794911165</v>
      </c>
      <c r="CY194" s="30">
        <f t="shared" ref="CY194:CY195" si="1464">+CX194</f>
        <v>131.59464794911165</v>
      </c>
      <c r="CZ194" s="30">
        <f t="shared" ref="CZ194:CZ195" si="1465">+CY194</f>
        <v>131.59464794911165</v>
      </c>
      <c r="DA194" s="30">
        <f t="shared" ref="DA194:DA195" si="1466">+CZ194</f>
        <v>131.59464794911165</v>
      </c>
      <c r="DB194" s="30">
        <f t="shared" ref="DB194:DB195" si="1467">+DA194</f>
        <v>131.59464794911165</v>
      </c>
      <c r="DE194" s="139"/>
      <c r="DF194" s="62">
        <v>152.83708659191558</v>
      </c>
    </row>
    <row r="195" spans="1:110" s="62" customFormat="1" outlineLevel="1" x14ac:dyDescent="0.2">
      <c r="A195" s="68" t="s">
        <v>465</v>
      </c>
      <c r="B195" s="67">
        <f t="shared" ref="B195:AE195" si="1468">B160/B23*365</f>
        <v>189.99570528537015</v>
      </c>
      <c r="C195" s="67">
        <f t="shared" si="1468"/>
        <v>131.66940119519657</v>
      </c>
      <c r="D195" s="67">
        <f t="shared" si="1468"/>
        <v>110.9427556986156</v>
      </c>
      <c r="E195" s="67">
        <f t="shared" si="1468"/>
        <v>124.42648773052585</v>
      </c>
      <c r="F195" s="67">
        <f t="shared" si="1468"/>
        <v>104.00141696241195</v>
      </c>
      <c r="G195" s="67">
        <f t="shared" si="1468"/>
        <v>130.59233911405414</v>
      </c>
      <c r="H195" s="67">
        <f t="shared" si="1468"/>
        <v>80.708533879348906</v>
      </c>
      <c r="I195" s="67">
        <f t="shared" si="1468"/>
        <v>91.730321492769519</v>
      </c>
      <c r="J195" s="67">
        <f t="shared" si="1468"/>
        <v>109.05394798053058</v>
      </c>
      <c r="K195" s="67">
        <f t="shared" si="1468"/>
        <v>107.1274203572691</v>
      </c>
      <c r="L195" s="67">
        <f t="shared" si="1468"/>
        <v>129.5687495451769</v>
      </c>
      <c r="M195" s="67">
        <f t="shared" si="1468"/>
        <v>97.015567533763942</v>
      </c>
      <c r="N195" s="67">
        <f t="shared" si="1468"/>
        <v>90.57056090275276</v>
      </c>
      <c r="O195" s="67">
        <f t="shared" si="1468"/>
        <v>115.15522258132842</v>
      </c>
      <c r="P195" s="67">
        <f t="shared" si="1468"/>
        <v>64.452448284209794</v>
      </c>
      <c r="Q195" s="67">
        <f t="shared" si="1468"/>
        <v>55.111512771449569</v>
      </c>
      <c r="R195" s="67">
        <f t="shared" si="1468"/>
        <v>99.790864346383913</v>
      </c>
      <c r="S195" s="67">
        <f t="shared" si="1468"/>
        <v>52.765082678361651</v>
      </c>
      <c r="T195" s="67">
        <f t="shared" si="1468"/>
        <v>119.65162042537352</v>
      </c>
      <c r="U195" s="67">
        <f t="shared" si="1468"/>
        <v>183.7588655441707</v>
      </c>
      <c r="V195" s="67">
        <f t="shared" si="1468"/>
        <v>55.927384996089692</v>
      </c>
      <c r="W195" s="67">
        <f t="shared" si="1468"/>
        <v>114.86679583223447</v>
      </c>
      <c r="X195" s="67">
        <f t="shared" si="1468"/>
        <v>84.301348904649061</v>
      </c>
      <c r="Y195" s="67">
        <f t="shared" si="1468"/>
        <v>93.276878251108315</v>
      </c>
      <c r="Z195" s="67">
        <f t="shared" si="1468"/>
        <v>94.201712729759961</v>
      </c>
      <c r="AA195" s="67">
        <f t="shared" ref="AA195" si="1469">AA160/AA23*365</f>
        <v>101.7912723154561</v>
      </c>
      <c r="AB195" s="18">
        <f t="shared" si="1468"/>
        <v>118.13906275716916</v>
      </c>
      <c r="AC195" s="18">
        <f t="shared" si="1468"/>
        <v>118.1152210632502</v>
      </c>
      <c r="AD195" s="18">
        <f t="shared" si="1468"/>
        <v>118.09240259977655</v>
      </c>
      <c r="AE195" s="18">
        <f t="shared" si="1468"/>
        <v>118.07056400485202</v>
      </c>
      <c r="AI195" s="67">
        <f>AJ160/AI23*90</f>
        <v>83.356906077348057</v>
      </c>
      <c r="AJ195" s="67">
        <f>AJ160/AJ23*90</f>
        <v>137.20989450709348</v>
      </c>
      <c r="AK195" s="67">
        <f>+AJ195</f>
        <v>137.20989450709348</v>
      </c>
      <c r="AL195" s="67">
        <f>AL160/AL23*90</f>
        <v>40.841277870734267</v>
      </c>
      <c r="AM195" s="67">
        <f t="shared" si="1428"/>
        <v>40.841277870734267</v>
      </c>
      <c r="AN195" s="67">
        <f>AN160/AN23*90</f>
        <v>116.51785714285715</v>
      </c>
      <c r="AO195" s="67">
        <f t="shared" si="1429"/>
        <v>116.51785714285715</v>
      </c>
      <c r="AP195" s="67">
        <f>AP160/AP23*90</f>
        <v>124.65317919075144</v>
      </c>
      <c r="AQ195" s="67">
        <f t="shared" si="1430"/>
        <v>124.65317919075144</v>
      </c>
      <c r="AR195" s="67">
        <f>AR160/AR23*90</f>
        <v>58.414929714008728</v>
      </c>
      <c r="AS195" s="67">
        <f t="shared" si="1431"/>
        <v>58.414929714008728</v>
      </c>
      <c r="AT195" s="67">
        <f>AT160/AT23*90</f>
        <v>98.220539517274034</v>
      </c>
      <c r="AU195" s="67">
        <f t="shared" si="1432"/>
        <v>98.220539517274034</v>
      </c>
      <c r="AV195" s="67">
        <f>AV160/AV23*90</f>
        <v>103.29518855656697</v>
      </c>
      <c r="AW195" s="67">
        <f t="shared" si="1433"/>
        <v>103.29518855656697</v>
      </c>
      <c r="AX195" s="67">
        <f>AX160/AX23*90</f>
        <v>27.872549761598428</v>
      </c>
      <c r="AY195" s="67">
        <f t="shared" si="1434"/>
        <v>27.872549761598428</v>
      </c>
      <c r="AZ195" s="67">
        <f>AZ160/AZ23*90</f>
        <v>74.291746641074852</v>
      </c>
      <c r="BA195" s="67">
        <f t="shared" si="1435"/>
        <v>74.291746641074852</v>
      </c>
      <c r="BB195" s="67">
        <f>BB160/BB23*90</f>
        <v>83.955223880597018</v>
      </c>
      <c r="BC195" s="67">
        <f t="shared" si="1436"/>
        <v>83.955223880597018</v>
      </c>
      <c r="BD195" s="67">
        <f>BD160/BD23*90</f>
        <v>160.84975158471821</v>
      </c>
      <c r="BE195" s="67">
        <f t="shared" si="1437"/>
        <v>160.84975158471821</v>
      </c>
      <c r="BF195" s="67">
        <f>BF160/BF23*90</f>
        <v>56.27998316734466</v>
      </c>
      <c r="BG195" s="67">
        <f t="shared" si="1438"/>
        <v>56.27998316734466</v>
      </c>
      <c r="BH195" s="67">
        <f>BH160/BH23*90</f>
        <v>65.106192933703852</v>
      </c>
      <c r="BI195" s="67">
        <f t="shared" si="1439"/>
        <v>65.106192933703852</v>
      </c>
      <c r="BJ195" s="67">
        <f>BJ160/BJ23*90</f>
        <v>119.73680574744405</v>
      </c>
      <c r="BK195" s="67">
        <f t="shared" si="1440"/>
        <v>119.73680574744405</v>
      </c>
      <c r="BL195" s="67">
        <f>BL160/BL23*90</f>
        <v>114.70785262374393</v>
      </c>
      <c r="BM195" s="67">
        <f t="shared" si="1441"/>
        <v>114.70785262374393</v>
      </c>
      <c r="BN195" s="67">
        <f>BN160/BN23*90</f>
        <v>123.00636120586339</v>
      </c>
      <c r="BO195" s="67">
        <f t="shared" si="1442"/>
        <v>123.00636120586339</v>
      </c>
      <c r="BP195" s="67">
        <f>BP160/BP23*90</f>
        <v>90.640031961646002</v>
      </c>
      <c r="BQ195" s="67">
        <f t="shared" si="1443"/>
        <v>90.640031961646002</v>
      </c>
      <c r="BR195" s="67">
        <f>BR160/BR23*90</f>
        <v>40.650655472594025</v>
      </c>
      <c r="BS195" s="67">
        <f t="shared" si="1444"/>
        <v>40.650655472594025</v>
      </c>
      <c r="BT195" s="67">
        <f>BT160/BT23*90</f>
        <v>119.6773775589531</v>
      </c>
      <c r="BU195" s="67">
        <f t="shared" si="1445"/>
        <v>119.6773775589531</v>
      </c>
      <c r="BV195" s="67">
        <f>BV160/BV23*90</f>
        <v>69.668158170802187</v>
      </c>
      <c r="BW195" s="67">
        <f t="shared" si="1446"/>
        <v>69.668158170802187</v>
      </c>
      <c r="BX195" s="67">
        <f>BX160/BX23*90</f>
        <v>91.575155279503107</v>
      </c>
      <c r="BY195" s="67">
        <f t="shared" si="1447"/>
        <v>91.575155279503107</v>
      </c>
      <c r="BZ195" s="67">
        <f>BZ160/BZ23*90</f>
        <v>68.253412270849594</v>
      </c>
      <c r="CA195" s="67">
        <f t="shared" si="1448"/>
        <v>68.253412270849594</v>
      </c>
      <c r="CB195" s="67">
        <f>CB160/CB23*90</f>
        <v>130.39423554745733</v>
      </c>
      <c r="CC195" s="67">
        <f t="shared" si="1449"/>
        <v>130.39423554745733</v>
      </c>
      <c r="CD195" s="67">
        <f>CD160/CD23*90</f>
        <v>138.30703287756521</v>
      </c>
      <c r="CE195" s="114">
        <f t="shared" ref="CE195" si="1470">+CD195</f>
        <v>138.30703287756521</v>
      </c>
      <c r="CF195" s="67">
        <f>CF160/CF23*90</f>
        <v>108.00813743218806</v>
      </c>
      <c r="CG195" s="67">
        <f t="shared" si="1450"/>
        <v>108.00813743218806</v>
      </c>
      <c r="CH195" s="67">
        <f>CH160/CH23*90</f>
        <v>130.15387426158625</v>
      </c>
      <c r="CI195" s="67">
        <f t="shared" si="1450"/>
        <v>130.15387426158625</v>
      </c>
      <c r="CJ195" s="67">
        <f>CJ160/CJ23*90</f>
        <v>169.43736692049512</v>
      </c>
      <c r="CK195" s="30">
        <f t="shared" si="1451"/>
        <v>169.43736692049512</v>
      </c>
      <c r="CL195" s="67">
        <f>CL160/CL23*90</f>
        <v>101.11568953091216</v>
      </c>
      <c r="CM195" s="30">
        <f t="shared" si="1452"/>
        <v>101.11568953091216</v>
      </c>
      <c r="CN195" s="30">
        <f t="shared" si="1453"/>
        <v>101.11568953091216</v>
      </c>
      <c r="CO195" s="30">
        <f t="shared" si="1454"/>
        <v>101.11568953091216</v>
      </c>
      <c r="CP195" s="30">
        <f t="shared" si="1455"/>
        <v>101.11568953091216</v>
      </c>
      <c r="CQ195" s="30">
        <f t="shared" si="1456"/>
        <v>101.11568953091216</v>
      </c>
      <c r="CR195" s="30">
        <f t="shared" si="1457"/>
        <v>101.11568953091216</v>
      </c>
      <c r="CS195" s="30">
        <f t="shared" si="1458"/>
        <v>101.11568953091216</v>
      </c>
      <c r="CT195" s="30">
        <f t="shared" si="1459"/>
        <v>101.11568953091216</v>
      </c>
      <c r="CU195" s="30">
        <f t="shared" si="1460"/>
        <v>101.11568953091216</v>
      </c>
      <c r="CV195" s="30">
        <f t="shared" si="1461"/>
        <v>101.11568953091216</v>
      </c>
      <c r="CW195" s="30">
        <f t="shared" si="1462"/>
        <v>101.11568953091216</v>
      </c>
      <c r="CX195" s="30">
        <f t="shared" si="1463"/>
        <v>101.11568953091216</v>
      </c>
      <c r="CY195" s="30">
        <f t="shared" si="1464"/>
        <v>101.11568953091216</v>
      </c>
      <c r="CZ195" s="30">
        <f t="shared" si="1465"/>
        <v>101.11568953091216</v>
      </c>
      <c r="DA195" s="30">
        <f t="shared" si="1466"/>
        <v>101.11568953091216</v>
      </c>
      <c r="DB195" s="30">
        <f t="shared" si="1467"/>
        <v>101.11568953091216</v>
      </c>
      <c r="DE195" s="139"/>
      <c r="DF195" s="62">
        <v>117.43811498028026</v>
      </c>
    </row>
    <row r="196" spans="1:110" s="62" customFormat="1" outlineLevel="1" x14ac:dyDescent="0.2">
      <c r="A196" s="68" t="s">
        <v>466</v>
      </c>
      <c r="B196" s="67">
        <f>B197-B195-B194</f>
        <v>91.132329464144647</v>
      </c>
      <c r="C196" s="67">
        <f t="shared" ref="C196:U196" si="1471">C197-C195-C194</f>
        <v>80.328910847636706</v>
      </c>
      <c r="D196" s="67">
        <f t="shared" si="1471"/>
        <v>76.369112125593233</v>
      </c>
      <c r="E196" s="67">
        <f t="shared" si="1471"/>
        <v>8.0348040089489814</v>
      </c>
      <c r="F196" s="67">
        <f t="shared" si="1471"/>
        <v>13.50305643547334</v>
      </c>
      <c r="G196" s="67">
        <f t="shared" si="1471"/>
        <v>19.929855401016169</v>
      </c>
      <c r="H196" s="67">
        <f t="shared" si="1471"/>
        <v>17.26196565431124</v>
      </c>
      <c r="I196" s="67">
        <f t="shared" si="1471"/>
        <v>39.790720610259015</v>
      </c>
      <c r="J196" s="67">
        <f t="shared" si="1471"/>
        <v>65.796636306505093</v>
      </c>
      <c r="K196" s="67">
        <f t="shared" si="1471"/>
        <v>57.568826419294609</v>
      </c>
      <c r="L196" s="67">
        <f t="shared" si="1471"/>
        <v>16.968323337550473</v>
      </c>
      <c r="M196" s="67">
        <f t="shared" si="1471"/>
        <v>21.018504291443051</v>
      </c>
      <c r="N196" s="67">
        <f t="shared" si="1471"/>
        <v>17.341235194218729</v>
      </c>
      <c r="O196" s="67">
        <f t="shared" si="1471"/>
        <v>32.500003145434334</v>
      </c>
      <c r="P196" s="67">
        <f t="shared" si="1471"/>
        <v>27.826605689554384</v>
      </c>
      <c r="Q196" s="67">
        <f t="shared" si="1471"/>
        <v>20.117726428126588</v>
      </c>
      <c r="R196" s="67">
        <f t="shared" si="1471"/>
        <v>25.094485074850411</v>
      </c>
      <c r="S196" s="67">
        <f t="shared" si="1471"/>
        <v>25.988075661056037</v>
      </c>
      <c r="T196" s="67">
        <f t="shared" si="1471"/>
        <v>23.222535319002603</v>
      </c>
      <c r="U196" s="67">
        <f t="shared" si="1471"/>
        <v>61.985706169401837</v>
      </c>
      <c r="V196" s="67">
        <f>V197-V195-V194</f>
        <v>48.526922762661812</v>
      </c>
      <c r="W196" s="67">
        <f t="shared" ref="W196" si="1472">W197-W195-W194</f>
        <v>66.89790697816106</v>
      </c>
      <c r="X196" s="67">
        <f t="shared" ref="X196:Y196" si="1473">X197-X195-X194</f>
        <v>50.733210001153722</v>
      </c>
      <c r="Y196" s="67">
        <f t="shared" si="1473"/>
        <v>37.196945834738671</v>
      </c>
      <c r="Z196" s="67">
        <f t="shared" ref="Z196:AA196" si="1474">Z197-Z195-Z194</f>
        <v>40.878748543621754</v>
      </c>
      <c r="AA196" s="67">
        <f t="shared" ref="AA196" si="1475">AA197-AA195-AA194</f>
        <v>66.215400931508924</v>
      </c>
      <c r="AB196" s="18">
        <f t="shared" ref="AB196:AD196" si="1476">AB197-AB195-AB194</f>
        <v>76.848299674669931</v>
      </c>
      <c r="AC196" s="18">
        <f t="shared" si="1476"/>
        <v>76.832790887006723</v>
      </c>
      <c r="AD196" s="18">
        <f t="shared" si="1476"/>
        <v>76.817947700695498</v>
      </c>
      <c r="AE196" s="18">
        <f t="shared" ref="AE196" si="1477">AE197-AE195-AE194</f>
        <v>76.803741909248799</v>
      </c>
      <c r="AI196" s="67">
        <f t="shared" ref="AI196:AK196" si="1478">AI197-AI195-AI194</f>
        <v>-348.70276243093917</v>
      </c>
      <c r="AJ196" s="67">
        <f t="shared" ref="AJ196:AM196" si="1479">AJ197-AJ195-AJ194</f>
        <v>104.63441251364134</v>
      </c>
      <c r="AK196" s="67">
        <f t="shared" si="1478"/>
        <v>28.838981351514008</v>
      </c>
      <c r="AL196" s="67">
        <f t="shared" si="1479"/>
        <v>7.8201486439161112</v>
      </c>
      <c r="AM196" s="67">
        <f t="shared" si="1479"/>
        <v>100.43478260869566</v>
      </c>
      <c r="AN196" s="67">
        <f t="shared" ref="AN196:AY196" si="1480">AN197-AN195-AN194</f>
        <v>66.84523809523813</v>
      </c>
      <c r="AO196" s="67">
        <f t="shared" si="1480"/>
        <v>41.541307028360052</v>
      </c>
      <c r="AP196" s="67">
        <f t="shared" si="1480"/>
        <v>35.173410404624406</v>
      </c>
      <c r="AQ196" s="67">
        <f t="shared" si="1480"/>
        <v>25.57916861279773</v>
      </c>
      <c r="AR196" s="67">
        <f t="shared" si="1480"/>
        <v>31.698497333979631</v>
      </c>
      <c r="AS196" s="67">
        <f t="shared" si="1480"/>
        <v>50.83488805970147</v>
      </c>
      <c r="AT196" s="67">
        <f t="shared" si="1480"/>
        <v>42.40179839091337</v>
      </c>
      <c r="AU196" s="67">
        <f t="shared" si="1480"/>
        <v>48.182307071793446</v>
      </c>
      <c r="AV196" s="67">
        <f t="shared" si="1480"/>
        <v>42.39011703511062</v>
      </c>
      <c r="AW196" s="67">
        <f t="shared" si="1480"/>
        <v>42.656372677309605</v>
      </c>
      <c r="AX196" s="67">
        <f t="shared" si="1480"/>
        <v>10.176341481873877</v>
      </c>
      <c r="AY196" s="67">
        <f t="shared" si="1480"/>
        <v>9.4732814993750907</v>
      </c>
      <c r="AZ196" s="67">
        <f t="shared" ref="AZ196:BC196" si="1481">AZ197-AZ195-AZ194</f>
        <v>28.502879078694804</v>
      </c>
      <c r="BA196" s="67">
        <f t="shared" si="1481"/>
        <v>22.546328537699793</v>
      </c>
      <c r="BB196" s="67">
        <f t="shared" si="1481"/>
        <v>21.108742004264386</v>
      </c>
      <c r="BC196" s="67">
        <f t="shared" si="1481"/>
        <v>18.00611039099023</v>
      </c>
      <c r="BD196" s="67">
        <f t="shared" ref="BD196:CE196" si="1482">BD197-BD195-BD194</f>
        <v>43.882131231797125</v>
      </c>
      <c r="BE196" s="67">
        <f t="shared" si="1482"/>
        <v>31.263273526180875</v>
      </c>
      <c r="BF196" s="67">
        <f t="shared" si="1482"/>
        <v>27.717071117968857</v>
      </c>
      <c r="BG196" s="67">
        <f t="shared" si="1482"/>
        <v>32.440485962896105</v>
      </c>
      <c r="BH196" s="67">
        <f t="shared" si="1482"/>
        <v>34.102818578801134</v>
      </c>
      <c r="BI196" s="67">
        <f t="shared" si="1482"/>
        <v>24.463904314395563</v>
      </c>
      <c r="BJ196" s="67">
        <f t="shared" si="1482"/>
        <v>23.233628074053584</v>
      </c>
      <c r="BK196" s="67">
        <f t="shared" si="1482"/>
        <v>38.725388601036272</v>
      </c>
      <c r="BL196" s="67">
        <f t="shared" si="1482"/>
        <v>51.615184220320089</v>
      </c>
      <c r="BM196" s="67">
        <f t="shared" si="1482"/>
        <v>30.865727002967361</v>
      </c>
      <c r="BN196" s="67">
        <f t="shared" si="1482"/>
        <v>54.106204480501475</v>
      </c>
      <c r="BO196" s="67">
        <f t="shared" si="1482"/>
        <v>105.4609164420485</v>
      </c>
      <c r="BP196" s="67">
        <f t="shared" si="1482"/>
        <v>95.192169396723912</v>
      </c>
      <c r="BQ196" s="67">
        <f t="shared" si="1482"/>
        <v>47.677992556129183</v>
      </c>
      <c r="BR196" s="67">
        <f t="shared" si="1482"/>
        <v>43.409833809310797</v>
      </c>
      <c r="BS196" s="67">
        <f t="shared" si="1482"/>
        <v>91.981627296587931</v>
      </c>
      <c r="BT196" s="67">
        <f t="shared" si="1482"/>
        <v>112.71572946359159</v>
      </c>
      <c r="BU196" s="67">
        <f t="shared" si="1482"/>
        <v>59.804076581995687</v>
      </c>
      <c r="BV196" s="67">
        <f t="shared" si="1482"/>
        <v>44.83332976514162</v>
      </c>
      <c r="BW196" s="67">
        <f t="shared" si="1482"/>
        <v>77.591611397235937</v>
      </c>
      <c r="BX196" s="67">
        <f t="shared" si="1482"/>
        <v>68.330434782608648</v>
      </c>
      <c r="BY196" s="67">
        <f t="shared" si="1482"/>
        <v>63.952202557809102</v>
      </c>
      <c r="BZ196" s="67">
        <f t="shared" si="1482"/>
        <v>44.152785973996316</v>
      </c>
      <c r="CA196" s="67">
        <f t="shared" si="1482"/>
        <v>33.639699483668863</v>
      </c>
      <c r="CB196" s="67">
        <f t="shared" si="1482"/>
        <v>43.188669869140313</v>
      </c>
      <c r="CC196" s="67">
        <f t="shared" si="1482"/>
        <v>39.554487989886212</v>
      </c>
      <c r="CD196" s="67">
        <f t="shared" si="1482"/>
        <v>66.468235913890936</v>
      </c>
      <c r="CE196" s="114">
        <f t="shared" si="1482"/>
        <v>53.623753960281277</v>
      </c>
      <c r="CF196" s="67">
        <f t="shared" ref="CF196:CG196" si="1483">CF197-CF195-CF194</f>
        <v>39.222423146473787</v>
      </c>
      <c r="CG196" s="67">
        <f t="shared" si="1483"/>
        <v>42.962040718156217</v>
      </c>
      <c r="CH196" s="67">
        <f t="shared" ref="CH196" si="1484">CH197-CH195-CH194</f>
        <v>56.48015671626635</v>
      </c>
      <c r="CI196" s="67">
        <f>CH196</f>
        <v>56.48015671626635</v>
      </c>
      <c r="CJ196" s="67">
        <f t="shared" ref="CJ196:CL196" si="1485">CJ197-CJ195-CJ194</f>
        <v>49.863943123172945</v>
      </c>
      <c r="CK196" s="30">
        <f t="shared" ref="CK196:DB196" si="1486">CJ196</f>
        <v>49.863943123172945</v>
      </c>
      <c r="CL196" s="67">
        <f t="shared" si="1485"/>
        <v>65.774762635916346</v>
      </c>
      <c r="CM196" s="30">
        <f t="shared" si="1486"/>
        <v>65.774762635916346</v>
      </c>
      <c r="CN196" s="30">
        <f t="shared" si="1486"/>
        <v>65.774762635916346</v>
      </c>
      <c r="CO196" s="30">
        <f t="shared" si="1486"/>
        <v>65.774762635916346</v>
      </c>
      <c r="CP196" s="30">
        <f t="shared" si="1486"/>
        <v>65.774762635916346</v>
      </c>
      <c r="CQ196" s="30">
        <f t="shared" si="1486"/>
        <v>65.774762635916346</v>
      </c>
      <c r="CR196" s="30">
        <f t="shared" si="1486"/>
        <v>65.774762635916346</v>
      </c>
      <c r="CS196" s="30">
        <f t="shared" si="1486"/>
        <v>65.774762635916346</v>
      </c>
      <c r="CT196" s="30">
        <f t="shared" si="1486"/>
        <v>65.774762635916346</v>
      </c>
      <c r="CU196" s="30">
        <f t="shared" si="1486"/>
        <v>65.774762635916346</v>
      </c>
      <c r="CV196" s="30">
        <f t="shared" si="1486"/>
        <v>65.774762635916346</v>
      </c>
      <c r="CW196" s="30">
        <f t="shared" si="1486"/>
        <v>65.774762635916346</v>
      </c>
      <c r="CX196" s="30">
        <f t="shared" si="1486"/>
        <v>65.774762635916346</v>
      </c>
      <c r="CY196" s="30">
        <f t="shared" si="1486"/>
        <v>65.774762635916346</v>
      </c>
      <c r="CZ196" s="30">
        <f t="shared" si="1486"/>
        <v>65.774762635916346</v>
      </c>
      <c r="DA196" s="30">
        <f t="shared" si="1486"/>
        <v>65.774762635916346</v>
      </c>
      <c r="DB196" s="30">
        <f t="shared" si="1486"/>
        <v>65.774762635916346</v>
      </c>
      <c r="DE196" s="139"/>
      <c r="DF196" s="62">
        <v>76.3923400322156</v>
      </c>
    </row>
    <row r="197" spans="1:110" s="7" customFormat="1" outlineLevel="1" x14ac:dyDescent="0.2">
      <c r="A197" s="69" t="s">
        <v>467</v>
      </c>
      <c r="B197" s="70">
        <f t="shared" ref="B197:AE197" si="1487">B163/B23*365</f>
        <v>398.92077889827624</v>
      </c>
      <c r="C197" s="70">
        <f t="shared" si="1487"/>
        <v>429.11255040083029</v>
      </c>
      <c r="D197" s="70">
        <f t="shared" si="1487"/>
        <v>429.59617896133273</v>
      </c>
      <c r="E197" s="70">
        <f t="shared" si="1487"/>
        <v>285.47702622800944</v>
      </c>
      <c r="F197" s="70">
        <f t="shared" si="1487"/>
        <v>223.78776370017826</v>
      </c>
      <c r="G197" s="70">
        <f t="shared" si="1487"/>
        <v>230.00346025667832</v>
      </c>
      <c r="H197" s="70">
        <f t="shared" si="1487"/>
        <v>150.52946535239795</v>
      </c>
      <c r="I197" s="70">
        <f t="shared" si="1487"/>
        <v>177.23526629973392</v>
      </c>
      <c r="J197" s="70">
        <f t="shared" si="1487"/>
        <v>207.71631523955477</v>
      </c>
      <c r="K197" s="70">
        <f t="shared" si="1487"/>
        <v>196.90648215072471</v>
      </c>
      <c r="L197" s="70">
        <f t="shared" si="1487"/>
        <v>206.68835035922601</v>
      </c>
      <c r="M197" s="70">
        <f t="shared" si="1487"/>
        <v>181.93329389178274</v>
      </c>
      <c r="N197" s="70">
        <f t="shared" si="1487"/>
        <v>116.27370747316314</v>
      </c>
      <c r="O197" s="70">
        <f t="shared" si="1487"/>
        <v>470.83876736393182</v>
      </c>
      <c r="P197" s="70">
        <f t="shared" si="1487"/>
        <v>240.25017523034481</v>
      </c>
      <c r="Q197" s="70">
        <f t="shared" si="1487"/>
        <v>242.80259871363089</v>
      </c>
      <c r="R197" s="70">
        <f t="shared" si="1487"/>
        <v>204.69730066394419</v>
      </c>
      <c r="S197" s="70">
        <f t="shared" si="1487"/>
        <v>118.24372695985839</v>
      </c>
      <c r="T197" s="70">
        <f t="shared" si="1487"/>
        <v>158.0467886517531</v>
      </c>
      <c r="U197" s="70">
        <f t="shared" si="1487"/>
        <v>277.28668977698135</v>
      </c>
      <c r="V197" s="70">
        <f t="shared" si="1487"/>
        <v>115.16644488800178</v>
      </c>
      <c r="W197" s="70">
        <f t="shared" si="1487"/>
        <v>235.04221816621447</v>
      </c>
      <c r="X197" s="70">
        <f t="shared" si="1487"/>
        <v>229.40933316559227</v>
      </c>
      <c r="Y197" s="70">
        <f t="shared" si="1487"/>
        <v>197.38983912053675</v>
      </c>
      <c r="Z197" s="70">
        <f t="shared" si="1487"/>
        <v>215.01855976512456</v>
      </c>
      <c r="AA197" s="70">
        <f t="shared" ref="AA197" si="1488">AA163/AA23*365</f>
        <v>300.48119598088454</v>
      </c>
      <c r="AB197" s="71">
        <f t="shared" si="1487"/>
        <v>348.73668110522812</v>
      </c>
      <c r="AC197" s="71">
        <f t="shared" si="1487"/>
        <v>348.66630240901054</v>
      </c>
      <c r="AD197" s="71">
        <f t="shared" si="1487"/>
        <v>348.59894420390884</v>
      </c>
      <c r="AE197" s="71">
        <f t="shared" si="1487"/>
        <v>348.53447848921428</v>
      </c>
      <c r="AI197" s="70">
        <f t="shared" ref="AI197:CD197" si="1489">AI163/AI23*90</f>
        <v>0</v>
      </c>
      <c r="AJ197" s="70">
        <f t="shared" si="1489"/>
        <v>678.61767915605674</v>
      </c>
      <c r="AK197" s="70">
        <f t="shared" si="1489"/>
        <v>602.82224799392941</v>
      </c>
      <c r="AL197" s="70">
        <f t="shared" si="1489"/>
        <v>52.433168605782328</v>
      </c>
      <c r="AM197" s="70">
        <f t="shared" si="1489"/>
        <v>145.04780257056188</v>
      </c>
      <c r="AN197" s="70">
        <f t="shared" si="1489"/>
        <v>320.8630952380953</v>
      </c>
      <c r="AO197" s="70">
        <f t="shared" si="1489"/>
        <v>295.55916417121722</v>
      </c>
      <c r="AP197" s="70">
        <f t="shared" si="1489"/>
        <v>509.65317919075153</v>
      </c>
      <c r="AQ197" s="70">
        <f t="shared" si="1489"/>
        <v>500.05893739892491</v>
      </c>
      <c r="AR197" s="70">
        <f t="shared" si="1489"/>
        <v>167.20019389238973</v>
      </c>
      <c r="AS197" s="70">
        <f t="shared" si="1489"/>
        <v>186.33658461811157</v>
      </c>
      <c r="AT197" s="70">
        <f t="shared" si="1489"/>
        <v>366.11216280170373</v>
      </c>
      <c r="AU197" s="70">
        <f t="shared" si="1489"/>
        <v>371.89267148258381</v>
      </c>
      <c r="AV197" s="70">
        <f t="shared" si="1489"/>
        <v>513.59687906371914</v>
      </c>
      <c r="AW197" s="70">
        <f t="shared" si="1489"/>
        <v>513.86313470591813</v>
      </c>
      <c r="AX197" s="70">
        <f t="shared" si="1489"/>
        <v>122.80405661091348</v>
      </c>
      <c r="AY197" s="70">
        <f t="shared" si="1489"/>
        <v>122.10099662841468</v>
      </c>
      <c r="AZ197" s="70">
        <f t="shared" si="1489"/>
        <v>208.44529750479842</v>
      </c>
      <c r="BA197" s="70">
        <f t="shared" si="1489"/>
        <v>202.48874696380341</v>
      </c>
      <c r="BB197" s="70">
        <f t="shared" si="1489"/>
        <v>172.21069974801318</v>
      </c>
      <c r="BC197" s="70">
        <f t="shared" si="1489"/>
        <v>169.10806813473903</v>
      </c>
      <c r="BD197" s="70">
        <f t="shared" si="1489"/>
        <v>247.26486208668837</v>
      </c>
      <c r="BE197" s="70">
        <f t="shared" si="1489"/>
        <v>234.64600438107212</v>
      </c>
      <c r="BF197" s="70">
        <f t="shared" si="1489"/>
        <v>126.11867022022724</v>
      </c>
      <c r="BG197" s="70">
        <f t="shared" si="1489"/>
        <v>130.84208506515449</v>
      </c>
      <c r="BH197" s="70">
        <f t="shared" si="1489"/>
        <v>133.39221913457723</v>
      </c>
      <c r="BI197" s="70">
        <f t="shared" si="1489"/>
        <v>123.75330487017166</v>
      </c>
      <c r="BJ197" s="70">
        <f t="shared" si="1489"/>
        <v>158.15280464216633</v>
      </c>
      <c r="BK197" s="70">
        <f t="shared" si="1489"/>
        <v>173.64456516914902</v>
      </c>
      <c r="BL197" s="70">
        <f t="shared" si="1489"/>
        <v>233.98213621138817</v>
      </c>
      <c r="BM197" s="70">
        <f t="shared" si="1489"/>
        <v>213.23267899403544</v>
      </c>
      <c r="BN197" s="70">
        <f t="shared" si="1489"/>
        <v>198.22485479856178</v>
      </c>
      <c r="BO197" s="70">
        <f t="shared" si="1489"/>
        <v>249.5795667601088</v>
      </c>
      <c r="BP197" s="70">
        <f t="shared" si="1489"/>
        <v>303.23132241310424</v>
      </c>
      <c r="BQ197" s="70">
        <f t="shared" si="1489"/>
        <v>255.71714557250951</v>
      </c>
      <c r="BR197" s="70">
        <f t="shared" si="1489"/>
        <v>91.845645666311114</v>
      </c>
      <c r="BS197" s="70">
        <f t="shared" si="1489"/>
        <v>140.41743915358825</v>
      </c>
      <c r="BT197" s="70">
        <f t="shared" si="1489"/>
        <v>321.85669862658716</v>
      </c>
      <c r="BU197" s="70">
        <f t="shared" si="1489"/>
        <v>268.94504574499126</v>
      </c>
      <c r="BV197" s="70">
        <f t="shared" si="1489"/>
        <v>146.81431843970111</v>
      </c>
      <c r="BW197" s="70">
        <f t="shared" si="1489"/>
        <v>179.57260007179542</v>
      </c>
      <c r="BX197" s="70">
        <f t="shared" si="1489"/>
        <v>252.0645962732919</v>
      </c>
      <c r="BY197" s="70">
        <f t="shared" si="1489"/>
        <v>247.68636404849232</v>
      </c>
      <c r="BZ197" s="70">
        <f t="shared" si="1489"/>
        <v>188.81650834745199</v>
      </c>
      <c r="CA197" s="70">
        <f t="shared" si="1489"/>
        <v>178.30342185712453</v>
      </c>
      <c r="CB197" s="70">
        <f t="shared" si="1489"/>
        <v>214.59996687096239</v>
      </c>
      <c r="CC197" s="70">
        <f t="shared" si="1489"/>
        <v>210.96578499170829</v>
      </c>
      <c r="CD197" s="70">
        <f t="shared" si="1489"/>
        <v>303.99487560163789</v>
      </c>
      <c r="CE197" s="115">
        <f>CE163/CE25*90</f>
        <v>291.15039364802823</v>
      </c>
      <c r="CF197" s="70">
        <f>CF163/CF23*90</f>
        <v>216.68586928442264</v>
      </c>
      <c r="CG197" s="70">
        <f>CG163/CG25*90</f>
        <v>220.42548685610507</v>
      </c>
      <c r="CH197" s="70">
        <f>CH163/CH23*90</f>
        <v>297.08057083697037</v>
      </c>
      <c r="CI197" s="70">
        <f>CI194+CI195+CI196</f>
        <v>297.08057083697037</v>
      </c>
      <c r="CJ197" s="70">
        <f>CJ163/CJ23*90</f>
        <v>308.98137789165969</v>
      </c>
      <c r="CK197" s="50">
        <f t="shared" ref="CK197:DB197" si="1490">CK194+CK195+CK196</f>
        <v>308.98137789165969</v>
      </c>
      <c r="CL197" s="70">
        <f>CL163/CL23*90</f>
        <v>298.48510011594016</v>
      </c>
      <c r="CM197" s="50">
        <f t="shared" si="1490"/>
        <v>298.48510011594016</v>
      </c>
      <c r="CN197" s="50">
        <f t="shared" si="1490"/>
        <v>298.48510011594016</v>
      </c>
      <c r="CO197" s="50">
        <f t="shared" si="1490"/>
        <v>298.48510011594016</v>
      </c>
      <c r="CP197" s="50">
        <f t="shared" si="1490"/>
        <v>298.48510011594016</v>
      </c>
      <c r="CQ197" s="50">
        <f t="shared" si="1490"/>
        <v>298.48510011594016</v>
      </c>
      <c r="CR197" s="50">
        <f t="shared" si="1490"/>
        <v>298.48510011594016</v>
      </c>
      <c r="CS197" s="50">
        <f t="shared" si="1490"/>
        <v>298.48510011594016</v>
      </c>
      <c r="CT197" s="50">
        <f t="shared" si="1490"/>
        <v>298.48510011594016</v>
      </c>
      <c r="CU197" s="50">
        <f t="shared" si="1490"/>
        <v>298.48510011594016</v>
      </c>
      <c r="CV197" s="50">
        <f t="shared" si="1490"/>
        <v>298.48510011594016</v>
      </c>
      <c r="CW197" s="50">
        <f t="shared" si="1490"/>
        <v>298.48510011594016</v>
      </c>
      <c r="CX197" s="50">
        <f t="shared" si="1490"/>
        <v>298.48510011594016</v>
      </c>
      <c r="CY197" s="50">
        <f t="shared" si="1490"/>
        <v>298.48510011594016</v>
      </c>
      <c r="CZ197" s="50">
        <f t="shared" si="1490"/>
        <v>298.48510011594016</v>
      </c>
      <c r="DA197" s="50">
        <f t="shared" si="1490"/>
        <v>298.48510011594016</v>
      </c>
      <c r="DB197" s="50">
        <f t="shared" si="1490"/>
        <v>298.48510011594016</v>
      </c>
      <c r="DE197" s="138"/>
      <c r="DF197" s="7">
        <v>346.66754160441144</v>
      </c>
    </row>
    <row r="198" spans="1:110" s="62" customFormat="1" outlineLevel="1" x14ac:dyDescent="0.2">
      <c r="A198" s="68" t="s">
        <v>468</v>
      </c>
      <c r="B198" s="67">
        <f t="shared" ref="B198:AE198" si="1491">B168/B23*365</f>
        <v>92.762824540310874</v>
      </c>
      <c r="C198" s="67">
        <f t="shared" si="1491"/>
        <v>43.027306937850284</v>
      </c>
      <c r="D198" s="67">
        <f t="shared" si="1491"/>
        <v>20.635927132554357</v>
      </c>
      <c r="E198" s="67">
        <f t="shared" si="1491"/>
        <v>66.582733862301467</v>
      </c>
      <c r="F198" s="67">
        <f t="shared" si="1491"/>
        <v>27.565653890107171</v>
      </c>
      <c r="G198" s="67">
        <f t="shared" si="1491"/>
        <v>183.15851831902393</v>
      </c>
      <c r="H198" s="67">
        <f t="shared" si="1491"/>
        <v>51.970083285185893</v>
      </c>
      <c r="I198" s="67">
        <f t="shared" si="1491"/>
        <v>22.512108620994876</v>
      </c>
      <c r="J198" s="67">
        <f t="shared" si="1491"/>
        <v>14.634967977693091</v>
      </c>
      <c r="K198" s="67">
        <f t="shared" si="1491"/>
        <v>13.176135030053526</v>
      </c>
      <c r="L198" s="67">
        <f t="shared" si="1491"/>
        <v>8.670701506932545</v>
      </c>
      <c r="M198" s="67">
        <f t="shared" si="1491"/>
        <v>8.648323429029027</v>
      </c>
      <c r="N198" s="67">
        <f t="shared" si="1491"/>
        <v>1.9190522882051442</v>
      </c>
      <c r="O198" s="67">
        <f t="shared" si="1491"/>
        <v>28.334982894249702</v>
      </c>
      <c r="P198" s="67">
        <f t="shared" si="1491"/>
        <v>6.6017276034239609</v>
      </c>
      <c r="Q198" s="67">
        <f t="shared" si="1491"/>
        <v>4.3427025190165969</v>
      </c>
      <c r="R198" s="67">
        <f t="shared" si="1491"/>
        <v>5.249647363663728</v>
      </c>
      <c r="S198" s="67">
        <f t="shared" si="1491"/>
        <v>12.140230832744439</v>
      </c>
      <c r="T198" s="67">
        <f t="shared" si="1491"/>
        <v>1.0419222809709523</v>
      </c>
      <c r="U198" s="67">
        <f t="shared" si="1491"/>
        <v>9.6349624827647578</v>
      </c>
      <c r="V198" s="67">
        <f t="shared" si="1491"/>
        <v>1.3957348460972792</v>
      </c>
      <c r="W198" s="67">
        <f t="shared" si="1491"/>
        <v>2.2432203308692649</v>
      </c>
      <c r="X198" s="67">
        <f t="shared" si="1491"/>
        <v>6.4618979512209824</v>
      </c>
      <c r="Y198" s="67">
        <f t="shared" si="1491"/>
        <v>8.4859924842479408</v>
      </c>
      <c r="Z198" s="67">
        <f t="shared" si="1491"/>
        <v>5.4900640226760258</v>
      </c>
      <c r="AA198" s="67">
        <f t="shared" ref="AA198" si="1492">AA168/AA23*365</f>
        <v>2.8014006079386715</v>
      </c>
      <c r="AB198" s="18">
        <f t="shared" si="1491"/>
        <v>3.2521233022724059</v>
      </c>
      <c r="AC198" s="18">
        <f t="shared" si="1491"/>
        <v>3.2514669899016284</v>
      </c>
      <c r="AD198" s="18">
        <f t="shared" si="1491"/>
        <v>3.250838844942181</v>
      </c>
      <c r="AE198" s="18">
        <f t="shared" si="1491"/>
        <v>3.2502376737310215</v>
      </c>
      <c r="AI198" s="67">
        <f>AJ168/AI23*90</f>
        <v>40.117127071823198</v>
      </c>
      <c r="AJ198" s="67">
        <f>AJ168/AJ23*90</f>
        <v>66.034921789741716</v>
      </c>
      <c r="AK198" s="67">
        <f t="shared" ref="AK198:CE198" si="1493">+AJ198</f>
        <v>66.034921789741716</v>
      </c>
      <c r="AL198" s="67">
        <f>AL168/AL23*90</f>
        <v>0.86501420288727182</v>
      </c>
      <c r="AM198" s="67">
        <f t="shared" ref="AM198" si="1494">+AL198</f>
        <v>0.86501420288727182</v>
      </c>
      <c r="AN198" s="67">
        <f>AN168/AN23*90</f>
        <v>27.767857142857146</v>
      </c>
      <c r="AO198" s="67">
        <f t="shared" ref="AO198" si="1495">+AN198</f>
        <v>27.767857142857146</v>
      </c>
      <c r="AP198" s="67">
        <f>AP168/AP23*90</f>
        <v>30.664739884393065</v>
      </c>
      <c r="AQ198" s="67">
        <f t="shared" ref="AQ198" si="1496">+AP198</f>
        <v>30.664739884393065</v>
      </c>
      <c r="AR198" s="67">
        <f>AR168/AR23*90</f>
        <v>7.9835191468734861</v>
      </c>
      <c r="AS198" s="67">
        <f t="shared" ref="AS198" si="1497">+AR198</f>
        <v>7.9835191468734861</v>
      </c>
      <c r="AT198" s="67">
        <f>AT168/AT23*90</f>
        <v>10.052058684335067</v>
      </c>
      <c r="AU198" s="67">
        <f t="shared" ref="AU198" si="1498">+AT198</f>
        <v>10.052058684335067</v>
      </c>
      <c r="AV198" s="67">
        <f>AV168/AV23*90</f>
        <v>29.188556566970092</v>
      </c>
      <c r="AW198" s="67">
        <f t="shared" ref="AW198" si="1499">+AV198</f>
        <v>29.188556566970092</v>
      </c>
      <c r="AX198" s="67">
        <f>AX168/AX23*90</f>
        <v>2.1932944827064258</v>
      </c>
      <c r="AY198" s="67">
        <f t="shared" ref="AY198" si="1500">+AX198</f>
        <v>2.1932944827064258</v>
      </c>
      <c r="AZ198" s="67">
        <f>AZ168/AZ23*90</f>
        <v>11.516314779270633</v>
      </c>
      <c r="BA198" s="67">
        <f t="shared" ref="BA198" si="1501">+AZ198</f>
        <v>11.516314779270633</v>
      </c>
      <c r="BB198" s="67">
        <f>BB168/BB23*90</f>
        <v>4.4136460554371002</v>
      </c>
      <c r="BC198" s="67">
        <f t="shared" ref="BC198" si="1502">+BB198</f>
        <v>4.4136460554371002</v>
      </c>
      <c r="BD198" s="67">
        <f>BD168/BD23*90</f>
        <v>21.077608360459141</v>
      </c>
      <c r="BE198" s="67">
        <f t="shared" ref="BE198" si="1503">+BD198</f>
        <v>21.077608360459141</v>
      </c>
      <c r="BF198" s="67">
        <f>BF168/BF23*90</f>
        <v>12.952728292888203</v>
      </c>
      <c r="BG198" s="67">
        <f t="shared" ref="BG198" si="1504">+BF198</f>
        <v>12.952728292888203</v>
      </c>
      <c r="BH198" s="67">
        <f>BH168/BH23*90</f>
        <v>6.4936482731242551</v>
      </c>
      <c r="BI198" s="67">
        <f t="shared" ref="BI198" si="1505">+BH198</f>
        <v>6.4936482731242551</v>
      </c>
      <c r="BJ198" s="67">
        <f>BJ168/BJ23*90</f>
        <v>1.0444874274661509</v>
      </c>
      <c r="BK198" s="67">
        <f t="shared" ref="BK198" si="1506">+BJ198</f>
        <v>1.0444874274661509</v>
      </c>
      <c r="BL198" s="67">
        <f>BL168/BL23*90</f>
        <v>3.3271306289542237</v>
      </c>
      <c r="BM198" s="67">
        <f t="shared" ref="BM198" si="1507">+BL198</f>
        <v>3.3271306289542237</v>
      </c>
      <c r="BN198" s="67">
        <f>BN168/BN23*90</f>
        <v>6.4469438554439025</v>
      </c>
      <c r="BO198" s="67">
        <f t="shared" ref="BO198" si="1508">+BN198</f>
        <v>6.4469438554439025</v>
      </c>
      <c r="BP198" s="67">
        <f>BP168/BP23*90</f>
        <v>46.830203755493407</v>
      </c>
      <c r="BQ198" s="67">
        <f t="shared" ref="BQ198" si="1509">+BP198</f>
        <v>46.830203755493407</v>
      </c>
      <c r="BR198" s="67">
        <f>BR168/BR23*90</f>
        <v>1.0157244606544404</v>
      </c>
      <c r="BS198" s="67">
        <f t="shared" ref="BS198" si="1510">+BR198</f>
        <v>1.0157244606544404</v>
      </c>
      <c r="BT198" s="67">
        <f>BT168/BT23*90</f>
        <v>15.509199274423427</v>
      </c>
      <c r="BU198" s="67">
        <f t="shared" ref="BU198" si="1511">+BT198</f>
        <v>15.509199274423427</v>
      </c>
      <c r="BV198" s="67">
        <f>BV168/BV23*90</f>
        <v>1.360337408208268</v>
      </c>
      <c r="BW198" s="67">
        <f t="shared" ref="BW198" si="1512">+BV198</f>
        <v>1.360337408208268</v>
      </c>
      <c r="BX198" s="67">
        <f>BX168/BX23*90</f>
        <v>12.852173913043478</v>
      </c>
      <c r="BY198" s="67">
        <f t="shared" ref="BY198" si="1513">+BX198</f>
        <v>12.852173913043478</v>
      </c>
      <c r="BZ198" s="67">
        <f>BZ168/BZ23*90</f>
        <v>5.2306257257619313</v>
      </c>
      <c r="CA198" s="67">
        <f t="shared" ref="CA198" si="1514">+BZ198</f>
        <v>5.2306257257619313</v>
      </c>
      <c r="CB198" s="67">
        <f>CB168/CB23*90</f>
        <v>5.3354315057147597</v>
      </c>
      <c r="CC198" s="67">
        <f t="shared" ref="CC198" si="1515">+CB198</f>
        <v>5.3354315057147597</v>
      </c>
      <c r="CD198" s="67">
        <f>CD168/CD23*90</f>
        <v>12.581595268312538</v>
      </c>
      <c r="CE198" s="114">
        <f t="shared" si="1493"/>
        <v>12.581595268312538</v>
      </c>
      <c r="CF198" s="67">
        <f>CF168/CF23*90</f>
        <v>8.7814518212348229</v>
      </c>
      <c r="CG198" s="67">
        <f t="shared" ref="CG198:CI198" si="1516">+CF198</f>
        <v>8.7814518212348229</v>
      </c>
      <c r="CH198" s="67">
        <f>CH168/CH23*90</f>
        <v>7.5853514950975409</v>
      </c>
      <c r="CI198" s="67">
        <f t="shared" si="1516"/>
        <v>7.5853514950975409</v>
      </c>
      <c r="CJ198" s="67">
        <f>CJ168/CJ23*90</f>
        <v>17.125302248366957</v>
      </c>
      <c r="CK198" s="30">
        <f t="shared" ref="CK198" si="1517">+CJ198</f>
        <v>17.125302248366957</v>
      </c>
      <c r="CL198" s="67">
        <f>CL168/CL23*90</f>
        <v>2.7835051546391751</v>
      </c>
      <c r="CM198" s="30">
        <f t="shared" ref="CM198" si="1518">+CL198</f>
        <v>2.7835051546391751</v>
      </c>
      <c r="CN198" s="30">
        <f t="shared" ref="CN198" si="1519">+CM198</f>
        <v>2.7835051546391751</v>
      </c>
      <c r="CO198" s="30">
        <f t="shared" ref="CO198" si="1520">+CN198</f>
        <v>2.7835051546391751</v>
      </c>
      <c r="CP198" s="30">
        <f t="shared" ref="CP198" si="1521">+CO198</f>
        <v>2.7835051546391751</v>
      </c>
      <c r="CQ198" s="30">
        <f t="shared" ref="CQ198" si="1522">+CP198</f>
        <v>2.7835051546391751</v>
      </c>
      <c r="CR198" s="30">
        <f t="shared" ref="CR198" si="1523">+CQ198</f>
        <v>2.7835051546391751</v>
      </c>
      <c r="CS198" s="30">
        <f t="shared" ref="CS198" si="1524">+CR198</f>
        <v>2.7835051546391751</v>
      </c>
      <c r="CT198" s="30">
        <f t="shared" ref="CT198" si="1525">+CS198</f>
        <v>2.7835051546391751</v>
      </c>
      <c r="CU198" s="30">
        <f t="shared" ref="CU198" si="1526">+CT198</f>
        <v>2.7835051546391751</v>
      </c>
      <c r="CV198" s="30">
        <f t="shared" ref="CV198" si="1527">+CU198</f>
        <v>2.7835051546391751</v>
      </c>
      <c r="CW198" s="30">
        <f t="shared" ref="CW198" si="1528">+CV198</f>
        <v>2.7835051546391751</v>
      </c>
      <c r="CX198" s="30">
        <f t="shared" ref="CX198" si="1529">+CW198</f>
        <v>2.7835051546391751</v>
      </c>
      <c r="CY198" s="30">
        <f t="shared" ref="CY198" si="1530">+CX198</f>
        <v>2.7835051546391751</v>
      </c>
      <c r="CZ198" s="30">
        <f t="shared" ref="CZ198" si="1531">+CY198</f>
        <v>2.7835051546391751</v>
      </c>
      <c r="DA198" s="30">
        <f t="shared" ref="DA198" si="1532">+CZ198</f>
        <v>2.7835051546391751</v>
      </c>
      <c r="DB198" s="30">
        <f t="shared" ref="DB198" si="1533">+DA198</f>
        <v>2.7835051546391751</v>
      </c>
      <c r="DE198" s="139"/>
      <c r="DF198" s="62">
        <v>3.2328276641854328</v>
      </c>
    </row>
    <row r="199" spans="1:110" s="62" customFormat="1" outlineLevel="1" x14ac:dyDescent="0.2">
      <c r="A199" s="68" t="s">
        <v>466</v>
      </c>
      <c r="B199" s="67">
        <f>B200-B198</f>
        <v>40.259479674037578</v>
      </c>
      <c r="C199" s="67">
        <f t="shared" ref="C199:V199" si="1534">C200-C198</f>
        <v>125.20149001540236</v>
      </c>
      <c r="D199" s="67">
        <f t="shared" si="1534"/>
        <v>151.91441730299965</v>
      </c>
      <c r="E199" s="67">
        <f t="shared" si="1534"/>
        <v>17.469806660429413</v>
      </c>
      <c r="F199" s="67">
        <f t="shared" si="1534"/>
        <v>11.659204183695323</v>
      </c>
      <c r="G199" s="67">
        <f t="shared" si="1534"/>
        <v>14.66451687831028</v>
      </c>
      <c r="H199" s="67">
        <f t="shared" si="1534"/>
        <v>27.886258884054158</v>
      </c>
      <c r="I199" s="67">
        <f t="shared" si="1534"/>
        <v>64.108700394505036</v>
      </c>
      <c r="J199" s="67">
        <f t="shared" si="1534"/>
        <v>75.105528005626908</v>
      </c>
      <c r="K199" s="67">
        <f t="shared" si="1534"/>
        <v>37.407008619991387</v>
      </c>
      <c r="L199" s="67">
        <f t="shared" si="1534"/>
        <v>44.134962634846296</v>
      </c>
      <c r="M199" s="67">
        <f t="shared" si="1534"/>
        <v>44.975672222425104</v>
      </c>
      <c r="N199" s="67">
        <f t="shared" si="1534"/>
        <v>39.616217801022827</v>
      </c>
      <c r="O199" s="67">
        <f t="shared" si="1534"/>
        <v>40.215714808462508</v>
      </c>
      <c r="P199" s="67">
        <f t="shared" si="1534"/>
        <v>31.018210670101027</v>
      </c>
      <c r="Q199" s="67">
        <f t="shared" si="1534"/>
        <v>37.250131223378979</v>
      </c>
      <c r="R199" s="67">
        <f t="shared" si="1534"/>
        <v>13.086045916292795</v>
      </c>
      <c r="S199" s="67">
        <f t="shared" si="1534"/>
        <v>16.536352012015112</v>
      </c>
      <c r="T199" s="67">
        <f t="shared" si="1534"/>
        <v>18.342516918815328</v>
      </c>
      <c r="U199" s="67">
        <f t="shared" si="1534"/>
        <v>78.238337807564292</v>
      </c>
      <c r="V199" s="67">
        <f t="shared" si="1534"/>
        <v>83.014269706201631</v>
      </c>
      <c r="W199" s="67">
        <f t="shared" ref="W199" si="1535">W200-W198</f>
        <v>37.801487144805563</v>
      </c>
      <c r="X199" s="67">
        <f t="shared" ref="X199:Y199" si="1536">X200-X198</f>
        <v>22.355200155836837</v>
      </c>
      <c r="Y199" s="67">
        <f t="shared" si="1536"/>
        <v>49.975424677422751</v>
      </c>
      <c r="Z199" s="67">
        <f t="shared" ref="Z199:AA199" si="1537">Z200-Z198</f>
        <v>36.416269845870261</v>
      </c>
      <c r="AA199" s="67">
        <f t="shared" ref="AA199" si="1538">AA200-AA198</f>
        <v>49.974232998562606</v>
      </c>
      <c r="AB199" s="18">
        <f t="shared" ref="AB199:AD199" si="1539">AB200-AB198</f>
        <v>57.999493848277638</v>
      </c>
      <c r="AC199" s="18">
        <f t="shared" si="1539"/>
        <v>57.987788946041974</v>
      </c>
      <c r="AD199" s="18">
        <f t="shared" si="1539"/>
        <v>57.976586391180106</v>
      </c>
      <c r="AE199" s="18">
        <f t="shared" ref="AE199" si="1540">AE200-AE198</f>
        <v>57.965864895491706</v>
      </c>
      <c r="AI199" s="67">
        <f t="shared" ref="AI199:AK199" si="1541">AI200-AI198</f>
        <v>-40.117127071823198</v>
      </c>
      <c r="AJ199" s="67">
        <f t="shared" ref="AJ199:AM199" si="1542">AJ200-AJ198</f>
        <v>65.08548563113861</v>
      </c>
      <c r="AK199" s="67">
        <f t="shared" si="1541"/>
        <v>17.938640465209559</v>
      </c>
      <c r="AL199" s="67">
        <f t="shared" si="1542"/>
        <v>17.864119226429047</v>
      </c>
      <c r="AM199" s="67">
        <f t="shared" si="1542"/>
        <v>229.43028485757119</v>
      </c>
      <c r="AN199" s="67">
        <f t="shared" ref="AN199:AY199" si="1543">AN200-AN198</f>
        <v>37.708333333333336</v>
      </c>
      <c r="AO199" s="67">
        <f t="shared" si="1543"/>
        <v>23.434032059186187</v>
      </c>
      <c r="AP199" s="67">
        <f t="shared" si="1543"/>
        <v>73.005780346820814</v>
      </c>
      <c r="AQ199" s="67">
        <f t="shared" si="1543"/>
        <v>53.092013078000939</v>
      </c>
      <c r="AR199" s="67">
        <f t="shared" si="1543"/>
        <v>12.363548230731944</v>
      </c>
      <c r="AS199" s="67">
        <f t="shared" si="1543"/>
        <v>19.827425373134325</v>
      </c>
      <c r="AT199" s="67">
        <f t="shared" si="1543"/>
        <v>69.001419782300047</v>
      </c>
      <c r="AU199" s="67">
        <f t="shared" si="1543"/>
        <v>78.408174240387197</v>
      </c>
      <c r="AV199" s="67">
        <f t="shared" si="1543"/>
        <v>63.386215864759421</v>
      </c>
      <c r="AW199" s="67">
        <f t="shared" si="1543"/>
        <v>63.78434964668935</v>
      </c>
      <c r="AX199" s="67">
        <f t="shared" si="1543"/>
        <v>25.788238855672454</v>
      </c>
      <c r="AY199" s="67">
        <f t="shared" si="1543"/>
        <v>40.590975824984916</v>
      </c>
      <c r="AZ199" s="67">
        <f t="shared" ref="AZ199:BC199" si="1544">AZ200-AZ198</f>
        <v>27.604606525911702</v>
      </c>
      <c r="BA199" s="67">
        <f t="shared" si="1544"/>
        <v>25.215708389244643</v>
      </c>
      <c r="BB199" s="67">
        <f t="shared" si="1544"/>
        <v>19.905020352781548</v>
      </c>
      <c r="BC199" s="67">
        <f t="shared" si="1544"/>
        <v>20.910888701893732</v>
      </c>
      <c r="BD199" s="67">
        <f t="shared" ref="BD199:CE199" si="1545">BD200-BD198</f>
        <v>70.456570155902014</v>
      </c>
      <c r="BE199" s="67">
        <f t="shared" si="1545"/>
        <v>50.195898938117907</v>
      </c>
      <c r="BF199" s="67">
        <f t="shared" si="1545"/>
        <v>17.636414644410159</v>
      </c>
      <c r="BG199" s="67">
        <f t="shared" si="1545"/>
        <v>20.641930717451977</v>
      </c>
      <c r="BH199" s="67">
        <f t="shared" si="1545"/>
        <v>33.85271933306867</v>
      </c>
      <c r="BI199" s="67">
        <f t="shared" si="1545"/>
        <v>24.28449380606579</v>
      </c>
      <c r="BJ199" s="67">
        <f t="shared" si="1545"/>
        <v>18.35313622547665</v>
      </c>
      <c r="BK199" s="67">
        <f t="shared" si="1545"/>
        <v>30.590673575129532</v>
      </c>
      <c r="BL199" s="67">
        <f t="shared" si="1545"/>
        <v>30.446594715295873</v>
      </c>
      <c r="BM199" s="67">
        <f t="shared" si="1545"/>
        <v>18.206973293768549</v>
      </c>
      <c r="BN199" s="67">
        <f t="shared" si="1545"/>
        <v>52.376233059832202</v>
      </c>
      <c r="BO199" s="67">
        <f t="shared" si="1545"/>
        <v>102.08894878706199</v>
      </c>
      <c r="BP199" s="67">
        <f t="shared" si="1545"/>
        <v>63.01797842588892</v>
      </c>
      <c r="BQ199" s="67">
        <f t="shared" si="1545"/>
        <v>31.563212870692759</v>
      </c>
      <c r="BR199" s="67">
        <f t="shared" si="1545"/>
        <v>60.339607060523704</v>
      </c>
      <c r="BS199" s="67">
        <f t="shared" si="1545"/>
        <v>127.85433070866142</v>
      </c>
      <c r="BT199" s="67">
        <f t="shared" si="1545"/>
        <v>126.21922777921742</v>
      </c>
      <c r="BU199" s="67">
        <f t="shared" si="1545"/>
        <v>66.968686625648786</v>
      </c>
      <c r="BV199" s="67">
        <f t="shared" si="1545"/>
        <v>22.927273116530003</v>
      </c>
      <c r="BW199" s="67">
        <f t="shared" si="1545"/>
        <v>39.679499055170623</v>
      </c>
      <c r="BX199" s="67">
        <f t="shared" si="1545"/>
        <v>23.920496894409936</v>
      </c>
      <c r="BY199" s="67">
        <f t="shared" si="1545"/>
        <v>22.387805193127505</v>
      </c>
      <c r="BZ199" s="67">
        <f t="shared" si="1545"/>
        <v>18.1007405151244</v>
      </c>
      <c r="CA199" s="67">
        <f t="shared" si="1545"/>
        <v>13.790827870279053</v>
      </c>
      <c r="CB199" s="67">
        <f t="shared" si="1545"/>
        <v>43.917508696372373</v>
      </c>
      <c r="CC199" s="67">
        <f t="shared" si="1545"/>
        <v>40.221997471554992</v>
      </c>
      <c r="CD199" s="67">
        <f t="shared" si="1545"/>
        <v>74.10167381049304</v>
      </c>
      <c r="CE199" s="114">
        <f t="shared" si="1545"/>
        <v>59.782087937562778</v>
      </c>
      <c r="CF199" s="67">
        <f t="shared" ref="CF199:CG199" si="1546">CF200-CF198</f>
        <v>61.753810384913464</v>
      </c>
      <c r="CG199" s="67">
        <f t="shared" si="1546"/>
        <v>67.641657588319362</v>
      </c>
      <c r="CH199" s="67">
        <f t="shared" ref="CH199" si="1547">CH200-CH198</f>
        <v>50.31456933476786</v>
      </c>
      <c r="CI199" s="67">
        <f>CH199</f>
        <v>50.31456933476786</v>
      </c>
      <c r="CJ199" s="67">
        <f t="shared" ref="CJ199:CL199" si="1548">CJ200-CJ198</f>
        <v>39.020354397488184</v>
      </c>
      <c r="CK199" s="30">
        <f t="shared" ref="CK199:DB199" si="1549">CJ199</f>
        <v>39.020354397488184</v>
      </c>
      <c r="CL199" s="67">
        <f t="shared" si="1548"/>
        <v>49.641995425061893</v>
      </c>
      <c r="CM199" s="30">
        <f t="shared" si="1549"/>
        <v>49.641995425061893</v>
      </c>
      <c r="CN199" s="30">
        <f t="shared" si="1549"/>
        <v>49.641995425061893</v>
      </c>
      <c r="CO199" s="30">
        <f t="shared" si="1549"/>
        <v>49.641995425061893</v>
      </c>
      <c r="CP199" s="30">
        <f t="shared" si="1549"/>
        <v>49.641995425061893</v>
      </c>
      <c r="CQ199" s="30">
        <f t="shared" si="1549"/>
        <v>49.641995425061893</v>
      </c>
      <c r="CR199" s="30">
        <f t="shared" si="1549"/>
        <v>49.641995425061893</v>
      </c>
      <c r="CS199" s="30">
        <f t="shared" si="1549"/>
        <v>49.641995425061893</v>
      </c>
      <c r="CT199" s="30">
        <f t="shared" si="1549"/>
        <v>49.641995425061893</v>
      </c>
      <c r="CU199" s="30">
        <f t="shared" si="1549"/>
        <v>49.641995425061893</v>
      </c>
      <c r="CV199" s="30">
        <f t="shared" si="1549"/>
        <v>49.641995425061893</v>
      </c>
      <c r="CW199" s="30">
        <f t="shared" si="1549"/>
        <v>49.641995425061893</v>
      </c>
      <c r="CX199" s="30">
        <f t="shared" si="1549"/>
        <v>49.641995425061893</v>
      </c>
      <c r="CY199" s="30">
        <f t="shared" si="1549"/>
        <v>49.641995425061893</v>
      </c>
      <c r="CZ199" s="30">
        <f t="shared" si="1549"/>
        <v>49.641995425061893</v>
      </c>
      <c r="DA199" s="30">
        <f t="shared" si="1549"/>
        <v>49.641995425061893</v>
      </c>
      <c r="DB199" s="30">
        <f t="shared" si="1549"/>
        <v>49.641995425061893</v>
      </c>
      <c r="DE199" s="139"/>
      <c r="DF199" s="62">
        <v>57.655368752607991</v>
      </c>
    </row>
    <row r="200" spans="1:110" s="7" customFormat="1" outlineLevel="1" x14ac:dyDescent="0.2">
      <c r="A200" s="69" t="s">
        <v>469</v>
      </c>
      <c r="B200" s="70">
        <f t="shared" ref="B200:AE200" si="1550">B171/B23*365</f>
        <v>133.02230421434845</v>
      </c>
      <c r="C200" s="70">
        <f t="shared" si="1550"/>
        <v>168.22879695325264</v>
      </c>
      <c r="D200" s="70">
        <f t="shared" si="1550"/>
        <v>172.55034443555402</v>
      </c>
      <c r="E200" s="70">
        <f t="shared" si="1550"/>
        <v>84.05254052273088</v>
      </c>
      <c r="F200" s="70">
        <f t="shared" si="1550"/>
        <v>39.224858073802494</v>
      </c>
      <c r="G200" s="70">
        <f t="shared" si="1550"/>
        <v>197.82303519733421</v>
      </c>
      <c r="H200" s="70">
        <f t="shared" si="1550"/>
        <v>79.856342169240051</v>
      </c>
      <c r="I200" s="70">
        <f t="shared" si="1550"/>
        <v>86.620809015499916</v>
      </c>
      <c r="J200" s="70">
        <f t="shared" si="1550"/>
        <v>89.740495983320002</v>
      </c>
      <c r="K200" s="70">
        <f t="shared" si="1550"/>
        <v>50.583143650044917</v>
      </c>
      <c r="L200" s="70">
        <f t="shared" si="1550"/>
        <v>52.805664141778841</v>
      </c>
      <c r="M200" s="70">
        <f t="shared" si="1550"/>
        <v>53.62399565145413</v>
      </c>
      <c r="N200" s="70">
        <f t="shared" si="1550"/>
        <v>41.535270089227971</v>
      </c>
      <c r="O200" s="70">
        <f t="shared" si="1550"/>
        <v>68.550697702712213</v>
      </c>
      <c r="P200" s="70">
        <f t="shared" si="1550"/>
        <v>37.619938273524987</v>
      </c>
      <c r="Q200" s="70">
        <f t="shared" si="1550"/>
        <v>41.592833742395577</v>
      </c>
      <c r="R200" s="70">
        <f t="shared" si="1550"/>
        <v>18.335693279956523</v>
      </c>
      <c r="S200" s="70">
        <f t="shared" si="1550"/>
        <v>28.676582844759551</v>
      </c>
      <c r="T200" s="70">
        <f t="shared" si="1550"/>
        <v>19.384439199786279</v>
      </c>
      <c r="U200" s="70">
        <f t="shared" si="1550"/>
        <v>87.873300290329055</v>
      </c>
      <c r="V200" s="70">
        <f t="shared" si="1550"/>
        <v>84.410004552298915</v>
      </c>
      <c r="W200" s="70">
        <f t="shared" si="1550"/>
        <v>40.044707475674826</v>
      </c>
      <c r="X200" s="70">
        <f t="shared" si="1550"/>
        <v>28.81709810705782</v>
      </c>
      <c r="Y200" s="70">
        <f t="shared" si="1550"/>
        <v>58.461417161670695</v>
      </c>
      <c r="Z200" s="70">
        <f t="shared" si="1550"/>
        <v>41.906333868546284</v>
      </c>
      <c r="AA200" s="70">
        <f t="shared" ref="AA200" si="1551">AA171/AA23*365</f>
        <v>52.77563360650128</v>
      </c>
      <c r="AB200" s="71">
        <f t="shared" si="1550"/>
        <v>61.251617150550047</v>
      </c>
      <c r="AC200" s="71">
        <f t="shared" si="1550"/>
        <v>61.239255935943604</v>
      </c>
      <c r="AD200" s="71">
        <f t="shared" si="1550"/>
        <v>61.227425236122286</v>
      </c>
      <c r="AE200" s="71">
        <f t="shared" si="1550"/>
        <v>61.216102569222727</v>
      </c>
      <c r="AI200" s="70">
        <f t="shared" ref="AI200:CD200" si="1552">AI171/AI23*90</f>
        <v>0</v>
      </c>
      <c r="AJ200" s="70">
        <f t="shared" si="1552"/>
        <v>131.12040742088033</v>
      </c>
      <c r="AK200" s="70">
        <f>AK171/AK23*90</f>
        <v>83.973562254951275</v>
      </c>
      <c r="AL200" s="70">
        <f t="shared" si="1552"/>
        <v>18.729133429316317</v>
      </c>
      <c r="AM200" s="70">
        <f t="shared" si="1552"/>
        <v>230.29529906045846</v>
      </c>
      <c r="AN200" s="70">
        <f t="shared" si="1552"/>
        <v>65.476190476190482</v>
      </c>
      <c r="AO200" s="70">
        <f t="shared" si="1552"/>
        <v>51.201889202043333</v>
      </c>
      <c r="AP200" s="70">
        <f t="shared" si="1552"/>
        <v>103.67052023121387</v>
      </c>
      <c r="AQ200" s="70">
        <f t="shared" si="1552"/>
        <v>83.756752962394003</v>
      </c>
      <c r="AR200" s="70">
        <f t="shared" si="1552"/>
        <v>20.34706737760543</v>
      </c>
      <c r="AS200" s="70">
        <f t="shared" si="1552"/>
        <v>27.810944520007812</v>
      </c>
      <c r="AT200" s="70">
        <f t="shared" si="1552"/>
        <v>79.053478466635113</v>
      </c>
      <c r="AU200" s="70">
        <f t="shared" si="1552"/>
        <v>88.460232924722263</v>
      </c>
      <c r="AV200" s="70">
        <f t="shared" si="1552"/>
        <v>92.574772431729514</v>
      </c>
      <c r="AW200" s="70">
        <f t="shared" si="1552"/>
        <v>92.972906213659442</v>
      </c>
      <c r="AX200" s="70">
        <f t="shared" si="1552"/>
        <v>27.981533338378878</v>
      </c>
      <c r="AY200" s="70">
        <f t="shared" si="1552"/>
        <v>42.784270307691344</v>
      </c>
      <c r="AZ200" s="70">
        <f t="shared" si="1552"/>
        <v>39.120921305182335</v>
      </c>
      <c r="BA200" s="70">
        <f t="shared" si="1552"/>
        <v>36.732023168515276</v>
      </c>
      <c r="BB200" s="70">
        <f t="shared" si="1552"/>
        <v>24.318666408218647</v>
      </c>
      <c r="BC200" s="70">
        <f t="shared" si="1552"/>
        <v>25.324534757330831</v>
      </c>
      <c r="BD200" s="70">
        <f t="shared" si="1552"/>
        <v>91.534178516361152</v>
      </c>
      <c r="BE200" s="70">
        <f t="shared" si="1552"/>
        <v>71.273507298577044</v>
      </c>
      <c r="BF200" s="70">
        <f t="shared" si="1552"/>
        <v>30.589142937298362</v>
      </c>
      <c r="BG200" s="70">
        <f t="shared" si="1552"/>
        <v>33.59465901034018</v>
      </c>
      <c r="BH200" s="70">
        <f t="shared" si="1552"/>
        <v>40.346367606192928</v>
      </c>
      <c r="BI200" s="70">
        <f t="shared" si="1552"/>
        <v>30.778142079190044</v>
      </c>
      <c r="BJ200" s="70">
        <f t="shared" si="1552"/>
        <v>19.397623652942801</v>
      </c>
      <c r="BK200" s="70">
        <f t="shared" si="1552"/>
        <v>31.635161002595684</v>
      </c>
      <c r="BL200" s="70">
        <f t="shared" si="1552"/>
        <v>33.773725344250096</v>
      </c>
      <c r="BM200" s="70">
        <f t="shared" si="1552"/>
        <v>21.534103922722771</v>
      </c>
      <c r="BN200" s="70">
        <f t="shared" si="1552"/>
        <v>58.823176915276107</v>
      </c>
      <c r="BO200" s="70">
        <f t="shared" si="1552"/>
        <v>108.5358926425059</v>
      </c>
      <c r="BP200" s="70">
        <f t="shared" si="1552"/>
        <v>109.84818218138233</v>
      </c>
      <c r="BQ200" s="70">
        <f t="shared" si="1552"/>
        <v>78.393416626186166</v>
      </c>
      <c r="BR200" s="70">
        <f t="shared" si="1552"/>
        <v>61.355331521178144</v>
      </c>
      <c r="BS200" s="70">
        <f t="shared" si="1552"/>
        <v>128.87005516931586</v>
      </c>
      <c r="BT200" s="70">
        <f t="shared" si="1552"/>
        <v>141.72842705364084</v>
      </c>
      <c r="BU200" s="70">
        <f t="shared" si="1552"/>
        <v>82.477885900072209</v>
      </c>
      <c r="BV200" s="70">
        <f t="shared" si="1552"/>
        <v>24.28761052473827</v>
      </c>
      <c r="BW200" s="70">
        <f t="shared" si="1552"/>
        <v>41.03983646337889</v>
      </c>
      <c r="BX200" s="70">
        <f t="shared" si="1552"/>
        <v>36.772670807453416</v>
      </c>
      <c r="BY200" s="70">
        <f t="shared" si="1552"/>
        <v>35.239979106170985</v>
      </c>
      <c r="BZ200" s="70">
        <f t="shared" si="1552"/>
        <v>23.331366240886332</v>
      </c>
      <c r="CA200" s="70">
        <f t="shared" si="1552"/>
        <v>19.021453596040985</v>
      </c>
      <c r="CB200" s="70">
        <f t="shared" si="1552"/>
        <v>49.252940202087132</v>
      </c>
      <c r="CC200" s="70">
        <f t="shared" si="1552"/>
        <v>45.557428977269751</v>
      </c>
      <c r="CD200" s="70">
        <f t="shared" si="1552"/>
        <v>86.68326907880558</v>
      </c>
      <c r="CE200" s="115">
        <f>CE171/CE25*90</f>
        <v>72.363683205875319</v>
      </c>
      <c r="CF200" s="70">
        <f>CF171/CF23*90</f>
        <v>70.535262206148289</v>
      </c>
      <c r="CG200" s="70">
        <f>CG171/CG25*90</f>
        <v>76.423109409554186</v>
      </c>
      <c r="CH200" s="70">
        <f>CH171/CH23*90</f>
        <v>57.899920829865401</v>
      </c>
      <c r="CI200" s="70">
        <f>CI198+CI199</f>
        <v>57.899920829865401</v>
      </c>
      <c r="CJ200" s="70">
        <f>CJ171/CJ23*90</f>
        <v>56.145656645855141</v>
      </c>
      <c r="CK200" s="50">
        <f t="shared" ref="CK200:DB200" si="1553">CK198+CK199</f>
        <v>56.145656645855141</v>
      </c>
      <c r="CL200" s="70">
        <f>CL171/CL23*90</f>
        <v>52.425500579701065</v>
      </c>
      <c r="CM200" s="50">
        <f t="shared" si="1553"/>
        <v>52.425500579701065</v>
      </c>
      <c r="CN200" s="50">
        <f t="shared" si="1553"/>
        <v>52.425500579701065</v>
      </c>
      <c r="CO200" s="50">
        <f t="shared" si="1553"/>
        <v>52.425500579701065</v>
      </c>
      <c r="CP200" s="50">
        <f t="shared" si="1553"/>
        <v>52.425500579701065</v>
      </c>
      <c r="CQ200" s="50">
        <f t="shared" si="1553"/>
        <v>52.425500579701065</v>
      </c>
      <c r="CR200" s="50">
        <f t="shared" si="1553"/>
        <v>52.425500579701065</v>
      </c>
      <c r="CS200" s="50">
        <f t="shared" si="1553"/>
        <v>52.425500579701065</v>
      </c>
      <c r="CT200" s="50">
        <f t="shared" si="1553"/>
        <v>52.425500579701065</v>
      </c>
      <c r="CU200" s="50">
        <f t="shared" si="1553"/>
        <v>52.425500579701065</v>
      </c>
      <c r="CV200" s="50">
        <f t="shared" si="1553"/>
        <v>52.425500579701065</v>
      </c>
      <c r="CW200" s="50">
        <f t="shared" si="1553"/>
        <v>52.425500579701065</v>
      </c>
      <c r="CX200" s="50">
        <f t="shared" si="1553"/>
        <v>52.425500579701065</v>
      </c>
      <c r="CY200" s="50">
        <f t="shared" si="1553"/>
        <v>52.425500579701065</v>
      </c>
      <c r="CZ200" s="50">
        <f t="shared" si="1553"/>
        <v>52.425500579701065</v>
      </c>
      <c r="DA200" s="50">
        <f t="shared" si="1553"/>
        <v>52.425500579701065</v>
      </c>
      <c r="DB200" s="50">
        <f t="shared" si="1553"/>
        <v>52.425500579701065</v>
      </c>
      <c r="DE200" s="138"/>
      <c r="DF200" s="7">
        <v>60.888196416793427</v>
      </c>
    </row>
    <row r="201" spans="1:110" s="7" customFormat="1" x14ac:dyDescent="0.2">
      <c r="A201" s="69" t="s">
        <v>470</v>
      </c>
      <c r="B201" s="70">
        <f>B197-B200</f>
        <v>265.89847468392782</v>
      </c>
      <c r="C201" s="70">
        <f t="shared" ref="C201:V201" si="1554">C197-C200</f>
        <v>260.88375344757765</v>
      </c>
      <c r="D201" s="70">
        <f t="shared" si="1554"/>
        <v>257.04583452577867</v>
      </c>
      <c r="E201" s="70">
        <f t="shared" si="1554"/>
        <v>201.42448570527856</v>
      </c>
      <c r="F201" s="70">
        <f t="shared" si="1554"/>
        <v>184.56290562637577</v>
      </c>
      <c r="G201" s="70">
        <f t="shared" si="1554"/>
        <v>32.180425059344117</v>
      </c>
      <c r="H201" s="70">
        <f t="shared" si="1554"/>
        <v>70.673123183157898</v>
      </c>
      <c r="I201" s="70">
        <f t="shared" si="1554"/>
        <v>90.614457284234007</v>
      </c>
      <c r="J201" s="70">
        <f t="shared" si="1554"/>
        <v>117.97581925623477</v>
      </c>
      <c r="K201" s="70">
        <f t="shared" si="1554"/>
        <v>146.3233385006798</v>
      </c>
      <c r="L201" s="70">
        <f t="shared" si="1554"/>
        <v>153.88268621744717</v>
      </c>
      <c r="M201" s="70">
        <f t="shared" si="1554"/>
        <v>128.30929824032862</v>
      </c>
      <c r="N201" s="70">
        <f t="shared" si="1554"/>
        <v>74.738437383935178</v>
      </c>
      <c r="O201" s="70">
        <f t="shared" si="1554"/>
        <v>402.28806966121959</v>
      </c>
      <c r="P201" s="70">
        <f t="shared" si="1554"/>
        <v>202.63023695681983</v>
      </c>
      <c r="Q201" s="70">
        <f t="shared" si="1554"/>
        <v>201.2097649712353</v>
      </c>
      <c r="R201" s="70">
        <f t="shared" si="1554"/>
        <v>186.36160738398766</v>
      </c>
      <c r="S201" s="70">
        <f t="shared" si="1554"/>
        <v>89.567144115098841</v>
      </c>
      <c r="T201" s="70">
        <f t="shared" si="1554"/>
        <v>138.66234945196683</v>
      </c>
      <c r="U201" s="70">
        <f t="shared" si="1554"/>
        <v>189.41338948665231</v>
      </c>
      <c r="V201" s="70">
        <f t="shared" si="1554"/>
        <v>30.756440335702862</v>
      </c>
      <c r="W201" s="70">
        <f t="shared" ref="W201" si="1555">W197-W200</f>
        <v>194.99751069053963</v>
      </c>
      <c r="X201" s="70">
        <f t="shared" ref="X201:Y201" si="1556">X197-X200</f>
        <v>200.59223505853444</v>
      </c>
      <c r="Y201" s="70">
        <f t="shared" si="1556"/>
        <v>138.92842195886607</v>
      </c>
      <c r="Z201" s="70">
        <f t="shared" ref="Z201:AA201" si="1557">Z197-Z200</f>
        <v>173.11222589657828</v>
      </c>
      <c r="AA201" s="70">
        <f t="shared" ref="AA201" si="1558">AA197-AA200</f>
        <v>247.70556237438325</v>
      </c>
      <c r="AB201" s="71">
        <f t="shared" ref="AB201:AD201" si="1559">AB197-AB200</f>
        <v>287.48506395467808</v>
      </c>
      <c r="AC201" s="71">
        <f t="shared" si="1559"/>
        <v>287.42704647306692</v>
      </c>
      <c r="AD201" s="71">
        <f t="shared" si="1559"/>
        <v>287.37151896778653</v>
      </c>
      <c r="AE201" s="71">
        <f t="shared" ref="AE201" si="1560">AE197-AE200</f>
        <v>287.31837591999158</v>
      </c>
      <c r="AI201" s="70">
        <f t="shared" ref="AI201:AK201" si="1561">AI197-AI200</f>
        <v>0</v>
      </c>
      <c r="AJ201" s="70">
        <f t="shared" ref="AJ201:AM201" si="1562">AJ197-AJ200</f>
        <v>547.49727173517635</v>
      </c>
      <c r="AK201" s="70">
        <f t="shared" si="1561"/>
        <v>518.84868573897813</v>
      </c>
      <c r="AL201" s="70">
        <f t="shared" si="1562"/>
        <v>33.704035176466007</v>
      </c>
      <c r="AM201" s="70">
        <f t="shared" si="1562"/>
        <v>-85.247496489896577</v>
      </c>
      <c r="AN201" s="70">
        <f t="shared" ref="AN201:AY201" si="1563">AN197-AN200</f>
        <v>255.38690476190482</v>
      </c>
      <c r="AO201" s="70">
        <f t="shared" si="1563"/>
        <v>244.35727496917389</v>
      </c>
      <c r="AP201" s="70">
        <f t="shared" si="1563"/>
        <v>405.98265895953767</v>
      </c>
      <c r="AQ201" s="70">
        <f t="shared" si="1563"/>
        <v>416.30218443653092</v>
      </c>
      <c r="AR201" s="70">
        <f t="shared" si="1563"/>
        <v>146.85312651478429</v>
      </c>
      <c r="AS201" s="70">
        <f t="shared" si="1563"/>
        <v>158.52564009810376</v>
      </c>
      <c r="AT201" s="70">
        <f t="shared" si="1563"/>
        <v>287.05868433506862</v>
      </c>
      <c r="AU201" s="70">
        <f t="shared" si="1563"/>
        <v>283.43243855786153</v>
      </c>
      <c r="AV201" s="70">
        <f t="shared" si="1563"/>
        <v>421.02210663198963</v>
      </c>
      <c r="AW201" s="70">
        <f t="shared" si="1563"/>
        <v>420.8902284922587</v>
      </c>
      <c r="AX201" s="70">
        <f t="shared" si="1563"/>
        <v>94.822523272534596</v>
      </c>
      <c r="AY201" s="70">
        <f t="shared" si="1563"/>
        <v>79.316726320723333</v>
      </c>
      <c r="AZ201" s="70">
        <f t="shared" ref="AZ201:BC201" si="1564">AZ197-AZ200</f>
        <v>169.3243761996161</v>
      </c>
      <c r="BA201" s="70">
        <f t="shared" si="1564"/>
        <v>165.75672379528814</v>
      </c>
      <c r="BB201" s="70">
        <f t="shared" si="1564"/>
        <v>147.89203333979452</v>
      </c>
      <c r="BC201" s="70">
        <f t="shared" si="1564"/>
        <v>143.78353337740819</v>
      </c>
      <c r="BD201" s="70">
        <f t="shared" ref="BD201:CE201" si="1565">BD197-BD200</f>
        <v>155.73068357032722</v>
      </c>
      <c r="BE201" s="70">
        <f t="shared" si="1565"/>
        <v>163.37249708249507</v>
      </c>
      <c r="BF201" s="70">
        <f t="shared" si="1565"/>
        <v>95.529527282928882</v>
      </c>
      <c r="BG201" s="70">
        <f t="shared" si="1565"/>
        <v>97.247426054814312</v>
      </c>
      <c r="BH201" s="70">
        <f t="shared" si="1565"/>
        <v>93.045851528384304</v>
      </c>
      <c r="BI201" s="70">
        <f t="shared" si="1565"/>
        <v>92.975162790981614</v>
      </c>
      <c r="BJ201" s="70">
        <f t="shared" si="1565"/>
        <v>138.75518098922353</v>
      </c>
      <c r="BK201" s="70">
        <f t="shared" si="1565"/>
        <v>142.00940416655334</v>
      </c>
      <c r="BL201" s="70">
        <f t="shared" si="1565"/>
        <v>200.20841086713807</v>
      </c>
      <c r="BM201" s="70">
        <f t="shared" si="1565"/>
        <v>191.69857507131266</v>
      </c>
      <c r="BN201" s="70">
        <f t="shared" si="1565"/>
        <v>139.40167788328569</v>
      </c>
      <c r="BO201" s="70">
        <f t="shared" si="1565"/>
        <v>141.0436741176029</v>
      </c>
      <c r="BP201" s="70">
        <f t="shared" si="1565"/>
        <v>193.38314023172191</v>
      </c>
      <c r="BQ201" s="70">
        <f t="shared" si="1565"/>
        <v>177.32372894632334</v>
      </c>
      <c r="BR201" s="70">
        <f t="shared" si="1565"/>
        <v>30.49031414513297</v>
      </c>
      <c r="BS201" s="70">
        <f t="shared" si="1565"/>
        <v>11.547383984272386</v>
      </c>
      <c r="BT201" s="70">
        <f t="shared" si="1565"/>
        <v>180.12827157294632</v>
      </c>
      <c r="BU201" s="70">
        <f t="shared" si="1565"/>
        <v>186.46715984491905</v>
      </c>
      <c r="BV201" s="70">
        <f t="shared" si="1565"/>
        <v>122.52670791496284</v>
      </c>
      <c r="BW201" s="70">
        <f t="shared" si="1565"/>
        <v>138.53276360841653</v>
      </c>
      <c r="BX201" s="70">
        <f t="shared" si="1565"/>
        <v>215.29192546583849</v>
      </c>
      <c r="BY201" s="70">
        <f t="shared" si="1565"/>
        <v>212.44638494232134</v>
      </c>
      <c r="BZ201" s="70">
        <f t="shared" si="1565"/>
        <v>165.48514210656566</v>
      </c>
      <c r="CA201" s="70">
        <f t="shared" si="1565"/>
        <v>159.28196826108353</v>
      </c>
      <c r="CB201" s="70">
        <f t="shared" si="1565"/>
        <v>165.34702666887526</v>
      </c>
      <c r="CC201" s="70">
        <f t="shared" si="1565"/>
        <v>165.40835601443854</v>
      </c>
      <c r="CD201" s="70">
        <f t="shared" si="1565"/>
        <v>217.31160652283231</v>
      </c>
      <c r="CE201" s="115">
        <f t="shared" si="1565"/>
        <v>218.78671044215292</v>
      </c>
      <c r="CF201" s="70">
        <f t="shared" ref="CF201:CG201" si="1566">CF197-CF200</f>
        <v>146.15060707827433</v>
      </c>
      <c r="CG201" s="70">
        <f t="shared" si="1566"/>
        <v>144.0023774465509</v>
      </c>
      <c r="CH201" s="70">
        <f t="shared" ref="CH201:CI201" si="1567">CH197-CH200</f>
        <v>239.18065000710496</v>
      </c>
      <c r="CI201" s="70">
        <f t="shared" si="1567"/>
        <v>239.18065000710496</v>
      </c>
      <c r="CJ201" s="70">
        <f t="shared" ref="CJ201:DB201" si="1568">CJ197-CJ200</f>
        <v>252.83572124580456</v>
      </c>
      <c r="CK201" s="50">
        <f t="shared" si="1568"/>
        <v>252.83572124580456</v>
      </c>
      <c r="CL201" s="70">
        <f t="shared" ref="CL201" si="1569">CL197-CL200</f>
        <v>246.05959953623909</v>
      </c>
      <c r="CM201" s="50">
        <f t="shared" si="1568"/>
        <v>246.05959953623909</v>
      </c>
      <c r="CN201" s="50">
        <f t="shared" si="1568"/>
        <v>246.05959953623909</v>
      </c>
      <c r="CO201" s="50">
        <f t="shared" si="1568"/>
        <v>246.05959953623909</v>
      </c>
      <c r="CP201" s="50">
        <f t="shared" si="1568"/>
        <v>246.05959953623909</v>
      </c>
      <c r="CQ201" s="50">
        <f t="shared" si="1568"/>
        <v>246.05959953623909</v>
      </c>
      <c r="CR201" s="50">
        <f t="shared" si="1568"/>
        <v>246.05959953623909</v>
      </c>
      <c r="CS201" s="50">
        <f t="shared" si="1568"/>
        <v>246.05959953623909</v>
      </c>
      <c r="CT201" s="50">
        <f t="shared" si="1568"/>
        <v>246.05959953623909</v>
      </c>
      <c r="CU201" s="50">
        <f t="shared" si="1568"/>
        <v>246.05959953623909</v>
      </c>
      <c r="CV201" s="50">
        <f t="shared" si="1568"/>
        <v>246.05959953623909</v>
      </c>
      <c r="CW201" s="50">
        <f t="shared" si="1568"/>
        <v>246.05959953623909</v>
      </c>
      <c r="CX201" s="50">
        <f t="shared" si="1568"/>
        <v>246.05959953623909</v>
      </c>
      <c r="CY201" s="50">
        <f t="shared" si="1568"/>
        <v>246.05959953623909</v>
      </c>
      <c r="CZ201" s="50">
        <f t="shared" si="1568"/>
        <v>246.05959953623909</v>
      </c>
      <c r="DA201" s="50">
        <f t="shared" si="1568"/>
        <v>246.05959953623909</v>
      </c>
      <c r="DB201" s="50">
        <f t="shared" si="1568"/>
        <v>246.05959953623909</v>
      </c>
      <c r="DE201" s="138"/>
      <c r="DF201" s="7">
        <v>285.77934518761799</v>
      </c>
    </row>
    <row r="202" spans="1:110" s="7" customFormat="1" x14ac:dyDescent="0.2">
      <c r="A202" s="69" t="s">
        <v>86</v>
      </c>
      <c r="AB202" s="77"/>
      <c r="AC202" s="77"/>
      <c r="AD202" s="77"/>
      <c r="AE202" s="77"/>
      <c r="CE202" s="115"/>
      <c r="CG202" s="115"/>
      <c r="CK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E202" s="138"/>
    </row>
    <row r="203" spans="1:110" s="86" customFormat="1" x14ac:dyDescent="0.2">
      <c r="A203" s="86" t="s">
        <v>440</v>
      </c>
      <c r="C203" s="86">
        <f t="shared" ref="C203:Y203" si="1570">C25/B25-1</f>
        <v>-0.56008102136869231</v>
      </c>
      <c r="D203" s="86">
        <f t="shared" si="1570"/>
        <v>-0.14569676302255419</v>
      </c>
      <c r="E203" s="86">
        <f t="shared" si="1570"/>
        <v>0.5831263582210624</v>
      </c>
      <c r="F203" s="86">
        <f t="shared" si="1570"/>
        <v>0.26546917133228942</v>
      </c>
      <c r="G203" s="86">
        <f t="shared" si="1570"/>
        <v>0.3675567010767562</v>
      </c>
      <c r="H203" s="86">
        <f t="shared" si="1570"/>
        <v>0.40482908874696988</v>
      </c>
      <c r="I203" s="86">
        <f t="shared" si="1570"/>
        <v>6.153192389313844E-2</v>
      </c>
      <c r="J203" s="86">
        <f t="shared" si="1570"/>
        <v>7.0959229093036758E-2</v>
      </c>
      <c r="K203" s="86">
        <f t="shared" si="1570"/>
        <v>-0.16318937247790477</v>
      </c>
      <c r="L203" s="86">
        <f t="shared" si="1570"/>
        <v>3.3290122297063407E-2</v>
      </c>
      <c r="M203" s="86">
        <f t="shared" si="1570"/>
        <v>0.16857072006246621</v>
      </c>
      <c r="N203" s="86">
        <f t="shared" si="1570"/>
        <v>0.65089140624563346</v>
      </c>
      <c r="O203" s="86">
        <f t="shared" si="1570"/>
        <v>-0.69716904812902347</v>
      </c>
      <c r="P203" s="86">
        <f t="shared" si="1570"/>
        <v>0.94401080297513484</v>
      </c>
      <c r="Q203" s="86">
        <f t="shared" si="1570"/>
        <v>-2.5774366764291345E-2</v>
      </c>
      <c r="R203" s="86">
        <f t="shared" si="1570"/>
        <v>0.36363695380278549</v>
      </c>
      <c r="S203" s="86">
        <f t="shared" si="1570"/>
        <v>0.53907941354299238</v>
      </c>
      <c r="T203" s="86">
        <f t="shared" si="1570"/>
        <v>-2.2882470947904743E-2</v>
      </c>
      <c r="U203" s="86">
        <f t="shared" si="1570"/>
        <v>2.7876636832049106E-2</v>
      </c>
      <c r="V203" s="86">
        <f t="shared" si="1570"/>
        <v>0.4964761094366954</v>
      </c>
      <c r="W203" s="86">
        <f t="shared" si="1570"/>
        <v>0.35082243616144959</v>
      </c>
      <c r="X203" s="86">
        <f t="shared" si="1570"/>
        <v>0.47161457216767411</v>
      </c>
      <c r="Y203" s="86">
        <f t="shared" si="1570"/>
        <v>0.45267337040655575</v>
      </c>
      <c r="Z203" s="86">
        <f>Z25/Y25-1</f>
        <v>0.11035134400335167</v>
      </c>
      <c r="AA203" s="86">
        <f>AA25/Z25-1</f>
        <v>-0.1053835365369038</v>
      </c>
      <c r="AB203" s="87">
        <f t="shared" ref="AB203:AE203" si="1571">AB25/AA25-1</f>
        <v>0.16240180479951771</v>
      </c>
      <c r="AC203" s="87">
        <f t="shared" si="1571"/>
        <v>0.14965573421699552</v>
      </c>
      <c r="AD203" s="87">
        <f t="shared" si="1571"/>
        <v>0.14967060368592611</v>
      </c>
      <c r="AE203" s="87">
        <f t="shared" si="1571"/>
        <v>0.14968483499158847</v>
      </c>
      <c r="AN203" s="86">
        <f t="shared" ref="AN203:CI203" si="1572">+(AN25+AM25)/(AJ25+AI25)-1</f>
        <v>-0.30918339290624142</v>
      </c>
      <c r="AO203" s="86">
        <f t="shared" si="1572"/>
        <v>-0.37986323980193359</v>
      </c>
      <c r="AP203" s="86">
        <f t="shared" si="1572"/>
        <v>-0.77630140442351359</v>
      </c>
      <c r="AQ203" s="86">
        <f t="shared" si="1572"/>
        <v>-0.7329963898916968</v>
      </c>
      <c r="AR203" s="86">
        <f t="shared" si="1572"/>
        <v>1.9048756218905472</v>
      </c>
      <c r="AS203" s="86">
        <f t="shared" si="1572"/>
        <v>1.1225602027883399</v>
      </c>
      <c r="AT203" s="86">
        <f t="shared" si="1572"/>
        <v>0.33558897243107788</v>
      </c>
      <c r="AU203" s="86">
        <f t="shared" si="1572"/>
        <v>7.4229313142239128E-2</v>
      </c>
      <c r="AV203" s="86">
        <f t="shared" si="1572"/>
        <v>-0.48181133109543051</v>
      </c>
      <c r="AW203" s="86">
        <f t="shared" si="1572"/>
        <v>-0.54224637248462404</v>
      </c>
      <c r="AX203" s="86">
        <f t="shared" si="1572"/>
        <v>0.5982360668042781</v>
      </c>
      <c r="AY203" s="86">
        <f t="shared" si="1572"/>
        <v>1.6546255506607932</v>
      </c>
      <c r="AZ203" s="86">
        <f t="shared" si="1572"/>
        <v>1.0158646218931784</v>
      </c>
      <c r="BA203" s="86">
        <f t="shared" si="1572"/>
        <v>1.0439603443777719</v>
      </c>
      <c r="BB203" s="86">
        <f t="shared" si="1572"/>
        <v>7.6670189033697378E-2</v>
      </c>
      <c r="BC203" s="86">
        <f t="shared" si="1572"/>
        <v>-7.4202266369541525E-2</v>
      </c>
      <c r="BD203" s="86">
        <f t="shared" si="1572"/>
        <v>0.38765739769150032</v>
      </c>
      <c r="BE203" s="86">
        <f t="shared" si="1572"/>
        <v>0.79079711532324959</v>
      </c>
      <c r="BF203" s="86">
        <f t="shared" si="1572"/>
        <v>0.67088331515812416</v>
      </c>
      <c r="BG203" s="86">
        <f t="shared" si="1572"/>
        <v>0.35409197992420349</v>
      </c>
      <c r="BH203" s="86">
        <f t="shared" si="1572"/>
        <v>5.1940072782267865E-2</v>
      </c>
      <c r="BI203" s="86">
        <f t="shared" si="1572"/>
        <v>-0.14034212401995716</v>
      </c>
      <c r="BJ203" s="86">
        <f t="shared" si="1572"/>
        <v>-6.924683461689074E-2</v>
      </c>
      <c r="BK203" s="86">
        <f t="shared" si="1572"/>
        <v>-0.12401664145234481</v>
      </c>
      <c r="BL203" s="86">
        <f t="shared" si="1572"/>
        <v>-0.24764129751100727</v>
      </c>
      <c r="BM203" s="86">
        <f t="shared" si="1572"/>
        <v>-0.10699776137965344</v>
      </c>
      <c r="BN203" s="86">
        <f t="shared" si="1572"/>
        <v>0.23322347661454312</v>
      </c>
      <c r="BO203" s="86">
        <f t="shared" si="1572"/>
        <v>0.41720996502741658</v>
      </c>
      <c r="BP203" s="86">
        <f t="shared" si="1572"/>
        <v>0.41197898005493849</v>
      </c>
      <c r="BQ203" s="86">
        <f t="shared" si="1572"/>
        <v>0.74095910124878106</v>
      </c>
      <c r="BR203" s="86">
        <f t="shared" si="1572"/>
        <v>0.53664638653550911</v>
      </c>
      <c r="BS203" s="86">
        <f t="shared" si="1572"/>
        <v>0.30328418230563003</v>
      </c>
      <c r="BT203" s="86">
        <f t="shared" si="1572"/>
        <v>0.2329033622330301</v>
      </c>
      <c r="BU203" s="86">
        <f t="shared" si="1572"/>
        <v>0.18737667324409379</v>
      </c>
      <c r="BV203" s="86">
        <f t="shared" si="1572"/>
        <v>0.40244218316373748</v>
      </c>
      <c r="BW203" s="86">
        <f t="shared" si="1572"/>
        <v>0.72276116786273681</v>
      </c>
      <c r="BX203" s="86">
        <f t="shared" si="1572"/>
        <v>1.1684275521405048</v>
      </c>
      <c r="BY203" s="86">
        <f t="shared" si="1572"/>
        <v>0.6827236183161538</v>
      </c>
      <c r="BZ203" s="86">
        <f t="shared" si="1572"/>
        <v>0.20360940344581913</v>
      </c>
      <c r="CA203" s="86">
        <f t="shared" si="1572"/>
        <v>0.64833509728893546</v>
      </c>
      <c r="CB203" s="86">
        <f t="shared" si="1572"/>
        <v>0.95021672414338587</v>
      </c>
      <c r="CC203" s="86">
        <f t="shared" si="1572"/>
        <v>0.51685573201654855</v>
      </c>
      <c r="CD203" s="86">
        <f t="shared" si="1572"/>
        <v>0.10796176947696101</v>
      </c>
      <c r="CE203" s="86">
        <f t="shared" si="1572"/>
        <v>-0.23011384683772484</v>
      </c>
      <c r="CF203" s="86">
        <f t="shared" si="1572"/>
        <v>4.7882479863077032E-2</v>
      </c>
      <c r="CG203" s="86">
        <f t="shared" si="1572"/>
        <v>0.30304070105052006</v>
      </c>
      <c r="CH203" s="86">
        <f t="shared" si="1572"/>
        <v>0.18653423817343651</v>
      </c>
      <c r="CI203" s="86">
        <f t="shared" si="1572"/>
        <v>8.1785618818497774E-2</v>
      </c>
      <c r="CJ203" s="86">
        <f>+(CJ25+CI25)/(CF25+CE25)-1</f>
        <v>-0.16916181570473132</v>
      </c>
      <c r="CK203" s="87"/>
      <c r="CL203" s="86">
        <f>+(CL25+CK25)/(CH25+CG25)-1</f>
        <v>-3.6684397458771834E-2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  <c r="DF203" s="86">
        <v>-0.10538112811900147</v>
      </c>
    </row>
    <row r="204" spans="1:110" s="86" customFormat="1" x14ac:dyDescent="0.2">
      <c r="A204" s="86" t="s">
        <v>441</v>
      </c>
      <c r="C204" s="86">
        <f t="shared" ref="C204" si="1573">C201/B201-1</f>
        <v>-1.8859533670928852E-2</v>
      </c>
      <c r="D204" s="86">
        <f t="shared" ref="D204" si="1574">D201/C201-1</f>
        <v>-1.471122241642453E-2</v>
      </c>
      <c r="E204" s="86">
        <f>E201/D201-1</f>
        <v>-0.21638689038908332</v>
      </c>
      <c r="F204" s="86">
        <f t="shared" ref="F204" si="1575">F201/E201-1</f>
        <v>-8.3711670008056571E-2</v>
      </c>
      <c r="G204" s="86">
        <f t="shared" ref="G204" si="1576">G201/F201-1</f>
        <v>-0.82563980042398488</v>
      </c>
      <c r="H204" s="86">
        <f t="shared" ref="H204" si="1577">H201/G201-1</f>
        <v>1.1961525695459012</v>
      </c>
      <c r="I204" s="86">
        <f t="shared" ref="I204" si="1578">I201/H201-1</f>
        <v>0.28216291006972694</v>
      </c>
      <c r="J204" s="86">
        <f t="shared" ref="J204" si="1579">J201/I201-1</f>
        <v>0.30195360422647877</v>
      </c>
      <c r="K204" s="86">
        <f>K201/J201-1</f>
        <v>0.24028245299044126</v>
      </c>
      <c r="L204" s="86">
        <f t="shared" ref="L204" si="1580">L201/K201-1</f>
        <v>5.1661941247549192E-2</v>
      </c>
      <c r="M204" s="86">
        <f t="shared" ref="M204" si="1581">M201/L201-1</f>
        <v>-0.16618755888483483</v>
      </c>
      <c r="N204" s="86">
        <f t="shared" ref="N204" si="1582">N201/M201-1</f>
        <v>-0.4175134740122497</v>
      </c>
      <c r="O204" s="86">
        <f t="shared" ref="O204" si="1583">O201/N201-1</f>
        <v>4.3826127992835229</v>
      </c>
      <c r="P204" s="86">
        <f t="shared" ref="P204" si="1584">P201/O201-1</f>
        <v>-0.49630562714061688</v>
      </c>
      <c r="Q204" s="86">
        <f t="shared" ref="Q204" si="1585">Q201/P201-1</f>
        <v>-7.0101679143139695E-3</v>
      </c>
      <c r="R204" s="86">
        <f t="shared" ref="R204" si="1586">R201/Q201-1</f>
        <v>-7.3794418423829056E-2</v>
      </c>
      <c r="S204" s="86">
        <f t="shared" ref="S204" si="1587">S201/R201-1</f>
        <v>-0.51939057957065826</v>
      </c>
      <c r="T204" s="86">
        <f t="shared" ref="T204" si="1588">T201/S201-1</f>
        <v>0.54813855931118982</v>
      </c>
      <c r="U204" s="86">
        <f t="shared" ref="U204" si="1589">U201/T201-1</f>
        <v>0.36600447226855781</v>
      </c>
      <c r="V204" s="86">
        <f t="shared" ref="V204" si="1590">V201/U201-1</f>
        <v>-0.8376226706091956</v>
      </c>
      <c r="W204" s="86">
        <f t="shared" ref="W204:AA204" si="1591">W201/V201-1</f>
        <v>5.3400545889629996</v>
      </c>
      <c r="X204" s="86">
        <f t="shared" si="1591"/>
        <v>2.8691260458568735E-2</v>
      </c>
      <c r="Y204" s="86">
        <f t="shared" si="1591"/>
        <v>-0.30740877423133739</v>
      </c>
      <c r="Z204" s="86">
        <f t="shared" si="1591"/>
        <v>0.24605335219191771</v>
      </c>
      <c r="AA204" s="86">
        <f t="shared" si="1591"/>
        <v>0.43089583125324116</v>
      </c>
      <c r="AB204" s="87">
        <f t="shared" ref="AB204" si="1592">AB201/AA201-1</f>
        <v>0.16059187851491163</v>
      </c>
      <c r="AC204" s="87">
        <f t="shared" ref="AC204" si="1593">AC201/AB201-1</f>
        <v>-2.018104203852511E-4</v>
      </c>
      <c r="AD204" s="87">
        <f t="shared" ref="AD204" si="1594">AD201/AC201-1</f>
        <v>-1.9318817056979132E-4</v>
      </c>
      <c r="AE204" s="87">
        <f t="shared" ref="AE204" si="1595">AE201/AD201-1</f>
        <v>-1.8492802622138704E-4</v>
      </c>
      <c r="AN204" s="86">
        <f t="shared" ref="AN204:CI204" si="1596">+AN201/AJ201-1</f>
        <v>-0.5335375755343762</v>
      </c>
      <c r="AO204" s="86">
        <f t="shared" si="1596"/>
        <v>-0.52903942577951346</v>
      </c>
      <c r="AP204" s="86">
        <f t="shared" si="1596"/>
        <v>11.045520865199455</v>
      </c>
      <c r="AQ204" s="86">
        <f t="shared" si="1596"/>
        <v>-5.8834534922192177</v>
      </c>
      <c r="AR204" s="86">
        <f t="shared" si="1596"/>
        <v>-0.42497785212717032</v>
      </c>
      <c r="AS204" s="86">
        <f t="shared" si="1596"/>
        <v>-0.35125467364087248</v>
      </c>
      <c r="AT204" s="86">
        <f t="shared" si="1596"/>
        <v>-0.29292870520443004</v>
      </c>
      <c r="AU204" s="86">
        <f t="shared" si="1596"/>
        <v>-0.31916658342427362</v>
      </c>
      <c r="AV204" s="86">
        <f t="shared" si="1596"/>
        <v>1.8669604565048443</v>
      </c>
      <c r="AW204" s="86">
        <f t="shared" si="1596"/>
        <v>1.6550293582274156</v>
      </c>
      <c r="AX204" s="86">
        <f t="shared" si="1596"/>
        <v>-0.66967547596695165</v>
      </c>
      <c r="AY204" s="86">
        <f t="shared" si="1596"/>
        <v>-0.72015649752619559</v>
      </c>
      <c r="AZ204" s="86">
        <f t="shared" si="1596"/>
        <v>-0.59782545017850919</v>
      </c>
      <c r="BA204" s="86">
        <f t="shared" si="1596"/>
        <v>-0.60617588013607959</v>
      </c>
      <c r="BB204" s="86">
        <f t="shared" si="1596"/>
        <v>0.55967198757968029</v>
      </c>
      <c r="BC204" s="86">
        <f t="shared" si="1596"/>
        <v>0.8127769519383381</v>
      </c>
      <c r="BD204" s="86">
        <f t="shared" si="1596"/>
        <v>-8.0281959009040227E-2</v>
      </c>
      <c r="BE204" s="86">
        <f t="shared" si="1596"/>
        <v>-1.4383891393374926E-2</v>
      </c>
      <c r="BF204" s="86">
        <f t="shared" si="1596"/>
        <v>-0.35405900422342784</v>
      </c>
      <c r="BG204" s="86">
        <f t="shared" si="1596"/>
        <v>-0.32365394165439121</v>
      </c>
      <c r="BH204" s="86">
        <f t="shared" si="1596"/>
        <v>-0.40252075316701952</v>
      </c>
      <c r="BI204" s="86">
        <f t="shared" si="1596"/>
        <v>-0.43090076695079382</v>
      </c>
      <c r="BJ204" s="86">
        <f t="shared" si="1596"/>
        <v>0.45248474409669859</v>
      </c>
      <c r="BK204" s="86">
        <f t="shared" si="1596"/>
        <v>0.46028959251331303</v>
      </c>
      <c r="BL204" s="86">
        <f t="shared" si="1596"/>
        <v>1.1517177561222391</v>
      </c>
      <c r="BM204" s="86">
        <f t="shared" si="1596"/>
        <v>1.0618256458692321</v>
      </c>
      <c r="BN204" s="86">
        <f t="shared" si="1596"/>
        <v>4.6592630952813074E-3</v>
      </c>
      <c r="BO204" s="86">
        <f t="shared" si="1596"/>
        <v>-6.8004654664827191E-3</v>
      </c>
      <c r="BP204" s="86">
        <f t="shared" si="1596"/>
        <v>-3.4090828681246244E-2</v>
      </c>
      <c r="BQ204" s="86">
        <f t="shared" si="1596"/>
        <v>-7.4986713488307433E-2</v>
      </c>
      <c r="BR204" s="86">
        <f t="shared" si="1596"/>
        <v>-0.78127728010088204</v>
      </c>
      <c r="BS204" s="86">
        <f t="shared" si="1596"/>
        <v>-0.91812901885522269</v>
      </c>
      <c r="BT204" s="86">
        <f t="shared" si="1596"/>
        <v>-6.8542007555016937E-2</v>
      </c>
      <c r="BU204" s="86">
        <f t="shared" si="1596"/>
        <v>5.1563493238761415E-2</v>
      </c>
      <c r="BV204" s="86">
        <f t="shared" si="1596"/>
        <v>3.018545277419558</v>
      </c>
      <c r="BW204" s="86">
        <f t="shared" si="1596"/>
        <v>10.996895902751573</v>
      </c>
      <c r="BX204" s="86">
        <f t="shared" si="1596"/>
        <v>0.19521451899710263</v>
      </c>
      <c r="BY204" s="86">
        <f t="shared" si="1596"/>
        <v>0.13932332706203443</v>
      </c>
      <c r="BZ204" s="86">
        <f t="shared" si="1596"/>
        <v>0.35060465528395035</v>
      </c>
      <c r="CA204" s="86">
        <f t="shared" si="1596"/>
        <v>0.14977832039298455</v>
      </c>
      <c r="CB204" s="86">
        <f t="shared" si="1596"/>
        <v>-0.23198686475999886</v>
      </c>
      <c r="CC204" s="86">
        <f t="shared" si="1596"/>
        <v>-0.22141129368077272</v>
      </c>
      <c r="CD204" s="86">
        <f t="shared" si="1596"/>
        <v>0.31317895828310993</v>
      </c>
      <c r="CE204" s="86">
        <f t="shared" si="1596"/>
        <v>0.37358115818567428</v>
      </c>
      <c r="CF204" s="86">
        <f t="shared" si="1596"/>
        <v>-0.11609776103832681</v>
      </c>
      <c r="CG204" s="86">
        <f t="shared" si="1596"/>
        <v>-0.1294129213521662</v>
      </c>
      <c r="CH204" s="86">
        <f t="shared" si="1596"/>
        <v>0.10063449363886101</v>
      </c>
      <c r="CI204" s="86">
        <f t="shared" si="1596"/>
        <v>9.3213794950055551E-2</v>
      </c>
      <c r="CJ204" s="86">
        <f>+CJ201/CF201-1</f>
        <v>0.7299669587440889</v>
      </c>
      <c r="CK204" s="87"/>
      <c r="CL204" s="86">
        <f>+CL201/CH201-1</f>
        <v>2.8760476773224797E-2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0.65083282655235442</v>
      </c>
    </row>
    <row r="205" spans="1:110" s="103" customFormat="1" x14ac:dyDescent="0.2">
      <c r="A205" s="147" t="s">
        <v>87</v>
      </c>
      <c r="C205" s="103" t="str">
        <f>IF(C204&gt;C203,"RF",0)</f>
        <v>RF</v>
      </c>
      <c r="D205" s="103" t="str">
        <f>IF(D204&gt;D203,"RF",0)</f>
        <v>RF</v>
      </c>
      <c r="E205" s="103">
        <f t="shared" ref="E205:U205" si="1597">IF(E204&gt;E203,"RF",0)</f>
        <v>0</v>
      </c>
      <c r="F205" s="103">
        <f t="shared" si="1597"/>
        <v>0</v>
      </c>
      <c r="G205" s="103">
        <f t="shared" si="1597"/>
        <v>0</v>
      </c>
      <c r="H205" s="103" t="str">
        <f t="shared" si="1597"/>
        <v>RF</v>
      </c>
      <c r="I205" s="103" t="str">
        <f t="shared" si="1597"/>
        <v>RF</v>
      </c>
      <c r="J205" s="103" t="str">
        <f t="shared" si="1597"/>
        <v>RF</v>
      </c>
      <c r="K205" s="103" t="str">
        <f t="shared" si="1597"/>
        <v>RF</v>
      </c>
      <c r="L205" s="103" t="str">
        <f t="shared" si="1597"/>
        <v>RF</v>
      </c>
      <c r="M205" s="103">
        <f t="shared" si="1597"/>
        <v>0</v>
      </c>
      <c r="N205" s="103">
        <f t="shared" si="1597"/>
        <v>0</v>
      </c>
      <c r="O205" s="103" t="str">
        <f t="shared" si="1597"/>
        <v>RF</v>
      </c>
      <c r="P205" s="103">
        <f t="shared" si="1597"/>
        <v>0</v>
      </c>
      <c r="Q205" s="103" t="str">
        <f t="shared" si="1597"/>
        <v>RF</v>
      </c>
      <c r="R205" s="103">
        <f t="shared" si="1597"/>
        <v>0</v>
      </c>
      <c r="S205" s="103">
        <f t="shared" si="1597"/>
        <v>0</v>
      </c>
      <c r="T205" s="103" t="str">
        <f t="shared" si="1597"/>
        <v>RF</v>
      </c>
      <c r="U205" s="103" t="str">
        <f t="shared" si="1597"/>
        <v>RF</v>
      </c>
      <c r="V205" s="103">
        <f>IF(V204&gt;V203,"RF",0)</f>
        <v>0</v>
      </c>
      <c r="W205" s="103" t="str">
        <f t="shared" ref="W205" si="1598">IF(W204&gt;W203,"RF",0)</f>
        <v>RF</v>
      </c>
      <c r="X205" s="103">
        <f t="shared" ref="X205:Y205" si="1599">IF(X204&gt;X203,"RF",0)</f>
        <v>0</v>
      </c>
      <c r="Y205" s="103">
        <f t="shared" si="1599"/>
        <v>0</v>
      </c>
      <c r="Z205" s="103" t="str">
        <f t="shared" ref="Z205:AA205" si="1600">IF(Z204&gt;Z203,"RF",0)</f>
        <v>RF</v>
      </c>
      <c r="AA205" s="103" t="str">
        <f t="shared" ref="AA205" si="1601">IF(AA204&gt;AA203,"RF",0)</f>
        <v>RF</v>
      </c>
      <c r="AB205" s="73">
        <f t="shared" ref="AB205:AD205" si="1602">IF(AB204&gt;AB203,"RF",0)</f>
        <v>0</v>
      </c>
      <c r="AC205" s="73">
        <f t="shared" si="1602"/>
        <v>0</v>
      </c>
      <c r="AD205" s="73">
        <f t="shared" si="1602"/>
        <v>0</v>
      </c>
      <c r="AE205" s="73">
        <f t="shared" ref="AE205" si="1603">IF(AE204&gt;AE203,"RF",0)</f>
        <v>0</v>
      </c>
      <c r="CK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E205" s="142"/>
      <c r="DF205" s="103" t="s">
        <v>534</v>
      </c>
    </row>
    <row r="206" spans="1:110" x14ac:dyDescent="0.2">
      <c r="A206" s="153" t="s">
        <v>494</v>
      </c>
      <c r="AA206" s="2"/>
      <c r="CL206" s="2"/>
    </row>
    <row r="207" spans="1:110" x14ac:dyDescent="0.2">
      <c r="A207" s="152" t="s">
        <v>495</v>
      </c>
      <c r="AA207" s="2"/>
      <c r="CL207" s="2"/>
    </row>
    <row r="208" spans="1:110" s="23" customFormat="1" x14ac:dyDescent="0.2">
      <c r="A208" s="23" t="s">
        <v>22</v>
      </c>
      <c r="C208" s="23">
        <f t="shared" ref="C208:AE208" si="1604">C63</f>
        <v>-2.7938197000000002</v>
      </c>
      <c r="D208" s="23">
        <f t="shared" si="1604"/>
        <v>0.16681070000000114</v>
      </c>
      <c r="E208" s="23">
        <f t="shared" si="1604"/>
        <v>0.10707659999999963</v>
      </c>
      <c r="F208" s="23">
        <f t="shared" si="1604"/>
        <v>0.87197420000000037</v>
      </c>
      <c r="G208" s="23">
        <f t="shared" si="1604"/>
        <v>0.97637029999999903</v>
      </c>
      <c r="H208" s="23">
        <f t="shared" si="1604"/>
        <v>2.1407220999999996</v>
      </c>
      <c r="I208" s="23">
        <f t="shared" si="1604"/>
        <v>3.0153160000000003</v>
      </c>
      <c r="J208" s="23">
        <f t="shared" si="1604"/>
        <v>2.5325355000000007</v>
      </c>
      <c r="K208" s="23">
        <f t="shared" si="1604"/>
        <v>1.0643218000000025</v>
      </c>
      <c r="L208" s="23">
        <f t="shared" si="1604"/>
        <v>2.4560254999999955</v>
      </c>
      <c r="M208" s="23">
        <f t="shared" si="1604"/>
        <v>3.8923590000000017</v>
      </c>
      <c r="N208" s="23">
        <f t="shared" si="1604"/>
        <v>6.5192257000000025</v>
      </c>
      <c r="O208" s="23">
        <f t="shared" si="1604"/>
        <v>-1.0337097999999989</v>
      </c>
      <c r="P208" s="23">
        <f t="shared" si="1604"/>
        <v>0.89333419999999775</v>
      </c>
      <c r="Q208" s="23">
        <f t="shared" si="1604"/>
        <v>0.5935026000000001</v>
      </c>
      <c r="R208" s="23">
        <f t="shared" si="1604"/>
        <v>0.88373800000000369</v>
      </c>
      <c r="S208" s="23">
        <f t="shared" si="1604"/>
        <v>17.304229500000005</v>
      </c>
      <c r="T208" s="23">
        <f t="shared" si="1604"/>
        <v>9.507903000000006</v>
      </c>
      <c r="U208" s="23">
        <f t="shared" si="1604"/>
        <v>10.585057200000001</v>
      </c>
      <c r="V208" s="23">
        <f t="shared" si="1604"/>
        <v>15.376500000000016</v>
      </c>
      <c r="W208" s="23">
        <f t="shared" si="1604"/>
        <v>17.901100000000007</v>
      </c>
      <c r="X208" s="23">
        <f t="shared" si="1604"/>
        <v>26.584399999999992</v>
      </c>
      <c r="Y208" s="23">
        <f t="shared" si="1604"/>
        <v>52.187299999999972</v>
      </c>
      <c r="Z208" s="23">
        <f t="shared" si="1604"/>
        <v>56.094799999999985</v>
      </c>
      <c r="AA208" s="23">
        <f t="shared" ref="AA208" si="1605">AA63</f>
        <v>14.843599999999991</v>
      </c>
      <c r="AB208" s="24">
        <f t="shared" si="1604"/>
        <v>15.907730638581452</v>
      </c>
      <c r="AC208" s="24">
        <f t="shared" si="1604"/>
        <v>23.144489920531292</v>
      </c>
      <c r="AD208" s="24">
        <f t="shared" si="1604"/>
        <v>30.622989994428679</v>
      </c>
      <c r="AE208" s="24">
        <f t="shared" si="1604"/>
        <v>38.583469118935184</v>
      </c>
      <c r="AI208" s="23">
        <f t="shared" ref="AI208:BN208" si="1606">AI63</f>
        <v>1.182000000000001</v>
      </c>
      <c r="AJ208" s="23">
        <f t="shared" si="1606"/>
        <v>6.6999999999999171E-2</v>
      </c>
      <c r="AK208" s="23">
        <f t="shared" si="1606"/>
        <v>1.8309999999999993</v>
      </c>
      <c r="AL208" s="23">
        <f t="shared" si="1606"/>
        <v>3.3810000000000029</v>
      </c>
      <c r="AM208" s="23">
        <f t="shared" si="1606"/>
        <v>-1.3789999999999996</v>
      </c>
      <c r="AN208" s="23">
        <f t="shared" si="1606"/>
        <v>-1.1720000000000006</v>
      </c>
      <c r="AO208" s="23">
        <f t="shared" si="1606"/>
        <v>0.42199999999999999</v>
      </c>
      <c r="AP208" s="23">
        <f t="shared" si="1606"/>
        <v>0.93900000000000028</v>
      </c>
      <c r="AQ208" s="23">
        <f t="shared" si="1606"/>
        <v>-1.6680000000000001</v>
      </c>
      <c r="AR208" s="23">
        <f t="shared" si="1606"/>
        <v>2.4459999999999993</v>
      </c>
      <c r="AS208" s="23">
        <f t="shared" si="1606"/>
        <v>0.2150000000000003</v>
      </c>
      <c r="AT208" s="23">
        <f t="shared" si="1606"/>
        <v>-0.10500000000000059</v>
      </c>
      <c r="AU208" s="23">
        <f t="shared" si="1606"/>
        <v>0.18600000000000028</v>
      </c>
      <c r="AV208" s="23">
        <f t="shared" si="1606"/>
        <v>0.16200000000000048</v>
      </c>
      <c r="AW208" s="23">
        <f t="shared" si="1606"/>
        <v>0.21899999999999964</v>
      </c>
      <c r="AX208" s="23">
        <f t="shared" si="1606"/>
        <v>2.5999999999997858E-2</v>
      </c>
      <c r="AY208" s="23">
        <f t="shared" si="1606"/>
        <v>0.37300000000000028</v>
      </c>
      <c r="AZ208" s="23">
        <f t="shared" si="1606"/>
        <v>0.32300000000000034</v>
      </c>
      <c r="BA208" s="23">
        <f t="shared" si="1606"/>
        <v>0.34400000000000014</v>
      </c>
      <c r="BB208" s="23">
        <f t="shared" si="1606"/>
        <v>-0.1539999999999998</v>
      </c>
      <c r="BC208" s="23">
        <f t="shared" si="1606"/>
        <v>12.204000000000001</v>
      </c>
      <c r="BD208" s="23">
        <f t="shared" si="1606"/>
        <v>3.2549999999999999</v>
      </c>
      <c r="BE208" s="23">
        <f t="shared" si="1606"/>
        <v>3.1310000000000016</v>
      </c>
      <c r="BF208" s="23">
        <f t="shared" si="1606"/>
        <v>-1.2910000000000013</v>
      </c>
      <c r="BG208" s="23">
        <f t="shared" si="1606"/>
        <v>2.4180000000000001</v>
      </c>
      <c r="BH208" s="23">
        <f t="shared" si="1606"/>
        <v>0.62299999999999989</v>
      </c>
      <c r="BI208" s="23">
        <f t="shared" si="1606"/>
        <v>3.3109999999999999</v>
      </c>
      <c r="BJ208" s="23">
        <f t="shared" si="1606"/>
        <v>3.2340000000000018</v>
      </c>
      <c r="BK208" s="23">
        <f t="shared" si="1606"/>
        <v>1.3570000000000015</v>
      </c>
      <c r="BL208" s="23">
        <f t="shared" si="1606"/>
        <v>2.3819999999999983</v>
      </c>
      <c r="BM208" s="23">
        <f t="shared" si="1606"/>
        <v>2.9040000000000008</v>
      </c>
      <c r="BN208" s="23">
        <f t="shared" si="1606"/>
        <v>4.1159999999999979</v>
      </c>
      <c r="BO208" s="23">
        <f t="shared" ref="BO208:CT208" si="1607">BO63</f>
        <v>1.4470000000000007</v>
      </c>
      <c r="BP208" s="23">
        <f t="shared" si="1607"/>
        <v>3.2900000000000027</v>
      </c>
      <c r="BQ208" s="23">
        <f t="shared" si="1607"/>
        <v>4.9719999999999995</v>
      </c>
      <c r="BR208" s="23">
        <f t="shared" si="1607"/>
        <v>5.6969999999999974</v>
      </c>
      <c r="BS208" s="23">
        <f t="shared" si="1607"/>
        <v>3.0739999999999981</v>
      </c>
      <c r="BT208" s="23">
        <f t="shared" si="1607"/>
        <v>3.4410000000000007</v>
      </c>
      <c r="BU208" s="23">
        <f t="shared" si="1607"/>
        <v>5.3859999999999992</v>
      </c>
      <c r="BV208" s="23">
        <f t="shared" si="1607"/>
        <v>6.0750000000000028</v>
      </c>
      <c r="BW208" s="23">
        <f t="shared" si="1607"/>
        <v>4.3810000000000038</v>
      </c>
      <c r="BX208" s="23">
        <f t="shared" si="1607"/>
        <v>6.1429999999999989</v>
      </c>
      <c r="BY208" s="23">
        <f t="shared" si="1607"/>
        <v>6.6859999999999982</v>
      </c>
      <c r="BZ208" s="23">
        <f t="shared" si="1607"/>
        <v>9.6289999999999942</v>
      </c>
      <c r="CA208" s="23">
        <f t="shared" si="1607"/>
        <v>8.0119999999999933</v>
      </c>
      <c r="CB208" s="23">
        <f t="shared" si="1607"/>
        <v>16.072999999999993</v>
      </c>
      <c r="CC208" s="23">
        <f t="shared" si="1607"/>
        <v>16.321000000000002</v>
      </c>
      <c r="CD208" s="23">
        <f t="shared" si="1607"/>
        <v>12.152000000000001</v>
      </c>
      <c r="CE208" s="23">
        <f t="shared" si="1607"/>
        <v>7.3810000000000038</v>
      </c>
      <c r="CF208" s="23">
        <f t="shared" si="1607"/>
        <v>22.899000000000008</v>
      </c>
      <c r="CG208" s="23">
        <f t="shared" si="1607"/>
        <v>20.079999999999998</v>
      </c>
      <c r="CH208" s="23">
        <f t="shared" si="1607"/>
        <v>6.0849999999999973</v>
      </c>
      <c r="CI208" s="23">
        <f t="shared" si="1607"/>
        <v>3.2259999999999946</v>
      </c>
      <c r="CJ208" s="23">
        <f t="shared" si="1607"/>
        <v>4.2649999999999952</v>
      </c>
      <c r="CK208" s="24">
        <f t="shared" si="1607"/>
        <v>2.7429999999999874</v>
      </c>
      <c r="CL208" s="23">
        <f t="shared" ref="CL208" si="1608">CL63</f>
        <v>4.774</v>
      </c>
      <c r="CM208" s="24">
        <f t="shared" si="1607"/>
        <v>3.1533607220857367</v>
      </c>
      <c r="CN208" s="24">
        <f t="shared" si="1607"/>
        <v>3.8980917653461571</v>
      </c>
      <c r="CO208" s="24">
        <f t="shared" si="1607"/>
        <v>3.4984442435820817</v>
      </c>
      <c r="CP208" s="24">
        <f t="shared" si="1607"/>
        <v>5.3578339075674348</v>
      </c>
      <c r="CQ208" s="24">
        <f t="shared" si="1607"/>
        <v>5.042213005427012</v>
      </c>
      <c r="CR208" s="24">
        <f t="shared" si="1607"/>
        <v>5.686160126292342</v>
      </c>
      <c r="CS208" s="24">
        <f t="shared" si="1607"/>
        <v>5.1629593412881247</v>
      </c>
      <c r="CT208" s="24">
        <f t="shared" si="1607"/>
        <v>7.2531574475238081</v>
      </c>
      <c r="CU208" s="24">
        <f t="shared" ref="CU208:DB208" si="1609">CU63</f>
        <v>6.8844506945302495</v>
      </c>
      <c r="CV208" s="24">
        <f t="shared" si="1609"/>
        <v>7.5561846051945745</v>
      </c>
      <c r="CW208" s="24">
        <f t="shared" si="1609"/>
        <v>6.9137150837330426</v>
      </c>
      <c r="CX208" s="24">
        <f t="shared" si="1609"/>
        <v>9.2686396109708475</v>
      </c>
      <c r="CY208" s="24">
        <f t="shared" si="1609"/>
        <v>8.8191370298120582</v>
      </c>
      <c r="CZ208" s="24">
        <f t="shared" si="1609"/>
        <v>9.5490286704164653</v>
      </c>
      <c r="DA208" s="24">
        <f t="shared" si="1609"/>
        <v>8.7729332446466195</v>
      </c>
      <c r="DB208" s="24">
        <f t="shared" si="1609"/>
        <v>11.442370174060034</v>
      </c>
      <c r="DE208" s="123"/>
      <c r="DF208" s="23">
        <v>15.008000000000022</v>
      </c>
    </row>
    <row r="209" spans="1:110" s="23" customFormat="1" x14ac:dyDescent="0.2">
      <c r="A209" s="23" t="s">
        <v>88</v>
      </c>
      <c r="C209" s="23">
        <f t="shared" ref="C209:AE209" si="1610">C47</f>
        <v>0.54530469999999998</v>
      </c>
      <c r="D209" s="23">
        <f t="shared" si="1610"/>
        <v>0.67577509999999996</v>
      </c>
      <c r="E209" s="23">
        <f t="shared" si="1610"/>
        <v>0.51623969999999997</v>
      </c>
      <c r="F209" s="23">
        <f t="shared" si="1610"/>
        <v>0.60163630000000001</v>
      </c>
      <c r="G209" s="23">
        <f t="shared" si="1610"/>
        <v>0.71693209999999996</v>
      </c>
      <c r="H209" s="23">
        <f t="shared" si="1610"/>
        <v>1.0982281</v>
      </c>
      <c r="I209" s="23">
        <f t="shared" si="1610"/>
        <v>1.4642895</v>
      </c>
      <c r="J209" s="23">
        <f t="shared" si="1610"/>
        <v>1.1371172000000001</v>
      </c>
      <c r="K209" s="23">
        <f t="shared" si="1610"/>
        <v>1.2334647999999999</v>
      </c>
      <c r="L209" s="23">
        <f t="shared" si="1610"/>
        <v>1.1468517</v>
      </c>
      <c r="M209" s="23">
        <f t="shared" si="1610"/>
        <v>1.1933328999999999</v>
      </c>
      <c r="N209" s="23">
        <f t="shared" si="1610"/>
        <v>1.2640396</v>
      </c>
      <c r="O209" s="23">
        <f t="shared" si="1610"/>
        <v>1.9898880999999999</v>
      </c>
      <c r="P209" s="23">
        <f t="shared" si="1610"/>
        <v>1.8866896</v>
      </c>
      <c r="Q209" s="23">
        <f t="shared" si="1610"/>
        <v>1.7379635</v>
      </c>
      <c r="R209" s="23">
        <f t="shared" si="1610"/>
        <v>1.7933402000000001</v>
      </c>
      <c r="S209" s="23">
        <f t="shared" si="1610"/>
        <v>1.6362344</v>
      </c>
      <c r="T209" s="23">
        <f t="shared" si="1610"/>
        <v>2.0471965999999999</v>
      </c>
      <c r="U209" s="23">
        <f t="shared" si="1610"/>
        <v>2.7113483</v>
      </c>
      <c r="V209" s="23">
        <f t="shared" si="1610"/>
        <v>3.0314999999999999</v>
      </c>
      <c r="W209" s="23">
        <f t="shared" si="1610"/>
        <v>4.0279999999999996</v>
      </c>
      <c r="X209" s="23">
        <f t="shared" si="1610"/>
        <v>5.7676999999999996</v>
      </c>
      <c r="Y209" s="23">
        <f t="shared" si="1610"/>
        <v>7.4980000000000002</v>
      </c>
      <c r="Z209" s="23">
        <f t="shared" si="1610"/>
        <v>11.8034</v>
      </c>
      <c r="AA209" s="23">
        <f t="shared" ref="AA209" si="1611">AA47</f>
        <v>20.075299999999999</v>
      </c>
      <c r="AB209" s="24">
        <f t="shared" si="1610"/>
        <v>30.236306446877254</v>
      </c>
      <c r="AC209" s="24">
        <f t="shared" si="1610"/>
        <v>25.190251034247289</v>
      </c>
      <c r="AD209" s="24">
        <f t="shared" si="1610"/>
        <v>20.986318163008686</v>
      </c>
      <c r="AE209" s="24">
        <f t="shared" si="1610"/>
        <v>17.483968279643179</v>
      </c>
      <c r="AI209" s="23">
        <f t="shared" ref="AI209:BN209" si="1612">AI47</f>
        <v>0.31900000000000001</v>
      </c>
      <c r="AJ209" s="23">
        <f t="shared" si="1612"/>
        <v>0.31900000000000001</v>
      </c>
      <c r="AK209" s="23">
        <f t="shared" si="1612"/>
        <v>0.317</v>
      </c>
      <c r="AL209" s="23">
        <f t="shared" si="1612"/>
        <v>0.31</v>
      </c>
      <c r="AM209" s="23">
        <f t="shared" si="1612"/>
        <v>0.498</v>
      </c>
      <c r="AN209" s="23">
        <f t="shared" si="1612"/>
        <v>0.504</v>
      </c>
      <c r="AO209" s="23">
        <f t="shared" si="1612"/>
        <v>0.49299999999999999</v>
      </c>
      <c r="AP209" s="23">
        <f t="shared" si="1612"/>
        <v>0.49299999999999999</v>
      </c>
      <c r="AQ209" s="23">
        <f t="shared" si="1612"/>
        <v>0.499</v>
      </c>
      <c r="AR209" s="23">
        <f t="shared" si="1612"/>
        <v>0.503</v>
      </c>
      <c r="AS209" s="23">
        <f t="shared" si="1612"/>
        <v>0.46300000000000002</v>
      </c>
      <c r="AT209" s="23">
        <f t="shared" si="1612"/>
        <v>0.42299999999999999</v>
      </c>
      <c r="AU209" s="23">
        <f t="shared" si="1612"/>
        <v>0.45100000000000001</v>
      </c>
      <c r="AV209" s="23">
        <f t="shared" si="1612"/>
        <v>0.46600000000000003</v>
      </c>
      <c r="AW209" s="23">
        <f t="shared" si="1612"/>
        <v>0.40799999999999997</v>
      </c>
      <c r="AX209" s="23">
        <f t="shared" si="1612"/>
        <v>0.41299999999999998</v>
      </c>
      <c r="AY209" s="23">
        <f t="shared" si="1612"/>
        <v>0.39900000000000002</v>
      </c>
      <c r="AZ209" s="23">
        <f t="shared" si="1612"/>
        <v>0.41299999999999998</v>
      </c>
      <c r="BA209" s="23">
        <f t="shared" si="1612"/>
        <v>0.42799999999999999</v>
      </c>
      <c r="BB209" s="23">
        <f t="shared" si="1612"/>
        <v>0.55300000000000005</v>
      </c>
      <c r="BC209" s="23">
        <f t="shared" si="1612"/>
        <v>0.36699999999999999</v>
      </c>
      <c r="BD209" s="23">
        <f t="shared" si="1612"/>
        <v>0.35399999999999998</v>
      </c>
      <c r="BE209" s="23">
        <f t="shared" si="1612"/>
        <v>0.436</v>
      </c>
      <c r="BF209" s="23">
        <f t="shared" si="1612"/>
        <v>0.49</v>
      </c>
      <c r="BG209" s="23">
        <f t="shared" si="1612"/>
        <v>0.46700000000000003</v>
      </c>
      <c r="BH209" s="23">
        <f t="shared" si="1612"/>
        <v>0.51200000000000001</v>
      </c>
      <c r="BI209" s="23">
        <f t="shared" si="1612"/>
        <v>0.52800000000000002</v>
      </c>
      <c r="BJ209" s="23">
        <f t="shared" si="1612"/>
        <v>0.54100000000000004</v>
      </c>
      <c r="BK209" s="23">
        <f t="shared" si="1612"/>
        <v>0.50900000000000001</v>
      </c>
      <c r="BL209" s="23">
        <f t="shared" si="1612"/>
        <v>0.57999999999999996</v>
      </c>
      <c r="BM209" s="23">
        <f t="shared" si="1612"/>
        <v>0.60099999999999998</v>
      </c>
      <c r="BN209" s="23">
        <f t="shared" si="1612"/>
        <v>1.0209999999999999</v>
      </c>
      <c r="BO209" s="23">
        <f t="shared" ref="BO209:CT209" si="1613">BO47</f>
        <v>0.71699999999999997</v>
      </c>
      <c r="BP209" s="23">
        <f t="shared" si="1613"/>
        <v>0.75</v>
      </c>
      <c r="BQ209" s="23">
        <f t="shared" si="1613"/>
        <v>0.76300000000000001</v>
      </c>
      <c r="BR209" s="23">
        <f t="shared" si="1613"/>
        <v>0.80100000000000005</v>
      </c>
      <c r="BS209" s="23">
        <f t="shared" si="1613"/>
        <v>0.90700000000000003</v>
      </c>
      <c r="BT209" s="23">
        <f t="shared" si="1613"/>
        <v>0.96899999999999997</v>
      </c>
      <c r="BU209" s="23">
        <f t="shared" si="1613"/>
        <v>0.98799999999999999</v>
      </c>
      <c r="BV209" s="23">
        <f t="shared" si="1613"/>
        <v>1.1639999999999999</v>
      </c>
      <c r="BW209" s="23">
        <f t="shared" si="1613"/>
        <v>1.353</v>
      </c>
      <c r="BX209" s="23">
        <f t="shared" si="1613"/>
        <v>1.361</v>
      </c>
      <c r="BY209" s="23">
        <f t="shared" si="1613"/>
        <v>1.5249999999999999</v>
      </c>
      <c r="BZ209" s="23">
        <f t="shared" si="1613"/>
        <v>1.5289999999999999</v>
      </c>
      <c r="CA209" s="23">
        <f t="shared" si="1613"/>
        <v>1.571</v>
      </c>
      <c r="CB209" s="23">
        <f t="shared" si="1613"/>
        <v>1.637</v>
      </c>
      <c r="CC209" s="23">
        <f t="shared" si="1613"/>
        <v>1.837</v>
      </c>
      <c r="CD209" s="23">
        <f t="shared" si="1613"/>
        <v>2.4529999999999998</v>
      </c>
      <c r="CE209" s="23">
        <f t="shared" si="1613"/>
        <v>2.8559999999999999</v>
      </c>
      <c r="CF209" s="23">
        <f t="shared" si="1613"/>
        <v>2.9590000000000001</v>
      </c>
      <c r="CG209" s="23">
        <f t="shared" si="1613"/>
        <v>3.0529999999999999</v>
      </c>
      <c r="CH209" s="23">
        <f t="shared" si="1613"/>
        <v>2.9359999999999999</v>
      </c>
      <c r="CI209" s="23">
        <f t="shared" si="1613"/>
        <v>4.3970000000000002</v>
      </c>
      <c r="CJ209" s="23">
        <f t="shared" si="1613"/>
        <v>4.7560000000000002</v>
      </c>
      <c r="CK209" s="24">
        <f t="shared" si="1613"/>
        <v>5.3570000000000002</v>
      </c>
      <c r="CL209" s="23">
        <f t="shared" ref="CL209" si="1614">CL47</f>
        <v>5.5659999999999998</v>
      </c>
      <c r="CM209" s="24">
        <f t="shared" si="1613"/>
        <v>8.0842445386841515</v>
      </c>
      <c r="CN209" s="24">
        <f t="shared" si="1613"/>
        <v>7.723521880517902</v>
      </c>
      <c r="CO209" s="24">
        <f t="shared" si="1613"/>
        <v>7.3788948309755495</v>
      </c>
      <c r="CP209" s="24">
        <f t="shared" si="1613"/>
        <v>7.0496451966996512</v>
      </c>
      <c r="CQ209" s="24">
        <f t="shared" si="1613"/>
        <v>6.7350868304461313</v>
      </c>
      <c r="CR209" s="24">
        <f t="shared" si="1613"/>
        <v>6.4345642011721704</v>
      </c>
      <c r="CS209" s="24">
        <f t="shared" si="1613"/>
        <v>6.1474510279274135</v>
      </c>
      <c r="CT209" s="24">
        <f t="shared" si="1613"/>
        <v>5.8731489747015768</v>
      </c>
      <c r="CU209" s="24">
        <f t="shared" ref="CU209:DB209" si="1615">CU47</f>
        <v>5.611086403508553</v>
      </c>
      <c r="CV209" s="24">
        <f t="shared" si="1615"/>
        <v>5.3607171831084557</v>
      </c>
      <c r="CW209" s="24">
        <f t="shared" si="1615"/>
        <v>5.1215195508850355</v>
      </c>
      <c r="CX209" s="24">
        <f t="shared" si="1615"/>
        <v>4.892995025506643</v>
      </c>
      <c r="CY209" s="24">
        <f t="shared" si="1615"/>
        <v>4.6746673681047461</v>
      </c>
      <c r="CZ209" s="24">
        <f t="shared" si="1615"/>
        <v>4.4660815898051416</v>
      </c>
      <c r="DA209" s="24">
        <f t="shared" si="1615"/>
        <v>4.2668030035435649</v>
      </c>
      <c r="DB209" s="24">
        <f t="shared" si="1615"/>
        <v>4.0764163181897235</v>
      </c>
      <c r="DE209" s="123"/>
      <c r="DF209" s="23">
        <v>20.076000000000001</v>
      </c>
    </row>
    <row r="210" spans="1:110" s="22" customFormat="1" x14ac:dyDescent="0.2">
      <c r="A210" s="22" t="s">
        <v>89</v>
      </c>
      <c r="C210" s="22">
        <f t="shared" ref="C210:W210" si="1616">C208+C209</f>
        <v>-2.2485150000000003</v>
      </c>
      <c r="D210" s="22">
        <f t="shared" si="1616"/>
        <v>0.84258580000000105</v>
      </c>
      <c r="E210" s="22">
        <f t="shared" si="1616"/>
        <v>0.6233162999999996</v>
      </c>
      <c r="F210" s="22">
        <f t="shared" si="1616"/>
        <v>1.4736105000000004</v>
      </c>
      <c r="G210" s="22">
        <f t="shared" si="1616"/>
        <v>1.693302399999999</v>
      </c>
      <c r="H210" s="22">
        <f t="shared" si="1616"/>
        <v>3.2389501999999997</v>
      </c>
      <c r="I210" s="22">
        <f t="shared" si="1616"/>
        <v>4.4796054999999999</v>
      </c>
      <c r="J210" s="22">
        <f t="shared" si="1616"/>
        <v>3.6696527000000008</v>
      </c>
      <c r="K210" s="22">
        <f t="shared" si="1616"/>
        <v>2.2977866000000025</v>
      </c>
      <c r="L210" s="22">
        <f t="shared" si="1616"/>
        <v>3.6028771999999956</v>
      </c>
      <c r="M210" s="22">
        <f t="shared" si="1616"/>
        <v>5.0856919000000014</v>
      </c>
      <c r="N210" s="22">
        <f t="shared" si="1616"/>
        <v>7.7832653000000027</v>
      </c>
      <c r="O210" s="22">
        <f t="shared" si="1616"/>
        <v>0.95617830000000104</v>
      </c>
      <c r="P210" s="22">
        <f t="shared" si="1616"/>
        <v>2.7800237999999977</v>
      </c>
      <c r="Q210" s="22">
        <f t="shared" si="1616"/>
        <v>2.3314661000000001</v>
      </c>
      <c r="R210" s="22">
        <f t="shared" si="1616"/>
        <v>2.677078200000004</v>
      </c>
      <c r="S210" s="22">
        <f t="shared" si="1616"/>
        <v>18.940463900000005</v>
      </c>
      <c r="T210" s="22">
        <f t="shared" si="1616"/>
        <v>11.555099600000005</v>
      </c>
      <c r="U210" s="22">
        <f t="shared" si="1616"/>
        <v>13.296405500000002</v>
      </c>
      <c r="V210" s="22">
        <f t="shared" si="1616"/>
        <v>18.408000000000015</v>
      </c>
      <c r="W210" s="22">
        <f t="shared" si="1616"/>
        <v>21.929100000000005</v>
      </c>
      <c r="X210" s="22">
        <f t="shared" ref="X210:Y210" si="1617">X208+X209</f>
        <v>32.352099999999993</v>
      </c>
      <c r="Y210" s="22">
        <f t="shared" si="1617"/>
        <v>59.68529999999997</v>
      </c>
      <c r="Z210" s="22">
        <f t="shared" ref="Z210:AA210" si="1618">Z208+Z209</f>
        <v>67.898199999999989</v>
      </c>
      <c r="AA210" s="22">
        <f t="shared" ref="AA210" si="1619">AA208+AA209</f>
        <v>34.918899999999994</v>
      </c>
      <c r="AB210" s="21">
        <f t="shared" ref="AB210:AD210" si="1620">AB208+AB209</f>
        <v>46.144037085458706</v>
      </c>
      <c r="AC210" s="21">
        <f t="shared" si="1620"/>
        <v>48.334740954778582</v>
      </c>
      <c r="AD210" s="21">
        <f t="shared" si="1620"/>
        <v>51.609308157437368</v>
      </c>
      <c r="AE210" s="21">
        <f t="shared" ref="AE210" si="1621">AE208+AE209</f>
        <v>56.067437398578363</v>
      </c>
      <c r="AI210" s="22">
        <f t="shared" ref="AI210" si="1622">AI208+AI209</f>
        <v>1.501000000000001</v>
      </c>
      <c r="AJ210" s="22">
        <f t="shared" ref="AJ210:AL210" si="1623">AJ208+AJ209</f>
        <v>0.38599999999999918</v>
      </c>
      <c r="AK210" s="22">
        <f t="shared" si="1623"/>
        <v>2.1479999999999992</v>
      </c>
      <c r="AL210" s="22">
        <f t="shared" si="1623"/>
        <v>3.6910000000000029</v>
      </c>
      <c r="AM210" s="22">
        <f t="shared" ref="AM210" si="1624">AM208+AM209</f>
        <v>-0.88099999999999956</v>
      </c>
      <c r="AN210" s="22">
        <f t="shared" ref="AN210:CD210" si="1625">AN208+AN209</f>
        <v>-0.66800000000000059</v>
      </c>
      <c r="AO210" s="22">
        <f t="shared" si="1625"/>
        <v>0.91500000000000004</v>
      </c>
      <c r="AP210" s="22">
        <f t="shared" si="1625"/>
        <v>1.4320000000000004</v>
      </c>
      <c r="AQ210" s="22">
        <f t="shared" si="1625"/>
        <v>-1.169</v>
      </c>
      <c r="AR210" s="22">
        <f t="shared" si="1625"/>
        <v>2.9489999999999994</v>
      </c>
      <c r="AS210" s="22">
        <f t="shared" si="1625"/>
        <v>0.67800000000000038</v>
      </c>
      <c r="AT210" s="22">
        <f t="shared" si="1625"/>
        <v>0.31799999999999939</v>
      </c>
      <c r="AU210" s="22">
        <f t="shared" si="1625"/>
        <v>0.63700000000000023</v>
      </c>
      <c r="AV210" s="22">
        <f t="shared" si="1625"/>
        <v>0.62800000000000056</v>
      </c>
      <c r="AW210" s="22">
        <f t="shared" si="1625"/>
        <v>0.62699999999999956</v>
      </c>
      <c r="AX210" s="22">
        <f t="shared" si="1625"/>
        <v>0.43899999999999784</v>
      </c>
      <c r="AY210" s="22">
        <f t="shared" si="1625"/>
        <v>0.77200000000000024</v>
      </c>
      <c r="AZ210" s="22">
        <f t="shared" si="1625"/>
        <v>0.73600000000000032</v>
      </c>
      <c r="BA210" s="22">
        <f t="shared" si="1625"/>
        <v>0.77200000000000013</v>
      </c>
      <c r="BB210" s="22">
        <f t="shared" si="1625"/>
        <v>0.39900000000000024</v>
      </c>
      <c r="BC210" s="22">
        <f t="shared" si="1625"/>
        <v>12.571000000000002</v>
      </c>
      <c r="BD210" s="22">
        <f t="shared" si="1625"/>
        <v>3.609</v>
      </c>
      <c r="BE210" s="22">
        <f t="shared" si="1625"/>
        <v>3.5670000000000015</v>
      </c>
      <c r="BF210" s="22">
        <f t="shared" si="1625"/>
        <v>-0.80100000000000127</v>
      </c>
      <c r="BG210" s="22">
        <f t="shared" si="1625"/>
        <v>2.8850000000000002</v>
      </c>
      <c r="BH210" s="22">
        <f t="shared" si="1625"/>
        <v>1.1349999999999998</v>
      </c>
      <c r="BI210" s="22">
        <f t="shared" si="1625"/>
        <v>3.839</v>
      </c>
      <c r="BJ210" s="22">
        <f t="shared" si="1625"/>
        <v>3.7750000000000017</v>
      </c>
      <c r="BK210" s="22">
        <f t="shared" si="1625"/>
        <v>1.8660000000000014</v>
      </c>
      <c r="BL210" s="22">
        <f t="shared" si="1625"/>
        <v>2.9619999999999984</v>
      </c>
      <c r="BM210" s="22">
        <f t="shared" si="1625"/>
        <v>3.5050000000000008</v>
      </c>
      <c r="BN210" s="22">
        <f t="shared" si="1625"/>
        <v>5.1369999999999978</v>
      </c>
      <c r="BO210" s="22">
        <f t="shared" si="1625"/>
        <v>2.1640000000000006</v>
      </c>
      <c r="BP210" s="22">
        <f t="shared" si="1625"/>
        <v>4.0400000000000027</v>
      </c>
      <c r="BQ210" s="22">
        <f t="shared" si="1625"/>
        <v>5.7349999999999994</v>
      </c>
      <c r="BR210" s="22">
        <f t="shared" si="1625"/>
        <v>6.4979999999999976</v>
      </c>
      <c r="BS210" s="22">
        <f t="shared" si="1625"/>
        <v>3.9809999999999981</v>
      </c>
      <c r="BT210" s="22">
        <f t="shared" si="1625"/>
        <v>4.410000000000001</v>
      </c>
      <c r="BU210" s="22">
        <f t="shared" si="1625"/>
        <v>6.3739999999999988</v>
      </c>
      <c r="BV210" s="22">
        <f t="shared" si="1625"/>
        <v>7.2390000000000025</v>
      </c>
      <c r="BW210" s="22">
        <f t="shared" si="1625"/>
        <v>5.7340000000000035</v>
      </c>
      <c r="BX210" s="22">
        <f t="shared" si="1625"/>
        <v>7.5039999999999987</v>
      </c>
      <c r="BY210" s="22">
        <f t="shared" si="1625"/>
        <v>8.2109999999999985</v>
      </c>
      <c r="BZ210" s="22">
        <f t="shared" si="1625"/>
        <v>11.157999999999994</v>
      </c>
      <c r="CA210" s="22">
        <f t="shared" si="1625"/>
        <v>9.5829999999999931</v>
      </c>
      <c r="CB210" s="22">
        <f t="shared" si="1625"/>
        <v>17.709999999999994</v>
      </c>
      <c r="CC210" s="22">
        <f t="shared" si="1625"/>
        <v>18.158000000000001</v>
      </c>
      <c r="CD210" s="22">
        <f t="shared" si="1625"/>
        <v>14.605</v>
      </c>
      <c r="CE210" s="22">
        <f t="shared" ref="CE210:CF210" si="1626">CE208+CE209</f>
        <v>10.237000000000004</v>
      </c>
      <c r="CF210" s="22">
        <f t="shared" si="1626"/>
        <v>25.858000000000008</v>
      </c>
      <c r="CG210" s="22">
        <f t="shared" ref="CG210:CH210" si="1627">CG208+CG209</f>
        <v>23.132999999999999</v>
      </c>
      <c r="CH210" s="22">
        <f t="shared" si="1627"/>
        <v>9.0209999999999972</v>
      </c>
      <c r="CI210" s="22">
        <f t="shared" ref="CI210:CJ210" si="1628">CI208+CI209</f>
        <v>7.6229999999999949</v>
      </c>
      <c r="CJ210" s="22">
        <f t="shared" si="1628"/>
        <v>9.0209999999999955</v>
      </c>
      <c r="CK210" s="21">
        <f t="shared" ref="CK210:DB210" si="1629">CK208+CK209</f>
        <v>8.0999999999999872</v>
      </c>
      <c r="CL210" s="22">
        <f t="shared" si="1629"/>
        <v>10.34</v>
      </c>
      <c r="CM210" s="21">
        <f t="shared" si="1629"/>
        <v>11.237605260769888</v>
      </c>
      <c r="CN210" s="21">
        <f t="shared" si="1629"/>
        <v>11.621613645864059</v>
      </c>
      <c r="CO210" s="21">
        <f t="shared" si="1629"/>
        <v>10.877339074557632</v>
      </c>
      <c r="CP210" s="21">
        <f t="shared" si="1629"/>
        <v>12.407479104267086</v>
      </c>
      <c r="CQ210" s="21">
        <f t="shared" si="1629"/>
        <v>11.777299835873144</v>
      </c>
      <c r="CR210" s="21">
        <f t="shared" si="1629"/>
        <v>12.120724327464512</v>
      </c>
      <c r="CS210" s="21">
        <f t="shared" si="1629"/>
        <v>11.310410369215539</v>
      </c>
      <c r="CT210" s="21">
        <f t="shared" si="1629"/>
        <v>13.126306422225385</v>
      </c>
      <c r="CU210" s="21">
        <f t="shared" si="1629"/>
        <v>12.495537098038803</v>
      </c>
      <c r="CV210" s="21">
        <f t="shared" si="1629"/>
        <v>12.916901788303029</v>
      </c>
      <c r="CW210" s="21">
        <f t="shared" si="1629"/>
        <v>12.035234634618078</v>
      </c>
      <c r="CX210" s="21">
        <f t="shared" si="1629"/>
        <v>14.161634636477491</v>
      </c>
      <c r="CY210" s="21">
        <f t="shared" si="1629"/>
        <v>13.493804397916804</v>
      </c>
      <c r="CZ210" s="21">
        <f t="shared" si="1629"/>
        <v>14.015110260221608</v>
      </c>
      <c r="DA210" s="21">
        <f t="shared" si="1629"/>
        <v>13.039736248190184</v>
      </c>
      <c r="DB210" s="21">
        <f t="shared" si="1629"/>
        <v>15.518786492249758</v>
      </c>
      <c r="DE210" s="126"/>
      <c r="DF210" s="22">
        <v>35.084000000000024</v>
      </c>
    </row>
    <row r="211" spans="1:110" s="23" customFormat="1" x14ac:dyDescent="0.2">
      <c r="A211" s="23" t="s">
        <v>65</v>
      </c>
      <c r="C211" s="23">
        <f t="shared" ref="C211:AA211" si="1630">B163-C163+B178+B179-C178-C179</f>
        <v>11.143085099999999</v>
      </c>
      <c r="D211" s="23">
        <f t="shared" si="1630"/>
        <v>1.5067674000000004</v>
      </c>
      <c r="E211" s="23">
        <f>D163-E163+D178+D179-E178-E179</f>
        <v>0.72583809999999882</v>
      </c>
      <c r="F211" s="23">
        <f t="shared" si="1630"/>
        <v>-0.4137875000000007</v>
      </c>
      <c r="G211" s="23">
        <f t="shared" si="1630"/>
        <v>-2.4248421999999996</v>
      </c>
      <c r="H211" s="23">
        <f t="shared" si="1630"/>
        <v>-5.3500200000000442E-2</v>
      </c>
      <c r="I211" s="23">
        <f t="shared" si="1630"/>
        <v>-2.5501100999999995</v>
      </c>
      <c r="J211" s="23">
        <f>I163-J163+I178+I179-J178-J179</f>
        <v>-2.6818315000000021</v>
      </c>
      <c r="K211" s="23">
        <f>J163-K163+J178+J179-K178-K179</f>
        <v>3.1892697000000019</v>
      </c>
      <c r="L211" s="23">
        <f t="shared" si="1630"/>
        <v>-1.3875960000000003</v>
      </c>
      <c r="M211" s="23">
        <f t="shared" si="1630"/>
        <v>7.3845199999999722E-2</v>
      </c>
      <c r="N211" s="23">
        <f t="shared" si="1630"/>
        <v>-1.7244052999999997</v>
      </c>
      <c r="O211" s="23">
        <f t="shared" si="1630"/>
        <v>-2.7417180999999973</v>
      </c>
      <c r="P211" s="23">
        <f t="shared" si="1630"/>
        <v>0.46948489999999615</v>
      </c>
      <c r="Q211" s="23">
        <f t="shared" si="1630"/>
        <v>-0.90122440000000181</v>
      </c>
      <c r="R211" s="23">
        <f t="shared" si="1630"/>
        <v>-1.7770922999999932</v>
      </c>
      <c r="S211" s="23">
        <f t="shared" si="1630"/>
        <v>1.4870450999999962</v>
      </c>
      <c r="T211" s="23">
        <f t="shared" si="1630"/>
        <v>-5.5820828000000002</v>
      </c>
      <c r="U211" s="23">
        <f t="shared" si="1630"/>
        <v>-19.382998200000007</v>
      </c>
      <c r="V211" s="23">
        <f t="shared" si="1630"/>
        <v>17.387680800000005</v>
      </c>
      <c r="W211" s="23">
        <f t="shared" si="1630"/>
        <v>-46.65809999999999</v>
      </c>
      <c r="X211" s="23">
        <f t="shared" si="1630"/>
        <v>-34.965999999999994</v>
      </c>
      <c r="Y211" s="23">
        <f t="shared" si="1630"/>
        <v>-28.108100000000011</v>
      </c>
      <c r="Z211" s="23">
        <f t="shared" si="1630"/>
        <v>-27.004399999999972</v>
      </c>
      <c r="AA211" s="23">
        <f t="shared" si="1630"/>
        <v>-48.571700000000057</v>
      </c>
      <c r="AB211" s="24">
        <f t="shared" ref="AB211" si="1631">AA163-AB163+AA178+AA179-AB178-AB179</f>
        <v>-35.843809342900911</v>
      </c>
      <c r="AC211" s="24">
        <f t="shared" ref="AC211" si="1632">AB163-AC163+AB178+AB179-AC178-AC179</f>
        <v>-36.985958688590841</v>
      </c>
      <c r="AD211" s="24">
        <f t="shared" ref="AD211" si="1633">AC163-AD163+AC178+AC179-AD178-AD179</f>
        <v>-42.51958822059504</v>
      </c>
      <c r="AE211" s="24">
        <f t="shared" ref="AE211" si="1634">AD163-AE163+AD178+AD179-AE178-AE179</f>
        <v>-48.881835755271425</v>
      </c>
      <c r="AI211" s="23">
        <f>AH163-AI163+AH178+AH179-AI178-AJ179</f>
        <v>0</v>
      </c>
      <c r="AJ211" s="23">
        <f t="shared" ref="AJ211:AL211" si="1635">AI163-AJ163+AI178+AI179-AJ178-AK179</f>
        <v>-20.901</v>
      </c>
      <c r="AK211" s="23">
        <f t="shared" si="1635"/>
        <v>-46.078101127682793</v>
      </c>
      <c r="AL211" s="23">
        <f t="shared" si="1635"/>
        <v>51.700101127682792</v>
      </c>
      <c r="AM211" s="23">
        <f t="shared" ref="AM211" si="1636">AL163-AM163+AL178+AL179-AM178-AM179</f>
        <v>11.747103856181177</v>
      </c>
      <c r="AN211" s="23">
        <f t="shared" ref="AN211" si="1637">AM163-AN163+AM178+AM179-AN178-AN179</f>
        <v>-7.5561038561811769</v>
      </c>
      <c r="AO211" s="23">
        <f t="shared" ref="AO211" si="1638">AN163-AO163+AN178+AN179-AO178-AO179</f>
        <v>-5.1988988095238078</v>
      </c>
      <c r="AP211" s="23">
        <f t="shared" ref="AP211" si="1639">AO163-AP163+AO178+AO179-AP178-AP179</f>
        <v>-1.7331011904761904</v>
      </c>
      <c r="AQ211" s="23">
        <f t="shared" ref="AQ211" si="1640">AP163-AQ163+AP178+AP179-AQ178-AQ179</f>
        <v>-6.1576929993577387</v>
      </c>
      <c r="AR211" s="23">
        <f t="shared" ref="AR211" si="1641">AQ163-AR163+AQ178+AQ179-AR178-AR179</f>
        <v>4.6286929993577388</v>
      </c>
      <c r="AS211" s="23">
        <f t="shared" ref="AS211" si="1642">AR163-AS163+AR178+AR179-AS178-AS179</f>
        <v>5.8461454192922915</v>
      </c>
      <c r="AT211" s="23">
        <f t="shared" ref="AT211" si="1643">AS163-AT163+AS178+AS179-AT178-AT179</f>
        <v>-3.8481454192922899</v>
      </c>
      <c r="AU211" s="23">
        <f t="shared" ref="AU211" si="1644">AT163-AU163+AT178+AT179-AU178-AU179</f>
        <v>1.8235683861807868</v>
      </c>
      <c r="AV211" s="23">
        <f t="shared" ref="AV211" si="1645">AU163-AV163+AU178+AU179-AV178-AV179</f>
        <v>-6.574568386180788</v>
      </c>
      <c r="AW211" s="23">
        <f t="shared" ref="AW211" si="1646">AV163-AW163+AV178+AV179-AW178-AW179</f>
        <v>0.1256551365409635</v>
      </c>
      <c r="AX211" s="23">
        <f t="shared" ref="AX211" si="1647">AW163-AX163+AW178+AW179-AX178-AX179</f>
        <v>3.7243448634590406</v>
      </c>
      <c r="AY211" s="23">
        <f t="shared" ref="AY211" si="1648">AX163-AY163+AX178+AX179-AY178-AY179</f>
        <v>6.6763206690380628</v>
      </c>
      <c r="AZ211" s="23">
        <f t="shared" ref="AZ211" si="1649">AY163-AZ163+AY178+AY179-AZ178-AZ179</f>
        <v>-6.733320669038064</v>
      </c>
      <c r="BA211" s="23">
        <f t="shared" ref="BA211" si="1650">AZ163-BA163+AZ178+AZ179-BA178-BA179</f>
        <v>-0.96769033909149016</v>
      </c>
      <c r="BB211" s="23">
        <f t="shared" ref="BB211" si="1651">BA163-BB163+BA178+BA179-BB178-BB179</f>
        <v>-0.75230966090851048</v>
      </c>
      <c r="BC211" s="23">
        <f t="shared" ref="BC211" si="1652">BB163-BC163+BB178+BB179-BC178-BC179</f>
        <v>1.3985325644504734</v>
      </c>
      <c r="BD211" s="23">
        <f t="shared" ref="BD211" si="1653">BC163-BD163+BC178+BC179-BD178-BD179</f>
        <v>-13.728532564450475</v>
      </c>
      <c r="BE211" s="23">
        <f t="shared" ref="BE211" si="1654">BD163-BE163+BD178+BD179-BE178-BE179</f>
        <v>-10.648215864313862</v>
      </c>
      <c r="BF211" s="23">
        <f t="shared" ref="BF211" si="1655">BE163-BF163+BE178+BE179-BF178-BF179</f>
        <v>24.465215864313862</v>
      </c>
      <c r="BG211" s="23">
        <f t="shared" ref="BG211" si="1656">BF163-BG163+BF178+BF179-BG178-BG179</f>
        <v>2.2697968859587583</v>
      </c>
      <c r="BH211" s="23">
        <f t="shared" ref="BH211" si="1657">BG163-BH163+BG178+BG179-BH178-BH179</f>
        <v>1.5382031140412411</v>
      </c>
      <c r="BI211" s="23">
        <f t="shared" ref="BI211" si="1658">BH163-BI163+BH178+BH179-BI178-BI179</f>
        <v>-4.3797657800714553</v>
      </c>
      <c r="BJ211" s="23">
        <f t="shared" ref="BJ211" si="1659">BI163-BJ163+BI178+BI179-BJ178-BJ179</f>
        <v>-5.0102342199285426</v>
      </c>
      <c r="BK211" s="23">
        <f t="shared" ref="BK211" si="1660">BJ163-BK163+BJ178+BJ179-BK178-BK179</f>
        <v>8.6812994611771188</v>
      </c>
      <c r="BL211" s="23">
        <f t="shared" ref="BL211" si="1661">BK163-BL163+BK178+BK179-BL178-BL179</f>
        <v>-4.2002994611771207</v>
      </c>
      <c r="BM211" s="23">
        <f t="shared" ref="BM211" si="1662">BL163-BM163+BL178+BL179-BM178-BM179</f>
        <v>-10.980516809328861</v>
      </c>
      <c r="BN211" s="23">
        <f t="shared" ref="BN211" si="1663">BM163-BN163+BM178+BM179-BN178-BN179</f>
        <v>-15.924483190671131</v>
      </c>
      <c r="BO211" s="23">
        <f t="shared" ref="BO211" si="1664">BN163-BO163+BN178+BN179-BO178-BO179</f>
        <v>16.916326910666534</v>
      </c>
      <c r="BP211" s="23">
        <f t="shared" ref="BP211" si="1665">BO163-BP163+BO178+BO179-BP178-BP179</f>
        <v>-11.301326910666539</v>
      </c>
      <c r="BQ211" s="23">
        <f t="shared" ref="BQ211" si="1666">BP163-BQ163+BP178+BP179-BQ178-BQ179</f>
        <v>-28.829603515781059</v>
      </c>
      <c r="BR211" s="23">
        <f t="shared" ref="BR211" si="1667">BQ163-BR163+BQ178+BQ179-BR178-BR179</f>
        <v>41.014603515781054</v>
      </c>
      <c r="BS211" s="23">
        <f t="shared" ref="BS211" si="1668">BR163-BS163+BR178+BR179-BS178-BS179</f>
        <v>8.2593822729931503</v>
      </c>
      <c r="BT211" s="23">
        <f t="shared" ref="BT211" si="1669">BS163-BT163+BS178+BS179-BT178-BT179</f>
        <v>-33.80238227299315</v>
      </c>
      <c r="BU211" s="23">
        <f t="shared" ref="BU211" si="1670">BT163-BU163+BT178+BT179-BU178-BU179</f>
        <v>-31.735980176211456</v>
      </c>
      <c r="BV211" s="23">
        <f t="shared" ref="BV211" si="1671">BU163-BV163+BU178+BU179-BV178-BV179</f>
        <v>11.037980176211461</v>
      </c>
      <c r="BW211" s="23">
        <f t="shared" ref="BW211" si="1672">BV163-BW163+BV178+BV179-BW178-BW179</f>
        <v>22.345167740692368</v>
      </c>
      <c r="BX211" s="23">
        <f t="shared" ref="BX211" si="1673">BW163-BX163+BW178+BW179-BX178-BX179</f>
        <v>-47.606167740692364</v>
      </c>
      <c r="BY211" s="23">
        <f t="shared" ref="BY211" si="1674">BX163-BY163+BX178+BX179-BY178-BY179</f>
        <v>-5.0628968944099597</v>
      </c>
      <c r="BZ211" s="23">
        <f t="shared" ref="BZ211" si="1675">BY163-BZ163+BY178+BY179-BZ178-BZ179</f>
        <v>-4.2271031055900501</v>
      </c>
      <c r="CA211" s="23">
        <f t="shared" ref="CA211" si="1676">BZ163-CA163+BZ178+BZ179-CA178-CA179</f>
        <v>-26.388270335611338</v>
      </c>
      <c r="CB211" s="23">
        <f t="shared" ref="CB211" si="1677">CA163-CB163+CA178+CA179-CB178-CB179</f>
        <v>7.042270335611363</v>
      </c>
      <c r="CC211" s="23">
        <f t="shared" ref="CC211" si="1678">CB163-CC163+CB178+CB179-CC178-CC179</f>
        <v>-9.5076132737010823</v>
      </c>
      <c r="CD211" s="23">
        <f t="shared" ref="CD211" si="1679">CC163-CD163+CC178+CC179-CD178-CD179</f>
        <v>-2.7083867262989605</v>
      </c>
      <c r="CE211" s="23">
        <f t="shared" ref="CE211" si="1680">CD163-CE163+CD178+CD179-CE178-CE179</f>
        <v>-26.399766408850354</v>
      </c>
      <c r="CF211" s="23">
        <f t="shared" ref="CF211" si="1681">CE163-CF163+CE178+CE179-CF178-CF179</f>
        <v>-18.941233591149654</v>
      </c>
      <c r="CG211" s="23">
        <f t="shared" ref="CG211" si="1682">CF163-CG163+CF178+CF179-CG178-CG179</f>
        <v>13.288068483595993</v>
      </c>
      <c r="CH211" s="23">
        <f t="shared" ref="CH211:CL211" si="1683">CG163-CH163+CG178+CG179-CH178-CH179</f>
        <v>10.298431516404056</v>
      </c>
      <c r="CI211" s="23">
        <f t="shared" si="1683"/>
        <v>-8.7539741539960403</v>
      </c>
      <c r="CJ211" s="23">
        <f t="shared" si="1683"/>
        <v>-18.897525846003962</v>
      </c>
      <c r="CK211" s="24">
        <f t="shared" ref="CK211" si="1684">CJ163-CK163+CJ178+CJ179-CK178-CK179</f>
        <v>12.709434010610295</v>
      </c>
      <c r="CL211" s="23">
        <f t="shared" si="1683"/>
        <v>-33.628434010610292</v>
      </c>
      <c r="CM211" s="24">
        <f t="shared" ref="CM211" si="1685">CL163-CM163+CL178+CL179-CM178-CM179</f>
        <v>13.531656188700566</v>
      </c>
      <c r="CN211" s="24">
        <f t="shared" ref="CN211" si="1686">CM163-CN163+CM178+CM179-CN178-CN179</f>
        <v>-16.637128335317868</v>
      </c>
      <c r="CO211" s="24">
        <f t="shared" ref="CO211" si="1687">CN163-CO163+CN178+CN179-CO178-CO179</f>
        <v>16.043375141165001</v>
      </c>
      <c r="CP211" s="24">
        <f t="shared" ref="CP211" si="1688">CO163-CP163+CO178+CO179-CP178-CP179</f>
        <v>-48.782912337448664</v>
      </c>
      <c r="CQ211" s="24">
        <f t="shared" ref="CQ211" si="1689">CP163-CQ163+CP178+CP179-CQ178-CQ179</f>
        <v>19.668171563970787</v>
      </c>
      <c r="CR211" s="24">
        <f t="shared" ref="CR211" si="1690">CQ163-CR163+CQ178+CQ179-CR178-CR179</f>
        <v>-19.092622644423869</v>
      </c>
      <c r="CS211" s="24">
        <f t="shared" ref="CS211" si="1691">CR163-CS163+CR178+CR179-CS178-CS179</f>
        <v>18.482058106132257</v>
      </c>
      <c r="CT211" s="24">
        <f t="shared" ref="CT211" si="1692">CS163-CT163+CS178+CS179-CT178-CT179</f>
        <v>-56.043565714270017</v>
      </c>
      <c r="CU211" s="24">
        <f t="shared" ref="CU211" si="1693">CT163-CU163+CT178+CT179-CU178-CU179</f>
        <v>22.490722950192776</v>
      </c>
      <c r="CV211" s="24">
        <f t="shared" ref="CV211" si="1694">CU163-CV163+CU178+CU179-CV178-CV179</f>
        <v>-21.912433605776584</v>
      </c>
      <c r="CW211" s="24">
        <f t="shared" ref="CW211" si="1695">CV163-CW163+CV178+CV179-CW178-CW179</f>
        <v>21.289761185223824</v>
      </c>
      <c r="CX211" s="24">
        <f t="shared" ref="CX211" si="1696">CW163-CX163+CW178+CW179-CX178-CX179</f>
        <v>-64.387638750235055</v>
      </c>
      <c r="CY211" s="24">
        <f t="shared" ref="CY211" si="1697">CX163-CY163+CX178+CX179-CY178-CY179</f>
        <v>25.723889609510593</v>
      </c>
      <c r="CZ211" s="24">
        <f t="shared" ref="CZ211" si="1698">CY163-CZ163+CY178+CY179-CZ178-CZ179</f>
        <v>-25.150807967801086</v>
      </c>
      <c r="DA211" s="24">
        <f t="shared" ref="DA211" si="1699">CZ163-DA163+CZ178+CZ179-DA178-DA179</f>
        <v>24.52215916249628</v>
      </c>
      <c r="DB211" s="24">
        <f t="shared" ref="DB211" si="1700">DA163-DB163+DA178+DA179-DB178-DB179</f>
        <v>-73.977076559477212</v>
      </c>
      <c r="DE211" s="123"/>
      <c r="DF211" s="23">
        <v>-48.570500000000003</v>
      </c>
    </row>
    <row r="212" spans="1:110" s="23" customFormat="1" x14ac:dyDescent="0.2">
      <c r="A212" s="23" t="s">
        <v>73</v>
      </c>
      <c r="C212" s="23">
        <f t="shared" ref="C212:AA212" si="1701">B171-C171</f>
        <v>3.1118141000000001</v>
      </c>
      <c r="D212" s="23">
        <f t="shared" si="1701"/>
        <v>0.42746639999999969</v>
      </c>
      <c r="E212" s="23">
        <f>D171-E171</f>
        <v>0.86386370000000001</v>
      </c>
      <c r="F212" s="23">
        <f t="shared" si="1701"/>
        <v>0.84640179999999998</v>
      </c>
      <c r="G212" s="23">
        <f t="shared" si="1701"/>
        <v>-7.5204722999999998</v>
      </c>
      <c r="H212" s="23">
        <f t="shared" si="1701"/>
        <v>3.2254975000000004</v>
      </c>
      <c r="I212" s="23">
        <f t="shared" si="1701"/>
        <v>-0.63751499999999961</v>
      </c>
      <c r="J212" s="23">
        <f>I171-J171</f>
        <v>-0.35515370000000068</v>
      </c>
      <c r="K212" s="23">
        <f>J171-K171</f>
        <v>3.5626177999999999</v>
      </c>
      <c r="L212" s="23">
        <f t="shared" si="1701"/>
        <v>-0.33731449999999974</v>
      </c>
      <c r="M212" s="23">
        <f t="shared" si="1701"/>
        <v>-0.46227330000000011</v>
      </c>
      <c r="N212" s="23">
        <f t="shared" si="1701"/>
        <v>-1.4040200999999999</v>
      </c>
      <c r="O212" s="23">
        <f t="shared" si="1701"/>
        <v>2.7806682999999994</v>
      </c>
      <c r="P212" s="23">
        <f t="shared" si="1701"/>
        <v>-0.12447979999999959</v>
      </c>
      <c r="Q212" s="23">
        <f t="shared" si="1701"/>
        <v>-0.39646790000000021</v>
      </c>
      <c r="R212" s="23">
        <f t="shared" si="1701"/>
        <v>1.3199448</v>
      </c>
      <c r="S212" s="23">
        <f t="shared" si="1701"/>
        <v>-3.0773158</v>
      </c>
      <c r="T212" s="23">
        <f t="shared" si="1701"/>
        <v>1.7257655999999999</v>
      </c>
      <c r="U212" s="23">
        <f t="shared" si="1701"/>
        <v>-11.0584366</v>
      </c>
      <c r="V212" s="23">
        <f t="shared" si="1701"/>
        <v>-5.6338317</v>
      </c>
      <c r="W212" s="23">
        <f t="shared" si="1701"/>
        <v>7.2074000000000016</v>
      </c>
      <c r="X212" s="23">
        <f t="shared" si="1701"/>
        <v>-1.0132000000000012</v>
      </c>
      <c r="Y212" s="23">
        <f t="shared" si="1701"/>
        <v>-26.604300000000002</v>
      </c>
      <c r="Z212" s="23">
        <f t="shared" si="1701"/>
        <v>8.5312000000000019</v>
      </c>
      <c r="AA212" s="23">
        <f t="shared" si="1701"/>
        <v>-5.487600000000004</v>
      </c>
      <c r="AB212" s="24">
        <f t="shared" ref="AB212" si="1702">AA171-AB171</f>
        <v>-6.2959667145050631</v>
      </c>
      <c r="AC212" s="24">
        <f t="shared" ref="AC212" si="1703">AB171-AC171</f>
        <v>-6.4961614429542749</v>
      </c>
      <c r="AD212" s="24">
        <f t="shared" ref="AD212" si="1704">AC171-AD171</f>
        <v>-7.4680803029752809</v>
      </c>
      <c r="AE212" s="24">
        <f t="shared" ref="AE212" si="1705">AD171-AE171</f>
        <v>-8.5855364563571896</v>
      </c>
      <c r="AI212" s="23">
        <f t="shared" ref="AI212" si="1706">AH171-AI171</f>
        <v>0</v>
      </c>
      <c r="AJ212" s="23">
        <f t="shared" ref="AJ212" si="1707">AI171-AJ171</f>
        <v>-4.0049999999999999</v>
      </c>
      <c r="AK212" s="23">
        <f t="shared" ref="AK212" si="1708">AJ171-AK171</f>
        <v>-5.3011367770098223</v>
      </c>
      <c r="AL212" s="23">
        <f t="shared" ref="AL212" si="1709">AK171-AL171</f>
        <v>3.9581367770098215</v>
      </c>
      <c r="AM212" s="23">
        <f t="shared" ref="AM212" si="1710">AL171-AM171</f>
        <v>0.22776785088914053</v>
      </c>
      <c r="AN212" s="23">
        <f t="shared" ref="AN212" si="1711">AM171-AN171</f>
        <v>2.92023214911086</v>
      </c>
      <c r="AO212" s="23">
        <f t="shared" ref="AO212" si="1712">AN171-AO171</f>
        <v>-0.56831547619047562</v>
      </c>
      <c r="AP212" s="23">
        <f t="shared" ref="AP212" si="1713">AO171-AP171</f>
        <v>-0.81868452380952395</v>
      </c>
      <c r="AQ212" s="23">
        <f t="shared" ref="AQ212" si="1714">AP171-AQ171</f>
        <v>-0.39796017983301279</v>
      </c>
      <c r="AR212" s="23">
        <f t="shared" ref="AR212" si="1715">AQ171-AR171</f>
        <v>1.6529601798330127</v>
      </c>
      <c r="AS212" s="23">
        <f t="shared" ref="AS212" si="1716">AR171-AS171</f>
        <v>0.34444449830344137</v>
      </c>
      <c r="AT212" s="23">
        <f t="shared" ref="AT212" si="1717">AS171-AT171</f>
        <v>-1.7244444983034413</v>
      </c>
      <c r="AU212" s="23">
        <f t="shared" ref="AU212" si="1718">AT171-AU171</f>
        <v>5.6626597255087674E-2</v>
      </c>
      <c r="AV212" s="23">
        <f t="shared" ref="AV212" si="1719">AU171-AV171</f>
        <v>-0.299626597255088</v>
      </c>
      <c r="AW212" s="23">
        <f t="shared" ref="AW212" si="1720">AV171-AW171</f>
        <v>7.7836150845254082E-3</v>
      </c>
      <c r="AX212" s="23">
        <f t="shared" ref="AX212" si="1721">AW171-AX171</f>
        <v>-0.16078361508452588</v>
      </c>
      <c r="AY212" s="23">
        <f t="shared" ref="AY212" si="1722">AX171-AY171</f>
        <v>0.13001362294709828</v>
      </c>
      <c r="AZ212" s="23">
        <f t="shared" ref="AZ212" si="1723">AY171-AZ171</f>
        <v>0.58098637705290246</v>
      </c>
      <c r="BA212" s="23">
        <f t="shared" ref="BA212" si="1724">AZ171-BA171</f>
        <v>-6.1932181701855438E-2</v>
      </c>
      <c r="BB212" s="23">
        <f t="shared" ref="BB212" si="1725">BA171-BB171</f>
        <v>0.67093218170185498</v>
      </c>
      <c r="BC212" s="23">
        <f t="shared" ref="BC212" si="1726">BB171-BC171</f>
        <v>4.0850746268656923E-2</v>
      </c>
      <c r="BD212" s="23">
        <f t="shared" ref="BD212" si="1727">BC171-BD171</f>
        <v>-9.1258507462686573</v>
      </c>
      <c r="BE212" s="23">
        <f t="shared" ref="BE212" si="1728">BD171-BE171</f>
        <v>-1.1035298954942583</v>
      </c>
      <c r="BF212" s="23">
        <f t="shared" ref="BF212" si="1729">BE171-BF171</f>
        <v>8.1305298954942593</v>
      </c>
      <c r="BG212" s="23">
        <f t="shared" ref="BG212" si="1730">BF171-BG171</f>
        <v>0.2987762659559543</v>
      </c>
      <c r="BH212" s="23">
        <f t="shared" ref="BH212" si="1731">BG171-BH171</f>
        <v>3.0223734044046324E-2</v>
      </c>
      <c r="BI212" s="23">
        <f t="shared" ref="BI212" si="1732">BH171-BI171</f>
        <v>-0.28644204049225941</v>
      </c>
      <c r="BJ212" s="23">
        <f t="shared" ref="BJ212" si="1733">BI171-BJ171</f>
        <v>1.6834420404922588</v>
      </c>
      <c r="BK212" s="23">
        <f t="shared" ref="BK212" si="1734">BJ171-BK171</f>
        <v>6.7206963249516249E-2</v>
      </c>
      <c r="BL212" s="23">
        <f t="shared" ref="BL212" si="1735">BK171-BL171</f>
        <v>2.7793036750483502E-2</v>
      </c>
      <c r="BM212" s="23">
        <f t="shared" ref="BM212" si="1736">BL171-BM171</f>
        <v>-0.20033023198114375</v>
      </c>
      <c r="BN212" s="23">
        <f t="shared" ref="BN212" si="1737">BM171-BN171</f>
        <v>-10.953669768018855</v>
      </c>
      <c r="BO212" s="23">
        <f t="shared" ref="BO212" si="1738">BN171-BO171</f>
        <v>0.75672794321010173</v>
      </c>
      <c r="BP212" s="23">
        <f t="shared" ref="BP212" si="1739">BO171-BP171</f>
        <v>-1.8527279432101036</v>
      </c>
      <c r="BQ212" s="23">
        <f t="shared" ref="BQ212" si="1740">BP171-BQ171</f>
        <v>-6.4896255693168197</v>
      </c>
      <c r="BR212" s="23">
        <f t="shared" ref="BR212" si="1741">BQ171-BR171</f>
        <v>1.9516255693168176</v>
      </c>
      <c r="BS212" s="23">
        <f t="shared" ref="BS212" si="1742">BR171-BS171</f>
        <v>0.17320359219626624</v>
      </c>
      <c r="BT212" s="23">
        <f t="shared" ref="BT212" si="1743">BS171-BT171</f>
        <v>-4.6682035921962637</v>
      </c>
      <c r="BU212" s="23">
        <f t="shared" ref="BU212" si="1744">BT171-BU171</f>
        <v>-2.3534348276755637</v>
      </c>
      <c r="BV212" s="23">
        <f t="shared" ref="BV212" si="1745">BU171-BV171</f>
        <v>14.056434827675563</v>
      </c>
      <c r="BW212" s="23">
        <f t="shared" ref="BW212" si="1746">BV171-BW171</f>
        <v>0.29806504099852305</v>
      </c>
      <c r="BX212" s="23">
        <f t="shared" ref="BX212" si="1747">BW171-BX171</f>
        <v>-2.4940650409985228</v>
      </c>
      <c r="BY212" s="23">
        <f t="shared" ref="BY212" si="1748">BX171-BY171</f>
        <v>-0.3541487922705322</v>
      </c>
      <c r="BZ212" s="23">
        <f t="shared" ref="BZ212" si="1749">BY171-BZ171</f>
        <v>1.5371487922705338</v>
      </c>
      <c r="CA212" s="23">
        <f t="shared" ref="CA212" si="1750">BZ171-CA171</f>
        <v>-0.95412425044259663</v>
      </c>
      <c r="CB212" s="23">
        <f t="shared" ref="CB212" si="1751">CA171-CB171</f>
        <v>-15.161875749557407</v>
      </c>
      <c r="CC212" s="23">
        <f t="shared" ref="CC212" si="1752">CB171-CC171</f>
        <v>-0.29593860085030954</v>
      </c>
      <c r="CD212" s="23">
        <f t="shared" ref="CD212" si="1753">CC171-CD171</f>
        <v>-10.19206139914969</v>
      </c>
      <c r="CE212" s="23">
        <f t="shared" ref="CE212" si="1754">CD171-CE171</f>
        <v>-1.3983744163214453</v>
      </c>
      <c r="CF212" s="23">
        <f t="shared" ref="CF212" si="1755">CE171-CF171</f>
        <v>-19.055625583678555</v>
      </c>
      <c r="CG212" s="23">
        <f t="shared" ref="CG212" si="1756">CF171-CG171</f>
        <v>0.65753559803668082</v>
      </c>
      <c r="CH212" s="23">
        <f t="shared" ref="CH212:CL212" si="1757">CG171-CH171</f>
        <v>28.327264401963323</v>
      </c>
      <c r="CI212" s="23">
        <f t="shared" si="1757"/>
        <v>-1.7061176671200293</v>
      </c>
      <c r="CJ212" s="23">
        <f t="shared" si="1757"/>
        <v>-1.1746823328799749</v>
      </c>
      <c r="CK212" s="24">
        <f t="shared" ref="CK212" si="1758">CJ171-CK171</f>
        <v>2.3094580100328415</v>
      </c>
      <c r="CL212" s="23">
        <f t="shared" si="1757"/>
        <v>-4.9164580100328408</v>
      </c>
      <c r="CM212" s="24">
        <f t="shared" ref="CM212" si="1759">CL171-CM171</f>
        <v>2.3766809435026488</v>
      </c>
      <c r="CN212" s="24">
        <f t="shared" ref="CN212" si="1760">CM171-CN171</f>
        <v>-2.9221216765894695</v>
      </c>
      <c r="CO212" s="24">
        <f t="shared" ref="CO212" si="1761">CN171-CO171</f>
        <v>2.8178357058252033</v>
      </c>
      <c r="CP212" s="24">
        <f t="shared" ref="CP212" si="1762">CO171-CP171</f>
        <v>-8.5681616872434461</v>
      </c>
      <c r="CQ212" s="24">
        <f t="shared" ref="CQ212" si="1763">CP171-CQ171</f>
        <v>3.4544898198539897</v>
      </c>
      <c r="CR212" s="24">
        <f t="shared" ref="CR212" si="1764">CQ171-CR171</f>
        <v>-3.3534012221195155</v>
      </c>
      <c r="CS212" s="24">
        <f t="shared" ref="CS212" si="1765">CR171-CS171</f>
        <v>3.2461625306614863</v>
      </c>
      <c r="CT212" s="24">
        <f t="shared" ref="CT212" si="1766">CS171-CT171</f>
        <v>-9.8434125713502354</v>
      </c>
      <c r="CU212" s="24">
        <f t="shared" ref="CU212" si="1767">CT171-CU171</f>
        <v>3.9502387509635639</v>
      </c>
      <c r="CV212" s="24">
        <f t="shared" ref="CV212" si="1768">CU171-CV171</f>
        <v>-3.8486688288832127</v>
      </c>
      <c r="CW212" s="24">
        <f t="shared" ref="CW212" si="1769">CV171-CW171</f>
        <v>3.7393035261194498</v>
      </c>
      <c r="CX212" s="24">
        <f t="shared" ref="CX212" si="1770">CW171-CX171</f>
        <v>-11.308953751175082</v>
      </c>
      <c r="CY212" s="24">
        <f t="shared" ref="CY212" si="1771">CX171-CY171</f>
        <v>4.5181075675527325</v>
      </c>
      <c r="CZ212" s="24">
        <f t="shared" ref="CZ212" si="1772">CY171-CZ171</f>
        <v>-4.4174523190060313</v>
      </c>
      <c r="DA212" s="24">
        <f t="shared" ref="DA212" si="1773">CZ171-DA171</f>
        <v>4.3070373324819684</v>
      </c>
      <c r="DB212" s="24">
        <f t="shared" ref="DB212" si="1774">DA171-DB171</f>
        <v>-12.993229037385859</v>
      </c>
      <c r="DE212" s="123"/>
      <c r="DF212" s="23">
        <v>-5.4878000000000036</v>
      </c>
    </row>
    <row r="213" spans="1:110" s="22" customFormat="1" x14ac:dyDescent="0.2">
      <c r="A213" s="22" t="s">
        <v>90</v>
      </c>
      <c r="C213" s="22">
        <f t="shared" ref="C213:W213" si="1775">C211-C212</f>
        <v>8.0312709999999985</v>
      </c>
      <c r="D213" s="22">
        <f t="shared" si="1775"/>
        <v>1.0793010000000007</v>
      </c>
      <c r="E213" s="22">
        <f t="shared" si="1775"/>
        <v>-0.13802560000000119</v>
      </c>
      <c r="F213" s="22">
        <f t="shared" si="1775"/>
        <v>-1.2601893000000006</v>
      </c>
      <c r="G213" s="22">
        <f t="shared" si="1775"/>
        <v>5.0956301000000002</v>
      </c>
      <c r="H213" s="22">
        <f t="shared" si="1775"/>
        <v>-3.2789977000000006</v>
      </c>
      <c r="I213" s="22">
        <f t="shared" si="1775"/>
        <v>-1.9125950999999999</v>
      </c>
      <c r="J213" s="22">
        <f>J211-J212</f>
        <v>-2.3266778000000015</v>
      </c>
      <c r="K213" s="22">
        <f t="shared" si="1775"/>
        <v>-0.37334809999999807</v>
      </c>
      <c r="L213" s="22">
        <f t="shared" si="1775"/>
        <v>-1.0502815000000005</v>
      </c>
      <c r="M213" s="22">
        <f t="shared" si="1775"/>
        <v>0.53611849999999983</v>
      </c>
      <c r="N213" s="22">
        <f t="shared" si="1775"/>
        <v>-0.32038519999999981</v>
      </c>
      <c r="O213" s="22">
        <f t="shared" si="1775"/>
        <v>-5.5223863999999967</v>
      </c>
      <c r="P213" s="22">
        <f t="shared" si="1775"/>
        <v>0.59396469999999568</v>
      </c>
      <c r="Q213" s="22">
        <f t="shared" si="1775"/>
        <v>-0.50475650000000161</v>
      </c>
      <c r="R213" s="22">
        <f t="shared" si="1775"/>
        <v>-3.0970370999999934</v>
      </c>
      <c r="S213" s="22">
        <f t="shared" si="1775"/>
        <v>4.5643608999999961</v>
      </c>
      <c r="T213" s="22">
        <f t="shared" si="1775"/>
        <v>-7.3078484000000001</v>
      </c>
      <c r="U213" s="22">
        <f t="shared" si="1775"/>
        <v>-8.3245616000000062</v>
      </c>
      <c r="V213" s="22">
        <f t="shared" si="1775"/>
        <v>23.021512500000007</v>
      </c>
      <c r="W213" s="22">
        <f t="shared" si="1775"/>
        <v>-53.86549999999999</v>
      </c>
      <c r="X213" s="22">
        <f t="shared" ref="X213:Y213" si="1776">X211-X212</f>
        <v>-33.952799999999996</v>
      </c>
      <c r="Y213" s="22">
        <f t="shared" si="1776"/>
        <v>-1.5038000000000089</v>
      </c>
      <c r="Z213" s="22">
        <f t="shared" ref="Z213:AA213" si="1777">Z211-Z212</f>
        <v>-35.535599999999974</v>
      </c>
      <c r="AA213" s="22">
        <f t="shared" ref="AA213" si="1778">AA211-AA212</f>
        <v>-43.084100000000049</v>
      </c>
      <c r="AB213" s="21">
        <f t="shared" ref="AB213:AD213" si="1779">AB211-AB212</f>
        <v>-29.547842628395848</v>
      </c>
      <c r="AC213" s="21">
        <f t="shared" si="1779"/>
        <v>-30.489797245636566</v>
      </c>
      <c r="AD213" s="21">
        <f t="shared" si="1779"/>
        <v>-35.051507917619759</v>
      </c>
      <c r="AE213" s="21">
        <f t="shared" ref="AE213" si="1780">AE211-AE212</f>
        <v>-40.296299298914235</v>
      </c>
      <c r="AI213" s="22">
        <f t="shared" ref="AI213" si="1781">AI211-AI212</f>
        <v>0</v>
      </c>
      <c r="AJ213" s="22">
        <f t="shared" ref="AJ213:AL213" si="1782">AJ211-AJ212</f>
        <v>-16.896000000000001</v>
      </c>
      <c r="AK213" s="22">
        <f t="shared" si="1782"/>
        <v>-40.776964350672969</v>
      </c>
      <c r="AL213" s="22">
        <f t="shared" si="1782"/>
        <v>47.741964350672973</v>
      </c>
      <c r="AM213" s="22">
        <f t="shared" ref="AM213" si="1783">AM211-AM212</f>
        <v>11.519336005292036</v>
      </c>
      <c r="AN213" s="22">
        <f t="shared" ref="AN213:CD213" si="1784">AN211-AN212</f>
        <v>-10.476336005292037</v>
      </c>
      <c r="AO213" s="22">
        <f t="shared" si="1784"/>
        <v>-4.6305833333333322</v>
      </c>
      <c r="AP213" s="22">
        <f t="shared" si="1784"/>
        <v>-0.91441666666666643</v>
      </c>
      <c r="AQ213" s="22">
        <f t="shared" si="1784"/>
        <v>-5.7597328195247259</v>
      </c>
      <c r="AR213" s="22">
        <f t="shared" si="1784"/>
        <v>2.9757328195247261</v>
      </c>
      <c r="AS213" s="22">
        <f t="shared" si="1784"/>
        <v>5.5017009209888501</v>
      </c>
      <c r="AT213" s="22">
        <f t="shared" si="1784"/>
        <v>-2.1237009209888487</v>
      </c>
      <c r="AU213" s="22">
        <f t="shared" si="1784"/>
        <v>1.7669417889256991</v>
      </c>
      <c r="AV213" s="22">
        <f t="shared" si="1784"/>
        <v>-6.2749417889257</v>
      </c>
      <c r="AW213" s="22">
        <f t="shared" si="1784"/>
        <v>0.11787152145643809</v>
      </c>
      <c r="AX213" s="22">
        <f t="shared" si="1784"/>
        <v>3.8851284785435665</v>
      </c>
      <c r="AY213" s="22">
        <f t="shared" si="1784"/>
        <v>6.5463070460909645</v>
      </c>
      <c r="AZ213" s="22">
        <f t="shared" si="1784"/>
        <v>-7.3143070460909669</v>
      </c>
      <c r="BA213" s="22">
        <f t="shared" si="1784"/>
        <v>-0.90575815738963472</v>
      </c>
      <c r="BB213" s="22">
        <f t="shared" si="1784"/>
        <v>-1.4232418426103655</v>
      </c>
      <c r="BC213" s="22">
        <f t="shared" si="1784"/>
        <v>1.3576818181818164</v>
      </c>
      <c r="BD213" s="22">
        <f t="shared" si="1784"/>
        <v>-4.6026818181818179</v>
      </c>
      <c r="BE213" s="22">
        <f t="shared" si="1784"/>
        <v>-9.5446859688196035</v>
      </c>
      <c r="BF213" s="22">
        <f t="shared" si="1784"/>
        <v>16.334685968819603</v>
      </c>
      <c r="BG213" s="22">
        <f t="shared" si="1784"/>
        <v>1.971020620002804</v>
      </c>
      <c r="BH213" s="22">
        <f t="shared" si="1784"/>
        <v>1.5079793799971948</v>
      </c>
      <c r="BI213" s="22">
        <f t="shared" si="1784"/>
        <v>-4.0933237395791959</v>
      </c>
      <c r="BJ213" s="22">
        <f t="shared" si="1784"/>
        <v>-6.6936762604208013</v>
      </c>
      <c r="BK213" s="22">
        <f t="shared" si="1784"/>
        <v>8.6140924979276026</v>
      </c>
      <c r="BL213" s="22">
        <f t="shared" si="1784"/>
        <v>-4.2280924979276042</v>
      </c>
      <c r="BM213" s="22">
        <f t="shared" si="1784"/>
        <v>-10.780186577347717</v>
      </c>
      <c r="BN213" s="22">
        <f t="shared" si="1784"/>
        <v>-4.9708134226522755</v>
      </c>
      <c r="BO213" s="22">
        <f t="shared" si="1784"/>
        <v>16.159598967456432</v>
      </c>
      <c r="BP213" s="22">
        <f t="shared" si="1784"/>
        <v>-9.4485989674564355</v>
      </c>
      <c r="BQ213" s="22">
        <f t="shared" si="1784"/>
        <v>-22.339977946464238</v>
      </c>
      <c r="BR213" s="22">
        <f t="shared" si="1784"/>
        <v>39.062977946464237</v>
      </c>
      <c r="BS213" s="22">
        <f t="shared" si="1784"/>
        <v>8.0861786807968841</v>
      </c>
      <c r="BT213" s="22">
        <f t="shared" si="1784"/>
        <v>-29.134178680796886</v>
      </c>
      <c r="BU213" s="22">
        <f t="shared" si="1784"/>
        <v>-29.382545348535892</v>
      </c>
      <c r="BV213" s="22">
        <f t="shared" si="1784"/>
        <v>-3.0184546514641024</v>
      </c>
      <c r="BW213" s="22">
        <f t="shared" si="1784"/>
        <v>22.047102699693845</v>
      </c>
      <c r="BX213" s="22">
        <f t="shared" si="1784"/>
        <v>-45.112102699693843</v>
      </c>
      <c r="BY213" s="22">
        <f t="shared" si="1784"/>
        <v>-4.7087481021394275</v>
      </c>
      <c r="BZ213" s="22">
        <f t="shared" si="1784"/>
        <v>-5.7642518978605839</v>
      </c>
      <c r="CA213" s="22">
        <f t="shared" si="1784"/>
        <v>-25.434146085168742</v>
      </c>
      <c r="CB213" s="22">
        <f t="shared" si="1784"/>
        <v>22.20414608516877</v>
      </c>
      <c r="CC213" s="22">
        <f t="shared" si="1784"/>
        <v>-9.2116746728507728</v>
      </c>
      <c r="CD213" s="22">
        <f t="shared" si="1784"/>
        <v>7.4836746728507295</v>
      </c>
      <c r="CE213" s="22">
        <f t="shared" ref="CE213:CF213" si="1785">CE211-CE212</f>
        <v>-25.001391992528909</v>
      </c>
      <c r="CF213" s="22">
        <f t="shared" si="1785"/>
        <v>0.1143919925289012</v>
      </c>
      <c r="CG213" s="22">
        <f t="shared" ref="CG213:CH213" si="1786">CG211-CG212</f>
        <v>12.630532885559312</v>
      </c>
      <c r="CH213" s="22">
        <f t="shared" si="1786"/>
        <v>-18.028832885559268</v>
      </c>
      <c r="CI213" s="22">
        <f t="shared" ref="CI213:CJ213" si="1787">CI211-CI212</f>
        <v>-7.047856486876011</v>
      </c>
      <c r="CJ213" s="22">
        <f t="shared" si="1787"/>
        <v>-17.722843513123987</v>
      </c>
      <c r="CK213" s="21">
        <f t="shared" ref="CK213:DB213" si="1788">CK211-CK212</f>
        <v>10.399976000577453</v>
      </c>
      <c r="CL213" s="22">
        <f t="shared" si="1788"/>
        <v>-28.711976000577451</v>
      </c>
      <c r="CM213" s="21">
        <f t="shared" si="1788"/>
        <v>11.154975245197917</v>
      </c>
      <c r="CN213" s="21">
        <f t="shared" si="1788"/>
        <v>-13.715006658728399</v>
      </c>
      <c r="CO213" s="21">
        <f t="shared" si="1788"/>
        <v>13.225539435339797</v>
      </c>
      <c r="CP213" s="21">
        <f t="shared" si="1788"/>
        <v>-40.214750650205218</v>
      </c>
      <c r="CQ213" s="21">
        <f t="shared" si="1788"/>
        <v>16.213681744116798</v>
      </c>
      <c r="CR213" s="21">
        <f t="shared" si="1788"/>
        <v>-15.739221422304354</v>
      </c>
      <c r="CS213" s="21">
        <f t="shared" si="1788"/>
        <v>15.235895575470771</v>
      </c>
      <c r="CT213" s="21">
        <f t="shared" si="1788"/>
        <v>-46.200153142919781</v>
      </c>
      <c r="CU213" s="21">
        <f t="shared" si="1788"/>
        <v>18.540484199229212</v>
      </c>
      <c r="CV213" s="21">
        <f t="shared" si="1788"/>
        <v>-18.063764776893372</v>
      </c>
      <c r="CW213" s="21">
        <f t="shared" si="1788"/>
        <v>17.550457659104374</v>
      </c>
      <c r="CX213" s="21">
        <f t="shared" si="1788"/>
        <v>-53.078684999059973</v>
      </c>
      <c r="CY213" s="21">
        <f t="shared" si="1788"/>
        <v>21.20578204195786</v>
      </c>
      <c r="CZ213" s="21">
        <f t="shared" si="1788"/>
        <v>-20.733355648795055</v>
      </c>
      <c r="DA213" s="21">
        <f t="shared" si="1788"/>
        <v>20.215121830014311</v>
      </c>
      <c r="DB213" s="21">
        <f t="shared" si="1788"/>
        <v>-60.983847522091352</v>
      </c>
      <c r="DE213" s="126"/>
      <c r="DF213" s="22">
        <v>-43.082700000000003</v>
      </c>
    </row>
    <row r="214" spans="1:110" s="22" customFormat="1" x14ac:dyDescent="0.2">
      <c r="A214" s="22" t="s">
        <v>91</v>
      </c>
      <c r="C214" s="22">
        <f t="shared" ref="C214:W214" si="1789">C210+C213</f>
        <v>5.7827559999999982</v>
      </c>
      <c r="D214" s="22">
        <f>D210+D213</f>
        <v>1.9218868000000018</v>
      </c>
      <c r="E214" s="22">
        <f t="shared" si="1789"/>
        <v>0.48529069999999841</v>
      </c>
      <c r="F214" s="22">
        <f t="shared" si="1789"/>
        <v>0.21342119999999976</v>
      </c>
      <c r="G214" s="22">
        <f t="shared" si="1789"/>
        <v>6.7889324999999996</v>
      </c>
      <c r="H214" s="22">
        <f t="shared" si="1789"/>
        <v>-4.0047500000000902E-2</v>
      </c>
      <c r="I214" s="22">
        <f t="shared" si="1789"/>
        <v>2.5670104</v>
      </c>
      <c r="J214" s="22">
        <f>J210+J213</f>
        <v>1.3429748999999993</v>
      </c>
      <c r="K214" s="22">
        <f t="shared" si="1789"/>
        <v>1.9244385000000044</v>
      </c>
      <c r="L214" s="22">
        <f t="shared" si="1789"/>
        <v>2.552595699999995</v>
      </c>
      <c r="M214" s="22">
        <f t="shared" si="1789"/>
        <v>5.6218104000000011</v>
      </c>
      <c r="N214" s="22">
        <f t="shared" si="1789"/>
        <v>7.4628801000000031</v>
      </c>
      <c r="O214" s="22">
        <f t="shared" si="1789"/>
        <v>-4.5662080999999954</v>
      </c>
      <c r="P214" s="22">
        <f t="shared" si="1789"/>
        <v>3.3739884999999932</v>
      </c>
      <c r="Q214" s="22">
        <f t="shared" si="1789"/>
        <v>1.8267095999999985</v>
      </c>
      <c r="R214" s="22">
        <f t="shared" si="1789"/>
        <v>-0.41995889999998948</v>
      </c>
      <c r="S214" s="22">
        <f t="shared" si="1789"/>
        <v>23.504824800000002</v>
      </c>
      <c r="T214" s="22">
        <f t="shared" si="1789"/>
        <v>4.2472512000000053</v>
      </c>
      <c r="U214" s="22">
        <f t="shared" si="1789"/>
        <v>4.9718438999999961</v>
      </c>
      <c r="V214" s="22">
        <f t="shared" si="1789"/>
        <v>41.429512500000023</v>
      </c>
      <c r="W214" s="22">
        <f t="shared" si="1789"/>
        <v>-31.936399999999985</v>
      </c>
      <c r="X214" s="22">
        <f t="shared" ref="X214:Y214" si="1790">X210+X213</f>
        <v>-1.6007000000000033</v>
      </c>
      <c r="Y214" s="22">
        <f t="shared" si="1790"/>
        <v>58.181499999999957</v>
      </c>
      <c r="Z214" s="22">
        <f t="shared" ref="Z214:AA214" si="1791">Z210+Z213</f>
        <v>32.362600000000015</v>
      </c>
      <c r="AA214" s="22">
        <f t="shared" ref="AA214" si="1792">AA210+AA213</f>
        <v>-8.1652000000000555</v>
      </c>
      <c r="AB214" s="21">
        <f t="shared" ref="AB214:AD214" si="1793">AB210+AB213</f>
        <v>16.596194457062857</v>
      </c>
      <c r="AC214" s="21">
        <f t="shared" si="1793"/>
        <v>17.844943709142015</v>
      </c>
      <c r="AD214" s="21">
        <f t="shared" si="1793"/>
        <v>16.55780023981761</v>
      </c>
      <c r="AE214" s="21">
        <f t="shared" ref="AE214" si="1794">AE210+AE213</f>
        <v>15.771138099664128</v>
      </c>
      <c r="AI214" s="22">
        <f t="shared" ref="AI214" si="1795">AI210+AI213</f>
        <v>1.501000000000001</v>
      </c>
      <c r="AJ214" s="22">
        <f t="shared" ref="AJ214:AL214" si="1796">AJ210+AJ213</f>
        <v>-16.510000000000002</v>
      </c>
      <c r="AK214" s="22">
        <f t="shared" si="1796"/>
        <v>-38.628964350672973</v>
      </c>
      <c r="AL214" s="22">
        <f t="shared" si="1796"/>
        <v>51.432964350672975</v>
      </c>
      <c r="AM214" s="22">
        <f t="shared" ref="AM214" si="1797">AM210+AM213</f>
        <v>10.638336005292036</v>
      </c>
      <c r="AN214" s="22">
        <f t="shared" ref="AN214:CD214" si="1798">AN210+AN213</f>
        <v>-11.144336005292038</v>
      </c>
      <c r="AO214" s="22">
        <f t="shared" si="1798"/>
        <v>-3.7155833333333321</v>
      </c>
      <c r="AP214" s="22">
        <f t="shared" si="1798"/>
        <v>0.51758333333333395</v>
      </c>
      <c r="AQ214" s="22">
        <f t="shared" si="1798"/>
        <v>-6.9287328195247255</v>
      </c>
      <c r="AR214" s="22">
        <f t="shared" si="1798"/>
        <v>5.924732819524726</v>
      </c>
      <c r="AS214" s="22">
        <f t="shared" si="1798"/>
        <v>6.17970092098885</v>
      </c>
      <c r="AT214" s="22">
        <f t="shared" si="1798"/>
        <v>-1.8057009209888493</v>
      </c>
      <c r="AU214" s="22">
        <f t="shared" si="1798"/>
        <v>2.4039417889256995</v>
      </c>
      <c r="AV214" s="22">
        <f t="shared" si="1798"/>
        <v>-5.6469417889256999</v>
      </c>
      <c r="AW214" s="22">
        <f t="shared" si="1798"/>
        <v>0.74487152145643765</v>
      </c>
      <c r="AX214" s="22">
        <f t="shared" si="1798"/>
        <v>4.3241284785435639</v>
      </c>
      <c r="AY214" s="22">
        <f t="shared" si="1798"/>
        <v>7.3183070460909647</v>
      </c>
      <c r="AZ214" s="22">
        <f t="shared" si="1798"/>
        <v>-6.5783070460909663</v>
      </c>
      <c r="BA214" s="22">
        <f t="shared" si="1798"/>
        <v>-0.13375815738963459</v>
      </c>
      <c r="BB214" s="22">
        <f t="shared" si="1798"/>
        <v>-1.0242418426103652</v>
      </c>
      <c r="BC214" s="22">
        <f t="shared" si="1798"/>
        <v>13.928681818181818</v>
      </c>
      <c r="BD214" s="22">
        <f t="shared" si="1798"/>
        <v>-0.99368181818181789</v>
      </c>
      <c r="BE214" s="22">
        <f t="shared" si="1798"/>
        <v>-5.9776859688196016</v>
      </c>
      <c r="BF214" s="22">
        <f t="shared" si="1798"/>
        <v>15.533685968819601</v>
      </c>
      <c r="BG214" s="22">
        <f t="shared" si="1798"/>
        <v>4.8560206200028038</v>
      </c>
      <c r="BH214" s="22">
        <f t="shared" si="1798"/>
        <v>2.6429793799971946</v>
      </c>
      <c r="BI214" s="22">
        <f t="shared" si="1798"/>
        <v>-0.25432373957919596</v>
      </c>
      <c r="BJ214" s="22">
        <f t="shared" si="1798"/>
        <v>-2.9186762604207996</v>
      </c>
      <c r="BK214" s="22">
        <f t="shared" si="1798"/>
        <v>10.480092497927604</v>
      </c>
      <c r="BL214" s="22">
        <f t="shared" si="1798"/>
        <v>-1.2660924979276058</v>
      </c>
      <c r="BM214" s="22">
        <f t="shared" si="1798"/>
        <v>-7.275186577347716</v>
      </c>
      <c r="BN214" s="22">
        <f t="shared" si="1798"/>
        <v>0.16618657734772224</v>
      </c>
      <c r="BO214" s="22">
        <f t="shared" si="1798"/>
        <v>18.323598967456434</v>
      </c>
      <c r="BP214" s="22">
        <f t="shared" si="1798"/>
        <v>-5.4085989674564328</v>
      </c>
      <c r="BQ214" s="22">
        <f t="shared" si="1798"/>
        <v>-16.604977946464238</v>
      </c>
      <c r="BR214" s="22">
        <f t="shared" si="1798"/>
        <v>45.560977946464234</v>
      </c>
      <c r="BS214" s="22">
        <f t="shared" si="1798"/>
        <v>12.067178680796882</v>
      </c>
      <c r="BT214" s="22">
        <f t="shared" si="1798"/>
        <v>-24.724178680796886</v>
      </c>
      <c r="BU214" s="22">
        <f t="shared" si="1798"/>
        <v>-23.008545348535893</v>
      </c>
      <c r="BV214" s="22">
        <f t="shared" si="1798"/>
        <v>4.2205453485359001</v>
      </c>
      <c r="BW214" s="22">
        <f t="shared" si="1798"/>
        <v>27.781102699693847</v>
      </c>
      <c r="BX214" s="22">
        <f t="shared" si="1798"/>
        <v>-37.608102699693845</v>
      </c>
      <c r="BY214" s="22">
        <f t="shared" si="1798"/>
        <v>3.502251897860571</v>
      </c>
      <c r="BZ214" s="22">
        <f t="shared" si="1798"/>
        <v>5.3937481021394102</v>
      </c>
      <c r="CA214" s="22">
        <f t="shared" si="1798"/>
        <v>-15.851146085168748</v>
      </c>
      <c r="CB214" s="22">
        <f t="shared" si="1798"/>
        <v>39.914146085168767</v>
      </c>
      <c r="CC214" s="22">
        <f t="shared" si="1798"/>
        <v>8.9463253271492285</v>
      </c>
      <c r="CD214" s="22">
        <f t="shared" si="1798"/>
        <v>22.088674672850729</v>
      </c>
      <c r="CE214" s="22">
        <f t="shared" ref="CE214:CF214" si="1799">CE210+CE213</f>
        <v>-14.764391992528905</v>
      </c>
      <c r="CF214" s="22">
        <f t="shared" si="1799"/>
        <v>25.972391992528909</v>
      </c>
      <c r="CG214" s="22">
        <f t="shared" ref="CG214:CH214" si="1800">CG210+CG213</f>
        <v>35.763532885559314</v>
      </c>
      <c r="CH214" s="22">
        <f t="shared" si="1800"/>
        <v>-9.0078328855592709</v>
      </c>
      <c r="CI214" s="22">
        <f t="shared" ref="CI214:CJ214" si="1801">CI210+CI213</f>
        <v>0.57514351312398393</v>
      </c>
      <c r="CJ214" s="22">
        <f t="shared" si="1801"/>
        <v>-8.7018435131239915</v>
      </c>
      <c r="CK214" s="21">
        <f t="shared" ref="CK214:DB214" si="1802">CK210+CK213</f>
        <v>18.499976000577441</v>
      </c>
      <c r="CL214" s="22">
        <f t="shared" si="1802"/>
        <v>-18.371976000577451</v>
      </c>
      <c r="CM214" s="21">
        <f t="shared" si="1802"/>
        <v>22.392580505967807</v>
      </c>
      <c r="CN214" s="21">
        <f t="shared" si="1802"/>
        <v>-2.0933930128643397</v>
      </c>
      <c r="CO214" s="21">
        <f t="shared" si="1802"/>
        <v>24.10287850989743</v>
      </c>
      <c r="CP214" s="21">
        <f t="shared" si="1802"/>
        <v>-27.807271545938132</v>
      </c>
      <c r="CQ214" s="21">
        <f t="shared" si="1802"/>
        <v>27.990981579989942</v>
      </c>
      <c r="CR214" s="21">
        <f t="shared" si="1802"/>
        <v>-3.6184970948398423</v>
      </c>
      <c r="CS214" s="21">
        <f t="shared" si="1802"/>
        <v>26.54630594468631</v>
      </c>
      <c r="CT214" s="21">
        <f t="shared" si="1802"/>
        <v>-33.073846720694398</v>
      </c>
      <c r="CU214" s="21">
        <f t="shared" si="1802"/>
        <v>31.036021297268015</v>
      </c>
      <c r="CV214" s="21">
        <f t="shared" si="1802"/>
        <v>-5.1468629885903425</v>
      </c>
      <c r="CW214" s="21">
        <f t="shared" si="1802"/>
        <v>29.585692293722452</v>
      </c>
      <c r="CX214" s="21">
        <f t="shared" si="1802"/>
        <v>-38.917050362582486</v>
      </c>
      <c r="CY214" s="21">
        <f t="shared" si="1802"/>
        <v>34.699586439874665</v>
      </c>
      <c r="CZ214" s="21">
        <f t="shared" si="1802"/>
        <v>-6.7182453885734468</v>
      </c>
      <c r="DA214" s="21">
        <f t="shared" si="1802"/>
        <v>33.254858078204492</v>
      </c>
      <c r="DB214" s="21">
        <f t="shared" si="1802"/>
        <v>-45.465061029841593</v>
      </c>
      <c r="DE214" s="126"/>
      <c r="DF214" s="22">
        <v>-7.9986999999999782</v>
      </c>
    </row>
    <row r="215" spans="1:110" s="23" customFormat="1" x14ac:dyDescent="0.2">
      <c r="AB215" s="24"/>
      <c r="AC215" s="24"/>
      <c r="AD215" s="24"/>
      <c r="AE215" s="24"/>
      <c r="CK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92</v>
      </c>
      <c r="C216" s="22">
        <f t="shared" ref="C216:W216" si="1803">C217+C218</f>
        <v>-1.3571971999999999</v>
      </c>
      <c r="D216" s="22">
        <f>D217+D218</f>
        <v>-1.6565383000000002</v>
      </c>
      <c r="E216" s="22">
        <f t="shared" si="1803"/>
        <v>2.410265400000001</v>
      </c>
      <c r="F216" s="22">
        <f t="shared" si="1803"/>
        <v>-0.31875389999999992</v>
      </c>
      <c r="G216" s="22">
        <f t="shared" si="1803"/>
        <v>-1.2470124000000002</v>
      </c>
      <c r="H216" s="22">
        <f t="shared" si="1803"/>
        <v>-1.6412988000000004</v>
      </c>
      <c r="I216" s="22">
        <f t="shared" si="1803"/>
        <v>-0.44055669999999925</v>
      </c>
      <c r="J216" s="22">
        <f t="shared" si="1803"/>
        <v>-0.85243380000000002</v>
      </c>
      <c r="K216" s="22">
        <f t="shared" si="1803"/>
        <v>-0.50572309999999998</v>
      </c>
      <c r="L216" s="22">
        <f t="shared" si="1803"/>
        <v>-4.5717956999999991</v>
      </c>
      <c r="M216" s="22">
        <f t="shared" si="1803"/>
        <v>-3.5698440000000033</v>
      </c>
      <c r="N216" s="22">
        <f t="shared" si="1803"/>
        <v>-6.2900992999999978</v>
      </c>
      <c r="O216" s="22">
        <f t="shared" si="1803"/>
        <v>-1.0103551000000017</v>
      </c>
      <c r="P216" s="22">
        <f t="shared" si="1803"/>
        <v>-0.19126679999999752</v>
      </c>
      <c r="Q216" s="22">
        <f t="shared" si="1803"/>
        <v>-1.4350881999999991</v>
      </c>
      <c r="R216" s="22">
        <f t="shared" si="1803"/>
        <v>-1.7039019</v>
      </c>
      <c r="S216" s="22">
        <f t="shared" si="1803"/>
        <v>-0.43239559999999955</v>
      </c>
      <c r="T216" s="22">
        <f t="shared" si="1803"/>
        <v>-1.6878829999999994</v>
      </c>
      <c r="U216" s="22">
        <f t="shared" si="1803"/>
        <v>-5.1942964000000025</v>
      </c>
      <c r="V216" s="22">
        <f t="shared" si="1803"/>
        <v>-5.5716590999999962</v>
      </c>
      <c r="W216" s="22">
        <f t="shared" si="1803"/>
        <v>-20.945600000000002</v>
      </c>
      <c r="X216" s="22">
        <f t="shared" ref="X216:Y216" si="1804">X217+X218</f>
        <v>-11.895999999999994</v>
      </c>
      <c r="Y216" s="22">
        <f t="shared" si="1804"/>
        <v>-34.197999999999993</v>
      </c>
      <c r="Z216" s="22">
        <f t="shared" ref="Z216:AA216" si="1805">Z217+Z218</f>
        <v>-64.519600000000011</v>
      </c>
      <c r="AA216" s="22">
        <f t="shared" ref="AA216" si="1806">AA217+AA218</f>
        <v>-87.965499999999992</v>
      </c>
      <c r="AB216" s="21">
        <f t="shared" ref="AB216:AD216" si="1807">AB217+AB218</f>
        <v>-9.9999999974897946E-5</v>
      </c>
      <c r="AC216" s="21">
        <f t="shared" si="1807"/>
        <v>0</v>
      </c>
      <c r="AD216" s="21">
        <f t="shared" si="1807"/>
        <v>0</v>
      </c>
      <c r="AE216" s="21">
        <f t="shared" ref="AE216" si="1808">AE217+AE218</f>
        <v>0</v>
      </c>
      <c r="AI216" s="22">
        <f t="shared" ref="AI216" si="1809">AI217+AI218</f>
        <v>-0.31900000000000001</v>
      </c>
      <c r="AJ216" s="22">
        <f t="shared" ref="AJ216:AL216" si="1810">AJ217+AJ218</f>
        <v>-12.734</v>
      </c>
      <c r="AK216" s="22">
        <f t="shared" si="1810"/>
        <v>-0.31700000000000017</v>
      </c>
      <c r="AL216" s="22">
        <f t="shared" si="1810"/>
        <v>-4.2640000000000011</v>
      </c>
      <c r="AM216" s="22">
        <f t="shared" ref="AM216" si="1811">AM217+AM218</f>
        <v>-0.49799999999999933</v>
      </c>
      <c r="AN216" s="22">
        <f t="shared" ref="AN216:CD216" si="1812">AN217+AN218</f>
        <v>-0.13199999999999967</v>
      </c>
      <c r="AO216" s="22">
        <f t="shared" si="1812"/>
        <v>-0.49300000000000033</v>
      </c>
      <c r="AP216" s="22">
        <f t="shared" si="1812"/>
        <v>0.11500000000000021</v>
      </c>
      <c r="AQ216" s="22">
        <f t="shared" si="1812"/>
        <v>-0.49900000000000055</v>
      </c>
      <c r="AR216" s="22">
        <f t="shared" si="1812"/>
        <v>0.46199999999999974</v>
      </c>
      <c r="AS216" s="22">
        <f t="shared" si="1812"/>
        <v>-0.46299999999999919</v>
      </c>
      <c r="AT216" s="22">
        <f t="shared" si="1812"/>
        <v>0.30699999999999861</v>
      </c>
      <c r="AU216" s="22">
        <f t="shared" si="1812"/>
        <v>-0.45100000000000051</v>
      </c>
      <c r="AV216" s="22">
        <f t="shared" si="1812"/>
        <v>-0.46099999999999852</v>
      </c>
      <c r="AW216" s="22">
        <f t="shared" si="1812"/>
        <v>-0.40799999999999947</v>
      </c>
      <c r="AX216" s="22">
        <f t="shared" si="1812"/>
        <v>-0.11500000000000021</v>
      </c>
      <c r="AY216" s="22">
        <f t="shared" si="1812"/>
        <v>-0.39899999999999913</v>
      </c>
      <c r="AZ216" s="22">
        <f t="shared" si="1812"/>
        <v>-8.6999999999999744E-2</v>
      </c>
      <c r="BA216" s="22">
        <f t="shared" si="1812"/>
        <v>-0.42800000000000082</v>
      </c>
      <c r="BB216" s="22">
        <f t="shared" si="1812"/>
        <v>-0.79000000000000092</v>
      </c>
      <c r="BC216" s="22">
        <f t="shared" si="1812"/>
        <v>-0.36700000000000088</v>
      </c>
      <c r="BD216" s="22">
        <f t="shared" si="1812"/>
        <v>1.2990000000000013</v>
      </c>
      <c r="BE216" s="22">
        <f t="shared" si="1812"/>
        <v>-0.43599999999999994</v>
      </c>
      <c r="BF216" s="22">
        <f t="shared" si="1812"/>
        <v>-0.94000000000000128</v>
      </c>
      <c r="BG216" s="22">
        <f t="shared" si="1812"/>
        <v>-0.46700000000000053</v>
      </c>
      <c r="BH216" s="22">
        <f t="shared" si="1812"/>
        <v>-0.33699999999999974</v>
      </c>
      <c r="BI216" s="22">
        <f t="shared" si="1812"/>
        <v>-0.52800000000000047</v>
      </c>
      <c r="BJ216" s="22">
        <f t="shared" si="1812"/>
        <v>-0.35600000000000165</v>
      </c>
      <c r="BK216" s="22">
        <f t="shared" si="1812"/>
        <v>-0.50900000000000034</v>
      </c>
      <c r="BL216" s="22">
        <f t="shared" si="1812"/>
        <v>-0.50599999999999845</v>
      </c>
      <c r="BM216" s="22">
        <f t="shared" si="1812"/>
        <v>-0.60099999999999909</v>
      </c>
      <c r="BN216" s="22">
        <f t="shared" si="1812"/>
        <v>-0.53700000000000081</v>
      </c>
      <c r="BO216" s="22">
        <f t="shared" si="1812"/>
        <v>-0.71700000000000053</v>
      </c>
      <c r="BP216" s="22">
        <f t="shared" si="1812"/>
        <v>-0.3830000000000009</v>
      </c>
      <c r="BQ216" s="22">
        <f t="shared" si="1812"/>
        <v>-0.7629999999999999</v>
      </c>
      <c r="BR216" s="22">
        <f t="shared" si="1812"/>
        <v>-4.1219999999999999</v>
      </c>
      <c r="BS216" s="22">
        <f t="shared" si="1812"/>
        <v>-0.90700000000000003</v>
      </c>
      <c r="BT216" s="22">
        <f t="shared" si="1812"/>
        <v>-1.7949999999999999</v>
      </c>
      <c r="BU216" s="22">
        <f t="shared" si="1812"/>
        <v>-0.98799999999999955</v>
      </c>
      <c r="BV216" s="22">
        <f t="shared" si="1812"/>
        <v>-17.670999999999999</v>
      </c>
      <c r="BW216" s="22">
        <f t="shared" si="1812"/>
        <v>-1.3530000000000015</v>
      </c>
      <c r="BX216" s="22">
        <f t="shared" si="1812"/>
        <v>-3.7550000000000026</v>
      </c>
      <c r="BY216" s="22">
        <f t="shared" si="1812"/>
        <v>-1.5249999999999986</v>
      </c>
      <c r="BZ216" s="22">
        <f t="shared" si="1812"/>
        <v>-5.6780000000000044</v>
      </c>
      <c r="CA216" s="22">
        <f t="shared" si="1812"/>
        <v>-1.570999999999998</v>
      </c>
      <c r="CB216" s="22">
        <f t="shared" si="1812"/>
        <v>-5.0719999999999956</v>
      </c>
      <c r="CC216" s="22">
        <f t="shared" si="1812"/>
        <v>-1.8370000000000033</v>
      </c>
      <c r="CD216" s="22">
        <f t="shared" si="1812"/>
        <v>-22.26400000000001</v>
      </c>
      <c r="CE216" s="22">
        <f t="shared" ref="CE216:CF216" si="1813">CE217+CE218</f>
        <v>-2.8560000000000016</v>
      </c>
      <c r="CF216" s="22">
        <f t="shared" si="1813"/>
        <v>-15.704999999999998</v>
      </c>
      <c r="CG216" s="22">
        <f t="shared" ref="CG216:CH216" si="1814">CG217+CG218</f>
        <v>-3.0529999999999973</v>
      </c>
      <c r="CH216" s="22">
        <f t="shared" si="1814"/>
        <v>-48.156700000000001</v>
      </c>
      <c r="CI216" s="22">
        <f t="shared" ref="CI216:CJ216" si="1815">CI217+CI218</f>
        <v>0</v>
      </c>
      <c r="CJ216" s="22">
        <f t="shared" si="1815"/>
        <v>-38.560300000000012</v>
      </c>
      <c r="CK216" s="21">
        <f t="shared" ref="CK216:DB216" si="1816">CK217+CK218</f>
        <v>0</v>
      </c>
      <c r="CL216" s="22">
        <f t="shared" si="1816"/>
        <v>-49.406000000000006</v>
      </c>
      <c r="CM216" s="21">
        <f t="shared" si="1816"/>
        <v>0</v>
      </c>
      <c r="CN216" s="21">
        <f t="shared" si="1816"/>
        <v>0</v>
      </c>
      <c r="CO216" s="21">
        <f t="shared" si="1816"/>
        <v>0</v>
      </c>
      <c r="CP216" s="21">
        <f t="shared" si="1816"/>
        <v>0</v>
      </c>
      <c r="CQ216" s="21">
        <f t="shared" si="1816"/>
        <v>0</v>
      </c>
      <c r="CR216" s="21">
        <f t="shared" si="1816"/>
        <v>0</v>
      </c>
      <c r="CS216" s="21">
        <f t="shared" si="1816"/>
        <v>0</v>
      </c>
      <c r="CT216" s="21">
        <f t="shared" si="1816"/>
        <v>0</v>
      </c>
      <c r="CU216" s="21">
        <f t="shared" si="1816"/>
        <v>0</v>
      </c>
      <c r="CV216" s="21">
        <f t="shared" si="1816"/>
        <v>0</v>
      </c>
      <c r="CW216" s="21">
        <f t="shared" si="1816"/>
        <v>0</v>
      </c>
      <c r="CX216" s="21">
        <f t="shared" si="1816"/>
        <v>0</v>
      </c>
      <c r="CY216" s="21">
        <f t="shared" si="1816"/>
        <v>0</v>
      </c>
      <c r="CZ216" s="21">
        <f t="shared" si="1816"/>
        <v>0</v>
      </c>
      <c r="DA216" s="21">
        <f t="shared" si="1816"/>
        <v>0</v>
      </c>
      <c r="DB216" s="21">
        <f t="shared" si="1816"/>
        <v>0</v>
      </c>
      <c r="DE216" s="126"/>
      <c r="DF216" s="22">
        <v>-87.96629999999999</v>
      </c>
    </row>
    <row r="217" spans="1:110" s="23" customFormat="1" x14ac:dyDescent="0.2">
      <c r="A217" s="23" t="s">
        <v>93</v>
      </c>
      <c r="C217" s="23">
        <f t="shared" ref="C217:AA217" si="1817">B155-C155</f>
        <v>0</v>
      </c>
      <c r="D217" s="23">
        <f t="shared" si="1817"/>
        <v>0</v>
      </c>
      <c r="E217" s="23">
        <f>D155-E155</f>
        <v>0.89566999999999997</v>
      </c>
      <c r="F217" s="23">
        <f t="shared" si="1817"/>
        <v>0</v>
      </c>
      <c r="G217" s="23">
        <f t="shared" si="1817"/>
        <v>1.5E-5</v>
      </c>
      <c r="H217" s="23">
        <f t="shared" si="1817"/>
        <v>0</v>
      </c>
      <c r="I217" s="23">
        <f t="shared" si="1817"/>
        <v>0</v>
      </c>
      <c r="J217" s="23">
        <f>I155-J155</f>
        <v>0</v>
      </c>
      <c r="K217" s="23">
        <f>J155-K155</f>
        <v>0</v>
      </c>
      <c r="L217" s="23">
        <f t="shared" si="1817"/>
        <v>0</v>
      </c>
      <c r="M217" s="23">
        <f t="shared" si="1817"/>
        <v>0</v>
      </c>
      <c r="N217" s="23">
        <f t="shared" si="1817"/>
        <v>0</v>
      </c>
      <c r="O217" s="23">
        <f t="shared" si="1817"/>
        <v>0</v>
      </c>
      <c r="P217" s="23">
        <f t="shared" si="1817"/>
        <v>0</v>
      </c>
      <c r="Q217" s="23">
        <f t="shared" si="1817"/>
        <v>0</v>
      </c>
      <c r="R217" s="23">
        <f t="shared" si="1817"/>
        <v>0</v>
      </c>
      <c r="S217" s="23">
        <f t="shared" si="1817"/>
        <v>0</v>
      </c>
      <c r="T217" s="23">
        <f t="shared" si="1817"/>
        <v>0</v>
      </c>
      <c r="U217" s="23">
        <f t="shared" si="1817"/>
        <v>0</v>
      </c>
      <c r="V217" s="23">
        <f t="shared" si="1817"/>
        <v>0</v>
      </c>
      <c r="W217" s="23">
        <f t="shared" si="1817"/>
        <v>0</v>
      </c>
      <c r="X217" s="23">
        <f t="shared" si="1817"/>
        <v>0</v>
      </c>
      <c r="Y217" s="23">
        <f t="shared" si="1817"/>
        <v>0</v>
      </c>
      <c r="Z217" s="23">
        <f t="shared" si="1817"/>
        <v>0</v>
      </c>
      <c r="AA217" s="23">
        <f t="shared" si="1817"/>
        <v>0</v>
      </c>
      <c r="AB217" s="24">
        <f t="shared" ref="AB217" si="1818">AA155-AB155</f>
        <v>0</v>
      </c>
      <c r="AC217" s="24">
        <f t="shared" ref="AC217" si="1819">AB155-AC155</f>
        <v>0</v>
      </c>
      <c r="AD217" s="24">
        <f t="shared" ref="AD217" si="1820">AC155-AD155</f>
        <v>0</v>
      </c>
      <c r="AE217" s="24">
        <f t="shared" ref="AE217" si="1821">AD155-AE155</f>
        <v>0</v>
      </c>
      <c r="AI217" s="23">
        <f t="shared" ref="AI217" si="1822">AH155-AI155</f>
        <v>0</v>
      </c>
      <c r="AJ217" s="23">
        <f t="shared" ref="AJ217" si="1823">AI155-AJ155</f>
        <v>0</v>
      </c>
      <c r="AK217" s="23">
        <f t="shared" ref="AK217" si="1824">AJ155-AK155</f>
        <v>0</v>
      </c>
      <c r="AL217" s="23">
        <f t="shared" ref="AL217" si="1825">AK155-AL155</f>
        <v>0</v>
      </c>
      <c r="AM217" s="23">
        <f t="shared" ref="AM217" si="1826">AL155-AM155</f>
        <v>0</v>
      </c>
      <c r="AN217" s="23">
        <f t="shared" ref="AN217" si="1827">AM155-AN155</f>
        <v>0</v>
      </c>
      <c r="AO217" s="23">
        <f t="shared" ref="AO217" si="1828">AN155-AO155</f>
        <v>0</v>
      </c>
      <c r="AP217" s="23">
        <f t="shared" ref="AP217" si="1829">AO155-AP155</f>
        <v>0</v>
      </c>
      <c r="AQ217" s="23">
        <f t="shared" ref="AQ217" si="1830">AP155-AQ155</f>
        <v>0</v>
      </c>
      <c r="AR217" s="23">
        <f t="shared" ref="AR217" si="1831">AQ155-AR155</f>
        <v>0</v>
      </c>
      <c r="AS217" s="23">
        <f t="shared" ref="AS217" si="1832">AR155-AS155</f>
        <v>0</v>
      </c>
      <c r="AT217" s="23">
        <f t="shared" ref="AT217" si="1833">AS155-AT155</f>
        <v>0</v>
      </c>
      <c r="AU217" s="23">
        <f t="shared" ref="AU217" si="1834">AT155-AU155</f>
        <v>0</v>
      </c>
      <c r="AV217" s="23">
        <f t="shared" ref="AV217" si="1835">AU155-AV155</f>
        <v>0</v>
      </c>
      <c r="AW217" s="23">
        <f t="shared" ref="AW217" si="1836">AV155-AW155</f>
        <v>0</v>
      </c>
      <c r="AX217" s="23">
        <f t="shared" ref="AX217" si="1837">AW155-AX155</f>
        <v>0</v>
      </c>
      <c r="AY217" s="23">
        <f t="shared" ref="AY217" si="1838">AX155-AY155</f>
        <v>0</v>
      </c>
      <c r="AZ217" s="23">
        <f t="shared" ref="AZ217" si="1839">AY155-AZ155</f>
        <v>0</v>
      </c>
      <c r="BA217" s="23">
        <f t="shared" ref="BA217" si="1840">AZ155-BA155</f>
        <v>0</v>
      </c>
      <c r="BB217" s="23">
        <f t="shared" ref="BB217" si="1841">BA155-BB155</f>
        <v>0</v>
      </c>
      <c r="BC217" s="23">
        <f t="shared" ref="BC217" si="1842">BB155-BC155</f>
        <v>0</v>
      </c>
      <c r="BD217" s="23">
        <f t="shared" ref="BD217" si="1843">BC155-BD155</f>
        <v>0</v>
      </c>
      <c r="BE217" s="23">
        <f t="shared" ref="BE217" si="1844">BD155-BE155</f>
        <v>0</v>
      </c>
      <c r="BF217" s="23">
        <f t="shared" ref="BF217" si="1845">BE155-BF155</f>
        <v>0</v>
      </c>
      <c r="BG217" s="23">
        <f t="shared" ref="BG217" si="1846">BF155-BG155</f>
        <v>0</v>
      </c>
      <c r="BH217" s="23">
        <f t="shared" ref="BH217" si="1847">BG155-BH155</f>
        <v>0</v>
      </c>
      <c r="BI217" s="23">
        <f t="shared" ref="BI217" si="1848">BH155-BI155</f>
        <v>0</v>
      </c>
      <c r="BJ217" s="23">
        <f t="shared" ref="BJ217" si="1849">BI155-BJ155</f>
        <v>0</v>
      </c>
      <c r="BK217" s="23">
        <f t="shared" ref="BK217" si="1850">BJ155-BK155</f>
        <v>0</v>
      </c>
      <c r="BL217" s="23">
        <f t="shared" ref="BL217" si="1851">BK155-BL155</f>
        <v>0</v>
      </c>
      <c r="BM217" s="23">
        <f t="shared" ref="BM217" si="1852">BL155-BM155</f>
        <v>0</v>
      </c>
      <c r="BN217" s="23">
        <f t="shared" ref="BN217" si="1853">BM155-BN155</f>
        <v>0</v>
      </c>
      <c r="BO217" s="23">
        <f t="shared" ref="BO217" si="1854">BN155-BO155</f>
        <v>0</v>
      </c>
      <c r="BP217" s="23">
        <f t="shared" ref="BP217" si="1855">BO155-BP155</f>
        <v>0</v>
      </c>
      <c r="BQ217" s="23">
        <f t="shared" ref="BQ217" si="1856">BP155-BQ155</f>
        <v>0</v>
      </c>
      <c r="BR217" s="23">
        <f t="shared" ref="BR217" si="1857">BQ155-BR155</f>
        <v>0</v>
      </c>
      <c r="BS217" s="23">
        <f t="shared" ref="BS217" si="1858">BR155-BS155</f>
        <v>0</v>
      </c>
      <c r="BT217" s="23">
        <f t="shared" ref="BT217" si="1859">BS155-BT155</f>
        <v>0</v>
      </c>
      <c r="BU217" s="23">
        <f t="shared" ref="BU217" si="1860">BT155-BU155</f>
        <v>0</v>
      </c>
      <c r="BV217" s="23">
        <f t="shared" ref="BV217" si="1861">BU155-BV155</f>
        <v>0</v>
      </c>
      <c r="BW217" s="23">
        <f t="shared" ref="BW217" si="1862">BV155-BW155</f>
        <v>0</v>
      </c>
      <c r="BX217" s="23">
        <f t="shared" ref="BX217" si="1863">BW155-BX155</f>
        <v>0</v>
      </c>
      <c r="BY217" s="23">
        <f t="shared" ref="BY217" si="1864">BX155-BY155</f>
        <v>0</v>
      </c>
      <c r="BZ217" s="23">
        <f t="shared" ref="BZ217" si="1865">BY155-BZ155</f>
        <v>0</v>
      </c>
      <c r="CA217" s="23">
        <f t="shared" ref="CA217" si="1866">BZ155-CA155</f>
        <v>0</v>
      </c>
      <c r="CB217" s="23">
        <f t="shared" ref="CB217" si="1867">CA155-CB155</f>
        <v>0</v>
      </c>
      <c r="CC217" s="23">
        <f t="shared" ref="CC217" si="1868">CB155-CC155</f>
        <v>0</v>
      </c>
      <c r="CD217" s="23">
        <f t="shared" ref="CD217" si="1869">CC155-CD155</f>
        <v>0</v>
      </c>
      <c r="CE217" s="23">
        <f t="shared" ref="CE217" si="1870">CD155-CE155</f>
        <v>0</v>
      </c>
      <c r="CF217" s="23">
        <f t="shared" ref="CF217" si="1871">CE155-CF155</f>
        <v>0</v>
      </c>
      <c r="CG217" s="23">
        <f t="shared" ref="CG217" si="1872">CF155-CG155</f>
        <v>0</v>
      </c>
      <c r="CH217" s="23">
        <f t="shared" ref="CH217:CL217" si="1873">CG155-CH155</f>
        <v>0</v>
      </c>
      <c r="CI217" s="23">
        <f t="shared" si="1873"/>
        <v>0</v>
      </c>
      <c r="CJ217" s="23">
        <f t="shared" si="1873"/>
        <v>0</v>
      </c>
      <c r="CK217" s="24">
        <f t="shared" ref="CK217" si="1874">CJ155-CK155</f>
        <v>0</v>
      </c>
      <c r="CL217" s="23">
        <f t="shared" si="1873"/>
        <v>0</v>
      </c>
      <c r="CM217" s="24">
        <f t="shared" ref="CM217" si="1875">CL155-CM155</f>
        <v>0</v>
      </c>
      <c r="CN217" s="24">
        <f t="shared" ref="CN217" si="1876">CM155-CN155</f>
        <v>0</v>
      </c>
      <c r="CO217" s="24">
        <f t="shared" ref="CO217" si="1877">CN155-CO155</f>
        <v>0</v>
      </c>
      <c r="CP217" s="24">
        <f t="shared" ref="CP217" si="1878">CO155-CP155</f>
        <v>0</v>
      </c>
      <c r="CQ217" s="24">
        <f t="shared" ref="CQ217" si="1879">CP155-CQ155</f>
        <v>0</v>
      </c>
      <c r="CR217" s="24">
        <f t="shared" ref="CR217" si="1880">CQ155-CR155</f>
        <v>0</v>
      </c>
      <c r="CS217" s="24">
        <f t="shared" ref="CS217" si="1881">CR155-CS155</f>
        <v>0</v>
      </c>
      <c r="CT217" s="24">
        <f t="shared" ref="CT217" si="1882">CS155-CT155</f>
        <v>0</v>
      </c>
      <c r="CU217" s="24">
        <f t="shared" ref="CU217" si="1883">CT155-CU155</f>
        <v>0</v>
      </c>
      <c r="CV217" s="24">
        <f t="shared" ref="CV217" si="1884">CU155-CV155</f>
        <v>0</v>
      </c>
      <c r="CW217" s="24">
        <f t="shared" ref="CW217" si="1885">CV155-CW155</f>
        <v>0</v>
      </c>
      <c r="CX217" s="24">
        <f t="shared" ref="CX217" si="1886">CW155-CX155</f>
        <v>0</v>
      </c>
      <c r="CY217" s="24">
        <f t="shared" ref="CY217" si="1887">CX155-CY155</f>
        <v>0</v>
      </c>
      <c r="CZ217" s="24">
        <f t="shared" ref="CZ217" si="1888">CY155-CZ155</f>
        <v>0</v>
      </c>
      <c r="DA217" s="24">
        <f t="shared" ref="DA217" si="1889">CZ155-DA155</f>
        <v>0</v>
      </c>
      <c r="DB217" s="24">
        <f t="shared" ref="DB217" si="1890">DA155-DB155</f>
        <v>0</v>
      </c>
      <c r="DE217" s="123"/>
      <c r="DF217" s="23">
        <v>0</v>
      </c>
    </row>
    <row r="218" spans="1:110" s="23" customFormat="1" x14ac:dyDescent="0.2">
      <c r="A218" s="23" t="s">
        <v>94</v>
      </c>
      <c r="C218" s="23">
        <f t="shared" ref="C218:AE218" si="1891">B153-C47-C153</f>
        <v>-1.3571971999999999</v>
      </c>
      <c r="D218" s="23">
        <f t="shared" si="1891"/>
        <v>-1.6565383000000002</v>
      </c>
      <c r="E218" s="23">
        <f t="shared" si="1891"/>
        <v>1.514595400000001</v>
      </c>
      <c r="F218" s="23">
        <f t="shared" si="1891"/>
        <v>-0.31875389999999992</v>
      </c>
      <c r="G218" s="23">
        <f t="shared" si="1891"/>
        <v>-1.2470274000000003</v>
      </c>
      <c r="H218" s="23">
        <f t="shared" si="1891"/>
        <v>-1.6412988000000004</v>
      </c>
      <c r="I218" s="23">
        <f t="shared" si="1891"/>
        <v>-0.44055669999999925</v>
      </c>
      <c r="J218" s="23">
        <f t="shared" si="1891"/>
        <v>-0.85243380000000002</v>
      </c>
      <c r="K218" s="23">
        <f t="shared" si="1891"/>
        <v>-0.50572309999999998</v>
      </c>
      <c r="L218" s="23">
        <f t="shared" si="1891"/>
        <v>-4.5717956999999991</v>
      </c>
      <c r="M218" s="23">
        <f t="shared" si="1891"/>
        <v>-3.5698440000000033</v>
      </c>
      <c r="N218" s="23">
        <f t="shared" si="1891"/>
        <v>-6.2900992999999978</v>
      </c>
      <c r="O218" s="23">
        <f t="shared" si="1891"/>
        <v>-1.0103551000000017</v>
      </c>
      <c r="P218" s="23">
        <f t="shared" si="1891"/>
        <v>-0.19126679999999752</v>
      </c>
      <c r="Q218" s="23">
        <f t="shared" si="1891"/>
        <v>-1.4350881999999991</v>
      </c>
      <c r="R218" s="23">
        <f t="shared" si="1891"/>
        <v>-1.7039019</v>
      </c>
      <c r="S218" s="23">
        <f t="shared" si="1891"/>
        <v>-0.43239559999999955</v>
      </c>
      <c r="T218" s="23">
        <f t="shared" si="1891"/>
        <v>-1.6878829999999994</v>
      </c>
      <c r="U218" s="23">
        <f t="shared" si="1891"/>
        <v>-5.1942964000000025</v>
      </c>
      <c r="V218" s="23">
        <f t="shared" si="1891"/>
        <v>-5.5716590999999962</v>
      </c>
      <c r="W218" s="23">
        <f t="shared" si="1891"/>
        <v>-20.945600000000002</v>
      </c>
      <c r="X218" s="23">
        <f t="shared" si="1891"/>
        <v>-11.895999999999994</v>
      </c>
      <c r="Y218" s="23">
        <f t="shared" si="1891"/>
        <v>-34.197999999999993</v>
      </c>
      <c r="Z218" s="23">
        <f t="shared" si="1891"/>
        <v>-64.519600000000011</v>
      </c>
      <c r="AA218" s="23">
        <f t="shared" si="1891"/>
        <v>-87.965499999999992</v>
      </c>
      <c r="AB218" s="24">
        <f t="shared" si="1891"/>
        <v>-9.9999999974897946E-5</v>
      </c>
      <c r="AC218" s="24">
        <f t="shared" si="1891"/>
        <v>0</v>
      </c>
      <c r="AD218" s="24">
        <f t="shared" si="1891"/>
        <v>0</v>
      </c>
      <c r="AE218" s="24">
        <f t="shared" si="1891"/>
        <v>0</v>
      </c>
      <c r="AI218" s="23">
        <f t="shared" ref="AI218:BN218" si="1892">AH153-AI47-AI153</f>
        <v>-0.31900000000000001</v>
      </c>
      <c r="AJ218" s="23">
        <f t="shared" si="1892"/>
        <v>-12.734</v>
      </c>
      <c r="AK218" s="23">
        <f t="shared" si="1892"/>
        <v>-0.31700000000000017</v>
      </c>
      <c r="AL218" s="23">
        <f t="shared" si="1892"/>
        <v>-4.2640000000000011</v>
      </c>
      <c r="AM218" s="23">
        <f t="shared" si="1892"/>
        <v>-0.49799999999999933</v>
      </c>
      <c r="AN218" s="23">
        <f t="shared" si="1892"/>
        <v>-0.13199999999999967</v>
      </c>
      <c r="AO218" s="23">
        <f t="shared" si="1892"/>
        <v>-0.49300000000000033</v>
      </c>
      <c r="AP218" s="23">
        <f t="shared" si="1892"/>
        <v>0.11500000000000021</v>
      </c>
      <c r="AQ218" s="23">
        <f t="shared" si="1892"/>
        <v>-0.49900000000000055</v>
      </c>
      <c r="AR218" s="23">
        <f t="shared" si="1892"/>
        <v>0.46199999999999974</v>
      </c>
      <c r="AS218" s="23">
        <f t="shared" si="1892"/>
        <v>-0.46299999999999919</v>
      </c>
      <c r="AT218" s="23">
        <f t="shared" si="1892"/>
        <v>0.30699999999999861</v>
      </c>
      <c r="AU218" s="23">
        <f t="shared" si="1892"/>
        <v>-0.45100000000000051</v>
      </c>
      <c r="AV218" s="23">
        <f t="shared" si="1892"/>
        <v>-0.46099999999999852</v>
      </c>
      <c r="AW218" s="23">
        <f t="shared" si="1892"/>
        <v>-0.40799999999999947</v>
      </c>
      <c r="AX218" s="23">
        <f t="shared" si="1892"/>
        <v>-0.11500000000000021</v>
      </c>
      <c r="AY218" s="23">
        <f t="shared" si="1892"/>
        <v>-0.39899999999999913</v>
      </c>
      <c r="AZ218" s="23">
        <f t="shared" si="1892"/>
        <v>-8.6999999999999744E-2</v>
      </c>
      <c r="BA218" s="23">
        <f t="shared" si="1892"/>
        <v>-0.42800000000000082</v>
      </c>
      <c r="BB218" s="23">
        <f t="shared" si="1892"/>
        <v>-0.79000000000000092</v>
      </c>
      <c r="BC218" s="23">
        <f t="shared" si="1892"/>
        <v>-0.36700000000000088</v>
      </c>
      <c r="BD218" s="23">
        <f t="shared" si="1892"/>
        <v>1.2990000000000013</v>
      </c>
      <c r="BE218" s="23">
        <f t="shared" si="1892"/>
        <v>-0.43599999999999994</v>
      </c>
      <c r="BF218" s="23">
        <f t="shared" si="1892"/>
        <v>-0.94000000000000128</v>
      </c>
      <c r="BG218" s="23">
        <f t="shared" si="1892"/>
        <v>-0.46700000000000053</v>
      </c>
      <c r="BH218" s="23">
        <f t="shared" si="1892"/>
        <v>-0.33699999999999974</v>
      </c>
      <c r="BI218" s="23">
        <f t="shared" si="1892"/>
        <v>-0.52800000000000047</v>
      </c>
      <c r="BJ218" s="23">
        <f t="shared" si="1892"/>
        <v>-0.35600000000000165</v>
      </c>
      <c r="BK218" s="23">
        <f t="shared" si="1892"/>
        <v>-0.50900000000000034</v>
      </c>
      <c r="BL218" s="23">
        <f t="shared" si="1892"/>
        <v>-0.50599999999999845</v>
      </c>
      <c r="BM218" s="23">
        <f t="shared" si="1892"/>
        <v>-0.60099999999999909</v>
      </c>
      <c r="BN218" s="23">
        <f t="shared" si="1892"/>
        <v>-0.53700000000000081</v>
      </c>
      <c r="BO218" s="23">
        <f t="shared" ref="BO218:CT218" si="1893">BN153-BO47-BO153</f>
        <v>-0.71700000000000053</v>
      </c>
      <c r="BP218" s="23">
        <f t="shared" si="1893"/>
        <v>-0.3830000000000009</v>
      </c>
      <c r="BQ218" s="23">
        <f t="shared" si="1893"/>
        <v>-0.7629999999999999</v>
      </c>
      <c r="BR218" s="23">
        <f t="shared" si="1893"/>
        <v>-4.1219999999999999</v>
      </c>
      <c r="BS218" s="23">
        <f t="shared" si="1893"/>
        <v>-0.90700000000000003</v>
      </c>
      <c r="BT218" s="23">
        <f t="shared" si="1893"/>
        <v>-1.7949999999999999</v>
      </c>
      <c r="BU218" s="23">
        <f t="shared" si="1893"/>
        <v>-0.98799999999999955</v>
      </c>
      <c r="BV218" s="23">
        <f t="shared" si="1893"/>
        <v>-17.670999999999999</v>
      </c>
      <c r="BW218" s="23">
        <f t="shared" si="1893"/>
        <v>-1.3530000000000015</v>
      </c>
      <c r="BX218" s="23">
        <f t="shared" si="1893"/>
        <v>-3.7550000000000026</v>
      </c>
      <c r="BY218" s="23">
        <f t="shared" si="1893"/>
        <v>-1.5249999999999986</v>
      </c>
      <c r="BZ218" s="23">
        <f t="shared" si="1893"/>
        <v>-5.6780000000000044</v>
      </c>
      <c r="CA218" s="23">
        <f t="shared" si="1893"/>
        <v>-1.570999999999998</v>
      </c>
      <c r="CB218" s="23">
        <f t="shared" si="1893"/>
        <v>-5.0719999999999956</v>
      </c>
      <c r="CC218" s="23">
        <f t="shared" si="1893"/>
        <v>-1.8370000000000033</v>
      </c>
      <c r="CD218" s="23">
        <f t="shared" si="1893"/>
        <v>-22.26400000000001</v>
      </c>
      <c r="CE218" s="23">
        <f t="shared" si="1893"/>
        <v>-2.8560000000000016</v>
      </c>
      <c r="CF218" s="23">
        <f t="shared" si="1893"/>
        <v>-15.704999999999998</v>
      </c>
      <c r="CG218" s="23">
        <f t="shared" si="1893"/>
        <v>-3.0529999999999973</v>
      </c>
      <c r="CH218" s="23">
        <f t="shared" si="1893"/>
        <v>-48.156700000000001</v>
      </c>
      <c r="CI218" s="23">
        <f t="shared" si="1893"/>
        <v>0</v>
      </c>
      <c r="CJ218" s="23">
        <f t="shared" si="1893"/>
        <v>-38.560300000000012</v>
      </c>
      <c r="CK218" s="24">
        <f t="shared" si="1893"/>
        <v>0</v>
      </c>
      <c r="CL218" s="23">
        <f t="shared" si="1893"/>
        <v>-49.406000000000006</v>
      </c>
      <c r="CM218" s="24">
        <f t="shared" si="1893"/>
        <v>0</v>
      </c>
      <c r="CN218" s="24">
        <f t="shared" si="1893"/>
        <v>0</v>
      </c>
      <c r="CO218" s="24">
        <f t="shared" si="1893"/>
        <v>0</v>
      </c>
      <c r="CP218" s="24">
        <f t="shared" si="1893"/>
        <v>0</v>
      </c>
      <c r="CQ218" s="24">
        <f t="shared" si="1893"/>
        <v>0</v>
      </c>
      <c r="CR218" s="24">
        <f t="shared" si="1893"/>
        <v>0</v>
      </c>
      <c r="CS218" s="24">
        <f t="shared" si="1893"/>
        <v>0</v>
      </c>
      <c r="CT218" s="24">
        <f t="shared" si="1893"/>
        <v>0</v>
      </c>
      <c r="CU218" s="24">
        <f t="shared" ref="CU218:DB218" si="1894">CT153-CU47-CU153</f>
        <v>0</v>
      </c>
      <c r="CV218" s="24">
        <f t="shared" si="1894"/>
        <v>0</v>
      </c>
      <c r="CW218" s="24">
        <f t="shared" si="1894"/>
        <v>0</v>
      </c>
      <c r="CX218" s="24">
        <f t="shared" si="1894"/>
        <v>0</v>
      </c>
      <c r="CY218" s="24">
        <f t="shared" si="1894"/>
        <v>0</v>
      </c>
      <c r="CZ218" s="24">
        <f t="shared" si="1894"/>
        <v>0</v>
      </c>
      <c r="DA218" s="24">
        <f t="shared" si="1894"/>
        <v>0</v>
      </c>
      <c r="DB218" s="24">
        <f t="shared" si="1894"/>
        <v>0</v>
      </c>
      <c r="DE218" s="123"/>
      <c r="DF218" s="23">
        <v>-87.96629999999999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95</v>
      </c>
      <c r="C220" s="22">
        <f t="shared" ref="C220:W220" si="1895">C221+C222</f>
        <v>-4.7230666000000001</v>
      </c>
      <c r="D220" s="22">
        <f t="shared" si="1895"/>
        <v>-0.42255850000000184</v>
      </c>
      <c r="E220" s="22">
        <f t="shared" si="1895"/>
        <v>-2.4828897999999988</v>
      </c>
      <c r="F220" s="22">
        <f t="shared" si="1895"/>
        <v>0.14490500000000051</v>
      </c>
      <c r="G220" s="22">
        <f t="shared" si="1895"/>
        <v>-2.6769312000000003</v>
      </c>
      <c r="H220" s="22">
        <f t="shared" si="1895"/>
        <v>-0.78226799999999874</v>
      </c>
      <c r="I220" s="22">
        <f t="shared" si="1895"/>
        <v>-0.25243470000000023</v>
      </c>
      <c r="J220" s="22">
        <f t="shared" si="1895"/>
        <v>-0.84555640000000087</v>
      </c>
      <c r="K220" s="22">
        <f t="shared" si="1895"/>
        <v>-2.7873044000000013</v>
      </c>
      <c r="L220" s="22">
        <f t="shared" si="1895"/>
        <v>1.4033794000000022</v>
      </c>
      <c r="M220" s="22">
        <f t="shared" si="1895"/>
        <v>-2.2476444000000022</v>
      </c>
      <c r="N220" s="22">
        <f t="shared" si="1895"/>
        <v>-0.24437130000000362</v>
      </c>
      <c r="O220" s="22">
        <f t="shared" si="1895"/>
        <v>4.6711992999999969</v>
      </c>
      <c r="P220" s="22">
        <f t="shared" si="1895"/>
        <v>-3.1325034999999914</v>
      </c>
      <c r="Q220" s="22">
        <f t="shared" si="1895"/>
        <v>-0.38768900000000528</v>
      </c>
      <c r="R220" s="22">
        <f t="shared" si="1895"/>
        <v>1.9901370999999948</v>
      </c>
      <c r="S220" s="22">
        <f t="shared" si="1895"/>
        <v>-12.429034400000003</v>
      </c>
      <c r="T220" s="22">
        <f t="shared" si="1895"/>
        <v>-3.4215326000000061</v>
      </c>
      <c r="U220" s="22">
        <f t="shared" si="1895"/>
        <v>-1.9551611999999992</v>
      </c>
      <c r="V220" s="22">
        <f t="shared" si="1895"/>
        <v>-0.81092610000001741</v>
      </c>
      <c r="W220" s="22">
        <f t="shared" si="1895"/>
        <v>11.244699999999993</v>
      </c>
      <c r="X220" s="22">
        <f t="shared" ref="X220:Y220" si="1896">X221+X222</f>
        <v>13.415200000000011</v>
      </c>
      <c r="Y220" s="22">
        <f t="shared" si="1896"/>
        <v>-11.949299999999951</v>
      </c>
      <c r="Z220" s="22">
        <f t="shared" ref="Z220:AA220" si="1897">Z221+Z222</f>
        <v>26.637499999999982</v>
      </c>
      <c r="AA220" s="22">
        <f t="shared" ref="AA220" si="1898">AA221+AA222</f>
        <v>99.413700000000048</v>
      </c>
      <c r="AB220" s="21">
        <f t="shared" ref="AB220:AD220" si="1899">AB221+AB222</f>
        <v>-7.0000000000902673E-4</v>
      </c>
      <c r="AC220" s="21">
        <f t="shared" si="1899"/>
        <v>-5.6843418860808015E-14</v>
      </c>
      <c r="AD220" s="21">
        <f t="shared" si="1899"/>
        <v>5.6843418860808015E-14</v>
      </c>
      <c r="AE220" s="21">
        <f t="shared" ref="AE220" si="1900">AE221+AE222</f>
        <v>5.6843418860808015E-14</v>
      </c>
      <c r="AI220" s="22">
        <f t="shared" ref="AI220" si="1901">AI221+AI222</f>
        <v>-1.182000000000001</v>
      </c>
      <c r="AJ220" s="22">
        <f t="shared" ref="AJ220:AL220" si="1902">AJ221+AJ222</f>
        <v>29.609000000000002</v>
      </c>
      <c r="AK220" s="22">
        <f t="shared" si="1902"/>
        <v>0</v>
      </c>
      <c r="AL220" s="22">
        <f t="shared" si="1902"/>
        <v>-7.2830000000000021</v>
      </c>
      <c r="AM220" s="22">
        <f t="shared" ref="AM220" si="1903">AM221+AM222</f>
        <v>0</v>
      </c>
      <c r="AN220" s="22">
        <f t="shared" ref="AN220:CD220" si="1904">AN221+AN222</f>
        <v>1.2389999999999972</v>
      </c>
      <c r="AO220" s="22">
        <f t="shared" si="1904"/>
        <v>0</v>
      </c>
      <c r="AP220" s="22">
        <f t="shared" si="1904"/>
        <v>2.569</v>
      </c>
      <c r="AQ220" s="22">
        <f t="shared" si="1904"/>
        <v>0</v>
      </c>
      <c r="AR220" s="22">
        <f t="shared" si="1904"/>
        <v>3.6790000000000003</v>
      </c>
      <c r="AS220" s="22">
        <f t="shared" si="1904"/>
        <v>0</v>
      </c>
      <c r="AT220" s="22">
        <f t="shared" si="1904"/>
        <v>-6.8069999999999986</v>
      </c>
      <c r="AU220" s="22">
        <f t="shared" si="1904"/>
        <v>0</v>
      </c>
      <c r="AV220" s="22">
        <f t="shared" si="1904"/>
        <v>4.7119999999999997</v>
      </c>
      <c r="AW220" s="22">
        <f t="shared" si="1904"/>
        <v>0</v>
      </c>
      <c r="AX220" s="22">
        <f t="shared" si="1904"/>
        <v>-5.0989999999999984</v>
      </c>
      <c r="AY220" s="22">
        <f t="shared" si="1904"/>
        <v>0</v>
      </c>
      <c r="AZ220" s="22">
        <f t="shared" si="1904"/>
        <v>-0.19499999999999851</v>
      </c>
      <c r="BA220" s="22">
        <f t="shared" si="1904"/>
        <v>0</v>
      </c>
      <c r="BB220" s="22">
        <f t="shared" si="1904"/>
        <v>2.1829999999999963</v>
      </c>
      <c r="BC220" s="22">
        <f t="shared" si="1904"/>
        <v>3.5527136788005009E-15</v>
      </c>
      <c r="BD220" s="22">
        <f t="shared" si="1904"/>
        <v>-11.410000000000007</v>
      </c>
      <c r="BE220" s="22">
        <f t="shared" si="1904"/>
        <v>7.1054273576010019E-15</v>
      </c>
      <c r="BF220" s="22">
        <f t="shared" si="1904"/>
        <v>6.0000000000002274E-3</v>
      </c>
      <c r="BG220" s="22">
        <f t="shared" si="1904"/>
        <v>0</v>
      </c>
      <c r="BH220" s="22">
        <f t="shared" si="1904"/>
        <v>-1.9539999999999935</v>
      </c>
      <c r="BI220" s="22">
        <f t="shared" si="1904"/>
        <v>0</v>
      </c>
      <c r="BJ220" s="22">
        <f t="shared" si="1904"/>
        <v>-1.5460000000000065</v>
      </c>
      <c r="BK220" s="22">
        <f t="shared" si="1904"/>
        <v>0</v>
      </c>
      <c r="BL220" s="22">
        <f t="shared" si="1904"/>
        <v>-0.97999999999999687</v>
      </c>
      <c r="BM220" s="22">
        <f t="shared" si="1904"/>
        <v>0</v>
      </c>
      <c r="BN220" s="22">
        <f t="shared" si="1904"/>
        <v>-1.1490000000000009</v>
      </c>
      <c r="BO220" s="22">
        <f t="shared" si="1904"/>
        <v>0</v>
      </c>
      <c r="BP220" s="22">
        <f t="shared" si="1904"/>
        <v>-0.81099999999999994</v>
      </c>
      <c r="BQ220" s="22">
        <f t="shared" si="1904"/>
        <v>0</v>
      </c>
      <c r="BR220" s="22">
        <f t="shared" si="1904"/>
        <v>-2.8999999999989257E-2</v>
      </c>
      <c r="BS220" s="22">
        <f t="shared" si="1904"/>
        <v>-1.4210854715202004E-14</v>
      </c>
      <c r="BT220" s="22">
        <f t="shared" si="1904"/>
        <v>-1.6219999999999857</v>
      </c>
      <c r="BU220" s="22">
        <f t="shared" si="1904"/>
        <v>0</v>
      </c>
      <c r="BV220" s="22">
        <f t="shared" si="1904"/>
        <v>12.791999999999998</v>
      </c>
      <c r="BW220" s="22">
        <f t="shared" si="1904"/>
        <v>0</v>
      </c>
      <c r="BX220" s="22">
        <f t="shared" si="1904"/>
        <v>20.439999999999987</v>
      </c>
      <c r="BY220" s="22">
        <f t="shared" si="1904"/>
        <v>1.4210854715202004E-14</v>
      </c>
      <c r="BZ220" s="22">
        <f t="shared" si="1904"/>
        <v>-7.279999999999994</v>
      </c>
      <c r="CA220" s="22">
        <f t="shared" si="1904"/>
        <v>0</v>
      </c>
      <c r="CB220" s="22">
        <f t="shared" si="1904"/>
        <v>-11.989999999999984</v>
      </c>
      <c r="CC220" s="22">
        <f t="shared" si="1904"/>
        <v>0</v>
      </c>
      <c r="CD220" s="22">
        <f t="shared" si="1904"/>
        <v>-0.33000000000002139</v>
      </c>
      <c r="CE220" s="22">
        <f t="shared" ref="CE220:CF220" si="1905">CE221+CE222</f>
        <v>0</v>
      </c>
      <c r="CF220" s="22">
        <f t="shared" si="1905"/>
        <v>2.6050000000000075</v>
      </c>
      <c r="CG220" s="22">
        <f t="shared" ref="CG220:CH220" si="1906">CG221+CG222</f>
        <v>0</v>
      </c>
      <c r="CH220" s="22">
        <f t="shared" si="1906"/>
        <v>23.682399999999951</v>
      </c>
      <c r="CI220" s="22">
        <f t="shared" ref="CI220:CJ220" si="1907">CI221+CI222</f>
        <v>0</v>
      </c>
      <c r="CJ220" s="22">
        <f t="shared" si="1907"/>
        <v>88.484600000000057</v>
      </c>
      <c r="CK220" s="21">
        <f t="shared" ref="CK220:DB220" si="1908">CK221+CK222</f>
        <v>0</v>
      </c>
      <c r="CL220" s="22">
        <f t="shared" si="1908"/>
        <v>10.763999999999928</v>
      </c>
      <c r="CM220" s="21">
        <f t="shared" si="1908"/>
        <v>0</v>
      </c>
      <c r="CN220" s="21">
        <f t="shared" si="1908"/>
        <v>0</v>
      </c>
      <c r="CO220" s="21">
        <f t="shared" si="1908"/>
        <v>0</v>
      </c>
      <c r="CP220" s="21">
        <f t="shared" si="1908"/>
        <v>5.6843418860808015E-14</v>
      </c>
      <c r="CQ220" s="21">
        <f t="shared" si="1908"/>
        <v>0</v>
      </c>
      <c r="CR220" s="21">
        <f t="shared" si="1908"/>
        <v>-5.6843418860808015E-14</v>
      </c>
      <c r="CS220" s="21">
        <f t="shared" si="1908"/>
        <v>0</v>
      </c>
      <c r="CT220" s="21">
        <f t="shared" si="1908"/>
        <v>0</v>
      </c>
      <c r="CU220" s="21">
        <f t="shared" si="1908"/>
        <v>5.6843418860808015E-14</v>
      </c>
      <c r="CV220" s="21">
        <f t="shared" si="1908"/>
        <v>-5.6843418860808015E-14</v>
      </c>
      <c r="CW220" s="21">
        <f t="shared" si="1908"/>
        <v>5.6843418860808015E-14</v>
      </c>
      <c r="CX220" s="21">
        <f t="shared" si="1908"/>
        <v>-5.6843418860808015E-14</v>
      </c>
      <c r="CY220" s="21">
        <f t="shared" si="1908"/>
        <v>0</v>
      </c>
      <c r="CZ220" s="21">
        <f t="shared" si="1908"/>
        <v>5.6843418860808015E-14</v>
      </c>
      <c r="DA220" s="21">
        <f t="shared" si="1908"/>
        <v>-5.6843418860808015E-14</v>
      </c>
      <c r="DB220" s="21">
        <f t="shared" si="1908"/>
        <v>5.6843418860808015E-14</v>
      </c>
      <c r="DE220" s="126"/>
      <c r="DF220" s="22">
        <v>99.248599999999925</v>
      </c>
    </row>
    <row r="221" spans="1:110" s="23" customFormat="1" x14ac:dyDescent="0.2">
      <c r="A221" s="23" t="s">
        <v>49</v>
      </c>
      <c r="C221" s="23">
        <f t="shared" ref="C221:AA221" si="1909">C143-B143</f>
        <v>-0.86207060000000002</v>
      </c>
      <c r="D221" s="23">
        <f t="shared" si="1909"/>
        <v>-0.42255850000000006</v>
      </c>
      <c r="E221" s="23">
        <f>E143-D143</f>
        <v>-1.6746748999999994</v>
      </c>
      <c r="F221" s="23">
        <f t="shared" si="1909"/>
        <v>0.22433109999999967</v>
      </c>
      <c r="G221" s="23">
        <f t="shared" si="1909"/>
        <v>-2.6002551</v>
      </c>
      <c r="H221" s="23">
        <f t="shared" si="1909"/>
        <v>-9.9999999999999978E-2</v>
      </c>
      <c r="I221" s="23">
        <f t="shared" si="1909"/>
        <v>0</v>
      </c>
      <c r="J221" s="23">
        <f>J143-I143</f>
        <v>8.0463999999999813E-3</v>
      </c>
      <c r="K221" s="23">
        <f>K143-J143</f>
        <v>-0.13844239999999999</v>
      </c>
      <c r="L221" s="23">
        <f t="shared" si="1909"/>
        <v>2.3060293999999999</v>
      </c>
      <c r="M221" s="23">
        <f t="shared" si="1909"/>
        <v>0.30577070000000006</v>
      </c>
      <c r="N221" s="23">
        <f t="shared" si="1909"/>
        <v>1.1462762</v>
      </c>
      <c r="O221" s="23">
        <f t="shared" si="1909"/>
        <v>6.7744820999999993</v>
      </c>
      <c r="P221" s="23">
        <f t="shared" si="1909"/>
        <v>-1.2454103999999973</v>
      </c>
      <c r="Q221" s="23">
        <f t="shared" si="1909"/>
        <v>0.17972589999999755</v>
      </c>
      <c r="R221" s="23">
        <f t="shared" si="1909"/>
        <v>1.9861825999999994</v>
      </c>
      <c r="S221" s="23">
        <f t="shared" si="1909"/>
        <v>-11.453056499999999</v>
      </c>
      <c r="T221" s="23">
        <f t="shared" si="1909"/>
        <v>0</v>
      </c>
      <c r="U221" s="23">
        <f t="shared" si="1909"/>
        <v>0</v>
      </c>
      <c r="V221" s="23">
        <f t="shared" si="1909"/>
        <v>0</v>
      </c>
      <c r="W221" s="23">
        <f t="shared" si="1909"/>
        <v>12.8665</v>
      </c>
      <c r="X221" s="23">
        <f t="shared" si="1909"/>
        <v>15.036900000000001</v>
      </c>
      <c r="Y221" s="23">
        <f t="shared" si="1909"/>
        <v>-16.399500000000003</v>
      </c>
      <c r="Z221" s="23">
        <f t="shared" si="1909"/>
        <v>9.6053999999999977</v>
      </c>
      <c r="AA221" s="23">
        <f t="shared" si="1909"/>
        <v>13.270200000000003</v>
      </c>
      <c r="AB221" s="24">
        <f t="shared" ref="AB221" si="1910">AB143-AA143</f>
        <v>-5.0000000000238742E-4</v>
      </c>
      <c r="AC221" s="24">
        <f t="shared" ref="AC221" si="1911">AC143-AB143</f>
        <v>0</v>
      </c>
      <c r="AD221" s="24">
        <f t="shared" ref="AD221" si="1912">AD143-AC143</f>
        <v>0</v>
      </c>
      <c r="AE221" s="24">
        <f t="shared" ref="AE221" si="1913">AE143-AD143</f>
        <v>0</v>
      </c>
      <c r="AI221" s="23">
        <f t="shared" ref="AI221" si="1914">AI143-AH143</f>
        <v>0</v>
      </c>
      <c r="AJ221" s="23">
        <f t="shared" ref="AJ221" si="1915">AJ143-AI143</f>
        <v>9.452</v>
      </c>
      <c r="AK221" s="23">
        <f t="shared" ref="AK221" si="1916">AK143-AJ143</f>
        <v>0</v>
      </c>
      <c r="AL221" s="23">
        <f t="shared" ref="AL221" si="1917">AL143-AK143</f>
        <v>-5.694</v>
      </c>
      <c r="AM221" s="23">
        <f t="shared" ref="AM221" si="1918">AM143-AL143</f>
        <v>0</v>
      </c>
      <c r="AN221" s="23">
        <f t="shared" ref="AN221" si="1919">AN143-AM143</f>
        <v>3.2149999999999999</v>
      </c>
      <c r="AO221" s="23">
        <f t="shared" ref="AO221" si="1920">AO143-AN143</f>
        <v>0</v>
      </c>
      <c r="AP221" s="23">
        <f t="shared" ref="AP221" si="1921">AP143-AO143</f>
        <v>2.54</v>
      </c>
      <c r="AQ221" s="23">
        <f t="shared" ref="AQ221" si="1922">AQ143-AP143</f>
        <v>0</v>
      </c>
      <c r="AR221" s="23">
        <f t="shared" ref="AR221" si="1923">AR143-AQ143</f>
        <v>4.7949999999999999</v>
      </c>
      <c r="AS221" s="23">
        <f t="shared" ref="AS221" si="1924">AS143-AR143</f>
        <v>0</v>
      </c>
      <c r="AT221" s="23">
        <f t="shared" ref="AT221" si="1925">AT143-AS143</f>
        <v>-6.0410000000000004</v>
      </c>
      <c r="AU221" s="23">
        <f t="shared" ref="AU221" si="1926">AU143-AT143</f>
        <v>0</v>
      </c>
      <c r="AV221" s="23">
        <f t="shared" ref="AV221" si="1927">AV143-AU143</f>
        <v>4.7510000000000012</v>
      </c>
      <c r="AW221" s="23">
        <f t="shared" ref="AW221" si="1928">AW143-AV143</f>
        <v>0</v>
      </c>
      <c r="AX221" s="23">
        <f t="shared" ref="AX221" si="1929">AX143-AW143</f>
        <v>-4.5709999999999997</v>
      </c>
      <c r="AY221" s="23">
        <f t="shared" ref="AY221" si="1930">AY143-AX143</f>
        <v>0</v>
      </c>
      <c r="AZ221" s="23">
        <f t="shared" ref="AZ221" si="1931">AZ143-AY143</f>
        <v>-0.13900000000000112</v>
      </c>
      <c r="BA221" s="23">
        <f t="shared" ref="BA221" si="1932">BA143-AZ143</f>
        <v>0</v>
      </c>
      <c r="BB221" s="23">
        <f t="shared" ref="BB221" si="1933">BB143-BA143</f>
        <v>2.125</v>
      </c>
      <c r="BC221" s="23">
        <f t="shared" ref="BC221" si="1934">BC143-BB143</f>
        <v>0</v>
      </c>
      <c r="BD221" s="23">
        <f t="shared" ref="BD221" si="1935">BD143-BC143</f>
        <v>-10.433</v>
      </c>
      <c r="BE221" s="23">
        <f t="shared" ref="BE221" si="1936">BE143-BD143</f>
        <v>0</v>
      </c>
      <c r="BF221" s="23">
        <f t="shared" ref="BF221" si="1937">BF143-BE143</f>
        <v>0</v>
      </c>
      <c r="BG221" s="23">
        <f t="shared" ref="BG221" si="1938">BG143-BF143</f>
        <v>0</v>
      </c>
      <c r="BH221" s="23">
        <f t="shared" ref="BH221" si="1939">BH143-BG143</f>
        <v>0</v>
      </c>
      <c r="BI221" s="23">
        <f t="shared" ref="BI221" si="1940">BI143-BH143</f>
        <v>0</v>
      </c>
      <c r="BJ221" s="23">
        <f t="shared" ref="BJ221" si="1941">BJ143-BI143</f>
        <v>0</v>
      </c>
      <c r="BK221" s="23">
        <f t="shared" ref="BK221" si="1942">BK143-BJ143</f>
        <v>0</v>
      </c>
      <c r="BL221" s="23">
        <f t="shared" ref="BL221" si="1943">BL143-BK143</f>
        <v>0</v>
      </c>
      <c r="BM221" s="23">
        <f t="shared" ref="BM221" si="1944">BM143-BL143</f>
        <v>0</v>
      </c>
      <c r="BN221" s="23">
        <f t="shared" ref="BN221" si="1945">BN143-BM143</f>
        <v>0</v>
      </c>
      <c r="BO221" s="23">
        <f t="shared" ref="BO221" si="1946">BO143-BN143</f>
        <v>0</v>
      </c>
      <c r="BP221" s="23">
        <f t="shared" ref="BP221" si="1947">BP143-BO143</f>
        <v>0</v>
      </c>
      <c r="BQ221" s="23">
        <f t="shared" ref="BQ221" si="1948">BQ143-BP143</f>
        <v>0</v>
      </c>
      <c r="BR221" s="23">
        <f t="shared" ref="BR221" si="1949">BR143-BQ143</f>
        <v>0</v>
      </c>
      <c r="BS221" s="23">
        <f t="shared" ref="BS221" si="1950">BS143-BR143</f>
        <v>0</v>
      </c>
      <c r="BT221" s="23">
        <f t="shared" ref="BT221" si="1951">BT143-BS143</f>
        <v>0</v>
      </c>
      <c r="BU221" s="23">
        <f t="shared" ref="BU221" si="1952">BU143-BT143</f>
        <v>0</v>
      </c>
      <c r="BV221" s="23">
        <f t="shared" ref="BV221" si="1953">BV143-BU143</f>
        <v>12.867000000000001</v>
      </c>
      <c r="BW221" s="23">
        <f t="shared" ref="BW221" si="1954">BW143-BV143</f>
        <v>0</v>
      </c>
      <c r="BX221" s="23">
        <f t="shared" ref="BX221" si="1955">BX143-BW143</f>
        <v>22.060999999999996</v>
      </c>
      <c r="BY221" s="23">
        <f t="shared" ref="BY221" si="1956">BY143-BX143</f>
        <v>0</v>
      </c>
      <c r="BZ221" s="23">
        <f t="shared" ref="BZ221" si="1957">BZ143-BY143</f>
        <v>-7.0249999999999986</v>
      </c>
      <c r="CA221" s="23">
        <f t="shared" ref="CA221" si="1958">CA143-BZ143</f>
        <v>0</v>
      </c>
      <c r="CB221" s="23">
        <f t="shared" ref="CB221" si="1959">CB143-CA143</f>
        <v>-10.364999999999998</v>
      </c>
      <c r="CC221" s="23">
        <f t="shared" ref="CC221" si="1960">CC143-CB143</f>
        <v>0</v>
      </c>
      <c r="CD221" s="23">
        <f t="shared" ref="CD221" si="1961">CD143-CC143</f>
        <v>-6.0340000000000007</v>
      </c>
      <c r="CE221" s="23">
        <f t="shared" ref="CE221" si="1962">CE143-CD143</f>
        <v>0</v>
      </c>
      <c r="CF221" s="23">
        <f t="shared" ref="CF221" si="1963">CF143-CE143</f>
        <v>0.1509999999999998</v>
      </c>
      <c r="CG221" s="23">
        <f t="shared" ref="CG221" si="1964">CG143-CF143</f>
        <v>0</v>
      </c>
      <c r="CH221" s="23">
        <f t="shared" ref="CH221:CL221" si="1965">CH143-CG143</f>
        <v>9.4542999999999981</v>
      </c>
      <c r="CI221" s="23">
        <f t="shared" si="1965"/>
        <v>0</v>
      </c>
      <c r="CJ221" s="23">
        <f t="shared" si="1965"/>
        <v>9.5807000000000038</v>
      </c>
      <c r="CK221" s="24">
        <f t="shared" ref="CK221" si="1966">CK143-CJ143</f>
        <v>0</v>
      </c>
      <c r="CL221" s="23">
        <f t="shared" si="1965"/>
        <v>3.6889999999999965</v>
      </c>
      <c r="CM221" s="24">
        <f t="shared" ref="CM221" si="1967">CM143-CL143</f>
        <v>0</v>
      </c>
      <c r="CN221" s="24">
        <f t="shared" ref="CN221" si="1968">CN143-CM143</f>
        <v>0</v>
      </c>
      <c r="CO221" s="24">
        <f t="shared" ref="CO221" si="1969">CO143-CN143</f>
        <v>0</v>
      </c>
      <c r="CP221" s="24">
        <f t="shared" ref="CP221" si="1970">CP143-CO143</f>
        <v>0</v>
      </c>
      <c r="CQ221" s="24">
        <f t="shared" ref="CQ221" si="1971">CQ143-CP143</f>
        <v>0</v>
      </c>
      <c r="CR221" s="24">
        <f t="shared" ref="CR221" si="1972">CR143-CQ143</f>
        <v>0</v>
      </c>
      <c r="CS221" s="24">
        <f t="shared" ref="CS221" si="1973">CS143-CR143</f>
        <v>0</v>
      </c>
      <c r="CT221" s="24">
        <f t="shared" ref="CT221" si="1974">CT143-CS143</f>
        <v>0</v>
      </c>
      <c r="CU221" s="24">
        <f t="shared" ref="CU221" si="1975">CU143-CT143</f>
        <v>0</v>
      </c>
      <c r="CV221" s="24">
        <f t="shared" ref="CV221" si="1976">CV143-CU143</f>
        <v>0</v>
      </c>
      <c r="CW221" s="24">
        <f t="shared" ref="CW221" si="1977">CW143-CV143</f>
        <v>0</v>
      </c>
      <c r="CX221" s="24">
        <f t="shared" ref="CX221" si="1978">CX143-CW143</f>
        <v>0</v>
      </c>
      <c r="CY221" s="24">
        <f t="shared" ref="CY221" si="1979">CY143-CX143</f>
        <v>0</v>
      </c>
      <c r="CZ221" s="24">
        <f t="shared" ref="CZ221" si="1980">CZ143-CY143</f>
        <v>0</v>
      </c>
      <c r="DA221" s="24">
        <f t="shared" ref="DA221" si="1981">DA143-CZ143</f>
        <v>0</v>
      </c>
      <c r="DB221" s="24">
        <f t="shared" ref="DB221" si="1982">DB143-DA143</f>
        <v>0</v>
      </c>
      <c r="DE221" s="123"/>
      <c r="DF221" s="23">
        <v>13.2697</v>
      </c>
    </row>
    <row r="222" spans="1:110" s="23" customFormat="1" x14ac:dyDescent="0.2">
      <c r="A222" s="23" t="s">
        <v>27</v>
      </c>
      <c r="C222" s="23">
        <f t="shared" ref="C222:AE222" si="1983">C135-C63-B135+C137-B137</f>
        <v>-3.8609960000000001</v>
      </c>
      <c r="D222" s="23">
        <f t="shared" si="1983"/>
        <v>-1.7763568394002505E-15</v>
      </c>
      <c r="E222" s="23">
        <f t="shared" si="1983"/>
        <v>-0.8082148999999994</v>
      </c>
      <c r="F222" s="23">
        <f t="shared" si="1983"/>
        <v>-7.9426099999999167E-2</v>
      </c>
      <c r="G222" s="23">
        <f t="shared" si="1983"/>
        <v>-7.6676100000000247E-2</v>
      </c>
      <c r="H222" s="23">
        <f t="shared" si="1983"/>
        <v>-0.68226799999999876</v>
      </c>
      <c r="I222" s="23">
        <f t="shared" si="1983"/>
        <v>-0.25243470000000023</v>
      </c>
      <c r="J222" s="23">
        <f t="shared" si="1983"/>
        <v>-0.85360280000000088</v>
      </c>
      <c r="K222" s="23">
        <f t="shared" si="1983"/>
        <v>-2.6488620000000012</v>
      </c>
      <c r="L222" s="23">
        <f t="shared" si="1983"/>
        <v>-0.90264999999999773</v>
      </c>
      <c r="M222" s="23">
        <f t="shared" si="1983"/>
        <v>-2.5534151000000023</v>
      </c>
      <c r="N222" s="23">
        <f t="shared" si="1983"/>
        <v>-1.3906475000000036</v>
      </c>
      <c r="O222" s="23">
        <f t="shared" si="1983"/>
        <v>-2.1032828000000023</v>
      </c>
      <c r="P222" s="23">
        <f t="shared" si="1983"/>
        <v>-1.8870930999999942</v>
      </c>
      <c r="Q222" s="23">
        <f t="shared" si="1983"/>
        <v>-0.56741490000000283</v>
      </c>
      <c r="R222" s="23">
        <f t="shared" si="1983"/>
        <v>3.95449999999542E-3</v>
      </c>
      <c r="S222" s="23">
        <f t="shared" si="1983"/>
        <v>-0.97597790000000373</v>
      </c>
      <c r="T222" s="23">
        <f t="shared" si="1983"/>
        <v>-3.4215326000000061</v>
      </c>
      <c r="U222" s="23">
        <f t="shared" si="1983"/>
        <v>-1.9551611999999992</v>
      </c>
      <c r="V222" s="23">
        <f t="shared" si="1983"/>
        <v>-0.81092610000001741</v>
      </c>
      <c r="W222" s="23">
        <f t="shared" si="1983"/>
        <v>-1.6218000000000075</v>
      </c>
      <c r="X222" s="23">
        <f t="shared" si="1983"/>
        <v>-1.6216999999999899</v>
      </c>
      <c r="Y222" s="23">
        <f t="shared" si="1983"/>
        <v>4.4502000000000521</v>
      </c>
      <c r="Z222" s="23">
        <f t="shared" si="1983"/>
        <v>17.032099999999986</v>
      </c>
      <c r="AA222" s="23">
        <f t="shared" si="1983"/>
        <v>86.143500000000046</v>
      </c>
      <c r="AB222" s="24">
        <f t="shared" si="1983"/>
        <v>-2.0000000000663931E-4</v>
      </c>
      <c r="AC222" s="24">
        <f t="shared" si="1983"/>
        <v>-5.6843418860808015E-14</v>
      </c>
      <c r="AD222" s="24">
        <f t="shared" si="1983"/>
        <v>5.6843418860808015E-14</v>
      </c>
      <c r="AE222" s="24">
        <f t="shared" si="1983"/>
        <v>5.6843418860808015E-14</v>
      </c>
      <c r="AI222" s="23">
        <f t="shared" ref="AI222:BN222" si="1984">AI135-AI63-AH135+AI137-AH137</f>
        <v>-1.182000000000001</v>
      </c>
      <c r="AJ222" s="23">
        <f t="shared" si="1984"/>
        <v>20.157</v>
      </c>
      <c r="AK222" s="23">
        <f t="shared" si="1984"/>
        <v>0</v>
      </c>
      <c r="AL222" s="23">
        <f t="shared" si="1984"/>
        <v>-1.5890000000000022</v>
      </c>
      <c r="AM222" s="23">
        <f t="shared" si="1984"/>
        <v>0</v>
      </c>
      <c r="AN222" s="23">
        <f t="shared" si="1984"/>
        <v>-1.9760000000000026</v>
      </c>
      <c r="AO222" s="23">
        <f t="shared" si="1984"/>
        <v>0</v>
      </c>
      <c r="AP222" s="23">
        <f t="shared" si="1984"/>
        <v>2.8999999999999915E-2</v>
      </c>
      <c r="AQ222" s="23">
        <f t="shared" si="1984"/>
        <v>0</v>
      </c>
      <c r="AR222" s="23">
        <f t="shared" si="1984"/>
        <v>-1.1159999999999997</v>
      </c>
      <c r="AS222" s="23">
        <f t="shared" si="1984"/>
        <v>0</v>
      </c>
      <c r="AT222" s="23">
        <f t="shared" si="1984"/>
        <v>-0.76599999999999824</v>
      </c>
      <c r="AU222" s="23">
        <f t="shared" si="1984"/>
        <v>0</v>
      </c>
      <c r="AV222" s="23">
        <f t="shared" si="1984"/>
        <v>-3.9000000000001478E-2</v>
      </c>
      <c r="AW222" s="23">
        <f t="shared" si="1984"/>
        <v>0</v>
      </c>
      <c r="AX222" s="23">
        <f t="shared" si="1984"/>
        <v>-0.52799999999999869</v>
      </c>
      <c r="AY222" s="23">
        <f t="shared" si="1984"/>
        <v>0</v>
      </c>
      <c r="AZ222" s="23">
        <f t="shared" si="1984"/>
        <v>-5.5999999999997385E-2</v>
      </c>
      <c r="BA222" s="23">
        <f t="shared" si="1984"/>
        <v>0</v>
      </c>
      <c r="BB222" s="23">
        <f t="shared" si="1984"/>
        <v>5.7999999999996277E-2</v>
      </c>
      <c r="BC222" s="23">
        <f t="shared" si="1984"/>
        <v>3.5527136788005009E-15</v>
      </c>
      <c r="BD222" s="23">
        <f t="shared" si="1984"/>
        <v>-0.97700000000000742</v>
      </c>
      <c r="BE222" s="23">
        <f t="shared" si="1984"/>
        <v>7.1054273576010019E-15</v>
      </c>
      <c r="BF222" s="23">
        <f t="shared" si="1984"/>
        <v>6.0000000000002274E-3</v>
      </c>
      <c r="BG222" s="23">
        <f t="shared" si="1984"/>
        <v>0</v>
      </c>
      <c r="BH222" s="23">
        <f t="shared" si="1984"/>
        <v>-1.9539999999999935</v>
      </c>
      <c r="BI222" s="23">
        <f t="shared" si="1984"/>
        <v>0</v>
      </c>
      <c r="BJ222" s="23">
        <f t="shared" si="1984"/>
        <v>-1.5460000000000065</v>
      </c>
      <c r="BK222" s="23">
        <f t="shared" si="1984"/>
        <v>0</v>
      </c>
      <c r="BL222" s="23">
        <f t="shared" si="1984"/>
        <v>-0.97999999999999687</v>
      </c>
      <c r="BM222" s="23">
        <f t="shared" si="1984"/>
        <v>0</v>
      </c>
      <c r="BN222" s="23">
        <f t="shared" si="1984"/>
        <v>-1.1490000000000009</v>
      </c>
      <c r="BO222" s="23">
        <f t="shared" ref="BO222:CT222" si="1985">BO135-BO63-BN135+BO137-BN137</f>
        <v>0</v>
      </c>
      <c r="BP222" s="23">
        <f t="shared" si="1985"/>
        <v>-0.81099999999999994</v>
      </c>
      <c r="BQ222" s="23">
        <f t="shared" si="1985"/>
        <v>0</v>
      </c>
      <c r="BR222" s="23">
        <f t="shared" si="1985"/>
        <v>-2.8999999999989257E-2</v>
      </c>
      <c r="BS222" s="23">
        <f t="shared" si="1985"/>
        <v>-1.4210854715202004E-14</v>
      </c>
      <c r="BT222" s="23">
        <f t="shared" si="1985"/>
        <v>-1.6219999999999857</v>
      </c>
      <c r="BU222" s="23">
        <f t="shared" si="1985"/>
        <v>0</v>
      </c>
      <c r="BV222" s="23">
        <f t="shared" si="1985"/>
        <v>-7.5000000000002842E-2</v>
      </c>
      <c r="BW222" s="23">
        <f t="shared" si="1985"/>
        <v>0</v>
      </c>
      <c r="BX222" s="23">
        <f t="shared" si="1985"/>
        <v>-1.6210000000000093</v>
      </c>
      <c r="BY222" s="23">
        <f t="shared" si="1985"/>
        <v>1.4210854715202004E-14</v>
      </c>
      <c r="BZ222" s="23">
        <f t="shared" si="1985"/>
        <v>-0.25499999999999545</v>
      </c>
      <c r="CA222" s="23">
        <f t="shared" si="1985"/>
        <v>0</v>
      </c>
      <c r="CB222" s="23">
        <f t="shared" si="1985"/>
        <v>-1.6249999999999858</v>
      </c>
      <c r="CC222" s="23">
        <f t="shared" si="1985"/>
        <v>0</v>
      </c>
      <c r="CD222" s="23">
        <f t="shared" si="1985"/>
        <v>5.7039999999999793</v>
      </c>
      <c r="CE222" s="23">
        <f t="shared" si="1985"/>
        <v>0</v>
      </c>
      <c r="CF222" s="23">
        <f t="shared" si="1985"/>
        <v>2.4540000000000077</v>
      </c>
      <c r="CG222" s="23">
        <f t="shared" si="1985"/>
        <v>0</v>
      </c>
      <c r="CH222" s="23">
        <f t="shared" si="1985"/>
        <v>14.228099999999955</v>
      </c>
      <c r="CI222" s="23">
        <f t="shared" si="1985"/>
        <v>0</v>
      </c>
      <c r="CJ222" s="23">
        <f t="shared" si="1985"/>
        <v>78.90390000000005</v>
      </c>
      <c r="CK222" s="24">
        <f t="shared" si="1985"/>
        <v>0</v>
      </c>
      <c r="CL222" s="23">
        <f t="shared" si="1985"/>
        <v>7.0749999999999318</v>
      </c>
      <c r="CM222" s="24">
        <f t="shared" si="1985"/>
        <v>0</v>
      </c>
      <c r="CN222" s="24">
        <f t="shared" si="1985"/>
        <v>0</v>
      </c>
      <c r="CO222" s="24">
        <f t="shared" si="1985"/>
        <v>0</v>
      </c>
      <c r="CP222" s="24">
        <f t="shared" si="1985"/>
        <v>5.6843418860808015E-14</v>
      </c>
      <c r="CQ222" s="24">
        <f t="shared" si="1985"/>
        <v>0</v>
      </c>
      <c r="CR222" s="24">
        <f t="shared" si="1985"/>
        <v>-5.6843418860808015E-14</v>
      </c>
      <c r="CS222" s="24">
        <f t="shared" si="1985"/>
        <v>0</v>
      </c>
      <c r="CT222" s="24">
        <f t="shared" si="1985"/>
        <v>0</v>
      </c>
      <c r="CU222" s="24">
        <f t="shared" ref="CU222:DB222" si="1986">CU135-CU63-CT135+CU137-CT137</f>
        <v>5.6843418860808015E-14</v>
      </c>
      <c r="CV222" s="24">
        <f t="shared" si="1986"/>
        <v>-5.6843418860808015E-14</v>
      </c>
      <c r="CW222" s="24">
        <f t="shared" si="1986"/>
        <v>5.6843418860808015E-14</v>
      </c>
      <c r="CX222" s="24">
        <f t="shared" si="1986"/>
        <v>-5.6843418860808015E-14</v>
      </c>
      <c r="CY222" s="24">
        <f t="shared" si="1986"/>
        <v>0</v>
      </c>
      <c r="CZ222" s="24">
        <f t="shared" si="1986"/>
        <v>5.6843418860808015E-14</v>
      </c>
      <c r="DA222" s="24">
        <f t="shared" si="1986"/>
        <v>-5.6843418860808015E-14</v>
      </c>
      <c r="DB222" s="24">
        <f t="shared" si="1986"/>
        <v>5.6843418860808015E-14</v>
      </c>
      <c r="DE222" s="123"/>
      <c r="DF222" s="23">
        <v>85.978899999999925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3" customFormat="1" x14ac:dyDescent="0.2">
      <c r="A224" s="23" t="s">
        <v>442</v>
      </c>
      <c r="C224" s="23">
        <f t="shared" ref="C224" si="1987">B176</f>
        <v>0.63867200000000002</v>
      </c>
      <c r="D224" s="23">
        <f t="shared" ref="D224" si="1988">C176</f>
        <v>0.34116419999999997</v>
      </c>
      <c r="E224" s="23">
        <f>D176</f>
        <v>0.18395420000000001</v>
      </c>
      <c r="F224" s="23">
        <f t="shared" ref="F224" si="1989">E176</f>
        <v>0.5966205</v>
      </c>
      <c r="G224" s="23">
        <f t="shared" ref="G224" si="1990">F176</f>
        <v>0.6361928</v>
      </c>
      <c r="H224" s="23">
        <f t="shared" ref="H224" si="1991">G176</f>
        <v>3.5011817000000001</v>
      </c>
      <c r="I224" s="23">
        <f t="shared" ref="I224" si="1992">H176</f>
        <v>1.0375673999999999</v>
      </c>
      <c r="J224" s="23">
        <f>I176</f>
        <v>2.9115864</v>
      </c>
      <c r="K224" s="23">
        <f>J176</f>
        <v>2.5565711000000002</v>
      </c>
      <c r="L224" s="23">
        <f t="shared" ref="L224" si="1993">K176</f>
        <v>1.1879820999999999</v>
      </c>
      <c r="M224" s="23">
        <f t="shared" ref="M224" si="1994">L176</f>
        <v>0.57216149999999999</v>
      </c>
      <c r="N224" s="23">
        <f t="shared" ref="N224" si="1995">M176</f>
        <v>0.37648350000000003</v>
      </c>
      <c r="O224" s="23">
        <f t="shared" ref="O224" si="1996">N176</f>
        <v>1.3048930000000001</v>
      </c>
      <c r="P224" s="23">
        <f t="shared" ref="P224" si="1997">O176</f>
        <v>0.39952910000000003</v>
      </c>
      <c r="Q224" s="23">
        <f t="shared" ref="Q224" si="1998">P176</f>
        <v>0.44974730000000002</v>
      </c>
      <c r="R224" s="23">
        <f t="shared" ref="R224" si="1999">Q176</f>
        <v>0.45367970000000002</v>
      </c>
      <c r="S224" s="23">
        <f t="shared" ref="S224" si="2000">R176</f>
        <v>0.31995600000000002</v>
      </c>
      <c r="T224" s="23">
        <f t="shared" ref="T224" si="2001">S176</f>
        <v>10.963350800000001</v>
      </c>
      <c r="U224" s="23">
        <f t="shared" ref="U224" si="2002">T176</f>
        <v>10.1011864</v>
      </c>
      <c r="V224" s="23">
        <f t="shared" ref="V224" si="2003">U176</f>
        <v>7.9235727000000002</v>
      </c>
      <c r="W224" s="23">
        <f t="shared" ref="W224:AA224" si="2004">V176</f>
        <v>42.970500000000001</v>
      </c>
      <c r="X224" s="23">
        <f t="shared" si="2004"/>
        <v>1.3331999999999999</v>
      </c>
      <c r="Y224" s="23">
        <f t="shared" si="2004"/>
        <v>1.2517</v>
      </c>
      <c r="Z224" s="23">
        <f t="shared" si="2004"/>
        <v>13.2859</v>
      </c>
      <c r="AA224" s="23">
        <f t="shared" si="2004"/>
        <v>7.7664</v>
      </c>
      <c r="AB224" s="24">
        <f t="shared" ref="AB224" si="2005">AA176</f>
        <v>11.0494</v>
      </c>
      <c r="AC224" s="24">
        <f t="shared" ref="AC224" si="2006">AB176</f>
        <v>27.643794457062821</v>
      </c>
      <c r="AD224" s="24">
        <f t="shared" ref="AD224" si="2007">AC176</f>
        <v>45.488738166204776</v>
      </c>
      <c r="AE224" s="24">
        <f t="shared" ref="AE224" si="2008">AD176</f>
        <v>62.046538406022407</v>
      </c>
      <c r="AI224" s="23">
        <f t="shared" ref="AI224" si="2009">AH176</f>
        <v>0</v>
      </c>
      <c r="AJ224" s="23">
        <f t="shared" ref="AJ224" si="2010">AI176</f>
        <v>0</v>
      </c>
      <c r="AK224" s="23">
        <f t="shared" ref="AK224" si="2011">AJ176</f>
        <v>0.36399999999999999</v>
      </c>
      <c r="AL224" s="23">
        <f t="shared" ref="AL224" si="2012">AK176</f>
        <v>-38.581964350672976</v>
      </c>
      <c r="AM224" s="23">
        <f t="shared" ref="AM224" si="2013">AL176</f>
        <v>1.3049999999999999</v>
      </c>
      <c r="AN224" s="23">
        <f t="shared" ref="AN224" si="2014">AM176</f>
        <v>11.445336005292036</v>
      </c>
      <c r="AO224" s="23">
        <f t="shared" ref="AO224" si="2015">AN176</f>
        <v>1.407</v>
      </c>
      <c r="AP224" s="23">
        <f t="shared" ref="AP224" si="2016">AO176</f>
        <v>-2.8015833333333324</v>
      </c>
      <c r="AQ224" s="23">
        <f t="shared" ref="AQ224" si="2017">AP176</f>
        <v>0.4</v>
      </c>
      <c r="AR224" s="23">
        <f t="shared" ref="AR224" si="2018">AQ176</f>
        <v>-7.0277328195247257</v>
      </c>
      <c r="AS224" s="23">
        <f t="shared" ref="AS224" si="2019">AR176</f>
        <v>3.0419999999999998</v>
      </c>
      <c r="AT224" s="23">
        <f t="shared" ref="AT224" si="2020">AS176</f>
        <v>8.7587009209888507</v>
      </c>
      <c r="AU224" s="23">
        <f t="shared" ref="AU224" si="2021">AT176</f>
        <v>0.45</v>
      </c>
      <c r="AV224" s="23">
        <f t="shared" ref="AV224" si="2022">AU176</f>
        <v>2.4029417889256992</v>
      </c>
      <c r="AW224" s="23">
        <f t="shared" ref="AW224" si="2023">AV176</f>
        <v>1.0069999999999999</v>
      </c>
      <c r="AX224" s="23">
        <f t="shared" ref="AX224" si="2024">AW176</f>
        <v>1.3438715214564381</v>
      </c>
      <c r="AY224" s="23">
        <f t="shared" ref="AY224" si="2025">AX176</f>
        <v>0.45200000000000001</v>
      </c>
      <c r="AZ224" s="23">
        <f t="shared" ref="AZ224" si="2026">AY176</f>
        <v>7.3713070460909655</v>
      </c>
      <c r="BA224" s="23">
        <f t="shared" ref="BA224" si="2027">AZ176</f>
        <v>0.51300000000000001</v>
      </c>
      <c r="BB224" s="23">
        <f t="shared" ref="BB224" si="2028">BA176</f>
        <v>-4.8758157389635404E-2</v>
      </c>
      <c r="BC224" s="23">
        <f t="shared" ref="BC224" si="2029">BB176</f>
        <v>0.32</v>
      </c>
      <c r="BD224" s="23">
        <f t="shared" ref="BD224" si="2030">BC176</f>
        <v>13.881681818181821</v>
      </c>
      <c r="BE224" s="23">
        <f t="shared" ref="BE224" si="2031">BD176</f>
        <v>2.7759999999999998</v>
      </c>
      <c r="BF224" s="23">
        <f t="shared" ref="BF224" si="2032">BE176</f>
        <v>-3.6376859688195946</v>
      </c>
      <c r="BG224" s="23">
        <f t="shared" ref="BG224" si="2033">BF176</f>
        <v>10.964</v>
      </c>
      <c r="BH224" s="23">
        <f t="shared" ref="BH224" si="2034">BG176</f>
        <v>15.353020620002804</v>
      </c>
      <c r="BI224" s="23">
        <f t="shared" ref="BI224" si="2035">BH176</f>
        <v>15.704000000000001</v>
      </c>
      <c r="BJ224" s="23">
        <f t="shared" ref="BJ224" si="2036">BI176</f>
        <v>14.921676260420805</v>
      </c>
      <c r="BK224" s="23">
        <f t="shared" ref="BK224" si="2037">BJ176</f>
        <v>10.101000000000001</v>
      </c>
      <c r="BL224" s="23">
        <f t="shared" ref="BL224" si="2038">BK176</f>
        <v>20.072092497927606</v>
      </c>
      <c r="BM224" s="23">
        <f t="shared" ref="BM224" si="2039">BL176</f>
        <v>17.321999999999999</v>
      </c>
      <c r="BN224" s="23">
        <f t="shared" ref="BN224" si="2040">BM176</f>
        <v>9.4458134226522841</v>
      </c>
      <c r="BO224" s="23">
        <f t="shared" ref="BO224" si="2041">BN176</f>
        <v>7.9240000000000004</v>
      </c>
      <c r="BP224" s="23">
        <f t="shared" ref="BP224" si="2042">BO176</f>
        <v>25.530598967456434</v>
      </c>
      <c r="BQ224" s="23">
        <f t="shared" ref="BQ224" si="2043">BP176</f>
        <v>18.928000000000001</v>
      </c>
      <c r="BR224" s="23">
        <f t="shared" ref="BR224" si="2044">BQ176</f>
        <v>1.5600220535357607</v>
      </c>
      <c r="BS224" s="23">
        <f t="shared" ref="BS224" si="2045">BR176</f>
        <v>42.970999999999997</v>
      </c>
      <c r="BT224" s="23">
        <f t="shared" ref="BT224" si="2046">BS176</f>
        <v>54.131178680796864</v>
      </c>
      <c r="BU224" s="23">
        <f t="shared" ref="BU224" si="2047">BT176</f>
        <v>25.989000000000001</v>
      </c>
      <c r="BV224" s="23">
        <f t="shared" ref="BV224" si="2048">BU176</f>
        <v>1.9924546514641079</v>
      </c>
      <c r="BW224" s="23">
        <f t="shared" ref="BW224" si="2049">BV176</f>
        <v>1.333</v>
      </c>
      <c r="BX224" s="23">
        <f t="shared" ref="BX224" si="2050">BW176</f>
        <v>27.761102699693843</v>
      </c>
      <c r="BY224" s="23">
        <f t="shared" ref="BY224" si="2051">BX176</f>
        <v>6.8380000000000001</v>
      </c>
      <c r="BZ224" s="23">
        <f t="shared" ref="BZ224" si="2052">BY176</f>
        <v>8.8152518978605876</v>
      </c>
      <c r="CA224" s="23">
        <f t="shared" ref="CA224" si="2053">BZ176</f>
        <v>1.252</v>
      </c>
      <c r="CB224" s="23">
        <f t="shared" ref="CB224" si="2054">CA176</f>
        <v>-16.170146085168746</v>
      </c>
      <c r="CC224" s="23">
        <f t="shared" ref="CC224" si="2055">CB176</f>
        <v>6.681</v>
      </c>
      <c r="CD224" s="23">
        <f t="shared" ref="CD224" si="2056">CC176</f>
        <v>13.790325327149226</v>
      </c>
      <c r="CE224" s="23">
        <f t="shared" ref="CE224" si="2057">CD176</f>
        <v>13.286</v>
      </c>
      <c r="CF224" s="23">
        <f t="shared" ref="CF224" si="2058">CE176</f>
        <v>-4.3343919925289072</v>
      </c>
      <c r="CG224" s="23">
        <f t="shared" ref="CG224" si="2059">CF176</f>
        <v>8.5380000000000003</v>
      </c>
      <c r="CH224" s="23">
        <f t="shared" ref="CH224:CL224" si="2060">CG176</f>
        <v>41.248532885559314</v>
      </c>
      <c r="CI224" s="23">
        <f t="shared" si="2060"/>
        <v>7.7664</v>
      </c>
      <c r="CJ224" s="23">
        <f t="shared" si="2060"/>
        <v>8.3415435131239839</v>
      </c>
      <c r="CK224" s="24">
        <f t="shared" ref="CK224" si="2061">CJ176</f>
        <v>49.563000000000002</v>
      </c>
      <c r="CL224" s="23">
        <f t="shared" si="2060"/>
        <v>68.062976000577436</v>
      </c>
      <c r="CM224" s="24">
        <f t="shared" ref="CM224" si="2062">CL176</f>
        <v>11.048999999999999</v>
      </c>
      <c r="CN224" s="24">
        <f t="shared" ref="CN224" si="2063">CM176</f>
        <v>33.441580505967806</v>
      </c>
      <c r="CO224" s="24">
        <f t="shared" ref="CO224" si="2064">CN176</f>
        <v>31.348187493103467</v>
      </c>
      <c r="CP224" s="24">
        <f t="shared" ref="CP224" si="2065">CO176</f>
        <v>55.451066003000896</v>
      </c>
      <c r="CQ224" s="24">
        <f t="shared" ref="CQ224" si="2066">CP176</f>
        <v>27.643794457062821</v>
      </c>
      <c r="CR224" s="24">
        <f t="shared" ref="CR224" si="2067">CQ176</f>
        <v>55.63477603705276</v>
      </c>
      <c r="CS224" s="24">
        <f t="shared" ref="CS224" si="2068">CR176</f>
        <v>52.016278942212864</v>
      </c>
      <c r="CT224" s="24">
        <f t="shared" ref="CT224" si="2069">CS176</f>
        <v>78.562584886899174</v>
      </c>
      <c r="CU224" s="24">
        <f t="shared" ref="CU224" si="2070">CT176</f>
        <v>45.488738166204776</v>
      </c>
      <c r="CV224" s="24">
        <f t="shared" ref="CV224" si="2071">CU176</f>
        <v>76.524759463472847</v>
      </c>
      <c r="CW224" s="24">
        <f t="shared" ref="CW224" si="2072">CV176</f>
        <v>71.377896474882448</v>
      </c>
      <c r="CX224" s="24">
        <f t="shared" ref="CX224" si="2073">CW176</f>
        <v>100.96358876860495</v>
      </c>
      <c r="CY224" s="24">
        <f t="shared" ref="CY224" si="2074">CX176</f>
        <v>62.046538406022407</v>
      </c>
      <c r="CZ224" s="24">
        <f t="shared" ref="CZ224" si="2075">CY176</f>
        <v>96.746124845897072</v>
      </c>
      <c r="DA224" s="24">
        <f t="shared" ref="DA224" si="2076">CZ176</f>
        <v>90.027879457323678</v>
      </c>
      <c r="DB224" s="24">
        <f t="shared" ref="DB224" si="2077">DA176</f>
        <v>123.28273753552811</v>
      </c>
      <c r="DE224" s="123"/>
      <c r="DF224" s="23">
        <v>7.7664</v>
      </c>
    </row>
    <row r="225" spans="1:110" s="23" customFormat="1" x14ac:dyDescent="0.2">
      <c r="A225" s="23" t="s">
        <v>443</v>
      </c>
      <c r="C225" s="23">
        <f t="shared" ref="C225:W225" si="2078">C224+C220+C216+C214</f>
        <v>0.34116419999999792</v>
      </c>
      <c r="D225" s="23">
        <f t="shared" si="2078"/>
        <v>0.18395419999999962</v>
      </c>
      <c r="E225" s="23">
        <f t="shared" si="2078"/>
        <v>0.59662050000000066</v>
      </c>
      <c r="F225" s="23">
        <f t="shared" si="2078"/>
        <v>0.63619280000000034</v>
      </c>
      <c r="G225" s="23">
        <f t="shared" si="2078"/>
        <v>3.5011816999999992</v>
      </c>
      <c r="H225" s="23">
        <f t="shared" si="2078"/>
        <v>1.0375673999999999</v>
      </c>
      <c r="I225" s="23">
        <f t="shared" si="2078"/>
        <v>2.9115864000000005</v>
      </c>
      <c r="J225" s="23">
        <f>J224+J220+J216+J214</f>
        <v>2.5565710999999984</v>
      </c>
      <c r="K225" s="23">
        <f>K224+K220+K216+K214</f>
        <v>1.1879821000000033</v>
      </c>
      <c r="L225" s="23">
        <f>L224+L220+L216+L214</f>
        <v>0.57216149999999821</v>
      </c>
      <c r="M225" s="23">
        <f>M224+M220+M216+M214</f>
        <v>0.37648349999999553</v>
      </c>
      <c r="N225" s="23">
        <f t="shared" si="2078"/>
        <v>1.3048930000000016</v>
      </c>
      <c r="O225" s="23">
        <f t="shared" si="2078"/>
        <v>0.39952909999999964</v>
      </c>
      <c r="P225" s="23">
        <f t="shared" si="2078"/>
        <v>0.44974730000000429</v>
      </c>
      <c r="Q225" s="23">
        <f t="shared" si="2078"/>
        <v>0.45367969999999413</v>
      </c>
      <c r="R225" s="23">
        <f t="shared" si="2078"/>
        <v>0.31995600000000524</v>
      </c>
      <c r="S225" s="23">
        <f t="shared" si="2078"/>
        <v>10.963350799999999</v>
      </c>
      <c r="T225" s="23">
        <f t="shared" si="2078"/>
        <v>10.1011864</v>
      </c>
      <c r="U225" s="23">
        <f t="shared" si="2078"/>
        <v>7.923572699999994</v>
      </c>
      <c r="V225" s="23">
        <f t="shared" si="2078"/>
        <v>42.970500000000008</v>
      </c>
      <c r="W225" s="23">
        <f t="shared" si="2078"/>
        <v>1.3332000000000122</v>
      </c>
      <c r="X225" s="23">
        <f t="shared" ref="X225:Y225" si="2079">X224+X220+X216+X214</f>
        <v>1.2517000000000138</v>
      </c>
      <c r="Y225" s="23">
        <f t="shared" si="2079"/>
        <v>13.285900000000012</v>
      </c>
      <c r="Z225" s="23">
        <f t="shared" ref="Z225:AA225" si="2080">Z224+Z220+Z216+Z214</f>
        <v>7.7663999999999831</v>
      </c>
      <c r="AA225" s="23">
        <f t="shared" ref="AA225" si="2081">AA224+AA220+AA216+AA214</f>
        <v>11.049400000000006</v>
      </c>
      <c r="AB225" s="24">
        <f t="shared" ref="AB225:AD225" si="2082">AB224+AB220+AB216+AB214</f>
        <v>27.644794457062872</v>
      </c>
      <c r="AC225" s="24">
        <f t="shared" si="2082"/>
        <v>45.488738166204783</v>
      </c>
      <c r="AD225" s="24">
        <f t="shared" si="2082"/>
        <v>62.046538406022442</v>
      </c>
      <c r="AE225" s="24">
        <f t="shared" ref="AE225" si="2083">AE224+AE220+AE216+AE214</f>
        <v>77.817676505686592</v>
      </c>
      <c r="AI225" s="23">
        <f t="shared" ref="AI225" si="2084">AI224+AI220+AI216+AI214</f>
        <v>0</v>
      </c>
      <c r="AJ225" s="23">
        <f t="shared" ref="AJ225:AL225" si="2085">AJ224+AJ220+AJ216+AJ214</f>
        <v>0.36499999999999844</v>
      </c>
      <c r="AK225" s="23">
        <f t="shared" si="2085"/>
        <v>-38.581964350672976</v>
      </c>
      <c r="AL225" s="23">
        <f t="shared" si="2085"/>
        <v>1.3039999999999949</v>
      </c>
      <c r="AM225" s="23">
        <f t="shared" ref="AM225" si="2086">AM224+AM220+AM216+AM214</f>
        <v>11.445336005292036</v>
      </c>
      <c r="AN225" s="23">
        <f t="shared" ref="AN225:CD225" si="2087">AN224+AN220+AN216+AN214</f>
        <v>1.4079999999999959</v>
      </c>
      <c r="AO225" s="23">
        <f t="shared" si="2087"/>
        <v>-2.8015833333333324</v>
      </c>
      <c r="AP225" s="23">
        <f t="shared" si="2087"/>
        <v>0.40000000000000169</v>
      </c>
      <c r="AQ225" s="23">
        <f t="shared" si="2087"/>
        <v>-7.0277328195247257</v>
      </c>
      <c r="AR225" s="23">
        <f t="shared" si="2087"/>
        <v>3.0380000000000003</v>
      </c>
      <c r="AS225" s="23">
        <f t="shared" si="2087"/>
        <v>8.7587009209888507</v>
      </c>
      <c r="AT225" s="23">
        <f t="shared" si="2087"/>
        <v>0.4530000000000014</v>
      </c>
      <c r="AU225" s="23">
        <f t="shared" si="2087"/>
        <v>2.4029417889256992</v>
      </c>
      <c r="AV225" s="23">
        <f t="shared" si="2087"/>
        <v>1.0070000000000006</v>
      </c>
      <c r="AW225" s="23">
        <f t="shared" si="2087"/>
        <v>1.3438715214564381</v>
      </c>
      <c r="AX225" s="23">
        <f t="shared" si="2087"/>
        <v>0.45400000000000329</v>
      </c>
      <c r="AY225" s="23">
        <f t="shared" si="2087"/>
        <v>7.3713070460909655</v>
      </c>
      <c r="AZ225" s="23">
        <f t="shared" si="2087"/>
        <v>0.51100000000000101</v>
      </c>
      <c r="BA225" s="23">
        <f t="shared" si="2087"/>
        <v>-4.8758157389635404E-2</v>
      </c>
      <c r="BB225" s="23">
        <f t="shared" si="2087"/>
        <v>0.31999999999999473</v>
      </c>
      <c r="BC225" s="23">
        <f t="shared" si="2087"/>
        <v>13.881681818181821</v>
      </c>
      <c r="BD225" s="23">
        <f t="shared" si="2087"/>
        <v>2.7769999999999975</v>
      </c>
      <c r="BE225" s="23">
        <f t="shared" si="2087"/>
        <v>-3.6376859688195946</v>
      </c>
      <c r="BF225" s="23">
        <f t="shared" si="2087"/>
        <v>10.962000000000005</v>
      </c>
      <c r="BG225" s="23">
        <f t="shared" si="2087"/>
        <v>15.353020620002804</v>
      </c>
      <c r="BH225" s="23">
        <f t="shared" si="2087"/>
        <v>15.705000000000005</v>
      </c>
      <c r="BI225" s="23">
        <f t="shared" si="2087"/>
        <v>14.921676260420805</v>
      </c>
      <c r="BJ225" s="23">
        <f t="shared" si="2087"/>
        <v>10.100999999999997</v>
      </c>
      <c r="BK225" s="23">
        <f t="shared" si="2087"/>
        <v>20.072092497927606</v>
      </c>
      <c r="BL225" s="23">
        <f t="shared" si="2087"/>
        <v>17.320000000000004</v>
      </c>
      <c r="BM225" s="23">
        <f t="shared" si="2087"/>
        <v>9.4458134226522841</v>
      </c>
      <c r="BN225" s="23">
        <f t="shared" si="2087"/>
        <v>7.9260000000000046</v>
      </c>
      <c r="BO225" s="23">
        <f t="shared" si="2087"/>
        <v>25.530598967456434</v>
      </c>
      <c r="BP225" s="23">
        <f t="shared" si="2087"/>
        <v>18.927999999999997</v>
      </c>
      <c r="BQ225" s="23">
        <f t="shared" si="2087"/>
        <v>1.5600220535357607</v>
      </c>
      <c r="BR225" s="23">
        <f t="shared" si="2087"/>
        <v>42.970000000000006</v>
      </c>
      <c r="BS225" s="23">
        <f t="shared" si="2087"/>
        <v>54.131178680796864</v>
      </c>
      <c r="BT225" s="23">
        <f t="shared" si="2087"/>
        <v>25.989999999999991</v>
      </c>
      <c r="BU225" s="23">
        <f t="shared" si="2087"/>
        <v>1.9924546514641079</v>
      </c>
      <c r="BV225" s="23">
        <f t="shared" si="2087"/>
        <v>1.3340000000000067</v>
      </c>
      <c r="BW225" s="23">
        <f t="shared" si="2087"/>
        <v>27.761102699693843</v>
      </c>
      <c r="BX225" s="23">
        <f t="shared" si="2087"/>
        <v>6.8379999999999868</v>
      </c>
      <c r="BY225" s="23">
        <f t="shared" si="2087"/>
        <v>8.8152518978605876</v>
      </c>
      <c r="BZ225" s="23">
        <f t="shared" si="2087"/>
        <v>1.2509999999999994</v>
      </c>
      <c r="CA225" s="23">
        <f t="shared" si="2087"/>
        <v>-16.170146085168746</v>
      </c>
      <c r="CB225" s="23">
        <f t="shared" si="2087"/>
        <v>6.6820000000000448</v>
      </c>
      <c r="CC225" s="23">
        <f t="shared" si="2087"/>
        <v>13.790325327149226</v>
      </c>
      <c r="CD225" s="23">
        <f t="shared" si="2087"/>
        <v>13.284999999999924</v>
      </c>
      <c r="CE225" s="23">
        <f t="shared" ref="CE225:CF225" si="2088">CE224+CE220+CE216+CE214</f>
        <v>-4.3343919925289072</v>
      </c>
      <c r="CF225" s="23">
        <f t="shared" si="2088"/>
        <v>8.5380000000000109</v>
      </c>
      <c r="CG225" s="23">
        <f t="shared" ref="CG225:CH225" si="2089">CG224+CG220+CG216+CG214</f>
        <v>41.248532885559314</v>
      </c>
      <c r="CH225" s="23">
        <f t="shared" si="2089"/>
        <v>7.7663999999999866</v>
      </c>
      <c r="CI225" s="23">
        <f t="shared" ref="CI225:CJ225" si="2090">CI224+CI220+CI216+CI214</f>
        <v>8.3415435131239839</v>
      </c>
      <c r="CJ225" s="23">
        <f t="shared" si="2090"/>
        <v>49.564000000000036</v>
      </c>
      <c r="CK225" s="24">
        <f t="shared" ref="CK225:DB225" si="2091">CK224+CK220+CK216+CK214</f>
        <v>68.062976000577436</v>
      </c>
      <c r="CL225" s="23">
        <f t="shared" si="2091"/>
        <v>11.048999999999904</v>
      </c>
      <c r="CM225" s="24">
        <f t="shared" si="2091"/>
        <v>33.441580505967806</v>
      </c>
      <c r="CN225" s="24">
        <f t="shared" si="2091"/>
        <v>31.348187493103467</v>
      </c>
      <c r="CO225" s="24">
        <f t="shared" si="2091"/>
        <v>55.451066003000896</v>
      </c>
      <c r="CP225" s="24">
        <f t="shared" si="2091"/>
        <v>27.643794457062821</v>
      </c>
      <c r="CQ225" s="24">
        <f t="shared" si="2091"/>
        <v>55.63477603705276</v>
      </c>
      <c r="CR225" s="24">
        <f t="shared" si="2091"/>
        <v>52.016278942212864</v>
      </c>
      <c r="CS225" s="24">
        <f t="shared" si="2091"/>
        <v>78.562584886899174</v>
      </c>
      <c r="CT225" s="24">
        <f t="shared" si="2091"/>
        <v>45.488738166204776</v>
      </c>
      <c r="CU225" s="24">
        <f t="shared" si="2091"/>
        <v>76.524759463472847</v>
      </c>
      <c r="CV225" s="24">
        <f t="shared" si="2091"/>
        <v>71.377896474882448</v>
      </c>
      <c r="CW225" s="24">
        <f t="shared" si="2091"/>
        <v>100.96358876860495</v>
      </c>
      <c r="CX225" s="24">
        <f t="shared" si="2091"/>
        <v>62.046538406022407</v>
      </c>
      <c r="CY225" s="24">
        <f t="shared" si="2091"/>
        <v>96.746124845897072</v>
      </c>
      <c r="CZ225" s="24">
        <f t="shared" si="2091"/>
        <v>90.027879457323678</v>
      </c>
      <c r="DA225" s="24">
        <f t="shared" si="2091"/>
        <v>123.28273753552811</v>
      </c>
      <c r="DB225" s="24">
        <f t="shared" si="2091"/>
        <v>77.817676505686578</v>
      </c>
      <c r="DE225" s="123"/>
      <c r="DF225" s="23">
        <v>11.049999999999962</v>
      </c>
    </row>
    <row r="226" spans="1:110" s="28" customFormat="1" x14ac:dyDescent="0.2">
      <c r="A226" s="28" t="s">
        <v>444</v>
      </c>
      <c r="C226" s="28">
        <f t="shared" ref="C226:W226" si="2092">C225-C176</f>
        <v>-2.0539125955565396E-15</v>
      </c>
      <c r="D226" s="28">
        <f t="shared" si="2092"/>
        <v>-3.8857805861880479E-16</v>
      </c>
      <c r="E226" s="28">
        <f t="shared" si="2092"/>
        <v>0</v>
      </c>
      <c r="F226" s="28">
        <f t="shared" si="2092"/>
        <v>0</v>
      </c>
      <c r="G226" s="28">
        <f t="shared" si="2092"/>
        <v>0</v>
      </c>
      <c r="H226" s="28">
        <f t="shared" si="2092"/>
        <v>0</v>
      </c>
      <c r="I226" s="28">
        <f t="shared" si="2092"/>
        <v>0</v>
      </c>
      <c r="J226" s="28">
        <f>J225-J176</f>
        <v>0</v>
      </c>
      <c r="K226" s="28">
        <f t="shared" si="2092"/>
        <v>3.3306690738754696E-15</v>
      </c>
      <c r="L226" s="28">
        <f t="shared" si="2092"/>
        <v>-1.7763568394002505E-15</v>
      </c>
      <c r="M226" s="28">
        <f t="shared" si="2092"/>
        <v>-4.496403249731884E-15</v>
      </c>
      <c r="N226" s="28">
        <f t="shared" si="2092"/>
        <v>0</v>
      </c>
      <c r="O226" s="28">
        <f t="shared" si="2092"/>
        <v>0</v>
      </c>
      <c r="P226" s="28">
        <f t="shared" si="2092"/>
        <v>4.2743586448068527E-15</v>
      </c>
      <c r="Q226" s="28">
        <f t="shared" si="2092"/>
        <v>-5.8841820305133297E-15</v>
      </c>
      <c r="R226" s="28">
        <f t="shared" si="2092"/>
        <v>5.2180482157382357E-15</v>
      </c>
      <c r="S226" s="28">
        <f t="shared" si="2092"/>
        <v>0</v>
      </c>
      <c r="T226" s="28">
        <f t="shared" si="2092"/>
        <v>0</v>
      </c>
      <c r="U226" s="28">
        <f t="shared" si="2092"/>
        <v>0</v>
      </c>
      <c r="V226" s="28">
        <f t="shared" si="2092"/>
        <v>0</v>
      </c>
      <c r="W226" s="28">
        <f t="shared" si="2092"/>
        <v>1.2212453270876722E-14</v>
      </c>
      <c r="X226" s="28">
        <f t="shared" ref="X226:Y226" si="2093">X225-X176</f>
        <v>1.3766765505351941E-14</v>
      </c>
      <c r="Y226" s="28">
        <f t="shared" si="2093"/>
        <v>0</v>
      </c>
      <c r="Z226" s="28">
        <f t="shared" ref="Z226:AA226" si="2094">Z225-Z176</f>
        <v>-1.6875389974302379E-14</v>
      </c>
      <c r="AA226" s="28">
        <f t="shared" ref="AA226" si="2095">AA225-AA176</f>
        <v>0</v>
      </c>
      <c r="AB226" s="30">
        <f t="shared" ref="AB226:AD226" si="2096">AB225-AB176</f>
        <v>1.0000000000509601E-3</v>
      </c>
      <c r="AC226" s="30">
        <f t="shared" si="2096"/>
        <v>0</v>
      </c>
      <c r="AD226" s="30">
        <f t="shared" si="2096"/>
        <v>0</v>
      </c>
      <c r="AE226" s="30">
        <f t="shared" ref="AE226" si="2097">AE225-AE176</f>
        <v>0</v>
      </c>
      <c r="AI226" s="28">
        <f t="shared" ref="AI226" si="2098">AI225-AI176</f>
        <v>0</v>
      </c>
      <c r="AJ226" s="28">
        <f t="shared" ref="AJ226:AL226" si="2099">AJ225-AJ176</f>
        <v>9.9999999999844658E-4</v>
      </c>
      <c r="AK226" s="28">
        <f t="shared" si="2099"/>
        <v>0</v>
      </c>
      <c r="AL226" s="28">
        <f t="shared" si="2099"/>
        <v>-1.0000000000049969E-3</v>
      </c>
      <c r="AM226" s="28">
        <f t="shared" ref="AM226" si="2100">AM225-AM176</f>
        <v>0</v>
      </c>
      <c r="AN226" s="28">
        <f t="shared" ref="AN226:CD226" si="2101">AN225-AN176</f>
        <v>9.9999999999589306E-4</v>
      </c>
      <c r="AO226" s="28">
        <f t="shared" si="2101"/>
        <v>0</v>
      </c>
      <c r="AP226" s="28">
        <f t="shared" si="2101"/>
        <v>1.6653345369377348E-15</v>
      </c>
      <c r="AQ226" s="28">
        <f t="shared" si="2101"/>
        <v>0</v>
      </c>
      <c r="AR226" s="28">
        <f t="shared" si="2101"/>
        <v>-3.9999999999995595E-3</v>
      </c>
      <c r="AS226" s="28">
        <f t="shared" si="2101"/>
        <v>0</v>
      </c>
      <c r="AT226" s="28">
        <f t="shared" si="2101"/>
        <v>3.0000000000013904E-3</v>
      </c>
      <c r="AU226" s="28">
        <f t="shared" si="2101"/>
        <v>0</v>
      </c>
      <c r="AV226" s="28">
        <f t="shared" si="2101"/>
        <v>0</v>
      </c>
      <c r="AW226" s="28">
        <f t="shared" si="2101"/>
        <v>0</v>
      </c>
      <c r="AX226" s="28">
        <f t="shared" si="2101"/>
        <v>2.0000000000032769E-3</v>
      </c>
      <c r="AY226" s="28">
        <f t="shared" si="2101"/>
        <v>0</v>
      </c>
      <c r="AZ226" s="28">
        <f t="shared" si="2101"/>
        <v>-1.9999999999990026E-3</v>
      </c>
      <c r="BA226" s="28">
        <f t="shared" si="2101"/>
        <v>0</v>
      </c>
      <c r="BB226" s="28">
        <f t="shared" si="2101"/>
        <v>-5.2735593669694936E-15</v>
      </c>
      <c r="BC226" s="28">
        <f t="shared" si="2101"/>
        <v>0</v>
      </c>
      <c r="BD226" s="28">
        <f t="shared" si="2101"/>
        <v>9.9999999999766942E-4</v>
      </c>
      <c r="BE226" s="28">
        <f t="shared" si="2101"/>
        <v>0</v>
      </c>
      <c r="BF226" s="28">
        <f t="shared" si="2101"/>
        <v>-1.9999999999953388E-3</v>
      </c>
      <c r="BG226" s="28">
        <f t="shared" si="2101"/>
        <v>0</v>
      </c>
      <c r="BH226" s="28">
        <f t="shared" si="2101"/>
        <v>1.0000000000047748E-3</v>
      </c>
      <c r="BI226" s="28">
        <f t="shared" si="2101"/>
        <v>0</v>
      </c>
      <c r="BJ226" s="28">
        <f t="shared" si="2101"/>
        <v>0</v>
      </c>
      <c r="BK226" s="28">
        <f t="shared" si="2101"/>
        <v>0</v>
      </c>
      <c r="BL226" s="28">
        <f t="shared" si="2101"/>
        <v>-1.9999999999953388E-3</v>
      </c>
      <c r="BM226" s="28">
        <f t="shared" si="2101"/>
        <v>0</v>
      </c>
      <c r="BN226" s="28">
        <f t="shared" si="2101"/>
        <v>2.0000000000042206E-3</v>
      </c>
      <c r="BO226" s="28">
        <f t="shared" si="2101"/>
        <v>0</v>
      </c>
      <c r="BP226" s="28">
        <f t="shared" si="2101"/>
        <v>0</v>
      </c>
      <c r="BQ226" s="28">
        <f t="shared" si="2101"/>
        <v>0</v>
      </c>
      <c r="BR226" s="28">
        <f t="shared" si="2101"/>
        <v>-9.9999999999056399E-4</v>
      </c>
      <c r="BS226" s="28">
        <f t="shared" si="2101"/>
        <v>0</v>
      </c>
      <c r="BT226" s="28">
        <f t="shared" si="2101"/>
        <v>9.9999999999056399E-4</v>
      </c>
      <c r="BU226" s="28">
        <f t="shared" si="2101"/>
        <v>0</v>
      </c>
      <c r="BV226" s="28">
        <f t="shared" si="2101"/>
        <v>1.0000000000067732E-3</v>
      </c>
      <c r="BW226" s="28">
        <f t="shared" si="2101"/>
        <v>0</v>
      </c>
      <c r="BX226" s="28">
        <f t="shared" si="2101"/>
        <v>-1.3322676295501878E-14</v>
      </c>
      <c r="BY226" s="28">
        <f t="shared" si="2101"/>
        <v>0</v>
      </c>
      <c r="BZ226" s="28">
        <f t="shared" si="2101"/>
        <v>-1.000000000000556E-3</v>
      </c>
      <c r="CA226" s="28">
        <f t="shared" si="2101"/>
        <v>0</v>
      </c>
      <c r="CB226" s="28">
        <f t="shared" si="2101"/>
        <v>1.0000000000447429E-3</v>
      </c>
      <c r="CC226" s="28">
        <f t="shared" si="2101"/>
        <v>0</v>
      </c>
      <c r="CD226" s="28">
        <f t="shared" si="2101"/>
        <v>-1.0000000000758291E-3</v>
      </c>
      <c r="CE226" s="28">
        <f t="shared" ref="CE226:CF226" si="2102">CE225-CE176</f>
        <v>0</v>
      </c>
      <c r="CF226" s="28">
        <f t="shared" si="2102"/>
        <v>0</v>
      </c>
      <c r="CG226" s="28">
        <f t="shared" ref="CG226:CH226" si="2103">CG225-CG176</f>
        <v>0</v>
      </c>
      <c r="CH226" s="28">
        <f t="shared" si="2103"/>
        <v>-1.3322676295501878E-14</v>
      </c>
      <c r="CI226" s="28">
        <f t="shared" ref="CI226:CJ226" si="2104">CI225-CI176</f>
        <v>0</v>
      </c>
      <c r="CJ226" s="28">
        <f t="shared" si="2104"/>
        <v>1.0000000000331966E-3</v>
      </c>
      <c r="CK226" s="30">
        <f t="shared" ref="CK226:DB226" si="2105">CK225-CK176</f>
        <v>0</v>
      </c>
      <c r="CL226" s="28">
        <f t="shared" si="2105"/>
        <v>-9.5923269327613525E-14</v>
      </c>
      <c r="CM226" s="30">
        <f t="shared" si="2105"/>
        <v>0</v>
      </c>
      <c r="CN226" s="30">
        <f t="shared" si="2105"/>
        <v>0</v>
      </c>
      <c r="CO226" s="30">
        <f t="shared" si="2105"/>
        <v>0</v>
      </c>
      <c r="CP226" s="30">
        <f t="shared" si="2105"/>
        <v>0</v>
      </c>
      <c r="CQ226" s="30">
        <f t="shared" si="2105"/>
        <v>0</v>
      </c>
      <c r="CR226" s="30">
        <f t="shared" si="2105"/>
        <v>0</v>
      </c>
      <c r="CS226" s="30">
        <f t="shared" si="2105"/>
        <v>0</v>
      </c>
      <c r="CT226" s="30">
        <f t="shared" si="2105"/>
        <v>0</v>
      </c>
      <c r="CU226" s="30">
        <f t="shared" si="2105"/>
        <v>0</v>
      </c>
      <c r="CV226" s="30">
        <f t="shared" si="2105"/>
        <v>0</v>
      </c>
      <c r="CW226" s="30">
        <f t="shared" si="2105"/>
        <v>0</v>
      </c>
      <c r="CX226" s="30">
        <f t="shared" si="2105"/>
        <v>0</v>
      </c>
      <c r="CY226" s="30">
        <f t="shared" si="2105"/>
        <v>0</v>
      </c>
      <c r="CZ226" s="30">
        <f t="shared" si="2105"/>
        <v>0</v>
      </c>
      <c r="DA226" s="30">
        <f t="shared" si="2105"/>
        <v>0</v>
      </c>
      <c r="DB226" s="30">
        <f t="shared" si="2105"/>
        <v>0</v>
      </c>
      <c r="DE226" s="139"/>
      <c r="DF226" s="28">
        <v>9.9999999996214228E-4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2" customFormat="1" x14ac:dyDescent="0.2">
      <c r="A228" s="22" t="s">
        <v>96</v>
      </c>
      <c r="C228" s="22">
        <f t="shared" ref="C228:W228" si="2106">C214+C216</f>
        <v>4.4255587999999983</v>
      </c>
      <c r="D228" s="22">
        <f t="shared" si="2106"/>
        <v>0.26534850000000154</v>
      </c>
      <c r="E228" s="22">
        <f t="shared" si="2106"/>
        <v>2.8955560999999994</v>
      </c>
      <c r="F228" s="22">
        <f t="shared" si="2106"/>
        <v>-0.10533270000000017</v>
      </c>
      <c r="G228" s="22">
        <f t="shared" si="2106"/>
        <v>5.5419200999999996</v>
      </c>
      <c r="H228" s="22">
        <f t="shared" si="2106"/>
        <v>-1.6813463000000013</v>
      </c>
      <c r="I228" s="22">
        <f t="shared" si="2106"/>
        <v>2.1264537000000008</v>
      </c>
      <c r="J228" s="22">
        <f>J214+J216</f>
        <v>0.49054109999999929</v>
      </c>
      <c r="K228" s="22">
        <f t="shared" si="2106"/>
        <v>1.4187154000000044</v>
      </c>
      <c r="L228" s="22">
        <f t="shared" si="2106"/>
        <v>-2.0192000000000041</v>
      </c>
      <c r="M228" s="22">
        <f t="shared" si="2106"/>
        <v>2.0519663999999977</v>
      </c>
      <c r="N228" s="22">
        <f t="shared" si="2106"/>
        <v>1.1727808000000053</v>
      </c>
      <c r="O228" s="22">
        <f t="shared" si="2106"/>
        <v>-5.5765631999999972</v>
      </c>
      <c r="P228" s="22">
        <f t="shared" si="2106"/>
        <v>3.1827216999999957</v>
      </c>
      <c r="Q228" s="22">
        <f t="shared" si="2106"/>
        <v>0.39162139999999934</v>
      </c>
      <c r="R228" s="22">
        <f t="shared" si="2106"/>
        <v>-2.1238607999999894</v>
      </c>
      <c r="S228" s="22">
        <f t="shared" si="2106"/>
        <v>23.072429200000002</v>
      </c>
      <c r="T228" s="22">
        <f t="shared" si="2106"/>
        <v>2.559368200000006</v>
      </c>
      <c r="U228" s="22">
        <f t="shared" si="2106"/>
        <v>-0.22245250000000638</v>
      </c>
      <c r="V228" s="22">
        <f t="shared" si="2106"/>
        <v>35.857853400000025</v>
      </c>
      <c r="W228" s="22">
        <f t="shared" si="2106"/>
        <v>-52.881999999999991</v>
      </c>
      <c r="X228" s="22">
        <f t="shared" ref="X228:Y228" si="2107">X214+X216</f>
        <v>-13.496699999999997</v>
      </c>
      <c r="Y228" s="22">
        <f t="shared" si="2107"/>
        <v>23.983499999999964</v>
      </c>
      <c r="Z228" s="22">
        <f t="shared" ref="Z228:AA228" si="2108">Z214+Z216</f>
        <v>-32.156999999999996</v>
      </c>
      <c r="AA228" s="22">
        <f t="shared" ref="AA228" si="2109">AA214+AA216</f>
        <v>-96.130700000000047</v>
      </c>
      <c r="AB228" s="21">
        <f t="shared" ref="AB228:AD228" si="2110">AB214+AB216</f>
        <v>16.596094457062883</v>
      </c>
      <c r="AC228" s="21">
        <f t="shared" si="2110"/>
        <v>17.844943709142015</v>
      </c>
      <c r="AD228" s="21">
        <f t="shared" si="2110"/>
        <v>16.55780023981761</v>
      </c>
      <c r="AE228" s="21">
        <f t="shared" ref="AE228" si="2111">AE214+AE216</f>
        <v>15.771138099664128</v>
      </c>
      <c r="AI228" s="22">
        <f t="shared" ref="AI228" si="2112">AI214+AI216</f>
        <v>1.182000000000001</v>
      </c>
      <c r="AJ228" s="22">
        <f t="shared" ref="AJ228:AL228" si="2113">AJ214+AJ216</f>
        <v>-29.244</v>
      </c>
      <c r="AK228" s="22">
        <f t="shared" si="2113"/>
        <v>-38.945964350672973</v>
      </c>
      <c r="AL228" s="22">
        <f t="shared" si="2113"/>
        <v>47.168964350672972</v>
      </c>
      <c r="AM228" s="22">
        <f t="shared" ref="AM228" si="2114">AM214+AM216</f>
        <v>10.140336005292037</v>
      </c>
      <c r="AN228" s="22">
        <f t="shared" ref="AN228:CD228" si="2115">AN214+AN216</f>
        <v>-11.276336005292038</v>
      </c>
      <c r="AO228" s="22">
        <f t="shared" si="2115"/>
        <v>-4.2085833333333325</v>
      </c>
      <c r="AP228" s="22">
        <f t="shared" si="2115"/>
        <v>0.63258333333333416</v>
      </c>
      <c r="AQ228" s="22">
        <f t="shared" si="2115"/>
        <v>-7.4277328195247261</v>
      </c>
      <c r="AR228" s="22">
        <f t="shared" si="2115"/>
        <v>6.3867328195247257</v>
      </c>
      <c r="AS228" s="22">
        <f t="shared" si="2115"/>
        <v>5.7167009209888509</v>
      </c>
      <c r="AT228" s="22">
        <f t="shared" si="2115"/>
        <v>-1.4987009209888507</v>
      </c>
      <c r="AU228" s="22">
        <f t="shared" si="2115"/>
        <v>1.952941788925699</v>
      </c>
      <c r="AV228" s="22">
        <f t="shared" si="2115"/>
        <v>-6.1079417889256984</v>
      </c>
      <c r="AW228" s="22">
        <f t="shared" si="2115"/>
        <v>0.33687152145643817</v>
      </c>
      <c r="AX228" s="22">
        <f t="shared" si="2115"/>
        <v>4.2091284785435636</v>
      </c>
      <c r="AY228" s="22">
        <f t="shared" si="2115"/>
        <v>6.9193070460909656</v>
      </c>
      <c r="AZ228" s="22">
        <f t="shared" si="2115"/>
        <v>-6.665307046090966</v>
      </c>
      <c r="BA228" s="22">
        <f t="shared" si="2115"/>
        <v>-0.56175815738963542</v>
      </c>
      <c r="BB228" s="22">
        <f t="shared" si="2115"/>
        <v>-1.8142418426103661</v>
      </c>
      <c r="BC228" s="22">
        <f t="shared" si="2115"/>
        <v>13.561681818181818</v>
      </c>
      <c r="BD228" s="22">
        <f t="shared" si="2115"/>
        <v>0.30531818181818338</v>
      </c>
      <c r="BE228" s="22">
        <f t="shared" si="2115"/>
        <v>-6.4136859688196015</v>
      </c>
      <c r="BF228" s="22">
        <f t="shared" si="2115"/>
        <v>14.593685968819599</v>
      </c>
      <c r="BG228" s="22">
        <f t="shared" si="2115"/>
        <v>4.3890206200028032</v>
      </c>
      <c r="BH228" s="22">
        <f t="shared" si="2115"/>
        <v>2.3059793799971948</v>
      </c>
      <c r="BI228" s="22">
        <f t="shared" si="2115"/>
        <v>-0.78232373957919643</v>
      </c>
      <c r="BJ228" s="22">
        <f t="shared" si="2115"/>
        <v>-3.2746762604208013</v>
      </c>
      <c r="BK228" s="22">
        <f t="shared" si="2115"/>
        <v>9.9710924979276037</v>
      </c>
      <c r="BL228" s="22">
        <f t="shared" si="2115"/>
        <v>-1.7720924979276043</v>
      </c>
      <c r="BM228" s="22">
        <f t="shared" si="2115"/>
        <v>-7.8761865773477151</v>
      </c>
      <c r="BN228" s="22">
        <f t="shared" si="2115"/>
        <v>-0.37081342265227857</v>
      </c>
      <c r="BO228" s="22">
        <f t="shared" si="2115"/>
        <v>17.606598967456435</v>
      </c>
      <c r="BP228" s="22">
        <f t="shared" si="2115"/>
        <v>-5.7915989674564337</v>
      </c>
      <c r="BQ228" s="22">
        <f t="shared" si="2115"/>
        <v>-17.367977946464237</v>
      </c>
      <c r="BR228" s="22">
        <f t="shared" si="2115"/>
        <v>41.438977946464234</v>
      </c>
      <c r="BS228" s="22">
        <f t="shared" si="2115"/>
        <v>11.160178680796882</v>
      </c>
      <c r="BT228" s="22">
        <f t="shared" si="2115"/>
        <v>-26.519178680796884</v>
      </c>
      <c r="BU228" s="22">
        <f t="shared" si="2115"/>
        <v>-23.996545348535893</v>
      </c>
      <c r="BV228" s="22">
        <f t="shared" si="2115"/>
        <v>-13.450454651464099</v>
      </c>
      <c r="BW228" s="22">
        <f t="shared" si="2115"/>
        <v>26.428102699693845</v>
      </c>
      <c r="BX228" s="22">
        <f t="shared" si="2115"/>
        <v>-41.363102699693847</v>
      </c>
      <c r="BY228" s="22">
        <f t="shared" si="2115"/>
        <v>1.9772518978605724</v>
      </c>
      <c r="BZ228" s="22">
        <f t="shared" si="2115"/>
        <v>-0.28425189786059413</v>
      </c>
      <c r="CA228" s="22">
        <f t="shared" si="2115"/>
        <v>-17.422146085168748</v>
      </c>
      <c r="CB228" s="22">
        <f t="shared" si="2115"/>
        <v>34.842146085168771</v>
      </c>
      <c r="CC228" s="22">
        <f t="shared" si="2115"/>
        <v>7.1093253271492252</v>
      </c>
      <c r="CD228" s="22">
        <f t="shared" si="2115"/>
        <v>-0.17532532714928095</v>
      </c>
      <c r="CE228" s="22">
        <f t="shared" ref="CE228:CF228" si="2116">CE214+CE216</f>
        <v>-17.620391992528909</v>
      </c>
      <c r="CF228" s="22">
        <f t="shared" si="2116"/>
        <v>10.267391992528911</v>
      </c>
      <c r="CG228" s="22">
        <f t="shared" ref="CG228:CH228" si="2117">CG214+CG216</f>
        <v>32.710532885559317</v>
      </c>
      <c r="CH228" s="22">
        <f t="shared" si="2117"/>
        <v>-57.164532885559268</v>
      </c>
      <c r="CI228" s="22">
        <f t="shared" ref="CI228:CJ228" si="2118">CI214+CI216</f>
        <v>0.57514351312398393</v>
      </c>
      <c r="CJ228" s="22">
        <f t="shared" si="2118"/>
        <v>-47.262143513124002</v>
      </c>
      <c r="CK228" s="21">
        <f t="shared" ref="CK228:DB228" si="2119">CK214+CK216</f>
        <v>18.499976000577441</v>
      </c>
      <c r="CL228" s="22">
        <f t="shared" si="2119"/>
        <v>-67.777976000577453</v>
      </c>
      <c r="CM228" s="21">
        <f t="shared" si="2119"/>
        <v>22.392580505967807</v>
      </c>
      <c r="CN228" s="21">
        <f t="shared" si="2119"/>
        <v>-2.0933930128643397</v>
      </c>
      <c r="CO228" s="21">
        <f t="shared" si="2119"/>
        <v>24.10287850989743</v>
      </c>
      <c r="CP228" s="21">
        <f t="shared" si="2119"/>
        <v>-27.807271545938132</v>
      </c>
      <c r="CQ228" s="21">
        <f t="shared" si="2119"/>
        <v>27.990981579989942</v>
      </c>
      <c r="CR228" s="21">
        <f t="shared" si="2119"/>
        <v>-3.6184970948398423</v>
      </c>
      <c r="CS228" s="21">
        <f t="shared" si="2119"/>
        <v>26.54630594468631</v>
      </c>
      <c r="CT228" s="21">
        <f t="shared" si="2119"/>
        <v>-33.073846720694398</v>
      </c>
      <c r="CU228" s="21">
        <f t="shared" si="2119"/>
        <v>31.036021297268015</v>
      </c>
      <c r="CV228" s="21">
        <f t="shared" si="2119"/>
        <v>-5.1468629885903425</v>
      </c>
      <c r="CW228" s="21">
        <f t="shared" si="2119"/>
        <v>29.585692293722452</v>
      </c>
      <c r="CX228" s="21">
        <f t="shared" si="2119"/>
        <v>-38.917050362582486</v>
      </c>
      <c r="CY228" s="21">
        <f t="shared" si="2119"/>
        <v>34.699586439874665</v>
      </c>
      <c r="CZ228" s="21">
        <f t="shared" si="2119"/>
        <v>-6.7182453885734468</v>
      </c>
      <c r="DA228" s="21">
        <f t="shared" si="2119"/>
        <v>33.254858078204492</v>
      </c>
      <c r="DB228" s="21">
        <f t="shared" si="2119"/>
        <v>-45.465061029841593</v>
      </c>
      <c r="DE228" s="126"/>
      <c r="DF228" s="22">
        <v>-95.964999999999975</v>
      </c>
    </row>
    <row r="229" spans="1:110" x14ac:dyDescent="0.2">
      <c r="A229" s="152" t="s">
        <v>496</v>
      </c>
      <c r="AA229" s="2"/>
      <c r="CL229" s="2"/>
    </row>
    <row r="230" spans="1:110" x14ac:dyDescent="0.2">
      <c r="AA230" s="2"/>
      <c r="CL230" s="2"/>
    </row>
    <row r="231" spans="1:110" s="7" customFormat="1" hidden="1" outlineLevel="1" x14ac:dyDescent="0.2">
      <c r="A231" s="61" t="s">
        <v>97</v>
      </c>
      <c r="AB231" s="77"/>
      <c r="AC231" s="77"/>
      <c r="AD231" s="77"/>
      <c r="AE231" s="77"/>
      <c r="CK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E231" s="138"/>
    </row>
    <row r="232" spans="1:110" s="62" customFormat="1" hidden="1" outlineLevel="1" x14ac:dyDescent="0.2">
      <c r="A232" s="62" t="s">
        <v>98</v>
      </c>
      <c r="AB232" s="63"/>
      <c r="AC232" s="63"/>
      <c r="AD232" s="63"/>
      <c r="AE232" s="63"/>
      <c r="CK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99</v>
      </c>
      <c r="AB233" s="63"/>
      <c r="AC233" s="63"/>
      <c r="AD233" s="63"/>
      <c r="AE233" s="63"/>
      <c r="CK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100</v>
      </c>
      <c r="AB234" s="63"/>
      <c r="AC234" s="63"/>
      <c r="AD234" s="63"/>
      <c r="AE234" s="63"/>
      <c r="CK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11" customFormat="1" collapsed="1" x14ac:dyDescent="0.2"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3" customFormat="1" x14ac:dyDescent="0.2">
      <c r="A239" s="82" t="s">
        <v>101</v>
      </c>
      <c r="AB239" s="72"/>
      <c r="AC239" s="72"/>
      <c r="AD239" s="72"/>
      <c r="AE239" s="72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6" customFormat="1" x14ac:dyDescent="0.2">
      <c r="A240" s="66" t="s">
        <v>471</v>
      </c>
      <c r="AB240" s="50"/>
      <c r="AC240" s="50"/>
      <c r="AD240" s="50"/>
      <c r="AE240" s="50"/>
      <c r="AL240" s="66">
        <f t="shared" ref="AL240:BQ240" si="2120">SUM(AI25:AL25)</f>
        <v>42.947000000000003</v>
      </c>
      <c r="AM240" s="66">
        <f t="shared" si="2120"/>
        <v>40.423000000000002</v>
      </c>
      <c r="AN240" s="66">
        <f t="shared" si="2120"/>
        <v>40.698</v>
      </c>
      <c r="AO240" s="66">
        <f t="shared" si="2120"/>
        <v>35.590000000000003</v>
      </c>
      <c r="AP240" s="66">
        <f t="shared" si="2120"/>
        <v>13.004999999999999</v>
      </c>
      <c r="AQ240" s="66">
        <f t="shared" si="2120"/>
        <v>15.286</v>
      </c>
      <c r="AR240" s="66">
        <f t="shared" si="2120"/>
        <v>22.576999999999998</v>
      </c>
      <c r="AS240" s="66">
        <f t="shared" si="2120"/>
        <v>24.143000000000001</v>
      </c>
      <c r="AT240" s="66">
        <f t="shared" si="2120"/>
        <v>25.254999999999999</v>
      </c>
      <c r="AU240" s="66">
        <f t="shared" si="2120"/>
        <v>24.692</v>
      </c>
      <c r="AV240" s="66">
        <f t="shared" si="2120"/>
        <v>18.222000000000001</v>
      </c>
      <c r="AW240" s="66">
        <f t="shared" si="2120"/>
        <v>15.611000000000001</v>
      </c>
      <c r="AX240" s="66">
        <f t="shared" si="2120"/>
        <v>24.597999999999999</v>
      </c>
      <c r="AY240" s="66">
        <f t="shared" si="2120"/>
        <v>28.756999999999998</v>
      </c>
      <c r="AZ240" s="66">
        <f t="shared" si="2120"/>
        <v>32.281999999999996</v>
      </c>
      <c r="BA240" s="66">
        <f t="shared" si="2120"/>
        <v>36.760000000000005</v>
      </c>
      <c r="BB240" s="66">
        <f t="shared" si="2120"/>
        <v>33.588000000000001</v>
      </c>
      <c r="BC240" s="66">
        <f t="shared" si="2120"/>
        <v>35.195</v>
      </c>
      <c r="BD240" s="66">
        <f t="shared" si="2120"/>
        <v>39.498999999999995</v>
      </c>
      <c r="BE240" s="66">
        <f t="shared" si="2120"/>
        <v>47.585999999999999</v>
      </c>
      <c r="BF240" s="66">
        <f t="shared" si="2120"/>
        <v>51.802999999999997</v>
      </c>
      <c r="BG240" s="66">
        <f t="shared" si="2120"/>
        <v>54.5</v>
      </c>
      <c r="BH240" s="66">
        <f t="shared" si="2120"/>
        <v>52.902000000000001</v>
      </c>
      <c r="BI240" s="66">
        <f t="shared" si="2120"/>
        <v>50.561999999999998</v>
      </c>
      <c r="BJ240" s="66">
        <f t="shared" si="2120"/>
        <v>50.78</v>
      </c>
      <c r="BK240" s="66">
        <f t="shared" si="2120"/>
        <v>47.283000000000001</v>
      </c>
      <c r="BL240" s="66">
        <f t="shared" si="2120"/>
        <v>45.268000000000001</v>
      </c>
      <c r="BM240" s="66">
        <f t="shared" si="2120"/>
        <v>44.701999999999998</v>
      </c>
      <c r="BN240" s="66">
        <f t="shared" si="2120"/>
        <v>51.92</v>
      </c>
      <c r="BO240" s="66">
        <f t="shared" si="2120"/>
        <v>54.365000000000002</v>
      </c>
      <c r="BP240" s="66">
        <f t="shared" si="2120"/>
        <v>58.819000000000003</v>
      </c>
      <c r="BQ240" s="66">
        <f t="shared" si="2120"/>
        <v>70.325999999999993</v>
      </c>
      <c r="BR240" s="66">
        <f t="shared" ref="BR240:CW240" si="2121">SUM(BO25:BR25)</f>
        <v>77.695000000000007</v>
      </c>
      <c r="BS240" s="66">
        <f t="shared" si="2121"/>
        <v>80.280999999999992</v>
      </c>
      <c r="BT240" s="66">
        <f t="shared" si="2121"/>
        <v>83.201999999999998</v>
      </c>
      <c r="BU240" s="66">
        <f t="shared" si="2121"/>
        <v>87.307999999999993</v>
      </c>
      <c r="BV240" s="66">
        <f t="shared" si="2121"/>
        <v>104.95400000000001</v>
      </c>
      <c r="BW240" s="66">
        <f t="shared" si="2121"/>
        <v>118.227</v>
      </c>
      <c r="BX240" s="66">
        <f t="shared" si="2121"/>
        <v>139.01600000000002</v>
      </c>
      <c r="BY240" s="66">
        <f t="shared" si="2121"/>
        <v>148.62799999999999</v>
      </c>
      <c r="BZ240" s="66">
        <f t="shared" si="2121"/>
        <v>154.44999999999999</v>
      </c>
      <c r="CA240" s="66">
        <f t="shared" si="2121"/>
        <v>196.40899999999999</v>
      </c>
      <c r="CB240" s="66">
        <f t="shared" si="2121"/>
        <v>214.51699999999997</v>
      </c>
      <c r="CC240" s="66">
        <f t="shared" si="2121"/>
        <v>235.137</v>
      </c>
      <c r="CD240" s="66">
        <f t="shared" si="2121"/>
        <v>224.36699999999999</v>
      </c>
      <c r="CE240" s="66">
        <f t="shared" si="2121"/>
        <v>207.18300000000002</v>
      </c>
      <c r="CF240" s="66">
        <f t="shared" si="2121"/>
        <v>230.27000000000004</v>
      </c>
      <c r="CG240" s="66">
        <f t="shared" si="2121"/>
        <v>241.62599999999998</v>
      </c>
      <c r="CH240" s="66">
        <f t="shared" si="2121"/>
        <v>249.126</v>
      </c>
      <c r="CI240" s="66">
        <f t="shared" si="2121"/>
        <v>249.27499999999998</v>
      </c>
      <c r="CJ240" s="66">
        <f t="shared" si="2121"/>
        <v>227.27300000000002</v>
      </c>
      <c r="CK240" s="50">
        <f t="shared" si="2121"/>
        <v>208.30800000000002</v>
      </c>
      <c r="CL240" s="66">
        <f t="shared" si="2121"/>
        <v>222.87299999999999</v>
      </c>
      <c r="CM240" s="50">
        <f t="shared" si="2121"/>
        <v>230.70589999999999</v>
      </c>
      <c r="CN240" s="50">
        <f t="shared" si="2121"/>
        <v>240.05026999999995</v>
      </c>
      <c r="CO240" s="50">
        <f t="shared" si="2121"/>
        <v>248.25919999999999</v>
      </c>
      <c r="CP240" s="50">
        <f t="shared" si="2121"/>
        <v>259.06727999999998</v>
      </c>
      <c r="CQ240" s="50">
        <f t="shared" si="2121"/>
        <v>268.02506199999993</v>
      </c>
      <c r="CR240" s="50">
        <f t="shared" si="2121"/>
        <v>277.72323099999994</v>
      </c>
      <c r="CS240" s="50">
        <f t="shared" si="2121"/>
        <v>286.68608199999994</v>
      </c>
      <c r="CT240" s="50">
        <f t="shared" si="2121"/>
        <v>297.83818399999996</v>
      </c>
      <c r="CU240" s="50">
        <f t="shared" si="2121"/>
        <v>308.1392229999999</v>
      </c>
      <c r="CV240" s="50">
        <f t="shared" si="2121"/>
        <v>319.29049869999989</v>
      </c>
      <c r="CW240" s="50">
        <f t="shared" si="2121"/>
        <v>329.59518849999989</v>
      </c>
      <c r="CX240" s="50">
        <f t="shared" ref="CX240:DB240" si="2122">SUM(CU25:CX25)</f>
        <v>342.41580479999988</v>
      </c>
      <c r="CY240" s="50">
        <f t="shared" si="2122"/>
        <v>354.26154831999986</v>
      </c>
      <c r="CZ240" s="50">
        <f t="shared" si="2122"/>
        <v>367.08373485999982</v>
      </c>
      <c r="DA240" s="50">
        <f t="shared" si="2122"/>
        <v>378.93128039499987</v>
      </c>
      <c r="DB240" s="50">
        <f t="shared" si="2122"/>
        <v>393.67025803999985</v>
      </c>
      <c r="DE240" s="138"/>
    </row>
    <row r="241" spans="1:110" s="66" customFormat="1" x14ac:dyDescent="0.2">
      <c r="A241" s="66" t="s">
        <v>472</v>
      </c>
      <c r="AB241" s="50"/>
      <c r="AC241" s="50"/>
      <c r="AD241" s="50"/>
      <c r="AE241" s="50"/>
      <c r="AL241" s="66">
        <f t="shared" ref="AL241:BQ241" si="2123">SUM(AI43:AL43)</f>
        <v>10.223000000000003</v>
      </c>
      <c r="AM241" s="66">
        <f t="shared" si="2123"/>
        <v>7.4420000000000019</v>
      </c>
      <c r="AN241" s="66">
        <f t="shared" si="2123"/>
        <v>6.2540000000000013</v>
      </c>
      <c r="AO241" s="66">
        <f t="shared" si="2123"/>
        <v>4.6190000000000024</v>
      </c>
      <c r="AP241" s="66">
        <f t="shared" si="2123"/>
        <v>1.7770000000000001</v>
      </c>
      <c r="AQ241" s="66">
        <f t="shared" si="2123"/>
        <v>1.7399999999999998</v>
      </c>
      <c r="AR241" s="66">
        <f t="shared" si="2123"/>
        <v>5.548</v>
      </c>
      <c r="AS241" s="66">
        <f t="shared" si="2123"/>
        <v>5.3670000000000009</v>
      </c>
      <c r="AT241" s="66">
        <f t="shared" si="2123"/>
        <v>4.036999999999999</v>
      </c>
      <c r="AU241" s="66">
        <f t="shared" si="2123"/>
        <v>5.7449999999999992</v>
      </c>
      <c r="AV241" s="66">
        <f t="shared" si="2123"/>
        <v>3.4280000000000004</v>
      </c>
      <c r="AW241" s="66">
        <f t="shared" si="2123"/>
        <v>3.4029999999999996</v>
      </c>
      <c r="AX241" s="66">
        <f t="shared" si="2123"/>
        <v>3.8999999999999981</v>
      </c>
      <c r="AY241" s="66">
        <f t="shared" si="2123"/>
        <v>4.0529999999999982</v>
      </c>
      <c r="AZ241" s="66">
        <f t="shared" si="2123"/>
        <v>4.0089999999999986</v>
      </c>
      <c r="BA241" s="66">
        <f t="shared" si="2123"/>
        <v>4.036999999999999</v>
      </c>
      <c r="BB241" s="66">
        <f t="shared" si="2123"/>
        <v>3.854000000000001</v>
      </c>
      <c r="BC241" s="66">
        <f t="shared" si="2123"/>
        <v>4.1780000000000008</v>
      </c>
      <c r="BD241" s="66">
        <f t="shared" si="2123"/>
        <v>7.734</v>
      </c>
      <c r="BE241" s="66">
        <f t="shared" si="2123"/>
        <v>11.313000000000001</v>
      </c>
      <c r="BF241" s="66">
        <f t="shared" si="2123"/>
        <v>11.254999999999999</v>
      </c>
      <c r="BG241" s="66">
        <f t="shared" si="2123"/>
        <v>13.515000000000001</v>
      </c>
      <c r="BH241" s="66">
        <f t="shared" si="2123"/>
        <v>10.550999999999998</v>
      </c>
      <c r="BI241" s="66">
        <f t="shared" si="2123"/>
        <v>10.747</v>
      </c>
      <c r="BJ241" s="66">
        <f t="shared" si="2123"/>
        <v>14.215000000000002</v>
      </c>
      <c r="BK241" s="66">
        <f t="shared" si="2123"/>
        <v>12.578000000000005</v>
      </c>
      <c r="BL241" s="66">
        <f t="shared" si="2123"/>
        <v>14.178000000000003</v>
      </c>
      <c r="BM241" s="66">
        <f t="shared" si="2123"/>
        <v>13.530000000000003</v>
      </c>
      <c r="BN241" s="66">
        <f t="shared" si="2123"/>
        <v>15.148999999999999</v>
      </c>
      <c r="BO241" s="66">
        <f t="shared" si="2123"/>
        <v>15.778999999999998</v>
      </c>
      <c r="BP241" s="66">
        <f t="shared" si="2123"/>
        <v>17.625</v>
      </c>
      <c r="BQ241" s="66">
        <f t="shared" si="2123"/>
        <v>20.554000000000002</v>
      </c>
      <c r="BR241" s="66">
        <f t="shared" ref="BR241:CW241" si="2124">SUM(BO43:BR43)</f>
        <v>22.149000000000001</v>
      </c>
      <c r="BS241" s="66">
        <f t="shared" si="2124"/>
        <v>24.181999999999995</v>
      </c>
      <c r="BT241" s="66">
        <f t="shared" si="2124"/>
        <v>24.248999999999999</v>
      </c>
      <c r="BU241" s="66">
        <f t="shared" si="2124"/>
        <v>25.046999999999997</v>
      </c>
      <c r="BV241" s="66">
        <f t="shared" si="2124"/>
        <v>26.638000000000002</v>
      </c>
      <c r="BW241" s="66">
        <f t="shared" si="2124"/>
        <v>29.347000000000005</v>
      </c>
      <c r="BX241" s="66">
        <f t="shared" si="2124"/>
        <v>34.332000000000008</v>
      </c>
      <c r="BY241" s="66">
        <f t="shared" si="2124"/>
        <v>37.652000000000001</v>
      </c>
      <c r="BZ241" s="66">
        <f t="shared" si="2124"/>
        <v>46.745999999999995</v>
      </c>
      <c r="CA241" s="66">
        <f t="shared" si="2124"/>
        <v>53.627999999999986</v>
      </c>
      <c r="CB241" s="66">
        <f t="shared" si="2124"/>
        <v>68.545999999999978</v>
      </c>
      <c r="CC241" s="66">
        <f t="shared" si="2124"/>
        <v>81.786999999999978</v>
      </c>
      <c r="CD241" s="66">
        <f t="shared" si="2124"/>
        <v>81.798999999999992</v>
      </c>
      <c r="CE241" s="66">
        <f t="shared" si="2124"/>
        <v>81.711000000000013</v>
      </c>
      <c r="CF241" s="66">
        <f t="shared" si="2124"/>
        <v>91.442000000000007</v>
      </c>
      <c r="CG241" s="66">
        <f t="shared" si="2124"/>
        <v>99.046000000000021</v>
      </c>
      <c r="CH241" s="66">
        <f t="shared" si="2124"/>
        <v>92.501000000000019</v>
      </c>
      <c r="CI241" s="66">
        <f t="shared" si="2124"/>
        <v>88.793000000000006</v>
      </c>
      <c r="CJ241" s="66">
        <f t="shared" si="2124"/>
        <v>65.421999999999997</v>
      </c>
      <c r="CK241" s="50">
        <f t="shared" si="2124"/>
        <v>45.913999999999973</v>
      </c>
      <c r="CL241" s="66">
        <f t="shared" si="2124"/>
        <v>47.896999999999977</v>
      </c>
      <c r="CM241" s="50">
        <f t="shared" si="2124"/>
        <v>50.301149914790273</v>
      </c>
      <c r="CN241" s="50">
        <f t="shared" si="2124"/>
        <v>53.148011474482679</v>
      </c>
      <c r="CO241" s="50">
        <f t="shared" si="2124"/>
        <v>53.931144158900061</v>
      </c>
      <c r="CP241" s="50">
        <f t="shared" si="2124"/>
        <v>56.560444274246194</v>
      </c>
      <c r="CQ241" s="50">
        <f t="shared" si="2124"/>
        <v>58.70465764739938</v>
      </c>
      <c r="CR241" s="50">
        <f t="shared" si="2124"/>
        <v>60.860914991812514</v>
      </c>
      <c r="CS241" s="50">
        <f t="shared" si="2124"/>
        <v>62.644729818034143</v>
      </c>
      <c r="CT241" s="50">
        <f t="shared" si="2124"/>
        <v>65.174927028717548</v>
      </c>
      <c r="CU241" s="50">
        <f t="shared" si="2124"/>
        <v>67.460794411392698</v>
      </c>
      <c r="CV241" s="50">
        <f t="shared" si="2124"/>
        <v>69.886636047279538</v>
      </c>
      <c r="CW241" s="50">
        <f t="shared" si="2124"/>
        <v>72.115923463186846</v>
      </c>
      <c r="CX241" s="50">
        <f t="shared" ref="CX241:DB241" si="2125">SUM(CU43:CX43)</f>
        <v>74.945007357865109</v>
      </c>
      <c r="CY241" s="50">
        <f t="shared" si="2125"/>
        <v>77.540561765347462</v>
      </c>
      <c r="CZ241" s="50">
        <f t="shared" si="2125"/>
        <v>80.341105708586468</v>
      </c>
      <c r="DA241" s="50">
        <f t="shared" si="2125"/>
        <v>82.931361393338705</v>
      </c>
      <c r="DB241" s="50">
        <f t="shared" si="2125"/>
        <v>86.162237686577271</v>
      </c>
      <c r="DE241" s="138"/>
    </row>
    <row r="242" spans="1:110" s="66" customFormat="1" x14ac:dyDescent="0.2">
      <c r="A242" s="66" t="s">
        <v>473</v>
      </c>
      <c r="AB242" s="50"/>
      <c r="AC242" s="50"/>
      <c r="AD242" s="50"/>
      <c r="AE242" s="50"/>
      <c r="AL242" s="66">
        <f t="shared" ref="AL242:BQ242" si="2126">SUM(AI56:AL56)</f>
        <v>6.4610000000000021</v>
      </c>
      <c r="AM242" s="66">
        <f t="shared" si="2126"/>
        <v>3.9000000000000021</v>
      </c>
      <c r="AN242" s="66">
        <f t="shared" si="2126"/>
        <v>2.6610000000000023</v>
      </c>
      <c r="AO242" s="66">
        <f t="shared" si="2126"/>
        <v>1.2520000000000027</v>
      </c>
      <c r="AP242" s="66">
        <f t="shared" si="2126"/>
        <v>-1.1899999999999997</v>
      </c>
      <c r="AQ242" s="66">
        <f t="shared" si="2126"/>
        <v>-1.4790000000000005</v>
      </c>
      <c r="AR242" s="66">
        <f t="shared" si="2126"/>
        <v>2.1389999999999993</v>
      </c>
      <c r="AS242" s="66">
        <f t="shared" si="2126"/>
        <v>1.9319999999999997</v>
      </c>
      <c r="AT242" s="66">
        <f t="shared" si="2126"/>
        <v>0.88799999999999879</v>
      </c>
      <c r="AU242" s="66">
        <f t="shared" si="2126"/>
        <v>2.7419999999999995</v>
      </c>
      <c r="AV242" s="66">
        <f t="shared" si="2126"/>
        <v>0.45800000000000046</v>
      </c>
      <c r="AW242" s="66">
        <f t="shared" si="2126"/>
        <v>0.4619999999999998</v>
      </c>
      <c r="AX242" s="66">
        <f t="shared" si="2126"/>
        <v>0.5929999999999982</v>
      </c>
      <c r="AY242" s="66">
        <f t="shared" si="2126"/>
        <v>0.77999999999999825</v>
      </c>
      <c r="AZ242" s="66">
        <f t="shared" si="2126"/>
        <v>0.94099999999999806</v>
      </c>
      <c r="BA242" s="66">
        <f t="shared" si="2126"/>
        <v>1.0659999999999985</v>
      </c>
      <c r="BB242" s="66">
        <f t="shared" si="2126"/>
        <v>0.8860000000000009</v>
      </c>
      <c r="BC242" s="66">
        <f t="shared" si="2126"/>
        <v>12.717000000000001</v>
      </c>
      <c r="BD242" s="66">
        <f t="shared" si="2126"/>
        <v>15.649000000000001</v>
      </c>
      <c r="BE242" s="66">
        <f t="shared" si="2126"/>
        <v>18.436</v>
      </c>
      <c r="BF242" s="66">
        <f t="shared" si="2126"/>
        <v>17.298999999999999</v>
      </c>
      <c r="BG242" s="66">
        <f t="shared" si="2126"/>
        <v>7.5129999999999999</v>
      </c>
      <c r="BH242" s="66">
        <f t="shared" si="2126"/>
        <v>4.8810000000000011</v>
      </c>
      <c r="BI242" s="66">
        <f t="shared" si="2126"/>
        <v>5.0609999999999982</v>
      </c>
      <c r="BJ242" s="66">
        <f t="shared" si="2126"/>
        <v>9.5860000000000021</v>
      </c>
      <c r="BK242" s="66">
        <f t="shared" si="2126"/>
        <v>8.5250000000000021</v>
      </c>
      <c r="BL242" s="66">
        <f t="shared" si="2126"/>
        <v>10.284000000000001</v>
      </c>
      <c r="BM242" s="66">
        <f t="shared" si="2126"/>
        <v>9.8770000000000024</v>
      </c>
      <c r="BN242" s="66">
        <f t="shared" si="2126"/>
        <v>10.758999999999999</v>
      </c>
      <c r="BO242" s="66">
        <f t="shared" si="2126"/>
        <v>10.848999999999998</v>
      </c>
      <c r="BP242" s="66">
        <f t="shared" si="2126"/>
        <v>11.757000000000001</v>
      </c>
      <c r="BQ242" s="66">
        <f t="shared" si="2126"/>
        <v>13.825000000000001</v>
      </c>
      <c r="BR242" s="66">
        <f t="shared" ref="BR242:CW242" si="2127">SUM(BO56:BR56)</f>
        <v>15.406000000000001</v>
      </c>
      <c r="BS242" s="66">
        <f t="shared" si="2127"/>
        <v>17.032999999999998</v>
      </c>
      <c r="BT242" s="66">
        <f t="shared" si="2127"/>
        <v>17.183999999999997</v>
      </c>
      <c r="BU242" s="66">
        <f t="shared" si="2127"/>
        <v>17.597999999999995</v>
      </c>
      <c r="BV242" s="66">
        <f t="shared" si="2127"/>
        <v>17.975999999999999</v>
      </c>
      <c r="BW242" s="66">
        <f t="shared" si="2127"/>
        <v>19.283000000000008</v>
      </c>
      <c r="BX242" s="66">
        <f t="shared" si="2127"/>
        <v>21.985000000000007</v>
      </c>
      <c r="BY242" s="66">
        <f t="shared" si="2127"/>
        <v>23.285000000000004</v>
      </c>
      <c r="BZ242" s="66">
        <f t="shared" si="2127"/>
        <v>26.838999999999995</v>
      </c>
      <c r="CA242" s="66">
        <f t="shared" si="2127"/>
        <v>30.469999999999985</v>
      </c>
      <c r="CB242" s="66">
        <f t="shared" si="2127"/>
        <v>40.399999999999977</v>
      </c>
      <c r="CC242" s="66">
        <f t="shared" si="2127"/>
        <v>50.034999999999982</v>
      </c>
      <c r="CD242" s="66">
        <f t="shared" si="2127"/>
        <v>52.557999999999993</v>
      </c>
      <c r="CE242" s="66">
        <f t="shared" si="2127"/>
        <v>51.926999999999992</v>
      </c>
      <c r="CF242" s="66">
        <f t="shared" si="2127"/>
        <v>58.753000000000014</v>
      </c>
      <c r="CG242" s="66">
        <f t="shared" si="2127"/>
        <v>62.512000000000015</v>
      </c>
      <c r="CH242" s="66">
        <f t="shared" si="2127"/>
        <v>56.445000000000007</v>
      </c>
      <c r="CI242" s="66">
        <f t="shared" si="2127"/>
        <v>52.29</v>
      </c>
      <c r="CJ242" s="66">
        <f t="shared" si="2127"/>
        <v>33.655999999999985</v>
      </c>
      <c r="CK242" s="50">
        <f t="shared" si="2127"/>
        <v>16.318999999999974</v>
      </c>
      <c r="CL242" s="66">
        <f t="shared" si="2127"/>
        <v>15.007999999999978</v>
      </c>
      <c r="CM242" s="50">
        <f t="shared" si="2127"/>
        <v>14.935360722085719</v>
      </c>
      <c r="CN242" s="50">
        <f t="shared" si="2127"/>
        <v>14.56845248743188</v>
      </c>
      <c r="CO242" s="50">
        <f t="shared" si="2127"/>
        <v>15.323896731013976</v>
      </c>
      <c r="CP242" s="50">
        <f t="shared" si="2127"/>
        <v>15.907730638581409</v>
      </c>
      <c r="CQ242" s="50">
        <f t="shared" si="2127"/>
        <v>17.796582921922685</v>
      </c>
      <c r="CR242" s="50">
        <f t="shared" si="2127"/>
        <v>19.584651282868872</v>
      </c>
      <c r="CS242" s="50">
        <f t="shared" si="2127"/>
        <v>21.249166380574916</v>
      </c>
      <c r="CT242" s="50">
        <f t="shared" si="2127"/>
        <v>23.144489920531289</v>
      </c>
      <c r="CU242" s="50">
        <f t="shared" si="2127"/>
        <v>24.986727609634528</v>
      </c>
      <c r="CV242" s="50">
        <f t="shared" si="2127"/>
        <v>26.856752088536759</v>
      </c>
      <c r="CW242" s="50">
        <f t="shared" si="2127"/>
        <v>28.607507830981675</v>
      </c>
      <c r="CX242" s="50">
        <f t="shared" ref="CX242:DB242" si="2128">SUM(CU56:CX56)</f>
        <v>30.622989994428714</v>
      </c>
      <c r="CY242" s="50">
        <f t="shared" si="2128"/>
        <v>32.557676329710517</v>
      </c>
      <c r="CZ242" s="50">
        <f t="shared" si="2128"/>
        <v>34.550520394932413</v>
      </c>
      <c r="DA242" s="50">
        <f t="shared" si="2128"/>
        <v>36.409738555845991</v>
      </c>
      <c r="DB242" s="50">
        <f t="shared" si="2128"/>
        <v>38.583469118935177</v>
      </c>
      <c r="DE242" s="138"/>
    </row>
    <row r="243" spans="1:110" s="93" customFormat="1" x14ac:dyDescent="0.2">
      <c r="AB243" s="30"/>
      <c r="AC243" s="30"/>
      <c r="AD243" s="30"/>
      <c r="AE243" s="30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11" customFormat="1" x14ac:dyDescent="0.2">
      <c r="AB244" s="63"/>
      <c r="AC244" s="63"/>
      <c r="AD244" s="63"/>
      <c r="AE244" s="63"/>
      <c r="CK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62" customFormat="1" hidden="1" outlineLevel="1" x14ac:dyDescent="0.2">
      <c r="A245" s="61" t="s">
        <v>339</v>
      </c>
      <c r="AB245" s="63"/>
      <c r="AC245" s="63"/>
      <c r="AD245" s="63"/>
      <c r="AE245" s="63"/>
      <c r="CK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4" customFormat="1" hidden="1" outlineLevel="1" x14ac:dyDescent="0.2">
      <c r="A246" s="64" t="s">
        <v>474</v>
      </c>
      <c r="B246" s="64">
        <f t="shared" ref="B246:Z246" si="2129">B23-B252</f>
        <v>18.299236799999999</v>
      </c>
      <c r="C246" s="64">
        <f t="shared" si="2129"/>
        <v>7.7180276000000001</v>
      </c>
      <c r="D246" s="64">
        <f t="shared" si="2129"/>
        <v>6.6204983000000004</v>
      </c>
      <c r="E246" s="64">
        <f t="shared" si="2129"/>
        <v>9.8397860000000001</v>
      </c>
      <c r="F246" s="64">
        <f t="shared" si="2129"/>
        <v>13.2090307</v>
      </c>
      <c r="G246" s="64">
        <f t="shared" si="2129"/>
        <v>16.4950191</v>
      </c>
      <c r="H246" s="64">
        <f t="shared" si="2129"/>
        <v>26.119254900000001</v>
      </c>
      <c r="I246" s="64">
        <f t="shared" si="2129"/>
        <v>26.7658679</v>
      </c>
      <c r="J246" s="64">
        <f t="shared" si="2129"/>
        <v>27.279905299999999</v>
      </c>
      <c r="K246" s="64">
        <f t="shared" si="2129"/>
        <v>22.690498300000002</v>
      </c>
      <c r="L246" s="64">
        <f t="shared" si="2129"/>
        <v>24.067049399999998</v>
      </c>
      <c r="M246" s="64">
        <f t="shared" si="2129"/>
        <v>26.846307599999999</v>
      </c>
      <c r="N246" s="64">
        <f t="shared" si="2129"/>
        <v>46.997975799999999</v>
      </c>
      <c r="O246" s="64">
        <f t="shared" si="2129"/>
        <v>13.6706076</v>
      </c>
      <c r="P246" s="64">
        <f t="shared" si="2129"/>
        <v>26.1181932</v>
      </c>
      <c r="Q246" s="64">
        <f t="shared" si="2129"/>
        <v>27.102640000000001</v>
      </c>
      <c r="R246" s="64">
        <f t="shared" si="2129"/>
        <v>35.204327300000003</v>
      </c>
      <c r="S246" s="64">
        <f t="shared" si="2129"/>
        <v>61.678060600000002</v>
      </c>
      <c r="T246" s="64">
        <f t="shared" si="2129"/>
        <v>58.7487499</v>
      </c>
      <c r="U246" s="64">
        <f t="shared" si="2129"/>
        <v>58.893212300000002</v>
      </c>
      <c r="V246" s="64">
        <f t="shared" si="2129"/>
        <v>85.671000000000006</v>
      </c>
      <c r="W246" s="64">
        <f t="shared" si="2129"/>
        <v>114.8913</v>
      </c>
      <c r="X246" s="64">
        <f t="shared" si="2129"/>
        <v>172.4881</v>
      </c>
      <c r="Y246" s="64">
        <f t="shared" si="2129"/>
        <v>251.1259</v>
      </c>
      <c r="Z246" s="64">
        <f t="shared" si="2129"/>
        <v>276.02719999999999</v>
      </c>
      <c r="AA246" s="64">
        <f t="shared" ref="AA246" si="2130">AA23-AA252</f>
        <v>257.13119999999998</v>
      </c>
      <c r="AB246" s="30"/>
      <c r="AC246" s="30"/>
      <c r="AD246" s="30"/>
      <c r="AE246" s="30"/>
      <c r="AI246" s="64">
        <f t="shared" ref="AI246:BN246" si="2131">AI23-AI252</f>
        <v>4.5250000000000004</v>
      </c>
      <c r="AJ246" s="64">
        <f t="shared" si="2131"/>
        <v>2.7490000000000001</v>
      </c>
      <c r="AK246" s="64">
        <f t="shared" si="2131"/>
        <v>9.9740000000000002</v>
      </c>
      <c r="AL246" s="64">
        <f t="shared" si="2131"/>
        <v>25.699000000000002</v>
      </c>
      <c r="AM246" s="64">
        <f t="shared" si="2131"/>
        <v>2.0009999999999999</v>
      </c>
      <c r="AN246" s="64">
        <f t="shared" si="2131"/>
        <v>3.024</v>
      </c>
      <c r="AO246" s="64">
        <f t="shared" si="2131"/>
        <v>4.8659999999999997</v>
      </c>
      <c r="AP246" s="64">
        <f t="shared" si="2131"/>
        <v>3.1139999999999999</v>
      </c>
      <c r="AQ246" s="64">
        <f t="shared" si="2131"/>
        <v>4.282</v>
      </c>
      <c r="AR246" s="64">
        <f t="shared" si="2131"/>
        <v>10.315</v>
      </c>
      <c r="AS246" s="64">
        <f t="shared" si="2131"/>
        <v>6.4320000000000004</v>
      </c>
      <c r="AT246" s="64">
        <f t="shared" si="2131"/>
        <v>4.226</v>
      </c>
      <c r="AU246" s="64">
        <f t="shared" si="2131"/>
        <v>3.7189999999999999</v>
      </c>
      <c r="AV246" s="64">
        <f t="shared" si="2131"/>
        <v>3.8450000000000002</v>
      </c>
      <c r="AW246" s="64">
        <f t="shared" si="2131"/>
        <v>3.8210000000000002</v>
      </c>
      <c r="AX246" s="64">
        <f t="shared" si="2131"/>
        <v>13.212999999999999</v>
      </c>
      <c r="AY246" s="64">
        <f t="shared" si="2131"/>
        <v>8.3680000000000003</v>
      </c>
      <c r="AZ246" s="64">
        <f t="shared" si="2131"/>
        <v>7.8150000000000004</v>
      </c>
      <c r="BA246" s="64">
        <f t="shared" si="2131"/>
        <v>8.4749999999999996</v>
      </c>
      <c r="BB246" s="64">
        <f t="shared" si="2131"/>
        <v>10.318</v>
      </c>
      <c r="BC246" s="64">
        <f t="shared" si="2131"/>
        <v>9.7629999999999999</v>
      </c>
      <c r="BD246" s="64">
        <f t="shared" si="2131"/>
        <v>11.673999999999999</v>
      </c>
      <c r="BE246" s="64">
        <f t="shared" si="2131"/>
        <v>16.385999999999999</v>
      </c>
      <c r="BF246" s="64">
        <f t="shared" si="2131"/>
        <v>14.257999999999999</v>
      </c>
      <c r="BG246" s="64">
        <f t="shared" si="2131"/>
        <v>12.182</v>
      </c>
      <c r="BH246" s="64">
        <f t="shared" si="2131"/>
        <v>10.076000000000001</v>
      </c>
      <c r="BI246" s="64">
        <f t="shared" si="2131"/>
        <v>14.045999999999999</v>
      </c>
      <c r="BJ246" s="64">
        <f t="shared" si="2131"/>
        <v>14.476000000000001</v>
      </c>
      <c r="BK246" s="64">
        <f t="shared" si="2131"/>
        <v>8.6850000000000005</v>
      </c>
      <c r="BL246" s="64">
        <f t="shared" si="2131"/>
        <v>8.0609999999999999</v>
      </c>
      <c r="BM246" s="64">
        <f t="shared" si="2131"/>
        <v>13.48</v>
      </c>
      <c r="BN246" s="64">
        <f t="shared" si="2131"/>
        <v>21.693999999999999</v>
      </c>
      <c r="BO246" s="64">
        <f t="shared" ref="BO246:CT246" si="2132">BO23-BO252</f>
        <v>11.13</v>
      </c>
      <c r="BP246" s="64">
        <f t="shared" si="2132"/>
        <v>12.515000000000001</v>
      </c>
      <c r="BQ246" s="64">
        <f t="shared" si="2132"/>
        <v>24.986999999999998</v>
      </c>
      <c r="BR246" s="64">
        <f t="shared" si="2132"/>
        <v>29.062999999999999</v>
      </c>
      <c r="BS246" s="64">
        <f t="shared" si="2132"/>
        <v>13.715999999999999</v>
      </c>
      <c r="BT246" s="64">
        <f t="shared" si="2132"/>
        <v>15.436</v>
      </c>
      <c r="BU246" s="64">
        <f t="shared" si="2132"/>
        <v>29.093</v>
      </c>
      <c r="BV246" s="64">
        <f t="shared" si="2132"/>
        <v>46.709000000000003</v>
      </c>
      <c r="BW246" s="64">
        <f t="shared" si="2132"/>
        <v>26.989000000000001</v>
      </c>
      <c r="BX246" s="64">
        <f t="shared" si="2132"/>
        <v>36.225000000000001</v>
      </c>
      <c r="BY246" s="64">
        <f t="shared" si="2132"/>
        <v>38.704999999999998</v>
      </c>
      <c r="BZ246" s="64">
        <f t="shared" si="2132"/>
        <v>52.530999999999999</v>
      </c>
      <c r="CA246" s="64">
        <f t="shared" si="2132"/>
        <v>68.947999999999993</v>
      </c>
      <c r="CB246" s="64">
        <f t="shared" si="2132"/>
        <v>54.332999999999998</v>
      </c>
      <c r="CC246" s="64">
        <f t="shared" si="2132"/>
        <v>59.325000000000003</v>
      </c>
      <c r="CD246" s="64">
        <f t="shared" si="2132"/>
        <v>41.761000000000003</v>
      </c>
      <c r="CE246" s="64">
        <f t="shared" si="2132"/>
        <v>51.764000000000003</v>
      </c>
      <c r="CF246" s="64">
        <f t="shared" si="2132"/>
        <v>77.42</v>
      </c>
      <c r="CG246" s="64">
        <f t="shared" si="2132"/>
        <v>70.680999999999997</v>
      </c>
      <c r="CH246" s="64">
        <f t="shared" si="2132"/>
        <v>49.261000000000003</v>
      </c>
      <c r="CI246" s="64">
        <f t="shared" si="2132"/>
        <v>51.912999999999997</v>
      </c>
      <c r="CJ246" s="64">
        <f t="shared" si="2132"/>
        <v>55.417999999999999</v>
      </c>
      <c r="CK246" s="30">
        <f t="shared" si="2132"/>
        <v>51.716000000000001</v>
      </c>
      <c r="CL246" s="64">
        <f t="shared" ref="CL246" si="2133">CL23-CL252</f>
        <v>63.826000000000001</v>
      </c>
      <c r="CM246" s="30">
        <f t="shared" si="2132"/>
        <v>59.745899999999992</v>
      </c>
      <c r="CN246" s="30">
        <f t="shared" si="2132"/>
        <v>64.76236999999999</v>
      </c>
      <c r="CO246" s="30">
        <f t="shared" si="2132"/>
        <v>59.924929999999996</v>
      </c>
      <c r="CP246" s="30">
        <f t="shared" si="2132"/>
        <v>74.634079999999997</v>
      </c>
      <c r="CQ246" s="30">
        <f t="shared" si="2132"/>
        <v>68.703681999999986</v>
      </c>
      <c r="CR246" s="30">
        <f t="shared" si="2132"/>
        <v>74.460538999999983</v>
      </c>
      <c r="CS246" s="30">
        <f t="shared" si="2132"/>
        <v>68.88778099999999</v>
      </c>
      <c r="CT246" s="30">
        <f t="shared" si="2132"/>
        <v>85.786181999999982</v>
      </c>
      <c r="CU246" s="30">
        <f t="shared" ref="CU246:DB246" si="2134">CU23-CU252</f>
        <v>79.004720999999975</v>
      </c>
      <c r="CV246" s="30">
        <f t="shared" si="2134"/>
        <v>85.611814699999968</v>
      </c>
      <c r="CW246" s="30">
        <f t="shared" si="2134"/>
        <v>79.192470799999981</v>
      </c>
      <c r="CX246" s="30">
        <f t="shared" si="2134"/>
        <v>98.60679829999998</v>
      </c>
      <c r="CY246" s="30">
        <f t="shared" si="2134"/>
        <v>90.850464519999974</v>
      </c>
      <c r="CZ246" s="30">
        <f t="shared" si="2134"/>
        <v>98.434001239999944</v>
      </c>
      <c r="DA246" s="30">
        <f t="shared" si="2134"/>
        <v>91.040016334999962</v>
      </c>
      <c r="DB246" s="30">
        <f t="shared" si="2134"/>
        <v>113.34577594499997</v>
      </c>
      <c r="DE246" s="139"/>
      <c r="DF246" s="64">
        <v>257.13119999999998</v>
      </c>
    </row>
    <row r="247" spans="1:110" s="64" customFormat="1" hidden="1" outlineLevel="1" x14ac:dyDescent="0.2">
      <c r="A247" s="64" t="s">
        <v>475</v>
      </c>
      <c r="B247" s="64">
        <f t="shared" ref="B247:Z247" si="2135">B43-B253</f>
        <v>1.8056158</v>
      </c>
      <c r="C247" s="64">
        <f t="shared" si="2135"/>
        <v>-1.1207671000000001</v>
      </c>
      <c r="D247" s="64">
        <f t="shared" si="2135"/>
        <v>1.2757987000000011</v>
      </c>
      <c r="E247" s="64">
        <f t="shared" si="2135"/>
        <v>1.9374430999999994</v>
      </c>
      <c r="F247" s="64">
        <f t="shared" si="2135"/>
        <v>1.8388945000000003</v>
      </c>
      <c r="G247" s="64">
        <f t="shared" si="2135"/>
        <v>2.002372199999999</v>
      </c>
      <c r="H247" s="64">
        <f t="shared" si="2135"/>
        <v>4.9091038999999999</v>
      </c>
      <c r="I247" s="64">
        <f t="shared" si="2135"/>
        <v>6.9221199999999996</v>
      </c>
      <c r="J247" s="64">
        <f t="shared" si="2135"/>
        <v>4.4333842000000008</v>
      </c>
      <c r="K247" s="64">
        <f t="shared" si="2135"/>
        <v>2.5748326000000024</v>
      </c>
      <c r="L247" s="64">
        <f t="shared" si="2135"/>
        <v>4.597761399999996</v>
      </c>
      <c r="M247" s="64">
        <f t="shared" si="2135"/>
        <v>6.2680052000000011</v>
      </c>
      <c r="N247" s="64">
        <f t="shared" si="2135"/>
        <v>10.239765200000003</v>
      </c>
      <c r="O247" s="64">
        <f t="shared" si="2135"/>
        <v>1.7768971000000011</v>
      </c>
      <c r="P247" s="64">
        <f t="shared" si="2135"/>
        <v>4.0692056999999977</v>
      </c>
      <c r="Q247" s="64">
        <f t="shared" si="2135"/>
        <v>3.9326673000000003</v>
      </c>
      <c r="R247" s="64">
        <f t="shared" si="2135"/>
        <v>3.8562913000000041</v>
      </c>
      <c r="S247" s="64">
        <f t="shared" si="2135"/>
        <v>11.254520200000005</v>
      </c>
      <c r="T247" s="64">
        <f t="shared" si="2135"/>
        <v>14.216035000000005</v>
      </c>
      <c r="U247" s="64">
        <f t="shared" si="2135"/>
        <v>15.380585300000003</v>
      </c>
      <c r="V247" s="64">
        <f t="shared" si="2135"/>
        <v>22.175500000000017</v>
      </c>
      <c r="W247" s="64">
        <f t="shared" si="2135"/>
        <v>26.638900000000007</v>
      </c>
      <c r="X247" s="64">
        <f t="shared" si="2135"/>
        <v>46.820199999999986</v>
      </c>
      <c r="Y247" s="64">
        <f t="shared" si="2135"/>
        <v>81.79679999999999</v>
      </c>
      <c r="Z247" s="64">
        <f t="shared" si="2135"/>
        <v>92.501199999999983</v>
      </c>
      <c r="AA247" s="64">
        <f t="shared" ref="AA247" si="2136">AA43-AA253</f>
        <v>47.879799999999989</v>
      </c>
      <c r="AB247" s="30"/>
      <c r="AC247" s="30"/>
      <c r="AD247" s="30"/>
      <c r="AE247" s="30"/>
      <c r="AI247" s="64">
        <f t="shared" ref="AI247:BN247" si="2137">AI43-AI253</f>
        <v>2.007000000000001</v>
      </c>
      <c r="AJ247" s="64">
        <f t="shared" si="2137"/>
        <v>0.68899999999999917</v>
      </c>
      <c r="AK247" s="64">
        <f t="shared" si="2137"/>
        <v>2.8409999999999993</v>
      </c>
      <c r="AL247" s="64">
        <f t="shared" si="2137"/>
        <v>4.6860000000000026</v>
      </c>
      <c r="AM247" s="64">
        <f t="shared" si="2137"/>
        <v>-0.77399999999999958</v>
      </c>
      <c r="AN247" s="64">
        <f t="shared" si="2137"/>
        <v>-0.49900000000000055</v>
      </c>
      <c r="AO247" s="64">
        <f t="shared" si="2137"/>
        <v>1.206</v>
      </c>
      <c r="AP247" s="64">
        <f t="shared" si="2137"/>
        <v>1.8440000000000003</v>
      </c>
      <c r="AQ247" s="64">
        <f t="shared" si="2137"/>
        <v>-0.81099999999999994</v>
      </c>
      <c r="AR247" s="64">
        <f t="shared" si="2137"/>
        <v>3.3089999999999997</v>
      </c>
      <c r="AS247" s="64">
        <f t="shared" si="2137"/>
        <v>1.0250000000000004</v>
      </c>
      <c r="AT247" s="64">
        <f t="shared" si="2137"/>
        <v>0.51399999999999935</v>
      </c>
      <c r="AU247" s="64">
        <f t="shared" si="2137"/>
        <v>0.89700000000000024</v>
      </c>
      <c r="AV247" s="64">
        <f t="shared" si="2137"/>
        <v>0.99200000000000044</v>
      </c>
      <c r="AW247" s="64">
        <f t="shared" si="2137"/>
        <v>0.99999999999999956</v>
      </c>
      <c r="AX247" s="64">
        <f t="shared" si="2137"/>
        <v>1.0109999999999979</v>
      </c>
      <c r="AY247" s="64">
        <f t="shared" si="2137"/>
        <v>1.0500000000000003</v>
      </c>
      <c r="AZ247" s="64">
        <f t="shared" si="2137"/>
        <v>0.9480000000000004</v>
      </c>
      <c r="BA247" s="64">
        <f t="shared" si="2137"/>
        <v>1.028</v>
      </c>
      <c r="BB247" s="64">
        <f t="shared" si="2137"/>
        <v>0.82800000000000029</v>
      </c>
      <c r="BC247" s="64">
        <f t="shared" si="2137"/>
        <v>1.3739999999999997</v>
      </c>
      <c r="BD247" s="64">
        <f t="shared" si="2137"/>
        <v>4.5039999999999996</v>
      </c>
      <c r="BE247" s="64">
        <f t="shared" si="2137"/>
        <v>4.6070000000000011</v>
      </c>
      <c r="BF247" s="64">
        <f t="shared" si="2137"/>
        <v>0.76999999999999869</v>
      </c>
      <c r="BG247" s="64">
        <f t="shared" si="2137"/>
        <v>3.6340000000000003</v>
      </c>
      <c r="BH247" s="64">
        <f t="shared" si="2137"/>
        <v>1.54</v>
      </c>
      <c r="BI247" s="64">
        <f t="shared" si="2137"/>
        <v>4.8030000000000008</v>
      </c>
      <c r="BJ247" s="64">
        <f t="shared" si="2137"/>
        <v>4.2380000000000013</v>
      </c>
      <c r="BK247" s="64">
        <f t="shared" si="2137"/>
        <v>1.9970000000000017</v>
      </c>
      <c r="BL247" s="64">
        <f t="shared" si="2137"/>
        <v>3.1399999999999988</v>
      </c>
      <c r="BM247" s="64">
        <f t="shared" si="2137"/>
        <v>4.1550000000000011</v>
      </c>
      <c r="BN247" s="64">
        <f t="shared" si="2137"/>
        <v>5.8569999999999975</v>
      </c>
      <c r="BO247" s="64">
        <f t="shared" ref="BO247:CT247" si="2138">BO43-BO253</f>
        <v>2.6270000000000007</v>
      </c>
      <c r="BP247" s="64">
        <f t="shared" si="2138"/>
        <v>4.9860000000000024</v>
      </c>
      <c r="BQ247" s="64">
        <f t="shared" si="2138"/>
        <v>7.0839999999999996</v>
      </c>
      <c r="BR247" s="64">
        <f t="shared" si="2138"/>
        <v>7.4519999999999982</v>
      </c>
      <c r="BS247" s="64">
        <f t="shared" si="2138"/>
        <v>4.6599999999999984</v>
      </c>
      <c r="BT247" s="64">
        <f t="shared" si="2138"/>
        <v>5.0530000000000008</v>
      </c>
      <c r="BU247" s="64">
        <f t="shared" si="2138"/>
        <v>7.8819999999999979</v>
      </c>
      <c r="BV247" s="64">
        <f t="shared" si="2138"/>
        <v>9.0430000000000028</v>
      </c>
      <c r="BW247" s="64">
        <f t="shared" si="2138"/>
        <v>7.3690000000000033</v>
      </c>
      <c r="BX247" s="64">
        <f t="shared" si="2138"/>
        <v>10.038</v>
      </c>
      <c r="BY247" s="64">
        <f t="shared" si="2138"/>
        <v>11.201999999999998</v>
      </c>
      <c r="BZ247" s="64">
        <f t="shared" si="2138"/>
        <v>18.136999999999993</v>
      </c>
      <c r="CA247" s="64">
        <f t="shared" si="2138"/>
        <v>14.250999999999994</v>
      </c>
      <c r="CB247" s="64">
        <f t="shared" si="2138"/>
        <v>24.955999999999992</v>
      </c>
      <c r="CC247" s="64">
        <f t="shared" si="2138"/>
        <v>24.443000000000001</v>
      </c>
      <c r="CD247" s="64">
        <f t="shared" si="2138"/>
        <v>18.149000000000001</v>
      </c>
      <c r="CE247" s="64">
        <f t="shared" si="2138"/>
        <v>14.163000000000004</v>
      </c>
      <c r="CF247" s="64">
        <f t="shared" si="2138"/>
        <v>34.687000000000012</v>
      </c>
      <c r="CG247" s="64">
        <f t="shared" si="2138"/>
        <v>32.046999999999997</v>
      </c>
      <c r="CH247" s="64">
        <f t="shared" si="2138"/>
        <v>11.603999999999999</v>
      </c>
      <c r="CI247" s="64">
        <f t="shared" si="2138"/>
        <v>10.454999999999995</v>
      </c>
      <c r="CJ247" s="64">
        <f t="shared" si="2138"/>
        <v>11.315999999999995</v>
      </c>
      <c r="CK247" s="30">
        <f t="shared" si="2138"/>
        <v>12.538999999999987</v>
      </c>
      <c r="CL247" s="64">
        <f t="shared" ref="CL247" si="2139">CL43-CL253</f>
        <v>13.587</v>
      </c>
      <c r="CM247" s="30">
        <f t="shared" si="2138"/>
        <v>12.859149914790294</v>
      </c>
      <c r="CN247" s="30">
        <f t="shared" si="2138"/>
        <v>14.162861559692395</v>
      </c>
      <c r="CO247" s="30">
        <f t="shared" si="2138"/>
        <v>13.322132684417376</v>
      </c>
      <c r="CP247" s="30">
        <f t="shared" si="2138"/>
        <v>16.216300115346129</v>
      </c>
      <c r="CQ247" s="30">
        <f t="shared" si="2138"/>
        <v>15.003363287943479</v>
      </c>
      <c r="CR247" s="30">
        <f t="shared" si="2138"/>
        <v>16.31911890410553</v>
      </c>
      <c r="CS247" s="30">
        <f t="shared" si="2138"/>
        <v>15.105947510639005</v>
      </c>
      <c r="CT247" s="30">
        <f t="shared" si="2138"/>
        <v>18.746497326029534</v>
      </c>
      <c r="CU247" s="30">
        <f t="shared" ref="CU247:DB247" si="2140">CU43-CU253</f>
        <v>17.289230670618622</v>
      </c>
      <c r="CV247" s="30">
        <f t="shared" si="2140"/>
        <v>18.744960539992377</v>
      </c>
      <c r="CW247" s="30">
        <f t="shared" si="2140"/>
        <v>17.335234926546313</v>
      </c>
      <c r="CX247" s="30">
        <f t="shared" si="2140"/>
        <v>21.575581220707804</v>
      </c>
      <c r="CY247" s="30">
        <f t="shared" si="2140"/>
        <v>19.884785078100975</v>
      </c>
      <c r="CZ247" s="30">
        <f t="shared" si="2140"/>
        <v>21.545504483231383</v>
      </c>
      <c r="DA247" s="30">
        <f t="shared" si="2140"/>
        <v>19.925490611298549</v>
      </c>
      <c r="DB247" s="30">
        <f t="shared" si="2140"/>
        <v>24.806457513946356</v>
      </c>
      <c r="DE247" s="139"/>
      <c r="DF247" s="64">
        <v>47.879799999999989</v>
      </c>
    </row>
    <row r="248" spans="1:110" s="89" customFormat="1" hidden="1" outlineLevel="1" x14ac:dyDescent="0.2">
      <c r="A248" s="86" t="s">
        <v>476</v>
      </c>
      <c r="B248" s="86">
        <f>+B247/B246</f>
        <v>9.8671645147517847E-2</v>
      </c>
      <c r="C248" s="86">
        <f t="shared" ref="C248" si="2141">+C247/C246</f>
        <v>-0.14521418658829363</v>
      </c>
      <c r="D248" s="86">
        <f t="shared" ref="D248" si="2142">+D247/D246</f>
        <v>0.19270433163618531</v>
      </c>
      <c r="E248" s="86">
        <f t="shared" ref="E248" si="2143">+E247/E246</f>
        <v>0.19689890613474717</v>
      </c>
      <c r="F248" s="86">
        <f t="shared" ref="F248" si="2144">+F247/F246</f>
        <v>0.13921494633213324</v>
      </c>
      <c r="G248" s="86">
        <f t="shared" ref="G248" si="2145">+G247/G246</f>
        <v>0.12139253600500523</v>
      </c>
      <c r="H248" s="86">
        <f t="shared" ref="H248" si="2146">+H247/H246</f>
        <v>0.18794961490268236</v>
      </c>
      <c r="I248" s="86">
        <f t="shared" ref="I248" si="2147">+I247/I246</f>
        <v>0.25861743119489877</v>
      </c>
      <c r="J248" s="86">
        <f t="shared" ref="J248" si="2148">+J247/J246</f>
        <v>0.1625146477322999</v>
      </c>
      <c r="K248" s="86">
        <f t="shared" ref="K248" si="2149">+K247/K246</f>
        <v>0.11347624745640787</v>
      </c>
      <c r="L248" s="86">
        <f t="shared" ref="L248" si="2150">+L247/L246</f>
        <v>0.19103967933850655</v>
      </c>
      <c r="M248" s="86">
        <f t="shared" ref="M248" si="2151">+M247/M246</f>
        <v>0.23347736654853798</v>
      </c>
      <c r="N248" s="86">
        <f t="shared" ref="N248" si="2152">+N247/N246</f>
        <v>0.21787672821432455</v>
      </c>
      <c r="O248" s="86">
        <f t="shared" ref="O248" si="2153">+O247/O246</f>
        <v>0.1299793799947854</v>
      </c>
      <c r="P248" s="86">
        <f t="shared" ref="P248" si="2154">+P247/P246</f>
        <v>0.15579966304866746</v>
      </c>
      <c r="Q248" s="86">
        <f t="shared" ref="Q248" si="2155">+Q247/Q246</f>
        <v>0.14510273906896157</v>
      </c>
      <c r="R248" s="86">
        <f t="shared" ref="R248" si="2156">+R247/R246</f>
        <v>0.10954026381864719</v>
      </c>
      <c r="S248" s="86">
        <f t="shared" ref="S248" si="2157">+S247/S246</f>
        <v>0.1824720182592772</v>
      </c>
      <c r="T248" s="86">
        <f t="shared" ref="T248" si="2158">+T247/T246</f>
        <v>0.24198021275683357</v>
      </c>
      <c r="U248" s="86">
        <f t="shared" ref="U248" si="2159">+U247/U246</f>
        <v>0.26116057690403827</v>
      </c>
      <c r="V248" s="86">
        <f t="shared" ref="V248" si="2160">+V247/V246</f>
        <v>0.25884488333274991</v>
      </c>
      <c r="W248" s="86">
        <f t="shared" ref="W248" si="2161">+W247/W246</f>
        <v>0.23186176847159015</v>
      </c>
      <c r="X248" s="86">
        <f t="shared" ref="X248:Y248" si="2162">+X247/X246</f>
        <v>0.2714401747135019</v>
      </c>
      <c r="Y248" s="86">
        <f t="shared" si="2162"/>
        <v>0.32572028611943249</v>
      </c>
      <c r="Z248" s="86">
        <f t="shared" ref="Z248:AA248" si="2163">+Z247/Z246</f>
        <v>0.33511624941310125</v>
      </c>
      <c r="AA248" s="86">
        <f t="shared" ref="AA248" si="2164">+AA247/AA246</f>
        <v>0.18620766363630703</v>
      </c>
      <c r="AB248" s="87"/>
      <c r="AC248" s="87"/>
      <c r="AD248" s="87"/>
      <c r="AE248" s="87"/>
      <c r="AF248" s="86"/>
      <c r="AG248" s="86"/>
      <c r="AH248" s="86"/>
      <c r="AI248" s="86">
        <f t="shared" ref="AI248" si="2165">+AI247/AI246</f>
        <v>0.44353591160221012</v>
      </c>
      <c r="AJ248" s="86">
        <f t="shared" ref="AJ248" si="2166">+AJ247/AJ246</f>
        <v>0.25063659512549985</v>
      </c>
      <c r="AK248" s="86">
        <f t="shared" ref="AK248" si="2167">+AK247/AK246</f>
        <v>0.28484058552235808</v>
      </c>
      <c r="AL248" s="86">
        <f t="shared" ref="AL248" si="2168">+AL247/AL246</f>
        <v>0.18234172535896348</v>
      </c>
      <c r="AM248" s="86">
        <f t="shared" ref="AM248" si="2169">+AM247/AM246</f>
        <v>-0.38680659670164896</v>
      </c>
      <c r="AN248" s="86">
        <f t="shared" ref="AN248" si="2170">+AN247/AN246</f>
        <v>-0.16501322751322769</v>
      </c>
      <c r="AO248" s="86">
        <f t="shared" ref="AO248" si="2171">+AO247/AO246</f>
        <v>0.24784217016029594</v>
      </c>
      <c r="AP248" s="86">
        <f t="shared" ref="AP248" si="2172">+AP247/AP246</f>
        <v>0.59216441875401427</v>
      </c>
      <c r="AQ248" s="86">
        <f t="shared" ref="AQ248" si="2173">+AQ247/AQ246</f>
        <v>-0.18939747781410554</v>
      </c>
      <c r="AR248" s="86">
        <f t="shared" ref="AR248" si="2174">+AR247/AR246</f>
        <v>0.32079495879786718</v>
      </c>
      <c r="AS248" s="86">
        <f t="shared" ref="AS248" si="2175">+AS247/AS246</f>
        <v>0.15935945273631846</v>
      </c>
      <c r="AT248" s="86">
        <f t="shared" ref="AT248" si="2176">+AT247/AT246</f>
        <v>0.12162801703738745</v>
      </c>
      <c r="AU248" s="86">
        <f t="shared" ref="AU248" si="2177">+AU247/AU246</f>
        <v>0.24119386931970968</v>
      </c>
      <c r="AV248" s="86">
        <f t="shared" ref="AV248" si="2178">+AV247/AV246</f>
        <v>0.25799739921976605</v>
      </c>
      <c r="AW248" s="86">
        <f t="shared" ref="AW248" si="2179">+AW247/AW246</f>
        <v>0.26171159382360626</v>
      </c>
      <c r="AX248" s="86">
        <f t="shared" ref="AX248" si="2180">+AX247/AX246</f>
        <v>7.651555286460289E-2</v>
      </c>
      <c r="AY248" s="86">
        <f t="shared" ref="AY248" si="2181">+AY247/AY246</f>
        <v>0.12547801147227536</v>
      </c>
      <c r="AZ248" s="86">
        <f t="shared" ref="AZ248" si="2182">+AZ247/AZ246</f>
        <v>0.12130518234165072</v>
      </c>
      <c r="BA248" s="86">
        <f t="shared" ref="BA248" si="2183">+BA247/BA246</f>
        <v>0.12129793510324484</v>
      </c>
      <c r="BB248" s="86">
        <f t="shared" ref="BB248" si="2184">+BB247/BB246</f>
        <v>8.0248110098856393E-2</v>
      </c>
      <c r="BC248" s="86">
        <f t="shared" ref="BC248" si="2185">+BC247/BC246</f>
        <v>0.14073542968349889</v>
      </c>
      <c r="BD248" s="86">
        <f t="shared" ref="BD248" si="2186">+BD247/BD246</f>
        <v>0.38581463080349493</v>
      </c>
      <c r="BE248" s="86">
        <f t="shared" ref="BE248" si="2187">+BE247/BE246</f>
        <v>0.28115464420847075</v>
      </c>
      <c r="BF248" s="86">
        <f t="shared" ref="BF248" si="2188">+BF247/BF246</f>
        <v>5.4004769252349469E-2</v>
      </c>
      <c r="BG248" s="86">
        <f t="shared" ref="BG248" si="2189">+BG247/BG246</f>
        <v>0.29830898046297816</v>
      </c>
      <c r="BH248" s="86">
        <f t="shared" ref="BH248" si="2190">+BH247/BH246</f>
        <v>0.15283842794759825</v>
      </c>
      <c r="BI248" s="86">
        <f t="shared" ref="BI248" si="2191">+BI247/BI246</f>
        <v>0.34194788551900906</v>
      </c>
      <c r="BJ248" s="86">
        <f t="shared" ref="BJ248" si="2192">+BJ247/BJ246</f>
        <v>0.29276043105830346</v>
      </c>
      <c r="BK248" s="86">
        <f t="shared" ref="BK248" si="2193">+BK247/BK246</f>
        <v>0.22993667242371923</v>
      </c>
      <c r="BL248" s="86">
        <f t="shared" ref="BL248" si="2194">+BL247/BL246</f>
        <v>0.38952983500806337</v>
      </c>
      <c r="BM248" s="86">
        <f t="shared" ref="BM248" si="2195">+BM247/BM246</f>
        <v>0.30823442136498524</v>
      </c>
      <c r="BN248" s="86">
        <f t="shared" ref="BN248" si="2196">+BN247/BN246</f>
        <v>0.26998248363602828</v>
      </c>
      <c r="BO248" s="86">
        <f t="shared" ref="BO248" si="2197">+BO247/BO246</f>
        <v>0.2360287511230908</v>
      </c>
      <c r="BP248" s="86">
        <f t="shared" ref="BP248" si="2198">+BP247/BP246</f>
        <v>0.39840191769876165</v>
      </c>
      <c r="BQ248" s="86">
        <f t="shared" ref="BQ248" si="2199">+BQ247/BQ246</f>
        <v>0.28350742386040739</v>
      </c>
      <c r="BR248" s="86">
        <f t="shared" ref="BR248" si="2200">+BR247/BR246</f>
        <v>0.25640849189691356</v>
      </c>
      <c r="BS248" s="86">
        <f t="shared" ref="BS248" si="2201">+BS247/BS246</f>
        <v>0.33974919801691444</v>
      </c>
      <c r="BT248" s="86">
        <f t="shared" ref="BT248" si="2202">+BT247/BT246</f>
        <v>0.32735164550401663</v>
      </c>
      <c r="BU248" s="86">
        <f t="shared" ref="BU248" si="2203">+BU247/BU246</f>
        <v>0.27092427731756774</v>
      </c>
      <c r="BV248" s="86">
        <f t="shared" ref="BV248" si="2204">+BV247/BV246</f>
        <v>0.19360294589907731</v>
      </c>
      <c r="BW248" s="86">
        <f t="shared" ref="BW248" si="2205">+BW247/BW246</f>
        <v>0.27303716328874739</v>
      </c>
      <c r="BX248" s="86">
        <f t="shared" ref="BX248" si="2206">+BX247/BX246</f>
        <v>0.27710144927536229</v>
      </c>
      <c r="BY248" s="86">
        <f t="shared" ref="BY248" si="2207">+BY247/BY246</f>
        <v>0.28941997157989918</v>
      </c>
      <c r="BZ248" s="86">
        <f t="shared" ref="BZ248" si="2208">+BZ247/BZ246</f>
        <v>0.34526279720545949</v>
      </c>
      <c r="CA248" s="86">
        <f t="shared" ref="CA248" si="2209">+CA247/CA246</f>
        <v>0.206691999767941</v>
      </c>
      <c r="CB248" s="86">
        <f t="shared" ref="CB248:CC248" si="2210">+CB247/CB246</f>
        <v>0.45931570132332089</v>
      </c>
      <c r="CC248" s="86">
        <f t="shared" si="2210"/>
        <v>0.41201854193004633</v>
      </c>
      <c r="CD248" s="86">
        <f t="shared" ref="CD248" si="2211">+CD247/CD246</f>
        <v>0.43459208352290413</v>
      </c>
      <c r="CE248" s="86">
        <f t="shared" ref="CE248:CF248" si="2212">+CE247/CE246</f>
        <v>0.27360714009736503</v>
      </c>
      <c r="CF248" s="86">
        <f t="shared" si="2212"/>
        <v>0.4480366830276416</v>
      </c>
      <c r="CG248" s="86">
        <f t="shared" ref="CG248:CH248" si="2213">+CG247/CG246</f>
        <v>0.45340331913809934</v>
      </c>
      <c r="CH248" s="86">
        <f t="shared" si="2213"/>
        <v>0.23556160045472074</v>
      </c>
      <c r="CI248" s="86">
        <f t="shared" ref="CI248:CJ248" si="2214">+CI247/CI246</f>
        <v>0.20139464103403762</v>
      </c>
      <c r="CJ248" s="86">
        <f t="shared" si="2214"/>
        <v>0.20419358331228113</v>
      </c>
      <c r="CK248" s="47">
        <f t="shared" ref="CK248:DB248" si="2215">+CK247/CK246</f>
        <v>0.24245881351999357</v>
      </c>
      <c r="CL248" s="86">
        <f t="shared" si="2215"/>
        <v>0.21287563062075016</v>
      </c>
      <c r="CM248" s="47">
        <f t="shared" si="2215"/>
        <v>0.21523066712176561</v>
      </c>
      <c r="CN248" s="47">
        <f t="shared" si="2215"/>
        <v>0.21868967364369768</v>
      </c>
      <c r="CO248" s="47">
        <f t="shared" si="2215"/>
        <v>0.22231369622655173</v>
      </c>
      <c r="CP248" s="47">
        <f t="shared" si="2215"/>
        <v>0.21727741690319127</v>
      </c>
      <c r="CQ248" s="47">
        <f t="shared" si="2215"/>
        <v>0.21837786347380161</v>
      </c>
      <c r="CR248" s="47">
        <f t="shared" si="2215"/>
        <v>0.21916466256181052</v>
      </c>
      <c r="CS248" s="47">
        <f t="shared" si="2215"/>
        <v>0.21928340979133887</v>
      </c>
      <c r="CT248" s="47">
        <f t="shared" si="2215"/>
        <v>0.21852583818253549</v>
      </c>
      <c r="CU248" s="47">
        <f t="shared" si="2215"/>
        <v>0.21883794350237154</v>
      </c>
      <c r="CV248" s="47">
        <f t="shared" si="2215"/>
        <v>0.21895296350951413</v>
      </c>
      <c r="CW248" s="47">
        <f t="shared" si="2215"/>
        <v>0.21890003874643998</v>
      </c>
      <c r="CX248" s="47">
        <f t="shared" si="2215"/>
        <v>0.21880419598521544</v>
      </c>
      <c r="CY248" s="47">
        <f t="shared" si="2215"/>
        <v>0.2188737854358852</v>
      </c>
      <c r="CZ248" s="47">
        <f t="shared" si="2215"/>
        <v>0.21888274591926357</v>
      </c>
      <c r="DA248" s="47">
        <f t="shared" si="2215"/>
        <v>0.21886519152170095</v>
      </c>
      <c r="DB248" s="47">
        <f t="shared" si="2215"/>
        <v>0.21885647971551642</v>
      </c>
      <c r="DE248" s="130"/>
      <c r="DF248" s="89">
        <v>0.18620766363630703</v>
      </c>
    </row>
    <row r="249" spans="1:110" s="64" customFormat="1" hidden="1" outlineLevel="1" x14ac:dyDescent="0.2">
      <c r="A249" s="64" t="s">
        <v>477</v>
      </c>
      <c r="B249" s="64">
        <f t="shared" ref="B249:Z249" si="2216">B56-B255</f>
        <v>0.930724</v>
      </c>
      <c r="C249" s="64">
        <f t="shared" si="2216"/>
        <v>-2.7938197000000002</v>
      </c>
      <c r="D249" s="64">
        <f t="shared" si="2216"/>
        <v>0.16681070000000114</v>
      </c>
      <c r="E249" s="64">
        <f t="shared" si="2216"/>
        <v>1.5337682999999995</v>
      </c>
      <c r="F249" s="64">
        <f t="shared" si="2216"/>
        <v>0.87197420000000037</v>
      </c>
      <c r="G249" s="64">
        <f t="shared" si="2216"/>
        <v>0.97637029999999903</v>
      </c>
      <c r="H249" s="64">
        <f t="shared" si="2216"/>
        <v>2.1407220999999996</v>
      </c>
      <c r="I249" s="64">
        <f t="shared" si="2216"/>
        <v>3.6713610000000001</v>
      </c>
      <c r="J249" s="64">
        <f t="shared" si="2216"/>
        <v>2.5325355000000007</v>
      </c>
      <c r="K249" s="64">
        <f t="shared" si="2216"/>
        <v>1.0643218000000025</v>
      </c>
      <c r="L249" s="64">
        <f t="shared" si="2216"/>
        <v>2.4560254999999955</v>
      </c>
      <c r="M249" s="64">
        <f t="shared" si="2216"/>
        <v>3.8923590000000017</v>
      </c>
      <c r="N249" s="64">
        <f t="shared" si="2216"/>
        <v>6.5192257000000025</v>
      </c>
      <c r="O249" s="64">
        <f t="shared" si="2216"/>
        <v>-1.0337097999999989</v>
      </c>
      <c r="P249" s="64">
        <f t="shared" si="2216"/>
        <v>0.89333419999999775</v>
      </c>
      <c r="Q249" s="64">
        <f t="shared" si="2216"/>
        <v>0.5935026000000001</v>
      </c>
      <c r="R249" s="64">
        <f t="shared" si="2216"/>
        <v>0.88373800000000369</v>
      </c>
      <c r="S249" s="64">
        <f t="shared" si="2216"/>
        <v>17.304229500000005</v>
      </c>
      <c r="T249" s="64">
        <f t="shared" si="2216"/>
        <v>9.5891677000000062</v>
      </c>
      <c r="U249" s="64">
        <f t="shared" si="2216"/>
        <v>10.757391300000002</v>
      </c>
      <c r="V249" s="64">
        <f t="shared" si="2216"/>
        <v>15.333700000000016</v>
      </c>
      <c r="W249" s="64">
        <f t="shared" si="2216"/>
        <v>17.977000000000007</v>
      </c>
      <c r="X249" s="64">
        <f t="shared" si="2216"/>
        <v>26.837899999999991</v>
      </c>
      <c r="Y249" s="64">
        <f t="shared" si="2216"/>
        <v>52.554799999999972</v>
      </c>
      <c r="Z249" s="64">
        <f t="shared" si="2216"/>
        <v>56.444599999999987</v>
      </c>
      <c r="AA249" s="64">
        <f t="shared" ref="AA249" si="2217">AA56-AA255</f>
        <v>14.993799999999991</v>
      </c>
      <c r="AB249" s="30"/>
      <c r="AC249" s="30"/>
      <c r="AD249" s="30"/>
      <c r="AE249" s="30"/>
      <c r="AI249" s="64">
        <f t="shared" ref="AI249:BN249" si="2218">AI56-AI255</f>
        <v>1.182000000000001</v>
      </c>
      <c r="AJ249" s="64">
        <f t="shared" si="2218"/>
        <v>6.6999999999999171E-2</v>
      </c>
      <c r="AK249" s="64">
        <f t="shared" si="2218"/>
        <v>1.8309999999999993</v>
      </c>
      <c r="AL249" s="64">
        <f t="shared" si="2218"/>
        <v>3.3810000000000029</v>
      </c>
      <c r="AM249" s="64">
        <f t="shared" si="2218"/>
        <v>-1.3789999999999996</v>
      </c>
      <c r="AN249" s="64">
        <f t="shared" si="2218"/>
        <v>-1.1720000000000006</v>
      </c>
      <c r="AO249" s="64">
        <f t="shared" si="2218"/>
        <v>0.42199999999999999</v>
      </c>
      <c r="AP249" s="64">
        <f t="shared" si="2218"/>
        <v>0.93900000000000028</v>
      </c>
      <c r="AQ249" s="64">
        <f t="shared" si="2218"/>
        <v>-1.6680000000000001</v>
      </c>
      <c r="AR249" s="64">
        <f t="shared" si="2218"/>
        <v>2.4459999999999993</v>
      </c>
      <c r="AS249" s="64">
        <f t="shared" si="2218"/>
        <v>0.2150000000000003</v>
      </c>
      <c r="AT249" s="64">
        <f t="shared" si="2218"/>
        <v>-0.10500000000000059</v>
      </c>
      <c r="AU249" s="64">
        <f t="shared" si="2218"/>
        <v>0.18600000000000028</v>
      </c>
      <c r="AV249" s="64">
        <f t="shared" si="2218"/>
        <v>0.16200000000000048</v>
      </c>
      <c r="AW249" s="64">
        <f t="shared" si="2218"/>
        <v>0.21899999999999964</v>
      </c>
      <c r="AX249" s="64">
        <f t="shared" si="2218"/>
        <v>2.5999999999997858E-2</v>
      </c>
      <c r="AY249" s="64">
        <f t="shared" si="2218"/>
        <v>0.37300000000000028</v>
      </c>
      <c r="AZ249" s="64">
        <f t="shared" si="2218"/>
        <v>0.32300000000000034</v>
      </c>
      <c r="BA249" s="64">
        <f t="shared" si="2218"/>
        <v>0.34400000000000014</v>
      </c>
      <c r="BB249" s="64">
        <f t="shared" si="2218"/>
        <v>-0.1539999999999998</v>
      </c>
      <c r="BC249" s="64">
        <f t="shared" si="2218"/>
        <v>12.204000000000001</v>
      </c>
      <c r="BD249" s="64">
        <f t="shared" si="2218"/>
        <v>3.2549999999999999</v>
      </c>
      <c r="BE249" s="64">
        <f t="shared" si="2218"/>
        <v>3.1310000000000016</v>
      </c>
      <c r="BF249" s="64">
        <f t="shared" si="2218"/>
        <v>-1.2910000000000013</v>
      </c>
      <c r="BG249" s="64">
        <f t="shared" si="2218"/>
        <v>2.4180000000000001</v>
      </c>
      <c r="BH249" s="64">
        <f t="shared" si="2218"/>
        <v>0.62299999999999989</v>
      </c>
      <c r="BI249" s="64">
        <f t="shared" si="2218"/>
        <v>3.3109999999999999</v>
      </c>
      <c r="BJ249" s="64">
        <f t="shared" si="2218"/>
        <v>3.2340000000000018</v>
      </c>
      <c r="BK249" s="64">
        <f t="shared" si="2218"/>
        <v>1.3570000000000015</v>
      </c>
      <c r="BL249" s="64">
        <f t="shared" si="2218"/>
        <v>2.3819999999999983</v>
      </c>
      <c r="BM249" s="64">
        <f t="shared" si="2218"/>
        <v>2.9040000000000008</v>
      </c>
      <c r="BN249" s="64">
        <f t="shared" si="2218"/>
        <v>4.1159999999999979</v>
      </c>
      <c r="BO249" s="64">
        <f t="shared" ref="BO249:CT249" si="2219">BO56-BO255</f>
        <v>1.4470000000000007</v>
      </c>
      <c r="BP249" s="64">
        <f t="shared" si="2219"/>
        <v>3.2900000000000027</v>
      </c>
      <c r="BQ249" s="64">
        <f t="shared" si="2219"/>
        <v>4.9719999999999995</v>
      </c>
      <c r="BR249" s="64">
        <f t="shared" si="2219"/>
        <v>5.6969999999999974</v>
      </c>
      <c r="BS249" s="64">
        <f t="shared" si="2219"/>
        <v>3.0739999999999981</v>
      </c>
      <c r="BT249" s="64">
        <f t="shared" si="2219"/>
        <v>3.4410000000000007</v>
      </c>
      <c r="BU249" s="64">
        <f t="shared" si="2219"/>
        <v>5.3859999999999992</v>
      </c>
      <c r="BV249" s="64">
        <f t="shared" si="2219"/>
        <v>6.0750000000000028</v>
      </c>
      <c r="BW249" s="64">
        <f t="shared" si="2219"/>
        <v>4.3810000000000038</v>
      </c>
      <c r="BX249" s="64">
        <f t="shared" si="2219"/>
        <v>6.1429999999999989</v>
      </c>
      <c r="BY249" s="64">
        <f t="shared" si="2219"/>
        <v>6.6859999999999982</v>
      </c>
      <c r="BZ249" s="64">
        <f t="shared" si="2219"/>
        <v>9.6289999999999942</v>
      </c>
      <c r="CA249" s="64">
        <f t="shared" si="2219"/>
        <v>8.0119999999999933</v>
      </c>
      <c r="CB249" s="64">
        <f t="shared" si="2219"/>
        <v>16.072999999999993</v>
      </c>
      <c r="CC249" s="64">
        <f t="shared" si="2219"/>
        <v>16.321000000000002</v>
      </c>
      <c r="CD249" s="64">
        <f t="shared" si="2219"/>
        <v>12.152000000000001</v>
      </c>
      <c r="CE249" s="64">
        <f t="shared" si="2219"/>
        <v>7.3810000000000038</v>
      </c>
      <c r="CF249" s="64">
        <f t="shared" si="2219"/>
        <v>22.899000000000008</v>
      </c>
      <c r="CG249" s="64">
        <f t="shared" si="2219"/>
        <v>20.079999999999998</v>
      </c>
      <c r="CH249" s="64">
        <f t="shared" si="2219"/>
        <v>6.0849999999999973</v>
      </c>
      <c r="CI249" s="64">
        <f t="shared" si="2219"/>
        <v>3.2259999999999946</v>
      </c>
      <c r="CJ249" s="64">
        <f t="shared" si="2219"/>
        <v>4.2649999999999952</v>
      </c>
      <c r="CK249" s="30">
        <f t="shared" si="2219"/>
        <v>2.7429999999999874</v>
      </c>
      <c r="CL249" s="64">
        <f t="shared" ref="CL249" si="2220">CL56-CL255</f>
        <v>4.774</v>
      </c>
      <c r="CM249" s="30">
        <f t="shared" si="2219"/>
        <v>3.1533607220857367</v>
      </c>
      <c r="CN249" s="30">
        <f t="shared" si="2219"/>
        <v>3.8980917653461571</v>
      </c>
      <c r="CO249" s="30">
        <f t="shared" si="2219"/>
        <v>3.4984442435820817</v>
      </c>
      <c r="CP249" s="30">
        <f t="shared" si="2219"/>
        <v>5.3578339075674348</v>
      </c>
      <c r="CQ249" s="30">
        <f t="shared" si="2219"/>
        <v>5.042213005427012</v>
      </c>
      <c r="CR249" s="30">
        <f t="shared" si="2219"/>
        <v>5.686160126292342</v>
      </c>
      <c r="CS249" s="30">
        <f t="shared" si="2219"/>
        <v>5.1629593412881247</v>
      </c>
      <c r="CT249" s="30">
        <f t="shared" si="2219"/>
        <v>7.2531574475238081</v>
      </c>
      <c r="CU249" s="30">
        <f t="shared" ref="CU249:DB249" si="2221">CU56-CU255</f>
        <v>6.8844506945302495</v>
      </c>
      <c r="CV249" s="30">
        <f t="shared" si="2221"/>
        <v>7.5561846051945745</v>
      </c>
      <c r="CW249" s="30">
        <f t="shared" si="2221"/>
        <v>6.9137150837330426</v>
      </c>
      <c r="CX249" s="30">
        <f t="shared" si="2221"/>
        <v>9.2686396109708475</v>
      </c>
      <c r="CY249" s="30">
        <f t="shared" si="2221"/>
        <v>8.8191370298120582</v>
      </c>
      <c r="CZ249" s="30">
        <f t="shared" si="2221"/>
        <v>9.5490286704164653</v>
      </c>
      <c r="DA249" s="30">
        <f t="shared" si="2221"/>
        <v>8.7729332446466195</v>
      </c>
      <c r="DB249" s="30">
        <f t="shared" si="2221"/>
        <v>11.442370174060034</v>
      </c>
      <c r="DE249" s="139"/>
      <c r="DF249" s="64">
        <v>14.993799999999991</v>
      </c>
    </row>
    <row r="250" spans="1:110" s="64" customFormat="1" hidden="1" outlineLevel="1" x14ac:dyDescent="0.2">
      <c r="AB250" s="30"/>
      <c r="AC250" s="30"/>
      <c r="AD250" s="30"/>
      <c r="AE250" s="30"/>
      <c r="CK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4" customFormat="1" hidden="1" outlineLevel="1" x14ac:dyDescent="0.2">
      <c r="A251" s="65" t="s">
        <v>352</v>
      </c>
      <c r="AB251" s="30"/>
      <c r="AC251" s="30"/>
      <c r="AD251" s="30"/>
      <c r="AE251" s="30"/>
      <c r="CK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4" t="s">
        <v>478</v>
      </c>
      <c r="AB252" s="30"/>
      <c r="AC252" s="30"/>
      <c r="AD252" s="30"/>
      <c r="AE252" s="30"/>
      <c r="CK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479</v>
      </c>
      <c r="AB253" s="30"/>
      <c r="AC253" s="30"/>
      <c r="AD253" s="30"/>
      <c r="AE253" s="30"/>
      <c r="CK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89" customFormat="1" hidden="1" outlineLevel="1" x14ac:dyDescent="0.2">
      <c r="A254" s="86" t="s">
        <v>480</v>
      </c>
      <c r="B254" s="86" t="e">
        <f>+B253/B252</f>
        <v>#DIV/0!</v>
      </c>
      <c r="C254" s="86" t="e">
        <f t="shared" ref="C254:X254" si="2222">+C253/C252</f>
        <v>#DIV/0!</v>
      </c>
      <c r="D254" s="86" t="e">
        <f t="shared" si="2222"/>
        <v>#DIV/0!</v>
      </c>
      <c r="E254" s="86" t="e">
        <f t="shared" si="2222"/>
        <v>#DIV/0!</v>
      </c>
      <c r="F254" s="86" t="e">
        <f t="shared" si="2222"/>
        <v>#DIV/0!</v>
      </c>
      <c r="G254" s="86" t="e">
        <f t="shared" si="2222"/>
        <v>#DIV/0!</v>
      </c>
      <c r="H254" s="86" t="e">
        <f t="shared" si="2222"/>
        <v>#DIV/0!</v>
      </c>
      <c r="I254" s="86" t="e">
        <f t="shared" si="2222"/>
        <v>#DIV/0!</v>
      </c>
      <c r="J254" s="86" t="e">
        <f t="shared" si="2222"/>
        <v>#DIV/0!</v>
      </c>
      <c r="K254" s="86" t="e">
        <f t="shared" si="2222"/>
        <v>#DIV/0!</v>
      </c>
      <c r="L254" s="86" t="e">
        <f t="shared" si="2222"/>
        <v>#DIV/0!</v>
      </c>
      <c r="M254" s="86" t="e">
        <f t="shared" si="2222"/>
        <v>#DIV/0!</v>
      </c>
      <c r="N254" s="86" t="e">
        <f t="shared" si="2222"/>
        <v>#DIV/0!</v>
      </c>
      <c r="O254" s="86" t="e">
        <f t="shared" si="2222"/>
        <v>#DIV/0!</v>
      </c>
      <c r="P254" s="86" t="e">
        <f t="shared" si="2222"/>
        <v>#DIV/0!</v>
      </c>
      <c r="Q254" s="86" t="e">
        <f t="shared" si="2222"/>
        <v>#DIV/0!</v>
      </c>
      <c r="R254" s="86" t="e">
        <f t="shared" si="2222"/>
        <v>#DIV/0!</v>
      </c>
      <c r="S254" s="86" t="e">
        <f t="shared" si="2222"/>
        <v>#DIV/0!</v>
      </c>
      <c r="T254" s="86" t="e">
        <f t="shared" si="2222"/>
        <v>#DIV/0!</v>
      </c>
      <c r="U254" s="86" t="e">
        <f t="shared" si="2222"/>
        <v>#DIV/0!</v>
      </c>
      <c r="V254" s="86" t="e">
        <f t="shared" si="2222"/>
        <v>#DIV/0!</v>
      </c>
      <c r="W254" s="86" t="e">
        <f t="shared" si="2222"/>
        <v>#DIV/0!</v>
      </c>
      <c r="X254" s="86" t="e">
        <f t="shared" si="2222"/>
        <v>#DIV/0!</v>
      </c>
      <c r="Y254" s="86" t="e">
        <f t="shared" ref="Y254:Z254" si="2223">+Y253/Y252</f>
        <v>#DIV/0!</v>
      </c>
      <c r="Z254" s="86" t="e">
        <f t="shared" si="2223"/>
        <v>#DIV/0!</v>
      </c>
      <c r="AA254" s="86" t="e">
        <f t="shared" ref="AA254" si="2224">+AA253/AA252</f>
        <v>#DIV/0!</v>
      </c>
      <c r="AB254" s="87"/>
      <c r="AC254" s="87"/>
      <c r="AD254" s="87"/>
      <c r="AE254" s="87"/>
      <c r="AF254" s="86"/>
      <c r="AG254" s="86"/>
      <c r="AH254" s="86"/>
      <c r="AI254" s="86" t="e">
        <f t="shared" ref="AI254" si="2225">+AI253/AI252</f>
        <v>#DIV/0!</v>
      </c>
      <c r="AJ254" s="86" t="e">
        <f t="shared" ref="AJ254" si="2226">+AJ253/AJ252</f>
        <v>#DIV/0!</v>
      </c>
      <c r="AK254" s="86" t="e">
        <f t="shared" ref="AK254" si="2227">+AK253/AK252</f>
        <v>#DIV/0!</v>
      </c>
      <c r="AL254" s="86" t="e">
        <f t="shared" ref="AL254" si="2228">+AL253/AL252</f>
        <v>#DIV/0!</v>
      </c>
      <c r="AM254" s="86" t="e">
        <f t="shared" ref="AM254" si="2229">+AM253/AM252</f>
        <v>#DIV/0!</v>
      </c>
      <c r="AN254" s="86" t="e">
        <f t="shared" ref="AN254" si="2230">+AN253/AN252</f>
        <v>#DIV/0!</v>
      </c>
      <c r="AO254" s="86" t="e">
        <f t="shared" ref="AO254" si="2231">+AO253/AO252</f>
        <v>#DIV/0!</v>
      </c>
      <c r="AP254" s="86" t="e">
        <f t="shared" ref="AP254" si="2232">+AP253/AP252</f>
        <v>#DIV/0!</v>
      </c>
      <c r="AQ254" s="86" t="e">
        <f t="shared" ref="AQ254" si="2233">+AQ253/AQ252</f>
        <v>#DIV/0!</v>
      </c>
      <c r="AR254" s="86" t="e">
        <f t="shared" ref="AR254" si="2234">+AR253/AR252</f>
        <v>#DIV/0!</v>
      </c>
      <c r="AS254" s="86" t="e">
        <f t="shared" ref="AS254" si="2235">+AS253/AS252</f>
        <v>#DIV/0!</v>
      </c>
      <c r="AT254" s="86" t="e">
        <f t="shared" ref="AT254" si="2236">+AT253/AT252</f>
        <v>#DIV/0!</v>
      </c>
      <c r="AU254" s="86" t="e">
        <f t="shared" ref="AU254" si="2237">+AU253/AU252</f>
        <v>#DIV/0!</v>
      </c>
      <c r="AV254" s="86" t="e">
        <f t="shared" ref="AV254" si="2238">+AV253/AV252</f>
        <v>#DIV/0!</v>
      </c>
      <c r="AW254" s="86" t="e">
        <f t="shared" ref="AW254" si="2239">+AW253/AW252</f>
        <v>#DIV/0!</v>
      </c>
      <c r="AX254" s="86" t="e">
        <f t="shared" ref="AX254" si="2240">+AX253/AX252</f>
        <v>#DIV/0!</v>
      </c>
      <c r="AY254" s="86" t="e">
        <f t="shared" ref="AY254" si="2241">+AY253/AY252</f>
        <v>#DIV/0!</v>
      </c>
      <c r="AZ254" s="86" t="e">
        <f t="shared" ref="AZ254" si="2242">+AZ253/AZ252</f>
        <v>#DIV/0!</v>
      </c>
      <c r="BA254" s="86" t="e">
        <f t="shared" ref="BA254" si="2243">+BA253/BA252</f>
        <v>#DIV/0!</v>
      </c>
      <c r="BB254" s="86" t="e">
        <f t="shared" ref="BB254" si="2244">+BB253/BB252</f>
        <v>#DIV/0!</v>
      </c>
      <c r="BC254" s="86" t="e">
        <f t="shared" ref="BC254" si="2245">+BC253/BC252</f>
        <v>#DIV/0!</v>
      </c>
      <c r="BD254" s="86" t="e">
        <f t="shared" ref="BD254" si="2246">+BD253/BD252</f>
        <v>#DIV/0!</v>
      </c>
      <c r="BE254" s="86" t="e">
        <f t="shared" ref="BE254" si="2247">+BE253/BE252</f>
        <v>#DIV/0!</v>
      </c>
      <c r="BF254" s="86" t="e">
        <f t="shared" ref="BF254" si="2248">+BF253/BF252</f>
        <v>#DIV/0!</v>
      </c>
      <c r="BG254" s="86" t="e">
        <f t="shared" ref="BG254" si="2249">+BG253/BG252</f>
        <v>#DIV/0!</v>
      </c>
      <c r="BH254" s="86" t="e">
        <f t="shared" ref="BH254" si="2250">+BH253/BH252</f>
        <v>#DIV/0!</v>
      </c>
      <c r="BI254" s="86" t="e">
        <f t="shared" ref="BI254" si="2251">+BI253/BI252</f>
        <v>#DIV/0!</v>
      </c>
      <c r="BJ254" s="86" t="e">
        <f t="shared" ref="BJ254" si="2252">+BJ253/BJ252</f>
        <v>#DIV/0!</v>
      </c>
      <c r="BK254" s="86" t="e">
        <f t="shared" ref="BK254" si="2253">+BK253/BK252</f>
        <v>#DIV/0!</v>
      </c>
      <c r="BL254" s="86" t="e">
        <f t="shared" ref="BL254" si="2254">+BL253/BL252</f>
        <v>#DIV/0!</v>
      </c>
      <c r="BM254" s="86" t="e">
        <f t="shared" ref="BM254" si="2255">+BM253/BM252</f>
        <v>#DIV/0!</v>
      </c>
      <c r="BN254" s="86" t="e">
        <f t="shared" ref="BN254" si="2256">+BN253/BN252</f>
        <v>#DIV/0!</v>
      </c>
      <c r="BO254" s="86" t="e">
        <f t="shared" ref="BO254" si="2257">+BO253/BO252</f>
        <v>#DIV/0!</v>
      </c>
      <c r="BP254" s="86" t="e">
        <f t="shared" ref="BP254" si="2258">+BP253/BP252</f>
        <v>#DIV/0!</v>
      </c>
      <c r="BQ254" s="86" t="e">
        <f t="shared" ref="BQ254" si="2259">+BQ253/BQ252</f>
        <v>#DIV/0!</v>
      </c>
      <c r="BR254" s="86" t="e">
        <f t="shared" ref="BR254" si="2260">+BR253/BR252</f>
        <v>#DIV/0!</v>
      </c>
      <c r="BS254" s="86" t="e">
        <f t="shared" ref="BS254" si="2261">+BS253/BS252</f>
        <v>#DIV/0!</v>
      </c>
      <c r="BT254" s="86" t="e">
        <f t="shared" ref="BT254" si="2262">+BT253/BT252</f>
        <v>#DIV/0!</v>
      </c>
      <c r="BU254" s="86" t="e">
        <f t="shared" ref="BU254" si="2263">+BU253/BU252</f>
        <v>#DIV/0!</v>
      </c>
      <c r="BV254" s="86" t="e">
        <f t="shared" ref="BV254" si="2264">+BV253/BV252</f>
        <v>#DIV/0!</v>
      </c>
      <c r="BW254" s="86" t="e">
        <f t="shared" ref="BW254" si="2265">+BW253/BW252</f>
        <v>#DIV/0!</v>
      </c>
      <c r="BX254" s="86" t="e">
        <f t="shared" ref="BX254" si="2266">+BX253/BX252</f>
        <v>#DIV/0!</v>
      </c>
      <c r="BY254" s="86" t="e">
        <f t="shared" ref="BY254" si="2267">+BY253/BY252</f>
        <v>#DIV/0!</v>
      </c>
      <c r="BZ254" s="86" t="e">
        <f t="shared" ref="BZ254" si="2268">+BZ253/BZ252</f>
        <v>#DIV/0!</v>
      </c>
      <c r="CA254" s="86" t="e">
        <f t="shared" ref="CA254" si="2269">+CA253/CA252</f>
        <v>#DIV/0!</v>
      </c>
      <c r="CB254" s="86" t="e">
        <f t="shared" ref="CB254:CC254" si="2270">+CB253/CB252</f>
        <v>#DIV/0!</v>
      </c>
      <c r="CC254" s="86" t="e">
        <f t="shared" si="2270"/>
        <v>#DIV/0!</v>
      </c>
      <c r="CD254" s="86" t="e">
        <f t="shared" ref="CD254" si="2271">+CD253/CD252</f>
        <v>#DIV/0!</v>
      </c>
      <c r="CE254" s="86" t="e">
        <f t="shared" ref="CE254:CF254" si="2272">+CE253/CE252</f>
        <v>#DIV/0!</v>
      </c>
      <c r="CF254" s="86" t="e">
        <f t="shared" si="2272"/>
        <v>#DIV/0!</v>
      </c>
      <c r="CG254" s="86" t="e">
        <f t="shared" ref="CG254:CH254" si="2273">+CG253/CG252</f>
        <v>#DIV/0!</v>
      </c>
      <c r="CH254" s="86" t="e">
        <f t="shared" si="2273"/>
        <v>#DIV/0!</v>
      </c>
      <c r="CI254" s="86" t="e">
        <f t="shared" ref="CI254:CJ254" si="2274">+CI253/CI252</f>
        <v>#DIV/0!</v>
      </c>
      <c r="CJ254" s="86" t="e">
        <f t="shared" si="2274"/>
        <v>#DIV/0!</v>
      </c>
      <c r="CK254" s="47" t="e">
        <f t="shared" ref="CK254:DB254" si="2275">+CK253/CK252</f>
        <v>#DIV/0!</v>
      </c>
      <c r="CL254" s="86" t="e">
        <f t="shared" si="2275"/>
        <v>#DIV/0!</v>
      </c>
      <c r="CM254" s="47" t="e">
        <f t="shared" si="2275"/>
        <v>#DIV/0!</v>
      </c>
      <c r="CN254" s="47" t="e">
        <f t="shared" si="2275"/>
        <v>#DIV/0!</v>
      </c>
      <c r="CO254" s="47" t="e">
        <f t="shared" si="2275"/>
        <v>#DIV/0!</v>
      </c>
      <c r="CP254" s="47" t="e">
        <f t="shared" si="2275"/>
        <v>#DIV/0!</v>
      </c>
      <c r="CQ254" s="47" t="e">
        <f t="shared" si="2275"/>
        <v>#DIV/0!</v>
      </c>
      <c r="CR254" s="47" t="e">
        <f t="shared" si="2275"/>
        <v>#DIV/0!</v>
      </c>
      <c r="CS254" s="47" t="e">
        <f t="shared" si="2275"/>
        <v>#DIV/0!</v>
      </c>
      <c r="CT254" s="47" t="e">
        <f t="shared" si="2275"/>
        <v>#DIV/0!</v>
      </c>
      <c r="CU254" s="47" t="e">
        <f t="shared" si="2275"/>
        <v>#DIV/0!</v>
      </c>
      <c r="CV254" s="47" t="e">
        <f t="shared" si="2275"/>
        <v>#DIV/0!</v>
      </c>
      <c r="CW254" s="47" t="e">
        <f t="shared" si="2275"/>
        <v>#DIV/0!</v>
      </c>
      <c r="CX254" s="47" t="e">
        <f t="shared" si="2275"/>
        <v>#DIV/0!</v>
      </c>
      <c r="CY254" s="47" t="e">
        <f t="shared" si="2275"/>
        <v>#DIV/0!</v>
      </c>
      <c r="CZ254" s="47" t="e">
        <f t="shared" si="2275"/>
        <v>#DIV/0!</v>
      </c>
      <c r="DA254" s="47" t="e">
        <f t="shared" si="2275"/>
        <v>#DIV/0!</v>
      </c>
      <c r="DB254" s="47" t="e">
        <f t="shared" si="2275"/>
        <v>#DIV/0!</v>
      </c>
      <c r="DE254" s="130"/>
    </row>
    <row r="255" spans="1:110" s="64" customFormat="1" hidden="1" outlineLevel="1" x14ac:dyDescent="0.2">
      <c r="A255" s="64" t="s">
        <v>481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2" customFormat="1" hidden="1" outlineLevel="1" x14ac:dyDescent="0.2">
      <c r="AB256" s="63"/>
      <c r="AC256" s="63"/>
      <c r="AD256" s="63"/>
      <c r="AE256" s="63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11" customFormat="1" collapsed="1" x14ac:dyDescent="0.2">
      <c r="AB257" s="63"/>
      <c r="AC257" s="63"/>
      <c r="AD257" s="63"/>
      <c r="AE257" s="63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62" customFormat="1" x14ac:dyDescent="0.2">
      <c r="A258" s="154" t="s">
        <v>497</v>
      </c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63"/>
      <c r="AC258" s="63"/>
      <c r="AD258" s="63"/>
      <c r="AE258" s="63"/>
      <c r="AL258" s="180"/>
      <c r="CF258" s="180"/>
      <c r="CG258" s="180"/>
      <c r="CH258" s="180"/>
      <c r="CI258" s="180"/>
      <c r="CJ258" s="180"/>
      <c r="CK258" s="30"/>
      <c r="CL258" s="18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84" customFormat="1" x14ac:dyDescent="0.2">
      <c r="A259" s="84" t="s">
        <v>512</v>
      </c>
      <c r="B259" s="84">
        <f>B23/B180</f>
        <v>0.81068795682870254</v>
      </c>
      <c r="C259" s="84">
        <f>C23/C180</f>
        <v>0.5126352582096303</v>
      </c>
      <c r="D259" s="84">
        <f>D23/D180</f>
        <v>0.44733565719554041</v>
      </c>
      <c r="E259" s="84">
        <f t="shared" ref="E259:Y259" si="2276">E25/(E176+E163+E153)</f>
        <v>0.61769726871078179</v>
      </c>
      <c r="F259" s="84">
        <f t="shared" si="2276"/>
        <v>0.7735010157541754</v>
      </c>
      <c r="G259" s="84">
        <f t="shared" si="2276"/>
        <v>0.77019768999220628</v>
      </c>
      <c r="H259" s="84">
        <f t="shared" si="2276"/>
        <v>1.1681113667274536</v>
      </c>
      <c r="I259" s="84">
        <f t="shared" si="2276"/>
        <v>1.0702201406007992</v>
      </c>
      <c r="J259" s="84">
        <f t="shared" si="2276"/>
        <v>1.0572925302761533</v>
      </c>
      <c r="K259" s="84">
        <f t="shared" si="2276"/>
        <v>1.1356764598122127</v>
      </c>
      <c r="L259" s="84">
        <f t="shared" si="2276"/>
        <v>0.96090534649025416</v>
      </c>
      <c r="M259" s="84">
        <f t="shared" si="2276"/>
        <v>1.0363740969459785</v>
      </c>
      <c r="N259" s="84">
        <f t="shared" si="2276"/>
        <v>1.3155303907868947</v>
      </c>
      <c r="O259" s="84">
        <f t="shared" si="2276"/>
        <v>0.38910801034687681</v>
      </c>
      <c r="P259" s="84">
        <f t="shared" si="2276"/>
        <v>0.8068430475039069</v>
      </c>
      <c r="Q259" s="84">
        <f t="shared" si="2276"/>
        <v>0.77276545743202207</v>
      </c>
      <c r="R259" s="84">
        <f t="shared" si="2276"/>
        <v>1.006683222248262</v>
      </c>
      <c r="S259" s="84">
        <f t="shared" si="2276"/>
        <v>1.2010127875036949</v>
      </c>
      <c r="T259" s="84">
        <f t="shared" si="2276"/>
        <v>1.0683834865726778</v>
      </c>
      <c r="U259" s="84">
        <f t="shared" si="2276"/>
        <v>0.77624072863953153</v>
      </c>
      <c r="V259" s="84">
        <f t="shared" si="2276"/>
        <v>0.89549279995942999</v>
      </c>
      <c r="W259" s="84">
        <f t="shared" si="2276"/>
        <v>0.96290441554247463</v>
      </c>
      <c r="X259" s="84">
        <f t="shared" si="2276"/>
        <v>1.0333167861099664</v>
      </c>
      <c r="Y259" s="84">
        <f t="shared" si="2276"/>
        <v>1.0406594038612103</v>
      </c>
      <c r="Z259" s="84">
        <f>Z25/(Z176+Z163+Z153)</f>
        <v>0.86025577054892077</v>
      </c>
      <c r="AA259" s="84">
        <f>AA25/(AA176+AA163+AA153)</f>
        <v>0.54379945491322279</v>
      </c>
      <c r="AB259" s="50">
        <f t="shared" ref="AB259:AE259" si="2277">AB25/(AB176+AB163+AB153)</f>
        <v>0.59962962601662961</v>
      </c>
      <c r="AC259" s="50">
        <f t="shared" si="2277"/>
        <v>0.64510963741916827</v>
      </c>
      <c r="AD259" s="50">
        <f t="shared" si="2277"/>
        <v>0.68513688053961586</v>
      </c>
      <c r="AE259" s="50">
        <f t="shared" si="2277"/>
        <v>0.71976044507049708</v>
      </c>
      <c r="AL259" s="84">
        <f>SUM(AI25:AL25)/(AL176+AL163+AL153)</f>
        <v>1.3155363597377934</v>
      </c>
      <c r="AM259" s="84">
        <f t="shared" ref="AM259:CL259" si="2278">SUM(AJ25:AM25)/(AM176+AM163+AM153)</f>
        <v>1.3023195872182018</v>
      </c>
      <c r="AN259" s="84">
        <f t="shared" si="2278"/>
        <v>1.4439595529536986</v>
      </c>
      <c r="AO259" s="84">
        <f t="shared" si="2278"/>
        <v>1.2198668435665914</v>
      </c>
      <c r="AP259" s="84">
        <f t="shared" si="2278"/>
        <v>0.38910331209047655</v>
      </c>
      <c r="AQ259" s="84">
        <f t="shared" si="2278"/>
        <v>0.47541501356343813</v>
      </c>
      <c r="AR259" s="84">
        <f t="shared" si="2278"/>
        <v>0.61636954325807414</v>
      </c>
      <c r="AS259" s="84">
        <f t="shared" si="2278"/>
        <v>0.66146011007936223</v>
      </c>
      <c r="AT259" s="84">
        <f t="shared" si="2278"/>
        <v>0.80596776767193234</v>
      </c>
      <c r="AU259" s="84">
        <f t="shared" si="2278"/>
        <v>0.78476058251475944</v>
      </c>
      <c r="AV259" s="84">
        <f t="shared" si="2278"/>
        <v>0.49735247557181067</v>
      </c>
      <c r="AW259" s="84">
        <f t="shared" si="2278"/>
        <v>0.42364537245330647</v>
      </c>
      <c r="AX259" s="84">
        <f t="shared" si="2278"/>
        <v>0.77177459839357432</v>
      </c>
      <c r="AY259" s="84">
        <f t="shared" si="2278"/>
        <v>0.89543864856027833</v>
      </c>
      <c r="AZ259" s="84">
        <f t="shared" si="2278"/>
        <v>1.0190668602815833</v>
      </c>
      <c r="BA259" s="84">
        <f t="shared" si="2278"/>
        <v>1.1457448479761159</v>
      </c>
      <c r="BB259" s="84">
        <f t="shared" si="2278"/>
        <v>1.0066836505319947</v>
      </c>
      <c r="BC259" s="84">
        <f t="shared" si="2278"/>
        <v>0.77303823188278453</v>
      </c>
      <c r="BD259" s="84">
        <f t="shared" si="2278"/>
        <v>0.84947739687728485</v>
      </c>
      <c r="BE259" s="84">
        <f t="shared" si="2278"/>
        <v>0.93797806058605959</v>
      </c>
      <c r="BF259" s="84">
        <f t="shared" si="2278"/>
        <v>1.2035174128197381</v>
      </c>
      <c r="BG259" s="84">
        <f t="shared" si="2278"/>
        <v>1.2067607724753593</v>
      </c>
      <c r="BH259" s="84">
        <f t="shared" si="2278"/>
        <v>1.2429397114797238</v>
      </c>
      <c r="BI259" s="84">
        <f t="shared" si="2278"/>
        <v>1.0953771918569921</v>
      </c>
      <c r="BJ259" s="84">
        <f t="shared" si="2278"/>
        <v>1.0740725072972628</v>
      </c>
      <c r="BK259" s="84">
        <f t="shared" si="2278"/>
        <v>0.97354639862308956</v>
      </c>
      <c r="BL259" s="84">
        <f t="shared" si="2278"/>
        <v>0.90637514015697596</v>
      </c>
      <c r="BM259" s="84">
        <f t="shared" si="2278"/>
        <v>0.84266554299668772</v>
      </c>
      <c r="BN259" s="84">
        <f t="shared" si="2278"/>
        <v>0.77624615016595411</v>
      </c>
      <c r="BO259" s="84">
        <f t="shared" si="2278"/>
        <v>0.80449835933998592</v>
      </c>
      <c r="BP259" s="84">
        <f t="shared" si="2278"/>
        <v>0.81797574678756202</v>
      </c>
      <c r="BQ259" s="84">
        <f t="shared" si="2278"/>
        <v>0.84354463055046558</v>
      </c>
      <c r="BR259" s="84">
        <f t="shared" si="2278"/>
        <v>0.89546476113640305</v>
      </c>
      <c r="BS259" s="84">
        <f t="shared" si="2278"/>
        <v>0.89533582721865002</v>
      </c>
      <c r="BT259" s="84">
        <f t="shared" si="2278"/>
        <v>0.86531741409435059</v>
      </c>
      <c r="BU259" s="84">
        <f t="shared" si="2278"/>
        <v>0.8403772663725122</v>
      </c>
      <c r="BV259" s="84">
        <f t="shared" si="2278"/>
        <v>0.9629160703145071</v>
      </c>
      <c r="BW259" s="84">
        <f t="shared" si="2278"/>
        <v>1.0455262957938634</v>
      </c>
      <c r="BX259" s="84">
        <f t="shared" si="2278"/>
        <v>0.9779115900841332</v>
      </c>
      <c r="BY259" s="84">
        <f t="shared" si="2278"/>
        <v>0.996191933928123</v>
      </c>
      <c r="BZ259" s="84">
        <f t="shared" si="2278"/>
        <v>1.0333108094546768</v>
      </c>
      <c r="CA259" s="84">
        <f t="shared" si="2278"/>
        <v>1.2396652673999247</v>
      </c>
      <c r="CB259" s="84">
        <f t="shared" si="2278"/>
        <v>1.2073153572976287</v>
      </c>
      <c r="CC259" s="84">
        <f t="shared" si="2278"/>
        <v>1.2101878264547425</v>
      </c>
      <c r="CD259" s="84">
        <f t="shared" si="2278"/>
        <v>1.0406632653061223</v>
      </c>
      <c r="CE259" s="84">
        <f t="shared" si="2278"/>
        <v>0.92336027114321706</v>
      </c>
      <c r="CF259" s="84">
        <f t="shared" si="2278"/>
        <v>0.85621646544383678</v>
      </c>
      <c r="CG259" s="84">
        <f t="shared" si="2278"/>
        <v>0.83792749666156441</v>
      </c>
      <c r="CH259" s="84">
        <f t="shared" si="2278"/>
        <v>0.86025507993045469</v>
      </c>
      <c r="CI259" s="84">
        <f t="shared" si="2278"/>
        <v>0.84635526533791716</v>
      </c>
      <c r="CJ259" s="84">
        <f t="shared" si="2278"/>
        <v>0.58507508025465249</v>
      </c>
      <c r="CK259" s="50">
        <f t="shared" ref="CK259" si="2279">SUM(CH25:CK25)/(CK176+CK163+CK153)</f>
        <v>0.53565513027096401</v>
      </c>
      <c r="CL259" s="84">
        <f t="shared" si="2278"/>
        <v>0.54380224574348168</v>
      </c>
      <c r="CM259" s="50">
        <f t="shared" ref="CM259:DB259" si="2280">SUM(CJ25:CM25)/(CM176+CM163+CM153)</f>
        <v>0.56184950018446067</v>
      </c>
      <c r="CN259" s="50">
        <f t="shared" si="2280"/>
        <v>0.57505487365593799</v>
      </c>
      <c r="CO259" s="50">
        <f t="shared" si="2280"/>
        <v>0.59375178377478388</v>
      </c>
      <c r="CP259" s="50">
        <f t="shared" si="2280"/>
        <v>0.59962962601662961</v>
      </c>
      <c r="CQ259" s="50">
        <f t="shared" si="2280"/>
        <v>0.61809162514592175</v>
      </c>
      <c r="CR259" s="50">
        <f t="shared" si="2280"/>
        <v>0.62737815010015441</v>
      </c>
      <c r="CS259" s="50">
        <f t="shared" si="2280"/>
        <v>0.64483311291228973</v>
      </c>
      <c r="CT259" s="50">
        <f t="shared" si="2280"/>
        <v>0.64510963741916827</v>
      </c>
      <c r="CU259" s="50">
        <f t="shared" si="2280"/>
        <v>0.66320645647597454</v>
      </c>
      <c r="CV259" s="50">
        <f t="shared" si="2280"/>
        <v>0.67074282883848424</v>
      </c>
      <c r="CW259" s="50">
        <f t="shared" si="2280"/>
        <v>0.68780351831800546</v>
      </c>
      <c r="CX259" s="50">
        <f t="shared" si="2280"/>
        <v>0.68513688053961586</v>
      </c>
      <c r="CY259" s="50">
        <f t="shared" si="2280"/>
        <v>0.7027907857379041</v>
      </c>
      <c r="CZ259" s="50">
        <f t="shared" si="2280"/>
        <v>0.70859467142660026</v>
      </c>
      <c r="DA259" s="50">
        <f t="shared" si="2280"/>
        <v>0.72521258322928517</v>
      </c>
      <c r="DB259" s="50">
        <f t="shared" si="2280"/>
        <v>0.71976044507049708</v>
      </c>
      <c r="DE259" s="138"/>
      <c r="DF259" s="84">
        <v>0.54380224574348168</v>
      </c>
    </row>
    <row r="260" spans="1:110" s="84" customFormat="1" x14ac:dyDescent="0.2">
      <c r="A260" s="84" t="s">
        <v>513</v>
      </c>
      <c r="E260" s="181">
        <f>+E57</f>
        <v>0.16465932657516891</v>
      </c>
      <c r="F260" s="181">
        <f t="shared" ref="F260:AE260" si="2281">+F57</f>
        <v>7.3973921656516534E-2</v>
      </c>
      <c r="G260" s="181">
        <f t="shared" si="2281"/>
        <v>6.0568138480395398E-2</v>
      </c>
      <c r="H260" s="181">
        <f t="shared" si="2281"/>
        <v>9.4529305506539901E-2</v>
      </c>
      <c r="I260" s="181">
        <f t="shared" si="2281"/>
        <v>0.15272150859704062</v>
      </c>
      <c r="J260" s="181">
        <f t="shared" si="2281"/>
        <v>9.8368425322375733E-2</v>
      </c>
      <c r="K260" s="181">
        <f t="shared" si="2281"/>
        <v>4.9402161151515606E-2</v>
      </c>
      <c r="L260" s="181">
        <f t="shared" si="2281"/>
        <v>0.11032745094525659</v>
      </c>
      <c r="M260" s="181">
        <f t="shared" si="2281"/>
        <v>0.14962652903382237</v>
      </c>
      <c r="N260" s="181">
        <f t="shared" si="2281"/>
        <v>0.15180050707111839</v>
      </c>
      <c r="O260" s="181">
        <f t="shared" si="2281"/>
        <v>-7.948324279298459E-2</v>
      </c>
      <c r="P260" s="181">
        <f t="shared" si="2281"/>
        <v>3.53339532748526E-2</v>
      </c>
      <c r="Q260" s="181">
        <f t="shared" si="2281"/>
        <v>2.4095799640231601E-2</v>
      </c>
      <c r="R260" s="181">
        <f t="shared" si="2281"/>
        <v>2.6311371422409243E-2</v>
      </c>
      <c r="S260" s="181">
        <f t="shared" si="2281"/>
        <v>0.33474276014877546</v>
      </c>
      <c r="T260" s="181">
        <f t="shared" si="2281"/>
        <v>0.18984232143596347</v>
      </c>
      <c r="U260" s="181">
        <f t="shared" si="2281"/>
        <v>0.2071944383277409</v>
      </c>
      <c r="V260" s="181">
        <f t="shared" si="2281"/>
        <v>0.19735507619439885</v>
      </c>
      <c r="W260" s="181">
        <f t="shared" si="2281"/>
        <v>0.17128537876297606</v>
      </c>
      <c r="X260" s="181">
        <f t="shared" si="2281"/>
        <v>0.17376308747558283</v>
      </c>
      <c r="Y260" s="181">
        <f t="shared" si="2281"/>
        <v>0.23423587247679015</v>
      </c>
      <c r="Z260" s="181">
        <f t="shared" si="2281"/>
        <v>0.22657030854241741</v>
      </c>
      <c r="AA260" s="181">
        <f t="shared" ref="AA260" si="2282">+AA57</f>
        <v>6.7275266026659175E-2</v>
      </c>
      <c r="AB260" s="182">
        <f t="shared" si="2281"/>
        <v>6.1403858636958915E-2</v>
      </c>
      <c r="AC260" s="182">
        <f t="shared" si="2281"/>
        <v>7.7708269670793098E-2</v>
      </c>
      <c r="AD260" s="182">
        <f t="shared" si="2281"/>
        <v>8.9432174464946571E-2</v>
      </c>
      <c r="AE260" s="182">
        <f t="shared" si="2281"/>
        <v>9.8009611676111982E-2</v>
      </c>
      <c r="AL260" s="181">
        <f t="shared" ref="AL260:CW260" si="2283">+AL57</f>
        <v>0.13156153935950826</v>
      </c>
      <c r="AM260" s="181">
        <f t="shared" si="2283"/>
        <v>-0.6891554222888554</v>
      </c>
      <c r="AN260" s="181">
        <f t="shared" si="2283"/>
        <v>-0.38756613756613778</v>
      </c>
      <c r="AO260" s="181">
        <f t="shared" si="2283"/>
        <v>8.6724208795725441E-2</v>
      </c>
      <c r="AP260" s="181">
        <f t="shared" si="2283"/>
        <v>0.30154142581888255</v>
      </c>
      <c r="AQ260" s="181">
        <f t="shared" si="2283"/>
        <v>-0.38953759925268572</v>
      </c>
      <c r="AR260" s="181">
        <f t="shared" si="2283"/>
        <v>0.23713039263208913</v>
      </c>
      <c r="AS260" s="181">
        <f t="shared" si="2283"/>
        <v>3.3426616915422931E-2</v>
      </c>
      <c r="AT260" s="181">
        <f t="shared" si="2283"/>
        <v>-2.4846190250828348E-2</v>
      </c>
      <c r="AU260" s="181">
        <f t="shared" si="2283"/>
        <v>5.0013444474321128E-2</v>
      </c>
      <c r="AV260" s="181">
        <f t="shared" si="2283"/>
        <v>4.2132639791937702E-2</v>
      </c>
      <c r="AW260" s="181">
        <f t="shared" si="2283"/>
        <v>5.7314839047369705E-2</v>
      </c>
      <c r="AX260" s="181">
        <f t="shared" si="2283"/>
        <v>1.9677590252022903E-3</v>
      </c>
      <c r="AY260" s="181">
        <f t="shared" si="2283"/>
        <v>4.7347042396547384E-2</v>
      </c>
      <c r="AZ260" s="181">
        <f t="shared" si="2283"/>
        <v>4.382632293080059E-2</v>
      </c>
      <c r="BA260" s="181">
        <f t="shared" si="2283"/>
        <v>4.1450777202072561E-2</v>
      </c>
      <c r="BB260" s="181">
        <f t="shared" si="2283"/>
        <v>-1.5337117816950482E-2</v>
      </c>
      <c r="BC260" s="181">
        <f t="shared" si="2283"/>
        <v>1.2866631523458094</v>
      </c>
      <c r="BD260" s="181">
        <f t="shared" si="2283"/>
        <v>0.27882473873565189</v>
      </c>
      <c r="BE260" s="181">
        <f t="shared" si="2283"/>
        <v>0.19107774929818147</v>
      </c>
      <c r="BF260" s="181">
        <f t="shared" si="2283"/>
        <v>-9.0545658577640714E-2</v>
      </c>
      <c r="BG260" s="181">
        <f t="shared" si="2283"/>
        <v>0.19848957478246593</v>
      </c>
      <c r="BH260" s="181">
        <f t="shared" si="2283"/>
        <v>6.1830091306073823E-2</v>
      </c>
      <c r="BI260" s="181">
        <f t="shared" si="2283"/>
        <v>0.23572547344439698</v>
      </c>
      <c r="BJ260" s="181">
        <f t="shared" si="2283"/>
        <v>0.22340425531914904</v>
      </c>
      <c r="BK260" s="181">
        <f t="shared" si="2283"/>
        <v>0.15624640184225694</v>
      </c>
      <c r="BL260" s="181">
        <f t="shared" si="2283"/>
        <v>0.29549683662076642</v>
      </c>
      <c r="BM260" s="181">
        <f t="shared" si="2283"/>
        <v>0.21543026706231461</v>
      </c>
      <c r="BN260" s="181">
        <f t="shared" si="2283"/>
        <v>0.18972987922927989</v>
      </c>
      <c r="BO260" s="181">
        <f t="shared" si="2283"/>
        <v>0.13000898472596592</v>
      </c>
      <c r="BP260" s="181">
        <f t="shared" si="2283"/>
        <v>0.26288453855373572</v>
      </c>
      <c r="BQ260" s="181">
        <f t="shared" si="2283"/>
        <v>0.19898347140513067</v>
      </c>
      <c r="BR260" s="181">
        <f t="shared" si="2283"/>
        <v>0.19602243402264038</v>
      </c>
      <c r="BS260" s="181">
        <f t="shared" si="2283"/>
        <v>0.22411781860600746</v>
      </c>
      <c r="BT260" s="181">
        <f t="shared" si="2283"/>
        <v>0.22292044571132422</v>
      </c>
      <c r="BU260" s="181">
        <f t="shared" si="2283"/>
        <v>0.1851304437493555</v>
      </c>
      <c r="BV260" s="181">
        <f t="shared" si="2283"/>
        <v>0.13006058789526648</v>
      </c>
      <c r="BW260" s="181">
        <f t="shared" si="2283"/>
        <v>0.16232539182629974</v>
      </c>
      <c r="BX260" s="181">
        <f t="shared" si="2283"/>
        <v>0.16957902001380259</v>
      </c>
      <c r="BY260" s="181">
        <f t="shared" si="2283"/>
        <v>0.17274253972354989</v>
      </c>
      <c r="BZ260" s="181">
        <f t="shared" si="2283"/>
        <v>0.18330128876282564</v>
      </c>
      <c r="CA260" s="181">
        <f t="shared" si="2283"/>
        <v>0.11620351569298594</v>
      </c>
      <c r="CB260" s="181">
        <f t="shared" si="2283"/>
        <v>0.29582390076012727</v>
      </c>
      <c r="CC260" s="181">
        <f t="shared" si="2283"/>
        <v>0.27511167298777922</v>
      </c>
      <c r="CD260" s="181">
        <f t="shared" si="2283"/>
        <v>0.29098920045018078</v>
      </c>
      <c r="CE260" s="181">
        <f t="shared" si="2283"/>
        <v>0.14258944440151464</v>
      </c>
      <c r="CF260" s="181">
        <f t="shared" si="2283"/>
        <v>0.29577628519762345</v>
      </c>
      <c r="CG260" s="181">
        <f t="shared" si="2283"/>
        <v>0.28409332069438742</v>
      </c>
      <c r="CH260" s="181">
        <f t="shared" si="2283"/>
        <v>0.12352570999370693</v>
      </c>
      <c r="CI260" s="181">
        <f t="shared" si="2283"/>
        <v>6.2142430605050661E-2</v>
      </c>
      <c r="CJ260" s="181">
        <f t="shared" si="2283"/>
        <v>7.6960554332527256E-2</v>
      </c>
      <c r="CK260" s="182">
        <f t="shared" si="2283"/>
        <v>5.3039678242709942E-2</v>
      </c>
      <c r="CL260" s="181">
        <f t="shared" ref="CL260" si="2284">+CL57</f>
        <v>7.4797104628207933E-2</v>
      </c>
      <c r="CM260" s="182">
        <f t="shared" si="2283"/>
        <v>5.2779533358535684E-2</v>
      </c>
      <c r="CN260" s="182">
        <f t="shared" si="2283"/>
        <v>6.0190690447958557E-2</v>
      </c>
      <c r="CO260" s="182">
        <f t="shared" si="2283"/>
        <v>5.8380447729886077E-2</v>
      </c>
      <c r="CP260" s="182">
        <f t="shared" si="2283"/>
        <v>7.1788034468535489E-2</v>
      </c>
      <c r="CQ260" s="182">
        <f t="shared" si="2283"/>
        <v>7.3390724611047967E-2</v>
      </c>
      <c r="CR260" s="182">
        <f t="shared" si="2283"/>
        <v>7.636474571171642E-2</v>
      </c>
      <c r="CS260" s="182">
        <f t="shared" si="2283"/>
        <v>7.4947389309696674E-2</v>
      </c>
      <c r="CT260" s="182">
        <f t="shared" si="2283"/>
        <v>8.4549251154735036E-2</v>
      </c>
      <c r="CU260" s="182">
        <f t="shared" si="2283"/>
        <v>8.7139738073757037E-2</v>
      </c>
      <c r="CV260" s="182">
        <f t="shared" si="2283"/>
        <v>8.8261002662691809E-2</v>
      </c>
      <c r="CW260" s="182">
        <f t="shared" si="2283"/>
        <v>8.730268185713741E-2</v>
      </c>
      <c r="CX260" s="182">
        <f t="shared" ref="CX260:DB260" si="2285">+CX57</f>
        <v>9.3995949272909815E-2</v>
      </c>
      <c r="CY260" s="182">
        <f t="shared" si="2285"/>
        <v>9.7073108832267982E-2</v>
      </c>
      <c r="CZ260" s="182">
        <f t="shared" si="2285"/>
        <v>9.7009453543742491E-2</v>
      </c>
      <c r="DA260" s="182">
        <f t="shared" si="2285"/>
        <v>9.6363484957700973E-2</v>
      </c>
      <c r="DB260" s="182">
        <f t="shared" si="2285"/>
        <v>0.10095100658724453</v>
      </c>
      <c r="DE260" s="138"/>
      <c r="DF260" s="84">
        <v>6.7338798329093355E-2</v>
      </c>
    </row>
    <row r="261" spans="1:110" s="84" customFormat="1" x14ac:dyDescent="0.2">
      <c r="A261" s="84" t="s">
        <v>514</v>
      </c>
      <c r="E261" s="84">
        <f>(E176+E163+E153+E155)/E135</f>
        <v>1.5359882846833677</v>
      </c>
      <c r="F261" s="84">
        <f t="shared" ref="F261:AE261" si="2286">(F176+F163+F153+F155)/F135</f>
        <v>1.4362780300278606</v>
      </c>
      <c r="G261" s="84">
        <f t="shared" si="2286"/>
        <v>1.8184214186991661</v>
      </c>
      <c r="H261" s="84">
        <f t="shared" si="2286"/>
        <v>1.4949370655210725</v>
      </c>
      <c r="I261" s="84">
        <f t="shared" si="2286"/>
        <v>1.4278725584177006</v>
      </c>
      <c r="J261" s="84">
        <f t="shared" si="2286"/>
        <v>1.3986219819597936</v>
      </c>
      <c r="K261" s="84">
        <f t="shared" si="2286"/>
        <v>1.1986984851420428</v>
      </c>
      <c r="L261" s="84">
        <f t="shared" si="2286"/>
        <v>1.3330377937127809</v>
      </c>
      <c r="M261" s="84">
        <f t="shared" si="2286"/>
        <v>1.3409984234855163</v>
      </c>
      <c r="N261" s="84">
        <f t="shared" si="2286"/>
        <v>1.3689759462944193</v>
      </c>
      <c r="O261" s="84">
        <f t="shared" si="2286"/>
        <v>1.6139179464459428</v>
      </c>
      <c r="P261" s="84">
        <f t="shared" si="2286"/>
        <v>1.589343062788654</v>
      </c>
      <c r="Q261" s="84">
        <f t="shared" si="2286"/>
        <v>1.614523202601474</v>
      </c>
      <c r="R261" s="84">
        <f t="shared" si="2286"/>
        <v>1.6173210386871091</v>
      </c>
      <c r="S261" s="84">
        <f t="shared" si="2286"/>
        <v>1.1646263974534219</v>
      </c>
      <c r="T261" s="84">
        <f t="shared" si="2286"/>
        <v>1.0983626769526074</v>
      </c>
      <c r="U261" s="84">
        <f t="shared" si="2286"/>
        <v>1.294372585432074</v>
      </c>
      <c r="V261" s="84">
        <f t="shared" si="2286"/>
        <v>1.3098398694438533</v>
      </c>
      <c r="W261" s="84">
        <f t="shared" si="2286"/>
        <v>1.320869133169331</v>
      </c>
      <c r="X261" s="84">
        <f t="shared" si="2286"/>
        <v>1.3906665041583823</v>
      </c>
      <c r="Y261" s="84">
        <f t="shared" si="2286"/>
        <v>1.3136842002641982</v>
      </c>
      <c r="Z261" s="84">
        <f t="shared" si="2286"/>
        <v>1.2206544175014891</v>
      </c>
      <c r="AA261" s="84">
        <f t="shared" ref="AA261" si="2287">(AA176+AA163+AA153+AA155)/AA135</f>
        <v>1.2117172412406587</v>
      </c>
      <c r="AB261" s="50">
        <f t="shared" si="2286"/>
        <v>1.219982509704626</v>
      </c>
      <c r="AC261" s="50">
        <f t="shared" si="2286"/>
        <v>1.2237058955884426</v>
      </c>
      <c r="AD261" s="50">
        <f t="shared" si="2286"/>
        <v>1.225219807014343</v>
      </c>
      <c r="AE261" s="50">
        <f t="shared" si="2286"/>
        <v>1.2249863759846098</v>
      </c>
      <c r="AL261" s="84">
        <f t="shared" ref="AL261:CW261" si="2288">(AL176+AL163+AL153+AL155)/AL135</f>
        <v>1.3689772298402314</v>
      </c>
      <c r="AM261" s="84">
        <f t="shared" si="2288"/>
        <v>1.3814862092358402</v>
      </c>
      <c r="AN261" s="84">
        <f t="shared" si="2288"/>
        <v>1.4588509316770186</v>
      </c>
      <c r="AO261" s="84">
        <f t="shared" si="2288"/>
        <v>1.4778297779450145</v>
      </c>
      <c r="AP261" s="84">
        <f t="shared" si="2288"/>
        <v>1.6138580395943989</v>
      </c>
      <c r="AQ261" s="84">
        <f t="shared" si="2288"/>
        <v>1.6885285253562132</v>
      </c>
      <c r="AR261" s="84">
        <f t="shared" si="2288"/>
        <v>1.798007068525427</v>
      </c>
      <c r="AS261" s="84">
        <f t="shared" si="2288"/>
        <v>1.7729419294553146</v>
      </c>
      <c r="AT261" s="84">
        <f t="shared" si="2288"/>
        <v>1.5893183201460741</v>
      </c>
      <c r="AU261" s="84">
        <f t="shared" si="2288"/>
        <v>1.5809654006001863</v>
      </c>
      <c r="AV261" s="84">
        <f t="shared" si="2288"/>
        <v>1.8296129837702875</v>
      </c>
      <c r="AW261" s="84">
        <f t="shared" si="2288"/>
        <v>1.8202537238152281</v>
      </c>
      <c r="AX261" s="84">
        <f t="shared" si="2288"/>
        <v>1.6144260966467432</v>
      </c>
      <c r="AY261" s="84">
        <f t="shared" si="2288"/>
        <v>1.5965690468333533</v>
      </c>
      <c r="AZ261" s="84">
        <f t="shared" si="2288"/>
        <v>1.5542145029928365</v>
      </c>
      <c r="BA261" s="84">
        <f t="shared" si="2288"/>
        <v>1.5480040616472956</v>
      </c>
      <c r="BB261" s="84">
        <f t="shared" si="2288"/>
        <v>1.6173048957828404</v>
      </c>
      <c r="BC261" s="84">
        <f t="shared" si="2288"/>
        <v>1.3866159850682629</v>
      </c>
      <c r="BD261" s="84">
        <f t="shared" si="2288"/>
        <v>1.3242766005923905</v>
      </c>
      <c r="BE261" s="84">
        <f t="shared" si="2288"/>
        <v>1.3265834242997219</v>
      </c>
      <c r="BF261" s="84">
        <f t="shared" si="2288"/>
        <v>1.1646463553222579</v>
      </c>
      <c r="BG261" s="84">
        <f t="shared" si="2288"/>
        <v>1.146947981868246</v>
      </c>
      <c r="BH261" s="84">
        <f t="shared" si="2288"/>
        <v>1.1187278223156787</v>
      </c>
      <c r="BI261" s="84">
        <f t="shared" si="2288"/>
        <v>1.11614861303057</v>
      </c>
      <c r="BJ261" s="84">
        <f t="shared" si="2288"/>
        <v>1.0983644642691202</v>
      </c>
      <c r="BK261" s="84">
        <f t="shared" si="2288"/>
        <v>1.0938445764003173</v>
      </c>
      <c r="BL261" s="84">
        <f t="shared" si="2288"/>
        <v>1.0904089251795734</v>
      </c>
      <c r="BM261" s="84">
        <f t="shared" si="2288"/>
        <v>1.0891315464303108</v>
      </c>
      <c r="BN261" s="84">
        <f t="shared" si="2288"/>
        <v>1.2943840229128769</v>
      </c>
      <c r="BO261" s="84">
        <f t="shared" si="2288"/>
        <v>1.2721197277308387</v>
      </c>
      <c r="BP261" s="84">
        <f t="shared" si="2288"/>
        <v>1.2933093525179853</v>
      </c>
      <c r="BQ261" s="84">
        <f t="shared" si="2288"/>
        <v>1.3763723431505779</v>
      </c>
      <c r="BR261" s="84">
        <f t="shared" si="2288"/>
        <v>1.3098580917874394</v>
      </c>
      <c r="BS261" s="84">
        <f t="shared" si="2288"/>
        <v>1.2936173991950215</v>
      </c>
      <c r="BT261" s="84">
        <f t="shared" si="2288"/>
        <v>1.3517214232494059</v>
      </c>
      <c r="BU261" s="84">
        <f t="shared" si="2288"/>
        <v>1.3577207599115977</v>
      </c>
      <c r="BV261" s="84">
        <f t="shared" si="2288"/>
        <v>1.3208594384323609</v>
      </c>
      <c r="BW261" s="84">
        <f t="shared" si="2288"/>
        <v>1.3012535668469674</v>
      </c>
      <c r="BX261" s="84">
        <f t="shared" si="2288"/>
        <v>1.5549430115289535</v>
      </c>
      <c r="BY261" s="84">
        <f t="shared" si="2288"/>
        <v>1.5207337708675188</v>
      </c>
      <c r="BZ261" s="84">
        <f t="shared" si="2288"/>
        <v>1.3906607618019762</v>
      </c>
      <c r="CA261" s="84">
        <f t="shared" si="2288"/>
        <v>1.371821256952245</v>
      </c>
      <c r="CB261" s="84">
        <f t="shared" si="2288"/>
        <v>1.367386988040818</v>
      </c>
      <c r="CC261" s="84">
        <f t="shared" si="2288"/>
        <v>1.3284148321916702</v>
      </c>
      <c r="CD261" s="84">
        <f t="shared" si="2288"/>
        <v>1.3136809266446909</v>
      </c>
      <c r="CE261" s="84">
        <f t="shared" si="2288"/>
        <v>1.3083345447015828</v>
      </c>
      <c r="CF261" s="84">
        <f t="shared" si="2288"/>
        <v>1.3661920316175014</v>
      </c>
      <c r="CG261" s="84">
        <f t="shared" si="2288"/>
        <v>1.3292650929179208</v>
      </c>
      <c r="CH261" s="84">
        <f t="shared" si="2288"/>
        <v>1.2206544175014891</v>
      </c>
      <c r="CI261" s="84">
        <f t="shared" si="2288"/>
        <v>1.2247891446330781</v>
      </c>
      <c r="CJ261" s="84">
        <f t="shared" si="2288"/>
        <v>1.2002527491881436</v>
      </c>
      <c r="CK261" s="50">
        <f t="shared" si="2288"/>
        <v>1.1914938906011543</v>
      </c>
      <c r="CL261" s="84">
        <f t="shared" ref="CL261" si="2289">(CL176+CL163+CL153+CL155)/CL135</f>
        <v>1.2117150011973996</v>
      </c>
      <c r="CM261" s="50">
        <f t="shared" si="2288"/>
        <v>1.2027975543898712</v>
      </c>
      <c r="CN261" s="50">
        <f t="shared" si="2288"/>
        <v>1.20897100988268</v>
      </c>
      <c r="CO261" s="50">
        <f t="shared" si="2288"/>
        <v>1.1987958861432788</v>
      </c>
      <c r="CP261" s="50">
        <f t="shared" si="2288"/>
        <v>1.219982509704626</v>
      </c>
      <c r="CQ261" s="50">
        <f t="shared" si="2288"/>
        <v>1.2072767602473904</v>
      </c>
      <c r="CR261" s="50">
        <f t="shared" si="2288"/>
        <v>1.2132372330592043</v>
      </c>
      <c r="CS261" s="50">
        <f t="shared" si="2288"/>
        <v>1.2014893384080207</v>
      </c>
      <c r="CT261" s="50">
        <f t="shared" si="2288"/>
        <v>1.2237058955884426</v>
      </c>
      <c r="CU261" s="50">
        <f t="shared" si="2288"/>
        <v>1.2094144734121379</v>
      </c>
      <c r="CV261" s="50">
        <f t="shared" si="2288"/>
        <v>1.2151998827102115</v>
      </c>
      <c r="CW261" s="50">
        <f t="shared" si="2288"/>
        <v>1.2020874508739257</v>
      </c>
      <c r="CX261" s="50">
        <f t="shared" ref="CX261:DB261" si="2290">(CX176+CX163+CX153+CX155)/CX135</f>
        <v>1.225219807014343</v>
      </c>
      <c r="CY261" s="50">
        <f t="shared" si="2290"/>
        <v>1.2096116355200568</v>
      </c>
      <c r="CZ261" s="50">
        <f t="shared" si="2290"/>
        <v>1.2152790028346692</v>
      </c>
      <c r="DA261" s="50">
        <f t="shared" si="2290"/>
        <v>1.2010377076112202</v>
      </c>
      <c r="DB261" s="50">
        <f t="shared" si="2290"/>
        <v>1.2249863759846098</v>
      </c>
      <c r="DE261" s="138"/>
      <c r="DF261" s="84">
        <v>1.2117150011973996</v>
      </c>
    </row>
    <row r="262" spans="1:110" s="84" customFormat="1" x14ac:dyDescent="0.2">
      <c r="A262" s="154" t="s">
        <v>498</v>
      </c>
      <c r="AB262" s="50"/>
      <c r="AC262" s="50"/>
      <c r="AD262" s="50"/>
      <c r="AE262" s="50"/>
      <c r="CK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</row>
    <row r="263" spans="1:110" s="88" customFormat="1" x14ac:dyDescent="0.2">
      <c r="A263" s="88" t="s">
        <v>102</v>
      </c>
      <c r="B263" s="88">
        <f t="shared" ref="B263:AE263" si="2291">B176/B135</f>
        <v>3.7553798380440116E-2</v>
      </c>
      <c r="C263" s="88">
        <f t="shared" si="2291"/>
        <v>3.2956231464038505E-2</v>
      </c>
      <c r="D263" s="88">
        <f t="shared" si="2291"/>
        <v>1.7488052567419945E-2</v>
      </c>
      <c r="F263" s="88">
        <f t="shared" si="2291"/>
        <v>5.9960153472963532E-2</v>
      </c>
      <c r="G263" s="88">
        <f t="shared" si="2291"/>
        <v>0.30418729131486794</v>
      </c>
      <c r="H263" s="88">
        <f t="shared" si="2291"/>
        <v>8.0007306987873908E-2</v>
      </c>
      <c r="I263" s="88">
        <f t="shared" si="2291"/>
        <v>0.18508250305968246</v>
      </c>
      <c r="J263" s="88">
        <f t="shared" si="2291"/>
        <v>0.14684310745721679</v>
      </c>
      <c r="K263" s="88">
        <f t="shared" si="2291"/>
        <v>7.5066724771377616E-2</v>
      </c>
      <c r="L263" s="88">
        <f t="shared" si="2291"/>
        <v>3.2922470426517324E-2</v>
      </c>
      <c r="M263" s="88">
        <f t="shared" si="2291"/>
        <v>2.0113445659999212E-2</v>
      </c>
      <c r="N263" s="88">
        <f t="shared" si="2291"/>
        <v>5.4720342826191669E-2</v>
      </c>
      <c r="O263" s="88">
        <f t="shared" si="2291"/>
        <v>1.9291987998524437E-2</v>
      </c>
      <c r="P263" s="88">
        <f t="shared" si="2291"/>
        <v>2.2811484370889645E-2</v>
      </c>
      <c r="Q263" s="88">
        <f t="shared" si="2291"/>
        <v>2.2980530825488892E-2</v>
      </c>
      <c r="R263" s="88">
        <f t="shared" si="2291"/>
        <v>1.5509552990490403E-2</v>
      </c>
      <c r="S263" s="88">
        <f t="shared" si="2291"/>
        <v>0.29664463497056892</v>
      </c>
      <c r="T263" s="88">
        <f t="shared" si="2291"/>
        <v>0.23466992850221752</v>
      </c>
      <c r="U263" s="88">
        <f t="shared" si="2291"/>
        <v>0.15333733336227626</v>
      </c>
      <c r="V263" s="88">
        <f t="shared" si="2291"/>
        <v>0.64871217713848339</v>
      </c>
      <c r="W263" s="88">
        <f t="shared" si="2291"/>
        <v>1.6156279159951041E-2</v>
      </c>
      <c r="X263" s="88">
        <f t="shared" si="2291"/>
        <v>1.1645703408115058E-2</v>
      </c>
      <c r="Y263" s="88">
        <f t="shared" si="2291"/>
        <v>8.0952746540319476E-2</v>
      </c>
      <c r="Z263" s="88">
        <f t="shared" si="2291"/>
        <v>3.2735627687873484E-2</v>
      </c>
      <c r="AA263" s="88">
        <f t="shared" ref="AA263" si="2292">AA176/AA135</f>
        <v>3.2667993561838402E-2</v>
      </c>
      <c r="AB263" s="42">
        <f t="shared" si="2291"/>
        <v>7.8058783035817231E-2</v>
      </c>
      <c r="AC263" s="42">
        <f t="shared" si="2291"/>
        <v>0.12056856639863435</v>
      </c>
      <c r="AD263" s="42">
        <f t="shared" si="2291"/>
        <v>0.15210906964050502</v>
      </c>
      <c r="AE263" s="42">
        <f t="shared" si="2291"/>
        <v>0.1742869577385398</v>
      </c>
      <c r="AL263" s="88">
        <f t="shared" ref="AL263:CW263" si="2293">AL176/AL135</f>
        <v>5.4723864637061262E-2</v>
      </c>
      <c r="AM263" s="88">
        <f t="shared" si="2293"/>
        <v>0.5094060888949633</v>
      </c>
      <c r="AN263" s="88">
        <f t="shared" si="2293"/>
        <v>7.2826086956521735E-2</v>
      </c>
      <c r="AO263" s="88">
        <f t="shared" si="2293"/>
        <v>-0.14190980312700499</v>
      </c>
      <c r="AP263" s="88">
        <f t="shared" si="2293"/>
        <v>1.9314340898116851E-2</v>
      </c>
      <c r="AQ263" s="88">
        <f t="shared" si="2293"/>
        <v>-0.3690648471549588</v>
      </c>
      <c r="AR263" s="88">
        <f t="shared" si="2293"/>
        <v>0.14932259964657371</v>
      </c>
      <c r="AS263" s="88">
        <f t="shared" si="2293"/>
        <v>0.42544814305089868</v>
      </c>
      <c r="AT263" s="88">
        <f t="shared" si="2293"/>
        <v>2.2824102251978087E-2</v>
      </c>
      <c r="AU263" s="88">
        <f t="shared" si="2293"/>
        <v>0.12073870912097774</v>
      </c>
      <c r="AV263" s="88">
        <f t="shared" si="2293"/>
        <v>5.0287141073657927E-2</v>
      </c>
      <c r="AW263" s="88">
        <f t="shared" si="2293"/>
        <v>6.6383694993896375E-2</v>
      </c>
      <c r="AX263" s="88">
        <f t="shared" si="2293"/>
        <v>2.2895350015196034E-2</v>
      </c>
      <c r="AY263" s="88">
        <f t="shared" si="2293"/>
        <v>0.36645821755361502</v>
      </c>
      <c r="AZ263" s="88">
        <f t="shared" si="2293"/>
        <v>2.5169267000294378E-2</v>
      </c>
      <c r="BA263" s="88">
        <f t="shared" si="2293"/>
        <v>-2.3525116949549068E-3</v>
      </c>
      <c r="BB263" s="88">
        <f t="shared" si="2293"/>
        <v>1.5511391177896268E-2</v>
      </c>
      <c r="BC263" s="88">
        <f t="shared" si="2293"/>
        <v>0.42278375519832551</v>
      </c>
      <c r="BD263" s="88">
        <f t="shared" si="2293"/>
        <v>7.9061289587605388E-2</v>
      </c>
      <c r="BE263" s="88">
        <f t="shared" si="2293"/>
        <v>-9.5120308783819121E-2</v>
      </c>
      <c r="BF263" s="88">
        <f t="shared" si="2293"/>
        <v>0.2966610747334813</v>
      </c>
      <c r="BG263" s="88">
        <f t="shared" si="2293"/>
        <v>0.3899080815726027</v>
      </c>
      <c r="BH263" s="88">
        <f t="shared" si="2293"/>
        <v>0.41277434616901038</v>
      </c>
      <c r="BI263" s="88">
        <f t="shared" si="2293"/>
        <v>0.36081043283733444</v>
      </c>
      <c r="BJ263" s="88">
        <f t="shared" si="2293"/>
        <v>0.23466685252299976</v>
      </c>
      <c r="BK263" s="88">
        <f t="shared" si="2293"/>
        <v>0.4520639737376998</v>
      </c>
      <c r="BL263" s="88">
        <f t="shared" si="2293"/>
        <v>0.37818483505447242</v>
      </c>
      <c r="BM263" s="88">
        <f t="shared" si="2293"/>
        <v>0.19393133271711016</v>
      </c>
      <c r="BN263" s="88">
        <f t="shared" si="2293"/>
        <v>0.15334597670008129</v>
      </c>
      <c r="BO263" s="88">
        <f t="shared" si="2293"/>
        <v>0.48061216783299321</v>
      </c>
      <c r="BP263" s="88">
        <f t="shared" si="2293"/>
        <v>0.34043165467625902</v>
      </c>
      <c r="BQ263" s="88">
        <f t="shared" si="2293"/>
        <v>2.5754838102353572E-2</v>
      </c>
      <c r="BR263" s="88">
        <f t="shared" si="2293"/>
        <v>0.64871678743961336</v>
      </c>
      <c r="BS263" s="88">
        <f t="shared" si="2293"/>
        <v>0.78095592060473884</v>
      </c>
      <c r="BT263" s="88">
        <f t="shared" si="2293"/>
        <v>0.36535785078655475</v>
      </c>
      <c r="BU263" s="88">
        <f t="shared" si="2293"/>
        <v>2.6038691716620811E-2</v>
      </c>
      <c r="BV263" s="88">
        <f t="shared" si="2293"/>
        <v>1.6153855475708623E-2</v>
      </c>
      <c r="BW263" s="88">
        <f t="shared" si="2293"/>
        <v>0.31946033026114895</v>
      </c>
      <c r="BX263" s="88">
        <f t="shared" si="2293"/>
        <v>7.4796000962569192E-2</v>
      </c>
      <c r="BY263" s="88">
        <f t="shared" si="2293"/>
        <v>8.98525288239551E-2</v>
      </c>
      <c r="BZ263" s="88">
        <f t="shared" si="2293"/>
        <v>1.1648462068067212E-2</v>
      </c>
      <c r="CA263" s="88">
        <f t="shared" si="2293"/>
        <v>-0.14000853797745982</v>
      </c>
      <c r="CB263" s="88">
        <f t="shared" si="2293"/>
        <v>5.1415246802419538E-2</v>
      </c>
      <c r="CC263" s="88">
        <f t="shared" si="2293"/>
        <v>9.4284441910457359E-2</v>
      </c>
      <c r="CD263" s="88">
        <f t="shared" si="2293"/>
        <v>8.0953454505572175E-2</v>
      </c>
      <c r="CE263" s="88">
        <f t="shared" si="2293"/>
        <v>-2.5273422696961558E-2</v>
      </c>
      <c r="CF263" s="88">
        <f t="shared" si="2293"/>
        <v>4.3372465748553489E-2</v>
      </c>
      <c r="CG263" s="88">
        <f t="shared" si="2293"/>
        <v>0.19014411309279505</v>
      </c>
      <c r="CH263" s="88">
        <f t="shared" si="2293"/>
        <v>3.2735627687873484E-2</v>
      </c>
      <c r="CI263" s="88">
        <f t="shared" si="2293"/>
        <v>3.4688196731030269E-2</v>
      </c>
      <c r="CJ263" s="88">
        <f t="shared" si="2293"/>
        <v>0.15314190723672216</v>
      </c>
      <c r="CK263" s="42">
        <f t="shared" si="2293"/>
        <v>0.20853649688887149</v>
      </c>
      <c r="CL263" s="88">
        <f t="shared" ref="CL263" si="2294">CL176/CL135</f>
        <v>3.2666830261979168E-2</v>
      </c>
      <c r="CM263" s="42">
        <f t="shared" si="2293"/>
        <v>9.7958162227786791E-2</v>
      </c>
      <c r="CN263" s="42">
        <f t="shared" si="2293"/>
        <v>9.0789455671319352E-2</v>
      </c>
      <c r="CO263" s="42">
        <f t="shared" si="2293"/>
        <v>0.15898447579488253</v>
      </c>
      <c r="CP263" s="42">
        <f t="shared" si="2293"/>
        <v>7.8058783035817231E-2</v>
      </c>
      <c r="CQ263" s="42">
        <f t="shared" si="2293"/>
        <v>0.15489258892035032</v>
      </c>
      <c r="CR263" s="42">
        <f t="shared" si="2293"/>
        <v>0.14256147863634716</v>
      </c>
      <c r="CS263" s="42">
        <f t="shared" si="2293"/>
        <v>0.2123129120927216</v>
      </c>
      <c r="CT263" s="42">
        <f t="shared" si="2293"/>
        <v>0.12056856639863435</v>
      </c>
      <c r="CU263" s="42">
        <f t="shared" si="2293"/>
        <v>0.19919521292181441</v>
      </c>
      <c r="CV263" s="42">
        <f t="shared" si="2293"/>
        <v>0.18221390139895238</v>
      </c>
      <c r="CW263" s="42">
        <f t="shared" si="2293"/>
        <v>0.25327036282394083</v>
      </c>
      <c r="CX263" s="42">
        <f t="shared" ref="CX263:DB263" si="2295">CX176/CX135</f>
        <v>0.15210906964050502</v>
      </c>
      <c r="CY263" s="42">
        <f t="shared" si="2295"/>
        <v>0.23215688964724351</v>
      </c>
      <c r="CZ263" s="42">
        <f t="shared" si="2295"/>
        <v>0.2111960326033373</v>
      </c>
      <c r="DA263" s="42">
        <f t="shared" si="2295"/>
        <v>0.2833764698481307</v>
      </c>
      <c r="DB263" s="42">
        <f t="shared" si="2295"/>
        <v>0.1742869577385398</v>
      </c>
      <c r="DE263" s="125"/>
      <c r="DF263" s="88">
        <v>3.2666830261979168E-2</v>
      </c>
    </row>
    <row r="264" spans="1:110" s="89" customFormat="1" x14ac:dyDescent="0.2">
      <c r="A264" s="89" t="s">
        <v>103</v>
      </c>
      <c r="C264" s="89">
        <f t="shared" ref="C264:AE264" si="2296">C143/B143-1</f>
        <v>-0.15489199414117805</v>
      </c>
      <c r="D264" s="89">
        <f t="shared" si="2296"/>
        <v>-8.983814237125487E-2</v>
      </c>
      <c r="F264" s="89">
        <f t="shared" si="2296"/>
        <v>8.6071971208447007E-2</v>
      </c>
      <c r="G264" s="89">
        <f t="shared" si="2296"/>
        <v>-0.91860671207412314</v>
      </c>
      <c r="H264" s="89">
        <f t="shared" si="2296"/>
        <v>-0.43403531311307475</v>
      </c>
      <c r="I264" s="89">
        <f t="shared" si="2296"/>
        <v>0</v>
      </c>
      <c r="J264" s="89">
        <f t="shared" si="2296"/>
        <v>6.1707414337863087E-2</v>
      </c>
      <c r="K264" s="89">
        <f>K143/J143-1</f>
        <v>-1</v>
      </c>
      <c r="L264" s="89" t="e">
        <f t="shared" si="2296"/>
        <v>#DIV/0!</v>
      </c>
      <c r="M264" s="89">
        <f t="shared" si="2296"/>
        <v>0.13259618459331013</v>
      </c>
      <c r="N264" s="89">
        <f t="shared" si="2296"/>
        <v>0.43888358837263231</v>
      </c>
      <c r="O264" s="89">
        <f t="shared" si="2296"/>
        <v>1.802646236852615</v>
      </c>
      <c r="P264" s="89">
        <f t="shared" si="2296"/>
        <v>-0.11824386371311246</v>
      </c>
      <c r="Q264" s="89">
        <f t="shared" si="2296"/>
        <v>1.935210895745354E-2</v>
      </c>
      <c r="R264" s="89">
        <f t="shared" si="2296"/>
        <v>0.20980342835241528</v>
      </c>
      <c r="S264" s="89">
        <f t="shared" si="2296"/>
        <v>-1</v>
      </c>
      <c r="T264" s="89" t="e">
        <f t="shared" si="2296"/>
        <v>#DIV/0!</v>
      </c>
      <c r="U264" s="89" t="e">
        <f t="shared" si="2296"/>
        <v>#DIV/0!</v>
      </c>
      <c r="V264" s="89" t="e">
        <f t="shared" si="2296"/>
        <v>#DIV/0!</v>
      </c>
      <c r="W264" s="89" t="e">
        <f t="shared" si="2296"/>
        <v>#DIV/0!</v>
      </c>
      <c r="X264" s="89">
        <f t="shared" si="2296"/>
        <v>1.1686861228772396</v>
      </c>
      <c r="Y264" s="89">
        <f t="shared" si="2296"/>
        <v>-0.58772407663582227</v>
      </c>
      <c r="Z264" s="89">
        <f t="shared" si="2296"/>
        <v>0.83496901050947914</v>
      </c>
      <c r="AA264" s="89">
        <f t="shared" si="2296"/>
        <v>0.62864235194914109</v>
      </c>
      <c r="AB264" s="47">
        <f t="shared" si="2296"/>
        <v>-1.4543550662549087E-5</v>
      </c>
      <c r="AC264" s="47">
        <f t="shared" si="2296"/>
        <v>0</v>
      </c>
      <c r="AD264" s="47">
        <f t="shared" si="2296"/>
        <v>0</v>
      </c>
      <c r="AE264" s="47">
        <f t="shared" si="2296"/>
        <v>0</v>
      </c>
      <c r="AL264" s="89">
        <f t="shared" ref="AL264:CW264" si="2297">AL143/AK143-1</f>
        <v>-0.60241218789674145</v>
      </c>
      <c r="AM264" s="89">
        <f t="shared" si="2297"/>
        <v>0</v>
      </c>
      <c r="AN264" s="89">
        <f t="shared" si="2297"/>
        <v>0.85550824906865341</v>
      </c>
      <c r="AO264" s="89">
        <f t="shared" si="2297"/>
        <v>0</v>
      </c>
      <c r="AP264" s="89">
        <f t="shared" si="2297"/>
        <v>0.36426215402265893</v>
      </c>
      <c r="AQ264" s="89">
        <f t="shared" si="2297"/>
        <v>0</v>
      </c>
      <c r="AR264" s="89">
        <f t="shared" si="2297"/>
        <v>0.50404709345106702</v>
      </c>
      <c r="AS264" s="89">
        <f t="shared" si="2297"/>
        <v>0</v>
      </c>
      <c r="AT264" s="89">
        <f t="shared" si="2297"/>
        <v>-0.42221135029354206</v>
      </c>
      <c r="AU264" s="89">
        <f t="shared" si="2297"/>
        <v>0</v>
      </c>
      <c r="AV264" s="89">
        <f t="shared" si="2297"/>
        <v>0.57469456876738856</v>
      </c>
      <c r="AW264" s="89">
        <f t="shared" si="2297"/>
        <v>0</v>
      </c>
      <c r="AX264" s="89">
        <f t="shared" si="2297"/>
        <v>-0.35112920571516359</v>
      </c>
      <c r="AY264" s="89">
        <f t="shared" si="2297"/>
        <v>0</v>
      </c>
      <c r="AZ264" s="89">
        <f t="shared" si="2297"/>
        <v>-1.6455546347815875E-2</v>
      </c>
      <c r="BA264" s="89">
        <f t="shared" si="2297"/>
        <v>0</v>
      </c>
      <c r="BB264" s="89">
        <f t="shared" si="2297"/>
        <v>0.25577756379393346</v>
      </c>
      <c r="BC264" s="89">
        <f t="shared" si="2297"/>
        <v>0</v>
      </c>
      <c r="BD264" s="89">
        <f t="shared" si="2297"/>
        <v>-1</v>
      </c>
      <c r="BE264" s="89" t="e">
        <f t="shared" si="2297"/>
        <v>#DIV/0!</v>
      </c>
      <c r="BF264" s="89" t="e">
        <f t="shared" si="2297"/>
        <v>#DIV/0!</v>
      </c>
      <c r="BG264" s="89" t="e">
        <f t="shared" si="2297"/>
        <v>#DIV/0!</v>
      </c>
      <c r="BH264" s="89" t="e">
        <f t="shared" si="2297"/>
        <v>#DIV/0!</v>
      </c>
      <c r="BI264" s="89" t="e">
        <f t="shared" si="2297"/>
        <v>#DIV/0!</v>
      </c>
      <c r="BJ264" s="89" t="e">
        <f t="shared" si="2297"/>
        <v>#DIV/0!</v>
      </c>
      <c r="BK264" s="89" t="e">
        <f t="shared" si="2297"/>
        <v>#DIV/0!</v>
      </c>
      <c r="BL264" s="89" t="e">
        <f t="shared" si="2297"/>
        <v>#DIV/0!</v>
      </c>
      <c r="BM264" s="89" t="e">
        <f t="shared" si="2297"/>
        <v>#DIV/0!</v>
      </c>
      <c r="BN264" s="89" t="e">
        <f t="shared" si="2297"/>
        <v>#DIV/0!</v>
      </c>
      <c r="BO264" s="89" t="e">
        <f t="shared" si="2297"/>
        <v>#DIV/0!</v>
      </c>
      <c r="BP264" s="89" t="e">
        <f t="shared" si="2297"/>
        <v>#DIV/0!</v>
      </c>
      <c r="BQ264" s="89" t="e">
        <f t="shared" si="2297"/>
        <v>#DIV/0!</v>
      </c>
      <c r="BR264" s="89" t="e">
        <f t="shared" si="2297"/>
        <v>#DIV/0!</v>
      </c>
      <c r="BS264" s="89" t="e">
        <f t="shared" si="2297"/>
        <v>#DIV/0!</v>
      </c>
      <c r="BT264" s="89" t="e">
        <f t="shared" si="2297"/>
        <v>#DIV/0!</v>
      </c>
      <c r="BU264" s="89" t="e">
        <f t="shared" si="2297"/>
        <v>#DIV/0!</v>
      </c>
      <c r="BV264" s="89" t="e">
        <f t="shared" si="2297"/>
        <v>#DIV/0!</v>
      </c>
      <c r="BW264" s="89">
        <f t="shared" si="2297"/>
        <v>0</v>
      </c>
      <c r="BX264" s="89">
        <f t="shared" si="2297"/>
        <v>1.7145410740654383</v>
      </c>
      <c r="BY264" s="89">
        <f t="shared" si="2297"/>
        <v>0</v>
      </c>
      <c r="BZ264" s="89">
        <f t="shared" si="2297"/>
        <v>-0.2011280348144755</v>
      </c>
      <c r="CA264" s="89">
        <f t="shared" si="2297"/>
        <v>0</v>
      </c>
      <c r="CB264" s="89">
        <f t="shared" si="2297"/>
        <v>-0.37146543382431996</v>
      </c>
      <c r="CC264" s="89">
        <f t="shared" si="2297"/>
        <v>0</v>
      </c>
      <c r="CD264" s="89">
        <f t="shared" si="2297"/>
        <v>-0.34405291367316693</v>
      </c>
      <c r="CE264" s="89">
        <f t="shared" si="2297"/>
        <v>0</v>
      </c>
      <c r="CF264" s="89">
        <f t="shared" si="2297"/>
        <v>1.3125869262865075E-2</v>
      </c>
      <c r="CG264" s="89">
        <f t="shared" si="2297"/>
        <v>0</v>
      </c>
      <c r="CH264" s="89">
        <f t="shared" si="2297"/>
        <v>0.81117975117975116</v>
      </c>
      <c r="CI264" s="89">
        <f t="shared" si="2297"/>
        <v>0</v>
      </c>
      <c r="CJ264" s="89">
        <f t="shared" si="2297"/>
        <v>0.45386156812400236</v>
      </c>
      <c r="CK264" s="47">
        <f t="shared" si="2297"/>
        <v>0</v>
      </c>
      <c r="CL264" s="89">
        <f t="shared" si="2297"/>
        <v>0.12020202020201998</v>
      </c>
      <c r="CM264" s="47">
        <f t="shared" si="2297"/>
        <v>0</v>
      </c>
      <c r="CN264" s="47">
        <f t="shared" si="2297"/>
        <v>0</v>
      </c>
      <c r="CO264" s="47">
        <f t="shared" si="2297"/>
        <v>0</v>
      </c>
      <c r="CP264" s="47">
        <f t="shared" si="2297"/>
        <v>0</v>
      </c>
      <c r="CQ264" s="47">
        <f t="shared" si="2297"/>
        <v>0</v>
      </c>
      <c r="CR264" s="47">
        <f t="shared" si="2297"/>
        <v>0</v>
      </c>
      <c r="CS264" s="47">
        <f t="shared" si="2297"/>
        <v>0</v>
      </c>
      <c r="CT264" s="47">
        <f t="shared" si="2297"/>
        <v>0</v>
      </c>
      <c r="CU264" s="47">
        <f t="shared" si="2297"/>
        <v>0</v>
      </c>
      <c r="CV264" s="47">
        <f t="shared" si="2297"/>
        <v>0</v>
      </c>
      <c r="CW264" s="47">
        <f t="shared" si="2297"/>
        <v>0</v>
      </c>
      <c r="CX264" s="47">
        <f t="shared" ref="CX264:DB264" si="2298">CX143/CW143-1</f>
        <v>0</v>
      </c>
      <c r="CY264" s="47">
        <f t="shared" si="2298"/>
        <v>0</v>
      </c>
      <c r="CZ264" s="47">
        <f t="shared" si="2298"/>
        <v>0</v>
      </c>
      <c r="DA264" s="47">
        <f t="shared" si="2298"/>
        <v>0</v>
      </c>
      <c r="DB264" s="47">
        <f t="shared" si="2298"/>
        <v>0</v>
      </c>
      <c r="DE264" s="130"/>
      <c r="DF264" s="89">
        <v>0.62861866570658442</v>
      </c>
    </row>
    <row r="265" spans="1:110" s="89" customFormat="1" x14ac:dyDescent="0.2">
      <c r="A265" s="89" t="s">
        <v>104</v>
      </c>
      <c r="C265" s="89">
        <f>C43/B43-1</f>
        <v>-1.6207118369256628</v>
      </c>
      <c r="D265" s="89">
        <f>D43/C43-1</f>
        <v>-2.1383263302429212</v>
      </c>
      <c r="F265" s="89">
        <f t="shared" ref="F265:AE265" si="2299">F43/E43-1</f>
        <v>-5.0865287347018895E-2</v>
      </c>
      <c r="G265" s="89">
        <f t="shared" si="2299"/>
        <v>8.8899988552904263E-2</v>
      </c>
      <c r="H265" s="89">
        <f t="shared" si="2299"/>
        <v>1.4516440549863816</v>
      </c>
      <c r="I265" s="89">
        <f t="shared" si="2299"/>
        <v>0.41005775005087997</v>
      </c>
      <c r="J265" s="89">
        <f t="shared" si="2299"/>
        <v>-0.3595337555546565</v>
      </c>
      <c r="K265" s="89">
        <f t="shared" si="2299"/>
        <v>-0.41921735544598149</v>
      </c>
      <c r="L265" s="89">
        <f t="shared" si="2299"/>
        <v>0.7856544926454605</v>
      </c>
      <c r="M265" s="89">
        <f t="shared" si="2299"/>
        <v>0.36327326598548737</v>
      </c>
      <c r="N265" s="89">
        <f t="shared" si="2299"/>
        <v>0.63365614310594398</v>
      </c>
      <c r="O265" s="89">
        <f t="shared" si="2299"/>
        <v>-0.82647091361040181</v>
      </c>
      <c r="P265" s="89">
        <f t="shared" si="2299"/>
        <v>1.2900626603532612</v>
      </c>
      <c r="Q265" s="89">
        <f t="shared" si="2299"/>
        <v>-3.3554066829307172E-2</v>
      </c>
      <c r="R265" s="89">
        <f t="shared" si="2299"/>
        <v>-1.942091567216897E-2</v>
      </c>
      <c r="S265" s="89">
        <f t="shared" si="2299"/>
        <v>1.9184828957293742</v>
      </c>
      <c r="T265" s="89">
        <f t="shared" si="2299"/>
        <v>0.26314003150485243</v>
      </c>
      <c r="U265" s="89">
        <f t="shared" si="2299"/>
        <v>8.1918080533706972E-2</v>
      </c>
      <c r="V265" s="89">
        <f t="shared" si="2299"/>
        <v>0.44178518355865259</v>
      </c>
      <c r="W265" s="89">
        <f t="shared" si="2299"/>
        <v>0.20127618317512508</v>
      </c>
      <c r="X265" s="89">
        <f t="shared" si="2299"/>
        <v>0.75758758807608317</v>
      </c>
      <c r="Y265" s="89">
        <f t="shared" si="2299"/>
        <v>0.74704080717297261</v>
      </c>
      <c r="Z265" s="89">
        <f t="shared" si="2299"/>
        <v>0.13086575513956533</v>
      </c>
      <c r="AA265" s="89">
        <f t="shared" si="2299"/>
        <v>-0.48238725551668526</v>
      </c>
      <c r="AB265" s="47">
        <f t="shared" si="2299"/>
        <v>0.18130076304091181</v>
      </c>
      <c r="AC265" s="47">
        <f t="shared" si="2299"/>
        <v>0.15230578304339382</v>
      </c>
      <c r="AD265" s="47">
        <f t="shared" si="2299"/>
        <v>0.14990550468652786</v>
      </c>
      <c r="AE265" s="47">
        <f t="shared" si="2299"/>
        <v>0.14967281643124686</v>
      </c>
      <c r="AL265" s="89">
        <f t="shared" ref="AL265:CW265" si="2300">AL43/AK43-1</f>
        <v>0.64941921858500651</v>
      </c>
      <c r="AM265" s="89">
        <f t="shared" si="2300"/>
        <v>-1.1651728553137002</v>
      </c>
      <c r="AN265" s="89">
        <f t="shared" si="2300"/>
        <v>-0.35529715762273795</v>
      </c>
      <c r="AO265" s="89">
        <f t="shared" si="2300"/>
        <v>-3.4168336673346666</v>
      </c>
      <c r="AP265" s="89">
        <f t="shared" si="2300"/>
        <v>0.52902155887230551</v>
      </c>
      <c r="AQ265" s="89">
        <f t="shared" si="2300"/>
        <v>-1.4398047722342733</v>
      </c>
      <c r="AR265" s="89">
        <f t="shared" si="2300"/>
        <v>-5.0801479654747226</v>
      </c>
      <c r="AS265" s="89">
        <f t="shared" si="2300"/>
        <v>-0.69023874282260489</v>
      </c>
      <c r="AT265" s="89">
        <f t="shared" si="2300"/>
        <v>-0.49853658536585443</v>
      </c>
      <c r="AU265" s="89">
        <f t="shared" si="2300"/>
        <v>0.7451361867704307</v>
      </c>
      <c r="AV265" s="89">
        <f t="shared" si="2300"/>
        <v>0.10590858416945403</v>
      </c>
      <c r="AW265" s="89">
        <f t="shared" si="2300"/>
        <v>8.0645161290313627E-3</v>
      </c>
      <c r="AX265" s="89">
        <f t="shared" si="2300"/>
        <v>1.0999999999998344E-2</v>
      </c>
      <c r="AY265" s="89">
        <f t="shared" si="2300"/>
        <v>3.8575667655788681E-2</v>
      </c>
      <c r="AZ265" s="89">
        <f t="shared" si="2300"/>
        <v>-9.7142857142856975E-2</v>
      </c>
      <c r="BA265" s="89">
        <f t="shared" si="2300"/>
        <v>8.4388185654008074E-2</v>
      </c>
      <c r="BB265" s="89">
        <f t="shared" si="2300"/>
        <v>-0.19455252918287913</v>
      </c>
      <c r="BC265" s="89">
        <f t="shared" si="2300"/>
        <v>0.6594202898550714</v>
      </c>
      <c r="BD265" s="89">
        <f t="shared" si="2300"/>
        <v>2.2780203784570601</v>
      </c>
      <c r="BE265" s="89">
        <f t="shared" si="2300"/>
        <v>2.2868561278863497E-2</v>
      </c>
      <c r="BF265" s="89">
        <f t="shared" si="2300"/>
        <v>-0.83286303451269839</v>
      </c>
      <c r="BG265" s="89">
        <f t="shared" si="2300"/>
        <v>3.7194805194805278</v>
      </c>
      <c r="BH265" s="89">
        <f t="shared" si="2300"/>
        <v>-0.57622454595487071</v>
      </c>
      <c r="BI265" s="89">
        <f t="shared" si="2300"/>
        <v>2.1188311688311692</v>
      </c>
      <c r="BJ265" s="89">
        <f t="shared" si="2300"/>
        <v>-0.11763481157609812</v>
      </c>
      <c r="BK265" s="89">
        <f t="shared" si="2300"/>
        <v>-0.52878716375648871</v>
      </c>
      <c r="BL265" s="89">
        <f t="shared" si="2300"/>
        <v>0.5723585378067082</v>
      </c>
      <c r="BM265" s="89">
        <f t="shared" si="2300"/>
        <v>0.32324840764331286</v>
      </c>
      <c r="BN265" s="89">
        <f t="shared" si="2300"/>
        <v>0.40962695547533001</v>
      </c>
      <c r="BO265" s="89">
        <f t="shared" si="2300"/>
        <v>-0.55147686528939699</v>
      </c>
      <c r="BP265" s="89">
        <f t="shared" si="2300"/>
        <v>0.89798248953178583</v>
      </c>
      <c r="BQ265" s="89">
        <f t="shared" si="2300"/>
        <v>0.42077817890092173</v>
      </c>
      <c r="BR265" s="89">
        <f t="shared" si="2300"/>
        <v>5.1948051948051743E-2</v>
      </c>
      <c r="BS265" s="89">
        <f t="shared" si="2300"/>
        <v>-0.37466451959205593</v>
      </c>
      <c r="BT265" s="89">
        <f t="shared" si="2300"/>
        <v>8.433476394849837E-2</v>
      </c>
      <c r="BU265" s="89">
        <f t="shared" si="2300"/>
        <v>0.55986542647931858</v>
      </c>
      <c r="BV265" s="89">
        <f t="shared" si="2300"/>
        <v>0.14729764019284519</v>
      </c>
      <c r="BW265" s="89">
        <f t="shared" si="2300"/>
        <v>-0.18511555899590837</v>
      </c>
      <c r="BX265" s="89">
        <f t="shared" si="2300"/>
        <v>0.36219297055231325</v>
      </c>
      <c r="BY265" s="89">
        <f t="shared" si="2300"/>
        <v>0.11595935445307815</v>
      </c>
      <c r="BZ265" s="89">
        <f t="shared" si="2300"/>
        <v>0.61908587752187083</v>
      </c>
      <c r="CA265" s="89">
        <f t="shared" si="2300"/>
        <v>-0.21425814633070528</v>
      </c>
      <c r="CB265" s="89">
        <f t="shared" si="2300"/>
        <v>0.75117535611536046</v>
      </c>
      <c r="CC265" s="89">
        <f t="shared" si="2300"/>
        <v>-2.0556178874819309E-2</v>
      </c>
      <c r="CD265" s="89">
        <f t="shared" si="2300"/>
        <v>-0.25749703391564049</v>
      </c>
      <c r="CE265" s="89">
        <f t="shared" si="2300"/>
        <v>-0.21962642569838542</v>
      </c>
      <c r="CF265" s="89">
        <f t="shared" si="2300"/>
        <v>1.4491280096024854</v>
      </c>
      <c r="CG265" s="89">
        <f t="shared" si="2300"/>
        <v>-7.6109205177732675E-2</v>
      </c>
      <c r="CH265" s="89">
        <f t="shared" si="2300"/>
        <v>-0.6379068243517334</v>
      </c>
      <c r="CI265" s="89">
        <f t="shared" si="2300"/>
        <v>-9.9017580144778017E-2</v>
      </c>
      <c r="CJ265" s="89">
        <f t="shared" si="2300"/>
        <v>8.235294117647074E-2</v>
      </c>
      <c r="CK265" s="47">
        <f t="shared" si="2300"/>
        <v>0.10807705903145925</v>
      </c>
      <c r="CL265" s="89">
        <f t="shared" si="2300"/>
        <v>8.3579232793684843E-2</v>
      </c>
      <c r="CM265" s="47">
        <f t="shared" si="2300"/>
        <v>-5.3569594848730806E-2</v>
      </c>
      <c r="CN265" s="47">
        <f t="shared" si="2300"/>
        <v>0.1013839681115003</v>
      </c>
      <c r="CO265" s="47">
        <f t="shared" si="2300"/>
        <v>-5.9361511918448739E-2</v>
      </c>
      <c r="CP265" s="47">
        <f t="shared" si="2300"/>
        <v>0.21724505373782987</v>
      </c>
      <c r="CQ265" s="47">
        <f t="shared" si="2300"/>
        <v>-7.4797384037977976E-2</v>
      </c>
      <c r="CR265" s="47">
        <f t="shared" si="2300"/>
        <v>8.7697377641943408E-2</v>
      </c>
      <c r="CS265" s="47">
        <f t="shared" si="2300"/>
        <v>-7.4340495990951938E-2</v>
      </c>
      <c r="CT265" s="47">
        <f t="shared" si="2300"/>
        <v>0.24100108998965575</v>
      </c>
      <c r="CU265" s="47">
        <f t="shared" si="2300"/>
        <v>-7.7735409984429182E-2</v>
      </c>
      <c r="CV265" s="47">
        <f t="shared" si="2300"/>
        <v>8.4198649269433767E-2</v>
      </c>
      <c r="CW265" s="47">
        <f t="shared" si="2300"/>
        <v>-7.5205579144240642E-2</v>
      </c>
      <c r="CX265" s="47">
        <f t="shared" ref="CX265:DB265" si="2301">CX43/CW43-1</f>
        <v>0.24460852778337805</v>
      </c>
      <c r="CY265" s="47">
        <f t="shared" si="2301"/>
        <v>-7.8366192099800114E-2</v>
      </c>
      <c r="CZ265" s="47">
        <f t="shared" si="2301"/>
        <v>8.3517091012431877E-2</v>
      </c>
      <c r="DA265" s="47">
        <f t="shared" si="2301"/>
        <v>-7.5190342987497494E-2</v>
      </c>
      <c r="DB265" s="47">
        <f t="shared" si="2301"/>
        <v>0.24496093962575261</v>
      </c>
      <c r="DE265" s="130"/>
      <c r="DF265" s="89">
        <v>-0.48220131198297933</v>
      </c>
    </row>
    <row r="266" spans="1:110" s="103" customFormat="1" x14ac:dyDescent="0.2">
      <c r="A266" s="147" t="s">
        <v>105</v>
      </c>
      <c r="C266" s="103" t="str">
        <f>IF(C264&gt;C265,"RF",0)</f>
        <v>RF</v>
      </c>
      <c r="D266" s="103" t="str">
        <f t="shared" ref="D266:U266" si="2302">IF(D264&gt;D265,"RF",0)</f>
        <v>RF</v>
      </c>
      <c r="F266" s="103" t="str">
        <f t="shared" si="2302"/>
        <v>RF</v>
      </c>
      <c r="G266" s="103">
        <f t="shared" si="2302"/>
        <v>0</v>
      </c>
      <c r="H266" s="103">
        <f t="shared" si="2302"/>
        <v>0</v>
      </c>
      <c r="I266" s="103">
        <f t="shared" si="2302"/>
        <v>0</v>
      </c>
      <c r="J266" s="103" t="str">
        <f t="shared" si="2302"/>
        <v>RF</v>
      </c>
      <c r="K266" s="103">
        <f t="shared" si="2302"/>
        <v>0</v>
      </c>
      <c r="L266" s="103" t="e">
        <f t="shared" si="2302"/>
        <v>#DIV/0!</v>
      </c>
      <c r="M266" s="103">
        <f t="shared" si="2302"/>
        <v>0</v>
      </c>
      <c r="N266" s="103">
        <f t="shared" si="2302"/>
        <v>0</v>
      </c>
      <c r="O266" s="103" t="str">
        <f t="shared" si="2302"/>
        <v>RF</v>
      </c>
      <c r="P266" s="103">
        <f t="shared" si="2302"/>
        <v>0</v>
      </c>
      <c r="Q266" s="103" t="str">
        <f t="shared" si="2302"/>
        <v>RF</v>
      </c>
      <c r="R266" s="103" t="str">
        <f t="shared" si="2302"/>
        <v>RF</v>
      </c>
      <c r="S266" s="103">
        <f t="shared" si="2302"/>
        <v>0</v>
      </c>
      <c r="T266" s="103" t="e">
        <f t="shared" si="2302"/>
        <v>#DIV/0!</v>
      </c>
      <c r="U266" s="103" t="e">
        <f t="shared" si="2302"/>
        <v>#DIV/0!</v>
      </c>
      <c r="V266" s="103" t="e">
        <f>IF(V264&gt;V265,"RF",0)</f>
        <v>#DIV/0!</v>
      </c>
      <c r="W266" s="103" t="e">
        <f t="shared" ref="W266:AE266" si="2303">IF(W264&gt;W265,"RF",0)</f>
        <v>#DIV/0!</v>
      </c>
      <c r="X266" s="103" t="str">
        <f t="shared" si="2303"/>
        <v>RF</v>
      </c>
      <c r="Y266" s="103">
        <f t="shared" si="2303"/>
        <v>0</v>
      </c>
      <c r="Z266" s="103" t="str">
        <f t="shared" si="2303"/>
        <v>RF</v>
      </c>
      <c r="AA266" s="103" t="str">
        <f t="shared" ref="AA266" si="2304">IF(AA264&gt;AA265,"RF",0)</f>
        <v>RF</v>
      </c>
      <c r="AB266" s="73">
        <f t="shared" si="2303"/>
        <v>0</v>
      </c>
      <c r="AC266" s="73">
        <f t="shared" si="2303"/>
        <v>0</v>
      </c>
      <c r="AD266" s="73">
        <f t="shared" si="2303"/>
        <v>0</v>
      </c>
      <c r="AE266" s="73">
        <f t="shared" si="2303"/>
        <v>0</v>
      </c>
      <c r="AL266" s="103">
        <f t="shared" ref="AL266:CW266" si="2305">IF(AL264&gt;AL265,"RF",0)</f>
        <v>0</v>
      </c>
      <c r="AM266" s="103" t="str">
        <f t="shared" si="2305"/>
        <v>RF</v>
      </c>
      <c r="AN266" s="103" t="str">
        <f t="shared" si="2305"/>
        <v>RF</v>
      </c>
      <c r="AO266" s="103" t="str">
        <f t="shared" si="2305"/>
        <v>RF</v>
      </c>
      <c r="AP266" s="103">
        <f t="shared" si="2305"/>
        <v>0</v>
      </c>
      <c r="AQ266" s="103" t="str">
        <f t="shared" si="2305"/>
        <v>RF</v>
      </c>
      <c r="AR266" s="103" t="str">
        <f t="shared" si="2305"/>
        <v>RF</v>
      </c>
      <c r="AS266" s="103" t="str">
        <f t="shared" si="2305"/>
        <v>RF</v>
      </c>
      <c r="AT266" s="103" t="str">
        <f t="shared" si="2305"/>
        <v>RF</v>
      </c>
      <c r="AU266" s="103">
        <f t="shared" si="2305"/>
        <v>0</v>
      </c>
      <c r="AV266" s="103" t="str">
        <f t="shared" si="2305"/>
        <v>RF</v>
      </c>
      <c r="AW266" s="103">
        <f t="shared" si="2305"/>
        <v>0</v>
      </c>
      <c r="AX266" s="103">
        <f t="shared" si="2305"/>
        <v>0</v>
      </c>
      <c r="AY266" s="103">
        <f t="shared" si="2305"/>
        <v>0</v>
      </c>
      <c r="AZ266" s="103" t="str">
        <f t="shared" si="2305"/>
        <v>RF</v>
      </c>
      <c r="BA266" s="103">
        <f t="shared" si="2305"/>
        <v>0</v>
      </c>
      <c r="BB266" s="103" t="str">
        <f t="shared" si="2305"/>
        <v>RF</v>
      </c>
      <c r="BC266" s="103">
        <f t="shared" si="2305"/>
        <v>0</v>
      </c>
      <c r="BD266" s="103">
        <f t="shared" si="2305"/>
        <v>0</v>
      </c>
      <c r="BE266" s="103" t="e">
        <f t="shared" si="2305"/>
        <v>#DIV/0!</v>
      </c>
      <c r="BF266" s="103" t="e">
        <f t="shared" si="2305"/>
        <v>#DIV/0!</v>
      </c>
      <c r="BG266" s="103" t="e">
        <f t="shared" si="2305"/>
        <v>#DIV/0!</v>
      </c>
      <c r="BH266" s="103" t="e">
        <f t="shared" si="2305"/>
        <v>#DIV/0!</v>
      </c>
      <c r="BI266" s="103" t="e">
        <f t="shared" si="2305"/>
        <v>#DIV/0!</v>
      </c>
      <c r="BJ266" s="103" t="e">
        <f t="shared" si="2305"/>
        <v>#DIV/0!</v>
      </c>
      <c r="BK266" s="103" t="e">
        <f t="shared" si="2305"/>
        <v>#DIV/0!</v>
      </c>
      <c r="BL266" s="103" t="e">
        <f t="shared" si="2305"/>
        <v>#DIV/0!</v>
      </c>
      <c r="BM266" s="103" t="e">
        <f t="shared" si="2305"/>
        <v>#DIV/0!</v>
      </c>
      <c r="BN266" s="103" t="e">
        <f t="shared" si="2305"/>
        <v>#DIV/0!</v>
      </c>
      <c r="BO266" s="103" t="e">
        <f t="shared" si="2305"/>
        <v>#DIV/0!</v>
      </c>
      <c r="BP266" s="103" t="e">
        <f t="shared" si="2305"/>
        <v>#DIV/0!</v>
      </c>
      <c r="BQ266" s="103" t="e">
        <f t="shared" si="2305"/>
        <v>#DIV/0!</v>
      </c>
      <c r="BR266" s="103" t="e">
        <f t="shared" si="2305"/>
        <v>#DIV/0!</v>
      </c>
      <c r="BS266" s="103" t="e">
        <f t="shared" si="2305"/>
        <v>#DIV/0!</v>
      </c>
      <c r="BT266" s="103" t="e">
        <f t="shared" si="2305"/>
        <v>#DIV/0!</v>
      </c>
      <c r="BU266" s="103" t="e">
        <f t="shared" si="2305"/>
        <v>#DIV/0!</v>
      </c>
      <c r="BV266" s="103" t="e">
        <f t="shared" si="2305"/>
        <v>#DIV/0!</v>
      </c>
      <c r="BW266" s="103" t="str">
        <f t="shared" si="2305"/>
        <v>RF</v>
      </c>
      <c r="BX266" s="103" t="str">
        <f t="shared" si="2305"/>
        <v>RF</v>
      </c>
      <c r="BY266" s="103">
        <f t="shared" si="2305"/>
        <v>0</v>
      </c>
      <c r="BZ266" s="103">
        <f t="shared" si="2305"/>
        <v>0</v>
      </c>
      <c r="CA266" s="103" t="str">
        <f t="shared" si="2305"/>
        <v>RF</v>
      </c>
      <c r="CB266" s="103">
        <f t="shared" si="2305"/>
        <v>0</v>
      </c>
      <c r="CC266" s="103" t="str">
        <f t="shared" si="2305"/>
        <v>RF</v>
      </c>
      <c r="CD266" s="103">
        <f t="shared" si="2305"/>
        <v>0</v>
      </c>
      <c r="CE266" s="103" t="str">
        <f t="shared" si="2305"/>
        <v>RF</v>
      </c>
      <c r="CF266" s="103">
        <f t="shared" si="2305"/>
        <v>0</v>
      </c>
      <c r="CG266" s="103" t="str">
        <f t="shared" si="2305"/>
        <v>RF</v>
      </c>
      <c r="CH266" s="103" t="str">
        <f t="shared" si="2305"/>
        <v>RF</v>
      </c>
      <c r="CI266" s="103" t="str">
        <f t="shared" si="2305"/>
        <v>RF</v>
      </c>
      <c r="CJ266" s="103" t="str">
        <f t="shared" si="2305"/>
        <v>RF</v>
      </c>
      <c r="CK266" s="73">
        <f t="shared" si="2305"/>
        <v>0</v>
      </c>
      <c r="CL266" s="103" t="str">
        <f t="shared" ref="CL266" si="2306">IF(CL264&gt;CL265,"RF",0)</f>
        <v>RF</v>
      </c>
      <c r="CM266" s="73" t="str">
        <f t="shared" si="2305"/>
        <v>RF</v>
      </c>
      <c r="CN266" s="73">
        <f t="shared" si="2305"/>
        <v>0</v>
      </c>
      <c r="CO266" s="73" t="str">
        <f t="shared" si="2305"/>
        <v>RF</v>
      </c>
      <c r="CP266" s="73">
        <f t="shared" si="2305"/>
        <v>0</v>
      </c>
      <c r="CQ266" s="73" t="str">
        <f t="shared" si="2305"/>
        <v>RF</v>
      </c>
      <c r="CR266" s="73">
        <f t="shared" si="2305"/>
        <v>0</v>
      </c>
      <c r="CS266" s="73" t="str">
        <f t="shared" si="2305"/>
        <v>RF</v>
      </c>
      <c r="CT266" s="73">
        <f t="shared" si="2305"/>
        <v>0</v>
      </c>
      <c r="CU266" s="73" t="str">
        <f t="shared" si="2305"/>
        <v>RF</v>
      </c>
      <c r="CV266" s="73">
        <f t="shared" si="2305"/>
        <v>0</v>
      </c>
      <c r="CW266" s="73" t="str">
        <f t="shared" si="2305"/>
        <v>RF</v>
      </c>
      <c r="CX266" s="73">
        <f t="shared" ref="CX266:DB266" si="2307">IF(CX264&gt;CX265,"RF",0)</f>
        <v>0</v>
      </c>
      <c r="CY266" s="73" t="str">
        <f t="shared" si="2307"/>
        <v>RF</v>
      </c>
      <c r="CZ266" s="73">
        <f t="shared" si="2307"/>
        <v>0</v>
      </c>
      <c r="DA266" s="73" t="str">
        <f t="shared" si="2307"/>
        <v>RF</v>
      </c>
      <c r="DB266" s="73">
        <f t="shared" si="2307"/>
        <v>0</v>
      </c>
      <c r="DE266" s="142"/>
      <c r="DF266" s="103" t="s">
        <v>534</v>
      </c>
    </row>
    <row r="267" spans="1:110" s="86" customFormat="1" x14ac:dyDescent="0.2">
      <c r="A267" s="86" t="s">
        <v>432</v>
      </c>
      <c r="B267" s="86">
        <f>B51/B23</f>
        <v>4.3542034496214618E-2</v>
      </c>
      <c r="C267" s="86">
        <f>C51/C23</f>
        <v>9.9683875191117474E-2</v>
      </c>
      <c r="D267" s="86">
        <f>D51/D23</f>
        <v>8.4401018575897824E-2</v>
      </c>
      <c r="F267" s="86">
        <f t="shared" ref="F267:AE267" si="2308">F51/F23</f>
        <v>3.6478921954507984E-2</v>
      </c>
      <c r="G267" s="86">
        <f t="shared" si="2308"/>
        <v>3.5449713422884124E-2</v>
      </c>
      <c r="H267" s="86">
        <f t="shared" si="2308"/>
        <v>3.0064575080968332E-2</v>
      </c>
      <c r="I267" s="86">
        <f t="shared" si="2308"/>
        <v>7.5487557793707865E-3</v>
      </c>
      <c r="J267" s="86">
        <f t="shared" si="2308"/>
        <v>7.7187877921262435E-3</v>
      </c>
      <c r="K267" s="86">
        <f t="shared" si="2308"/>
        <v>1.2445213686646977E-2</v>
      </c>
      <c r="L267" s="86">
        <f t="shared" si="2308"/>
        <v>1.6882572235880317E-2</v>
      </c>
      <c r="M267" s="86">
        <f t="shared" si="2308"/>
        <v>1.8274919117741168E-2</v>
      </c>
      <c r="N267" s="86">
        <f t="shared" si="2308"/>
        <v>2.1074690625292845E-2</v>
      </c>
      <c r="O267" s="86">
        <f t="shared" si="2308"/>
        <v>8.2124462412336383E-2</v>
      </c>
      <c r="P267" s="86">
        <f t="shared" si="2308"/>
        <v>6.7541827510487984E-2</v>
      </c>
      <c r="Q267" s="86">
        <f t="shared" si="2308"/>
        <v>7.1702328629240544E-2</v>
      </c>
      <c r="R267" s="86">
        <f t="shared" si="2308"/>
        <v>4.3129899545048256E-2</v>
      </c>
      <c r="S267" s="86">
        <f t="shared" si="2308"/>
        <v>1.4031452863159578E-2</v>
      </c>
      <c r="T267" s="86">
        <f t="shared" si="2308"/>
        <v>9.8691376580252992E-3</v>
      </c>
      <c r="U267" s="86">
        <f t="shared" si="2308"/>
        <v>1.4490846511355944E-2</v>
      </c>
      <c r="V267" s="86">
        <f t="shared" si="2308"/>
        <v>1.7669923311272193E-2</v>
      </c>
      <c r="W267" s="86">
        <f t="shared" si="2308"/>
        <v>1.3168969277917475E-2</v>
      </c>
      <c r="X267" s="86">
        <f t="shared" si="2308"/>
        <v>2.8192089773149569E-2</v>
      </c>
      <c r="Y267" s="86">
        <f t="shared" si="2308"/>
        <v>1.6637869690063829E-2</v>
      </c>
      <c r="Z267" s="86">
        <f t="shared" si="2308"/>
        <v>1.1034419796309928E-2</v>
      </c>
      <c r="AA267" s="86">
        <f t="shared" ref="AA267" si="2309">AA51/AA23</f>
        <v>2.1930438624328748E-2</v>
      </c>
      <c r="AB267" s="87">
        <f t="shared" si="2308"/>
        <v>-4.5335620581368063E-4</v>
      </c>
      <c r="AC267" s="87">
        <f t="shared" si="2308"/>
        <v>4.8351658478943439E-3</v>
      </c>
      <c r="AD267" s="87">
        <f t="shared" si="2308"/>
        <v>8.640356267212157E-3</v>
      </c>
      <c r="AE267" s="87">
        <f t="shared" si="2308"/>
        <v>1.1240957097639255E-2</v>
      </c>
      <c r="AL267" s="86">
        <f t="shared" ref="AL267:CW267" si="2310">AL51/AL23</f>
        <v>6.3037472275185805E-3</v>
      </c>
      <c r="AM267" s="86">
        <f t="shared" si="2310"/>
        <v>7.1464267866066966E-2</v>
      </c>
      <c r="AN267" s="86">
        <f t="shared" si="2310"/>
        <v>8.9947089947089956E-2</v>
      </c>
      <c r="AO267" s="86">
        <f t="shared" si="2310"/>
        <v>6.2679819153308669E-2</v>
      </c>
      <c r="AP267" s="86">
        <f t="shared" si="2310"/>
        <v>0.12941554271034042</v>
      </c>
      <c r="AQ267" s="86">
        <f t="shared" si="2310"/>
        <v>9.7851471275105087E-2</v>
      </c>
      <c r="AR267" s="86">
        <f t="shared" si="2310"/>
        <v>5.0702859912748428E-2</v>
      </c>
      <c r="AS267" s="86">
        <f t="shared" si="2310"/>
        <v>7.3538557213930336E-2</v>
      </c>
      <c r="AT267" s="86">
        <f t="shared" si="2310"/>
        <v>8.258400378608613E-2</v>
      </c>
      <c r="AU267" s="86">
        <f t="shared" si="2310"/>
        <v>0.10137133638074752</v>
      </c>
      <c r="AV267" s="86">
        <f t="shared" si="2310"/>
        <v>0.12327698309492846</v>
      </c>
      <c r="AW267" s="86">
        <f t="shared" si="2310"/>
        <v>0.12954723894268516</v>
      </c>
      <c r="AX267" s="86">
        <f t="shared" si="2310"/>
        <v>4.5258457579656401E-2</v>
      </c>
      <c r="AY267" s="86">
        <f t="shared" si="2310"/>
        <v>5.3059273422562142E-2</v>
      </c>
      <c r="AZ267" s="86">
        <f t="shared" si="2310"/>
        <v>4.1458733205374278E-2</v>
      </c>
      <c r="BA267" s="86">
        <f t="shared" si="2310"/>
        <v>4.8141592920353984E-2</v>
      </c>
      <c r="BB267" s="86">
        <f t="shared" si="2310"/>
        <v>3.3242876526458617E-2</v>
      </c>
      <c r="BC267" s="86">
        <f t="shared" si="2310"/>
        <v>3.1342824951346923E-2</v>
      </c>
      <c r="BD267" s="86">
        <f t="shared" si="2310"/>
        <v>6.5958540346068191E-3</v>
      </c>
      <c r="BE267" s="86">
        <f t="shared" si="2310"/>
        <v>1.4402538752593678E-2</v>
      </c>
      <c r="BF267" s="86">
        <f t="shared" si="2310"/>
        <v>1.7253471735166222E-2</v>
      </c>
      <c r="BG267" s="86">
        <f t="shared" si="2310"/>
        <v>1.0178952552946971E-2</v>
      </c>
      <c r="BH267" s="86">
        <f t="shared" si="2310"/>
        <v>1.2008733624454147E-2</v>
      </c>
      <c r="BI267" s="86">
        <f t="shared" si="2310"/>
        <v>8.4009682471878119E-3</v>
      </c>
      <c r="BJ267" s="86">
        <f t="shared" si="2310"/>
        <v>1.4990328820116054E-2</v>
      </c>
      <c r="BK267" s="86">
        <f t="shared" si="2310"/>
        <v>1.2665515256188831E-2</v>
      </c>
      <c r="BL267" s="86">
        <f t="shared" si="2310"/>
        <v>1.4266220071951372E-2</v>
      </c>
      <c r="BM267" s="86">
        <f t="shared" si="2310"/>
        <v>8.6795252225519287E-3</v>
      </c>
      <c r="BN267" s="86">
        <f t="shared" si="2310"/>
        <v>2.3600995667004705E-2</v>
      </c>
      <c r="BO267" s="86">
        <f t="shared" si="2310"/>
        <v>3.0278526504941599E-2</v>
      </c>
      <c r="BP267" s="86">
        <f t="shared" si="2310"/>
        <v>2.9564522572912505E-2</v>
      </c>
      <c r="BQ267" s="86">
        <f t="shared" si="2310"/>
        <v>1.7128907031656461E-2</v>
      </c>
      <c r="BR267" s="86">
        <f t="shared" si="2310"/>
        <v>1.3075043870212986E-2</v>
      </c>
      <c r="BS267" s="86">
        <f t="shared" si="2310"/>
        <v>2.5153105861767278E-2</v>
      </c>
      <c r="BT267" s="86">
        <f t="shared" si="2310"/>
        <v>1.9953355791655868E-2</v>
      </c>
      <c r="BU267" s="86">
        <f t="shared" si="2310"/>
        <v>1.4333344790843158E-2</v>
      </c>
      <c r="BV267" s="86">
        <f t="shared" si="2310"/>
        <v>9.4842535699758077E-3</v>
      </c>
      <c r="BW267" s="86">
        <f t="shared" si="2310"/>
        <v>2.5269554262847826E-2</v>
      </c>
      <c r="BX267" s="86">
        <f t="shared" si="2310"/>
        <v>3.111111111111111E-2</v>
      </c>
      <c r="BY267" s="86">
        <f t="shared" si="2310"/>
        <v>3.9943159798475653E-2</v>
      </c>
      <c r="BZ267" s="86">
        <f t="shared" si="2310"/>
        <v>2.8706858807180522E-2</v>
      </c>
      <c r="CA267" s="86">
        <f t="shared" si="2310"/>
        <v>2.1595985380286595E-2</v>
      </c>
      <c r="CB267" s="86">
        <f t="shared" si="2310"/>
        <v>2.7846796606114149E-2</v>
      </c>
      <c r="CC267" s="86">
        <f t="shared" si="2310"/>
        <v>1.4664981036662451E-2</v>
      </c>
      <c r="CD267" s="86">
        <f t="shared" si="2310"/>
        <v>7.3034649553411074E-3</v>
      </c>
      <c r="CE267" s="86">
        <f t="shared" si="2310"/>
        <v>1.2441078741982844E-2</v>
      </c>
      <c r="CF267" s="86">
        <f t="shared" si="2310"/>
        <v>9.2870059416171533E-3</v>
      </c>
      <c r="CG267" s="86">
        <f t="shared" si="2310"/>
        <v>1.4473479435774818E-2</v>
      </c>
      <c r="CH267" s="86">
        <f t="shared" si="2310"/>
        <v>1.3377722742128662E-2</v>
      </c>
      <c r="CI267" s="86">
        <f t="shared" si="2310"/>
        <v>1.5448924161578026E-2</v>
      </c>
      <c r="CJ267" s="86">
        <f t="shared" si="2310"/>
        <v>2.266411635208777E-2</v>
      </c>
      <c r="CK267" s="87">
        <f t="shared" si="2310"/>
        <v>3.4302730296233271E-2</v>
      </c>
      <c r="CL267" s="86">
        <f t="shared" ref="CL267" si="2311">CL51/CL23</f>
        <v>2.8342681665778836E-2</v>
      </c>
      <c r="CM267" s="87">
        <f t="shared" si="2310"/>
        <v>-7.3661077300007372E-3</v>
      </c>
      <c r="CN267" s="87">
        <f t="shared" si="2310"/>
        <v>-2.7305031513288463E-4</v>
      </c>
      <c r="CO267" s="87">
        <f t="shared" si="2310"/>
        <v>-9.5407599809937201E-4</v>
      </c>
      <c r="CP267" s="87">
        <f t="shared" si="2310"/>
        <v>5.3260025400275312E-3</v>
      </c>
      <c r="CQ267" s="87">
        <f t="shared" si="2310"/>
        <v>-1.8492783118639661E-3</v>
      </c>
      <c r="CR267" s="87">
        <f t="shared" si="2310"/>
        <v>5.384956815327413E-3</v>
      </c>
      <c r="CS267" s="87">
        <f t="shared" si="2310"/>
        <v>4.8297074273708088E-3</v>
      </c>
      <c r="CT267" s="87">
        <f t="shared" si="2310"/>
        <v>9.7157212338890922E-3</v>
      </c>
      <c r="CU267" s="87">
        <f t="shared" si="2310"/>
        <v>2.6526638252966908E-3</v>
      </c>
      <c r="CV267" s="87">
        <f t="shared" si="2310"/>
        <v>9.2864904485742035E-3</v>
      </c>
      <c r="CW267" s="87">
        <f t="shared" si="2310"/>
        <v>8.8132545304519336E-3</v>
      </c>
      <c r="CX267" s="87">
        <f t="shared" ref="CX267:DB267" si="2312">CX51/CX23</f>
        <v>1.273791360914088E-2</v>
      </c>
      <c r="CY267" s="87">
        <f t="shared" si="2312"/>
        <v>5.7447985522844427E-3</v>
      </c>
      <c r="CZ267" s="87">
        <f t="shared" si="2312"/>
        <v>1.1952039485932217E-2</v>
      </c>
      <c r="DA267" s="87">
        <f t="shared" si="2312"/>
        <v>1.1530696251930577E-2</v>
      </c>
      <c r="DB267" s="87">
        <f t="shared" si="2312"/>
        <v>1.4796061039810335E-2</v>
      </c>
      <c r="DE267" s="141"/>
      <c r="DF267" s="86">
        <v>2.5310378556397589E-2</v>
      </c>
    </row>
    <row r="268" spans="1:110" s="86" customFormat="1" x14ac:dyDescent="0.2">
      <c r="A268" s="86" t="s">
        <v>433</v>
      </c>
      <c r="B268" s="86">
        <f>B47/B23</f>
        <v>2.3862962416006335E-2</v>
      </c>
      <c r="C268" s="86">
        <f>C47/C23</f>
        <v>7.0653375222446732E-2</v>
      </c>
      <c r="D268" s="86">
        <f>D47/D23</f>
        <v>0.10207314757561374</v>
      </c>
      <c r="F268" s="86">
        <f t="shared" ref="F268:AE268" si="2313">F47/F23</f>
        <v>4.554734663460204E-2</v>
      </c>
      <c r="G268" s="86">
        <f t="shared" si="2313"/>
        <v>4.3463550763636276E-2</v>
      </c>
      <c r="H268" s="86">
        <f t="shared" si="2313"/>
        <v>4.204668564262911E-2</v>
      </c>
      <c r="I268" s="86">
        <f t="shared" si="2313"/>
        <v>5.4707342406034962E-2</v>
      </c>
      <c r="J268" s="86">
        <f t="shared" si="2313"/>
        <v>4.1683326517999317E-2</v>
      </c>
      <c r="K268" s="86">
        <f t="shared" si="2313"/>
        <v>5.4360410410202398E-2</v>
      </c>
      <c r="L268" s="86">
        <f t="shared" si="2313"/>
        <v>4.7652359910808184E-2</v>
      </c>
      <c r="M268" s="86">
        <f t="shared" si="2313"/>
        <v>4.4450541123949569E-2</v>
      </c>
      <c r="N268" s="86">
        <f t="shared" si="2313"/>
        <v>2.6895617917229536E-2</v>
      </c>
      <c r="O268" s="86">
        <f t="shared" si="2313"/>
        <v>0.14555959458597875</v>
      </c>
      <c r="P268" s="86">
        <f t="shared" si="2313"/>
        <v>7.2236604789338951E-2</v>
      </c>
      <c r="Q268" s="86">
        <f t="shared" si="2313"/>
        <v>6.4125247577357769E-2</v>
      </c>
      <c r="R268" s="86">
        <f t="shared" si="2313"/>
        <v>5.0940902370260596E-2</v>
      </c>
      <c r="S268" s="86">
        <f t="shared" si="2313"/>
        <v>2.6528629209200523E-2</v>
      </c>
      <c r="T268" s="86">
        <f t="shared" si="2313"/>
        <v>3.484664105167623E-2</v>
      </c>
      <c r="U268" s="86">
        <f t="shared" si="2313"/>
        <v>4.6038383611824142E-2</v>
      </c>
      <c r="V268" s="86">
        <f t="shared" si="2313"/>
        <v>3.538536961165388E-2</v>
      </c>
      <c r="W268" s="86">
        <f t="shared" si="2313"/>
        <v>3.5059225546233697E-2</v>
      </c>
      <c r="X268" s="86">
        <f t="shared" si="2313"/>
        <v>3.3438248783539265E-2</v>
      </c>
      <c r="Y268" s="86">
        <f t="shared" si="2313"/>
        <v>2.9857533611626678E-2</v>
      </c>
      <c r="Z268" s="86">
        <f t="shared" si="2313"/>
        <v>4.2761727829721131E-2</v>
      </c>
      <c r="AA268" s="86">
        <f t="shared" ref="AA268" si="2314">AA47/AA23</f>
        <v>7.8074150472599205E-2</v>
      </c>
      <c r="AB268" s="87">
        <f t="shared" si="2313"/>
        <v>0.11671217780522981</v>
      </c>
      <c r="AC268" s="87">
        <f t="shared" si="2313"/>
        <v>8.4576969601209001E-2</v>
      </c>
      <c r="AD268" s="87">
        <f t="shared" si="2313"/>
        <v>6.128898803390951E-2</v>
      </c>
      <c r="AE268" s="87">
        <f t="shared" si="2313"/>
        <v>4.4412723396205042E-2</v>
      </c>
      <c r="AL268" s="86">
        <f t="shared" ref="AL268:CW268" si="2315">AL47/AL23</f>
        <v>1.2062726176115802E-2</v>
      </c>
      <c r="AM268" s="86">
        <f t="shared" si="2315"/>
        <v>0.24887556221889057</v>
      </c>
      <c r="AN268" s="86">
        <f t="shared" si="2315"/>
        <v>0.16666666666666666</v>
      </c>
      <c r="AO268" s="86">
        <f t="shared" si="2315"/>
        <v>0.10131524866420058</v>
      </c>
      <c r="AP268" s="86">
        <f t="shared" si="2315"/>
        <v>0.15831727681438665</v>
      </c>
      <c r="AQ268" s="86">
        <f t="shared" si="2315"/>
        <v>0.11653432975245212</v>
      </c>
      <c r="AR268" s="86">
        <f t="shared" si="2315"/>
        <v>4.8763936015511392E-2</v>
      </c>
      <c r="AS268" s="86">
        <f t="shared" si="2315"/>
        <v>7.1983830845771146E-2</v>
      </c>
      <c r="AT268" s="86">
        <f t="shared" si="2315"/>
        <v>0.10009465215333649</v>
      </c>
      <c r="AU268" s="86">
        <f t="shared" si="2315"/>
        <v>0.12126915837590752</v>
      </c>
      <c r="AV268" s="86">
        <f t="shared" si="2315"/>
        <v>0.1211963589076723</v>
      </c>
      <c r="AW268" s="86">
        <f t="shared" si="2315"/>
        <v>0.10677833028003139</v>
      </c>
      <c r="AX268" s="86">
        <f t="shared" si="2315"/>
        <v>3.1257095284946641E-2</v>
      </c>
      <c r="AY268" s="86">
        <f t="shared" si="2315"/>
        <v>4.7681644359464627E-2</v>
      </c>
      <c r="AZ268" s="86">
        <f t="shared" si="2315"/>
        <v>5.28470889315419E-2</v>
      </c>
      <c r="BA268" s="86">
        <f t="shared" si="2315"/>
        <v>5.0501474926253689E-2</v>
      </c>
      <c r="BB268" s="86">
        <f t="shared" si="2315"/>
        <v>5.3595658073270019E-2</v>
      </c>
      <c r="BC268" s="86">
        <f t="shared" si="2315"/>
        <v>3.7590904435112156E-2</v>
      </c>
      <c r="BD268" s="86">
        <f t="shared" si="2315"/>
        <v>3.0323796470789789E-2</v>
      </c>
      <c r="BE268" s="86">
        <f t="shared" si="2315"/>
        <v>2.6608080068351032E-2</v>
      </c>
      <c r="BF268" s="86">
        <f t="shared" si="2315"/>
        <v>3.4366671342404266E-2</v>
      </c>
      <c r="BG268" s="86">
        <f t="shared" si="2315"/>
        <v>3.833524872763093E-2</v>
      </c>
      <c r="BH268" s="86">
        <f t="shared" si="2315"/>
        <v>5.0813815005954742E-2</v>
      </c>
      <c r="BI268" s="86">
        <f t="shared" si="2315"/>
        <v>3.7590773173857332E-2</v>
      </c>
      <c r="BJ268" s="86">
        <f t="shared" si="2315"/>
        <v>3.737220226581929E-2</v>
      </c>
      <c r="BK268" s="86">
        <f t="shared" si="2315"/>
        <v>5.8606793321819228E-2</v>
      </c>
      <c r="BL268" s="86">
        <f t="shared" si="2315"/>
        <v>7.195137079766778E-2</v>
      </c>
      <c r="BM268" s="86">
        <f t="shared" si="2315"/>
        <v>4.458456973293768E-2</v>
      </c>
      <c r="BN268" s="86">
        <f t="shared" si="2315"/>
        <v>4.7063704250023049E-2</v>
      </c>
      <c r="BO268" s="86">
        <f t="shared" si="2315"/>
        <v>6.4420485175202144E-2</v>
      </c>
      <c r="BP268" s="86">
        <f t="shared" si="2315"/>
        <v>5.9928086296444263E-2</v>
      </c>
      <c r="BQ268" s="86">
        <f t="shared" si="2315"/>
        <v>3.0535878656901591E-2</v>
      </c>
      <c r="BR268" s="86">
        <f t="shared" si="2315"/>
        <v>2.7560816158001586E-2</v>
      </c>
      <c r="BS268" s="86">
        <f t="shared" si="2315"/>
        <v>6.6127150772820067E-2</v>
      </c>
      <c r="BT268" s="86">
        <f t="shared" si="2315"/>
        <v>6.2775330396475773E-2</v>
      </c>
      <c r="BU268" s="86">
        <f t="shared" si="2315"/>
        <v>3.3960059120750695E-2</v>
      </c>
      <c r="BV268" s="86">
        <f t="shared" si="2315"/>
        <v>2.4920250915241172E-2</v>
      </c>
      <c r="BW268" s="86">
        <f t="shared" si="2315"/>
        <v>5.0131535069843268E-2</v>
      </c>
      <c r="BX268" s="86">
        <f t="shared" si="2315"/>
        <v>3.7570738440303654E-2</v>
      </c>
      <c r="BY268" s="86">
        <f t="shared" si="2315"/>
        <v>3.9400594238470484E-2</v>
      </c>
      <c r="BZ268" s="86">
        <f t="shared" si="2315"/>
        <v>2.9106622756086883E-2</v>
      </c>
      <c r="CA268" s="86">
        <f t="shared" si="2315"/>
        <v>2.2785287463015606E-2</v>
      </c>
      <c r="CB268" s="86">
        <f t="shared" si="2315"/>
        <v>3.012901919643679E-2</v>
      </c>
      <c r="CC268" s="86">
        <f t="shared" si="2315"/>
        <v>3.0965023177412555E-2</v>
      </c>
      <c r="CD268" s="86">
        <f t="shared" si="2315"/>
        <v>5.8739014870333554E-2</v>
      </c>
      <c r="CE268" s="86">
        <f t="shared" si="2315"/>
        <v>5.5173479638358697E-2</v>
      </c>
      <c r="CF268" s="86">
        <f t="shared" si="2315"/>
        <v>3.8220098165848621E-2</v>
      </c>
      <c r="CG268" s="86">
        <f t="shared" si="2315"/>
        <v>4.3194069127488292E-2</v>
      </c>
      <c r="CH268" s="86">
        <f t="shared" si="2315"/>
        <v>5.9600901321532243E-2</v>
      </c>
      <c r="CI268" s="86">
        <f t="shared" si="2315"/>
        <v>8.4699400920771301E-2</v>
      </c>
      <c r="CJ268" s="86">
        <f t="shared" si="2315"/>
        <v>8.5820491537045726E-2</v>
      </c>
      <c r="CK268" s="87">
        <f t="shared" si="2315"/>
        <v>0.10358496403434141</v>
      </c>
      <c r="CL268" s="86">
        <f t="shared" ref="CL268" si="2316">CL47/CL23</f>
        <v>8.7205840879892207E-2</v>
      </c>
      <c r="CM268" s="87">
        <f t="shared" si="2315"/>
        <v>0.13531044872843412</v>
      </c>
      <c r="CN268" s="87">
        <f t="shared" si="2315"/>
        <v>0.11925940759298807</v>
      </c>
      <c r="CO268" s="87">
        <f t="shared" si="2315"/>
        <v>0.12313564372917164</v>
      </c>
      <c r="CP268" s="87">
        <f t="shared" si="2315"/>
        <v>9.445611437428654E-2</v>
      </c>
      <c r="CQ268" s="87">
        <f t="shared" si="2315"/>
        <v>9.8030944403331002E-2</v>
      </c>
      <c r="CR268" s="87">
        <f t="shared" si="2315"/>
        <v>8.641576179259422E-2</v>
      </c>
      <c r="CS268" s="87">
        <f t="shared" si="2315"/>
        <v>8.9238627499518594E-2</v>
      </c>
      <c r="CT268" s="87">
        <f t="shared" si="2315"/>
        <v>6.846264558902479E-2</v>
      </c>
      <c r="CU268" s="87">
        <f t="shared" si="2315"/>
        <v>7.1022165922319441E-2</v>
      </c>
      <c r="CV268" s="87">
        <f t="shared" si="2315"/>
        <v>6.2616558262354613E-2</v>
      </c>
      <c r="CW268" s="87">
        <f t="shared" si="2315"/>
        <v>6.4671798962042698E-2</v>
      </c>
      <c r="CX268" s="87">
        <f t="shared" ref="CX268:DB268" si="2317">CX47/CX23</f>
        <v>4.9621274697716697E-2</v>
      </c>
      <c r="CY268" s="87">
        <f t="shared" si="2317"/>
        <v>5.1454523571265363E-2</v>
      </c>
      <c r="CZ268" s="87">
        <f t="shared" si="2317"/>
        <v>4.5371330369025888E-2</v>
      </c>
      <c r="DA268" s="87">
        <f t="shared" si="2317"/>
        <v>4.6867335654279862E-2</v>
      </c>
      <c r="DB268" s="87">
        <f t="shared" si="2317"/>
        <v>3.5964430824204405E-2</v>
      </c>
      <c r="DE268" s="141"/>
      <c r="DF268" s="86">
        <v>9.0078205973805711E-2</v>
      </c>
    </row>
    <row r="269" spans="1:110" s="85" customFormat="1" x14ac:dyDescent="0.2">
      <c r="AB269" s="58"/>
      <c r="AC269" s="58"/>
      <c r="AD269" s="58"/>
      <c r="AE269" s="58"/>
      <c r="CK269" s="72"/>
      <c r="CM269" s="72"/>
      <c r="CN269" s="72"/>
      <c r="CO269" s="72"/>
      <c r="CP269" s="72"/>
      <c r="CQ269" s="72"/>
      <c r="CR269" s="72"/>
      <c r="CS269" s="72"/>
      <c r="CT269" s="72"/>
      <c r="CU269" s="72"/>
      <c r="CV269" s="72"/>
      <c r="CW269" s="72"/>
      <c r="CX269" s="72"/>
      <c r="CY269" s="72"/>
      <c r="CZ269" s="72"/>
      <c r="DA269" s="72"/>
      <c r="DB269" s="72"/>
      <c r="DE269" s="143"/>
    </row>
  </sheetData>
  <sortState xmlns:xlrd2="http://schemas.microsoft.com/office/spreadsheetml/2017/richdata2" ref="A35:DE40">
    <sortCondition ref="A35:A4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132406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Avantel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4.5250000000000004</v>
      </c>
      <c r="D6">
        <f>_xll.EQNXTDZ($A$1,$B6,D$1,$B$1)</f>
        <v>2.7490000000000001</v>
      </c>
      <c r="E6">
        <f>_xll.EQNXTDZ($A$1,$B6,E$1,$B$1)</f>
        <v>9.9740000000000002</v>
      </c>
      <c r="F6">
        <f>_xll.EQNXTDZ($A$1,$B6,F$1,$B$1)</f>
        <v>25.699000000000002</v>
      </c>
      <c r="G6">
        <f>_xll.EQNXTDZ($A$1,$B6,G$1,$B$1)</f>
        <v>2.0009999999999999</v>
      </c>
      <c r="H6">
        <f>_xll.EQNXTDZ($A$1,$B6,H$1,$B$1)</f>
        <v>3.024</v>
      </c>
      <c r="I6">
        <f>_xll.EQNXTDZ($A$1,$B6,I$1,$B$1)</f>
        <v>4.8659999999999997</v>
      </c>
      <c r="J6">
        <f>_xll.EQNXTDZ($A$1,$B6,J$1,$B$1)</f>
        <v>3.1139999999999999</v>
      </c>
      <c r="K6">
        <f>_xll.EQNXTDZ($A$1,$B6,K$1,$B$1)</f>
        <v>4.282</v>
      </c>
      <c r="L6">
        <f>_xll.EQNXTDZ($A$1,$B6,L$1,$B$1)</f>
        <v>10.315</v>
      </c>
      <c r="M6">
        <f>_xll.EQNXTDZ($A$1,$B6,M$1,$B$1)</f>
        <v>6.4320000000000004</v>
      </c>
      <c r="N6">
        <f>_xll.EQNXTDZ($A$1,$B6,N$1,$B$1)</f>
        <v>4.226</v>
      </c>
      <c r="O6">
        <f>_xll.EQNXTDZ($A$1,$B6,O$1,$B$1)</f>
        <v>3.7189999999999999</v>
      </c>
      <c r="P6">
        <f>_xll.EQNXTDZ($A$1,$B6,P$1,$B$1)</f>
        <v>3.8450000000000002</v>
      </c>
      <c r="Q6">
        <f>_xll.EQNXTDZ($A$1,$B6,Q$1,$B$1)</f>
        <v>3.8210000000000002</v>
      </c>
      <c r="R6">
        <f>_xll.EQNXTDZ($A$1,$B6,R$1,$B$1)</f>
        <v>13.212999999999999</v>
      </c>
      <c r="S6">
        <f>_xll.EQNXTDZ($A$1,$B6,S$1,$B$1)</f>
        <v>8.3680000000000003</v>
      </c>
      <c r="T6">
        <f>_xll.EQNXTDZ($A$1,$B6,T$1,$B$1)</f>
        <v>7.8150000000000004</v>
      </c>
      <c r="U6">
        <f>_xll.EQNXTDZ($A$1,$B6,U$1,$B$1)</f>
        <v>8.4749999999999996</v>
      </c>
      <c r="V6">
        <f>_xll.EQNXTDZ($A$1,$B6,V$1,$B$1)</f>
        <v>10.318</v>
      </c>
      <c r="W6">
        <f>_xll.EQNXTDZ($A$1,$B6,W$1,$B$1)</f>
        <v>9.7629999999999999</v>
      </c>
      <c r="X6">
        <f>_xll.EQNXTDZ($A$1,$B6,X$1,$B$1)</f>
        <v>11.673999999999999</v>
      </c>
      <c r="Y6">
        <f>_xll.EQNXTDZ($A$1,$B6,Y$1,$B$1)</f>
        <v>16.385999999999999</v>
      </c>
      <c r="Z6">
        <f>_xll.EQNXTDZ($A$1,$B6,Z$1,$B$1)</f>
        <v>14.257999999999999</v>
      </c>
      <c r="AA6">
        <f>_xll.EQNXTDZ($A$1,$B6,AA$1,$B$1)</f>
        <v>12.182</v>
      </c>
      <c r="AB6">
        <f>_xll.EQNXTDZ($A$1,$B6,AB$1,$B$1)</f>
        <v>10.076000000000001</v>
      </c>
      <c r="AC6">
        <f>_xll.EQNXTDZ($A$1,$B6,AC$1,$B$1)</f>
        <v>14.045999999999999</v>
      </c>
      <c r="AD6">
        <f>_xll.EQNXTDZ($A$1,$B6,AD$1,$B$1)</f>
        <v>14.476000000000001</v>
      </c>
      <c r="AE6">
        <f>_xll.EQNXTDZ($A$1,$B6,AE$1,$B$1)</f>
        <v>8.6850000000000005</v>
      </c>
      <c r="AF6">
        <f>_xll.EQNXTDZ($A$1,$B6,AF$1,$B$1)</f>
        <v>8.0609999999999999</v>
      </c>
      <c r="AG6">
        <f>_xll.EQNXTDZ($A$1,$B6,AG$1,$B$1)</f>
        <v>13.48</v>
      </c>
      <c r="AH6">
        <f>_xll.EQNXTDZ($A$1,$B6,AH$1,$B$1)</f>
        <v>21.693999999999999</v>
      </c>
      <c r="AI6">
        <f>_xll.EQNXTDZ($A$1,$B6,AI$1,$B$1)</f>
        <v>11.13</v>
      </c>
      <c r="AJ6">
        <f>_xll.EQNXTDZ($A$1,$B6,AJ$1,$B$1)</f>
        <v>12.515000000000001</v>
      </c>
      <c r="AK6">
        <f>_xll.EQNXTDZ($A$1,$B6,AK$1,$B$1)</f>
        <v>24.986999999999998</v>
      </c>
      <c r="AL6">
        <f>_xll.EQNXTDZ($A$1,$B6,AL$1,$B$1)</f>
        <v>29.062999999999999</v>
      </c>
      <c r="AM6">
        <f>_xll.EQNXTDZ($A$1,$B6,AM$1,$B$1)</f>
        <v>13.715999999999999</v>
      </c>
      <c r="AN6">
        <f>_xll.EQNXTDZ($A$1,$B6,AN$1,$B$1)</f>
        <v>15.436</v>
      </c>
      <c r="AO6">
        <f>_xll.EQNXTDZ($A$1,$B6,AO$1,$B$1)</f>
        <v>29.093</v>
      </c>
      <c r="AP6">
        <f>_xll.EQNXTDZ($A$1,$B6,AP$1,$B$1)</f>
        <v>46.709000000000003</v>
      </c>
      <c r="AQ6">
        <f>_xll.EQNXTDZ($A$1,$B6,AQ$1,$B$1)</f>
        <v>26.989000000000001</v>
      </c>
      <c r="AR6">
        <f>_xll.EQNXTDZ($A$1,$B6,AR$1,$B$1)</f>
        <v>36.225000000000001</v>
      </c>
      <c r="AS6">
        <f>_xll.EQNXTDZ($A$1,$B6,AS$1,$B$1)</f>
        <v>38.704999999999998</v>
      </c>
      <c r="AT6">
        <f>_xll.EQNXTDZ($A$1,$B6,AT$1,$B$1)</f>
        <v>52.530999999999999</v>
      </c>
      <c r="AU6">
        <f>_xll.EQNXTDZ($A$1,$B6,AU$1,$B$1)</f>
        <v>68.947999999999993</v>
      </c>
      <c r="AV6">
        <f>_xll.EQNXTDZ($A$1,$B6,AV$1,$B$1)</f>
        <v>54.332999999999998</v>
      </c>
      <c r="AW6">
        <f>_xll.EQNXTDZ($A$1,$B6,AW$1,$B$1)</f>
        <v>59.325000000000003</v>
      </c>
      <c r="AX6">
        <f>_xll.EQNXTDZ($A$1,$B6,AX$1,$B$1)</f>
        <v>41.761000000000003</v>
      </c>
      <c r="AY6">
        <f>_xll.EQNXTDZ($A$1,$B6,AY$1,$B$1)</f>
        <v>51.764000000000003</v>
      </c>
      <c r="AZ6">
        <f>_xll.EQNXTDZ($A$1,$B6,AZ$1,$B$1)</f>
        <v>77.42</v>
      </c>
      <c r="BA6">
        <f>_xll.EQNXTDZ($A$1,$B6,BA$1,$B$1)</f>
        <v>70.680999999999997</v>
      </c>
      <c r="BB6">
        <f>_xll.EQNXTDZ($A$1,$B6,BB$1,$B$1)</f>
        <v>49.261000000000003</v>
      </c>
      <c r="BC6">
        <f>_xll.EQNXTDZ($A$1,$B6,BC$1,$B$1)</f>
        <v>51.912999999999997</v>
      </c>
      <c r="BD6">
        <f>_xll.EQNXTDZ($A$1,$B6,BD$1,$B$1)</f>
        <v>55.417999999999999</v>
      </c>
      <c r="BE6">
        <f>_xll.EQNXTDZ($A$1,$B6,BE$1,$B$1)</f>
        <v>51.716000000000001</v>
      </c>
      <c r="BF6">
        <f>_xll.EQNXTDZ($A$1,$B6,BF$1,$B$1)</f>
        <v>63.826000000000001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4.5250000000000004</v>
      </c>
      <c r="D9">
        <f>_xll.EQNXTDZ($A$1,$B9,D$1,$B$1)</f>
        <v>2.7490000000000001</v>
      </c>
      <c r="E9">
        <f>_xll.EQNXTDZ($A$1,$B9,E$1,$B$1)</f>
        <v>9.9740000000000002</v>
      </c>
      <c r="F9">
        <f>_xll.EQNXTDZ($A$1,$B9,F$1,$B$1)</f>
        <v>25.699000000000002</v>
      </c>
      <c r="G9">
        <f>_xll.EQNXTDZ($A$1,$B9,G$1,$B$1)</f>
        <v>2.0009999999999999</v>
      </c>
      <c r="H9">
        <f>_xll.EQNXTDZ($A$1,$B9,H$1,$B$1)</f>
        <v>3.024</v>
      </c>
      <c r="I9">
        <f>_xll.EQNXTDZ($A$1,$B9,I$1,$B$1)</f>
        <v>4.8659999999999997</v>
      </c>
      <c r="J9">
        <f>_xll.EQNXTDZ($A$1,$B9,J$1,$B$1)</f>
        <v>3.1139999999999999</v>
      </c>
      <c r="K9">
        <f>_xll.EQNXTDZ($A$1,$B9,K$1,$B$1)</f>
        <v>4.282</v>
      </c>
      <c r="L9">
        <f>_xll.EQNXTDZ($A$1,$B9,L$1,$B$1)</f>
        <v>10.315</v>
      </c>
      <c r="M9">
        <f>_xll.EQNXTDZ($A$1,$B9,M$1,$B$1)</f>
        <v>6.4320000000000004</v>
      </c>
      <c r="N9">
        <f>_xll.EQNXTDZ($A$1,$B9,N$1,$B$1)</f>
        <v>4.226</v>
      </c>
      <c r="O9">
        <f>_xll.EQNXTDZ($A$1,$B9,O$1,$B$1)</f>
        <v>3.7189999999999999</v>
      </c>
      <c r="P9">
        <f>_xll.EQNXTDZ($A$1,$B9,P$1,$B$1)</f>
        <v>3.8450000000000002</v>
      </c>
      <c r="Q9">
        <f>_xll.EQNXTDZ($A$1,$B9,Q$1,$B$1)</f>
        <v>3.8210000000000002</v>
      </c>
      <c r="R9">
        <f>_xll.EQNXTDZ($A$1,$B9,R$1,$B$1)</f>
        <v>13.212999999999999</v>
      </c>
      <c r="S9">
        <f>_xll.EQNXTDZ($A$1,$B9,S$1,$B$1)</f>
        <v>8.3680000000000003</v>
      </c>
      <c r="T9">
        <f>_xll.EQNXTDZ($A$1,$B9,T$1,$B$1)</f>
        <v>7.8150000000000004</v>
      </c>
      <c r="U9">
        <f>_xll.EQNXTDZ($A$1,$B9,U$1,$B$1)</f>
        <v>8.4749999999999996</v>
      </c>
      <c r="V9">
        <f>_xll.EQNXTDZ($A$1,$B9,V$1,$B$1)</f>
        <v>10.318</v>
      </c>
      <c r="W9">
        <f>_xll.EQNXTDZ($A$1,$B9,W$1,$B$1)</f>
        <v>9.7629999999999999</v>
      </c>
      <c r="X9">
        <f>_xll.EQNXTDZ($A$1,$B9,X$1,$B$1)</f>
        <v>11.673999999999999</v>
      </c>
      <c r="Y9">
        <f>_xll.EQNXTDZ($A$1,$B9,Y$1,$B$1)</f>
        <v>16.385999999999999</v>
      </c>
      <c r="Z9">
        <f>_xll.EQNXTDZ($A$1,$B9,Z$1,$B$1)</f>
        <v>14.257999999999999</v>
      </c>
      <c r="AA9">
        <f>_xll.EQNXTDZ($A$1,$B9,AA$1,$B$1)</f>
        <v>12.182</v>
      </c>
      <c r="AB9">
        <f>_xll.EQNXTDZ($A$1,$B9,AB$1,$B$1)</f>
        <v>10.076000000000001</v>
      </c>
      <c r="AC9">
        <f>_xll.EQNXTDZ($A$1,$B9,AC$1,$B$1)</f>
        <v>14.045999999999999</v>
      </c>
      <c r="AD9">
        <f>_xll.EQNXTDZ($A$1,$B9,AD$1,$B$1)</f>
        <v>14.476000000000001</v>
      </c>
      <c r="AE9">
        <f>_xll.EQNXTDZ($A$1,$B9,AE$1,$B$1)</f>
        <v>8.6850000000000005</v>
      </c>
      <c r="AF9">
        <f>_xll.EQNXTDZ($A$1,$B9,AF$1,$B$1)</f>
        <v>8.0609999999999999</v>
      </c>
      <c r="AG9">
        <f>_xll.EQNXTDZ($A$1,$B9,AG$1,$B$1)</f>
        <v>13.48</v>
      </c>
      <c r="AH9">
        <f>_xll.EQNXTDZ($A$1,$B9,AH$1,$B$1)</f>
        <v>21.693999999999999</v>
      </c>
      <c r="AI9">
        <f>_xll.EQNXTDZ($A$1,$B9,AI$1,$B$1)</f>
        <v>11.13</v>
      </c>
      <c r="AJ9">
        <f>_xll.EQNXTDZ($A$1,$B9,AJ$1,$B$1)</f>
        <v>12.515000000000001</v>
      </c>
      <c r="AK9">
        <f>_xll.EQNXTDZ($A$1,$B9,AK$1,$B$1)</f>
        <v>24.986999999999998</v>
      </c>
      <c r="AL9">
        <f>_xll.EQNXTDZ($A$1,$B9,AL$1,$B$1)</f>
        <v>29.062999999999999</v>
      </c>
      <c r="AM9">
        <f>_xll.EQNXTDZ($A$1,$B9,AM$1,$B$1)</f>
        <v>13.715999999999999</v>
      </c>
      <c r="AN9">
        <f>_xll.EQNXTDZ($A$1,$B9,AN$1,$B$1)</f>
        <v>15.436</v>
      </c>
      <c r="AO9">
        <f>_xll.EQNXTDZ($A$1,$B9,AO$1,$B$1)</f>
        <v>29.093</v>
      </c>
      <c r="AP9">
        <f>_xll.EQNXTDZ($A$1,$B9,AP$1,$B$1)</f>
        <v>46.709000000000003</v>
      </c>
      <c r="AQ9">
        <f>_xll.EQNXTDZ($A$1,$B9,AQ$1,$B$1)</f>
        <v>26.989000000000001</v>
      </c>
      <c r="AR9">
        <f>_xll.EQNXTDZ($A$1,$B9,AR$1,$B$1)</f>
        <v>36.225000000000001</v>
      </c>
      <c r="AS9">
        <f>_xll.EQNXTDZ($A$1,$B9,AS$1,$B$1)</f>
        <v>38.704999999999998</v>
      </c>
      <c r="AT9">
        <f>_xll.EQNXTDZ($A$1,$B9,AT$1,$B$1)</f>
        <v>52.530999999999999</v>
      </c>
      <c r="AU9">
        <f>_xll.EQNXTDZ($A$1,$B9,AU$1,$B$1)</f>
        <v>68.947999999999993</v>
      </c>
      <c r="AV9">
        <f>_xll.EQNXTDZ($A$1,$B9,AV$1,$B$1)</f>
        <v>54.332999999999998</v>
      </c>
      <c r="AW9">
        <f>_xll.EQNXTDZ($A$1,$B9,AW$1,$B$1)</f>
        <v>59.325000000000003</v>
      </c>
      <c r="AX9">
        <f>_xll.EQNXTDZ($A$1,$B9,AX$1,$B$1)</f>
        <v>41.761000000000003</v>
      </c>
      <c r="AY9">
        <f>_xll.EQNXTDZ($A$1,$B9,AY$1,$B$1)</f>
        <v>51.764000000000003</v>
      </c>
      <c r="AZ9">
        <f>_xll.EQNXTDZ($A$1,$B9,AZ$1,$B$1)</f>
        <v>77.42</v>
      </c>
      <c r="BA9">
        <f>_xll.EQNXTDZ($A$1,$B9,BA$1,$B$1)</f>
        <v>70.680999999999997</v>
      </c>
      <c r="BB9">
        <f>_xll.EQNXTDZ($A$1,$B9,BB$1,$B$1)</f>
        <v>49.261000000000003</v>
      </c>
      <c r="BC9">
        <f>_xll.EQNXTDZ($A$1,$B9,BC$1,$B$1)</f>
        <v>51.912999999999997</v>
      </c>
      <c r="BD9">
        <f>_xll.EQNXTDZ($A$1,$B9,BD$1,$B$1)</f>
        <v>55.417999999999999</v>
      </c>
      <c r="BE9">
        <f>_xll.EQNXTDZ($A$1,$B9,BE$1,$B$1)</f>
        <v>51.716000000000001</v>
      </c>
      <c r="BF9">
        <f>_xll.EQNXTDZ($A$1,$B9,BF$1,$B$1)</f>
        <v>63.826000000000001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-2.71</v>
      </c>
      <c r="D10">
        <f>_xll.EQNXTDZ($A$1,$B10,D$1,$B$1)</f>
        <v>-4.4379999999999997</v>
      </c>
      <c r="E10">
        <f>_xll.EQNXTDZ($A$1,$B10,E$1,$B$1)</f>
        <v>-3.2959999999999998</v>
      </c>
      <c r="F10">
        <f>_xll.EQNXTDZ($A$1,$B10,F$1,$B$1)</f>
        <v>12.949</v>
      </c>
      <c r="G10">
        <f>_xll.EQNXTDZ($A$1,$B10,G$1,$B$1)</f>
        <v>-1.869</v>
      </c>
      <c r="H10">
        <f>_xll.EQNXTDZ($A$1,$B10,H$1,$B$1)</f>
        <v>-1.4570000000000001</v>
      </c>
      <c r="I10">
        <f>_xll.EQNXTDZ($A$1,$B10,I$1,$B$1)</f>
        <v>-2.2290000000000001</v>
      </c>
      <c r="J10">
        <f>_xll.EQNXTDZ($A$1,$B10,J$1,$B$1)</f>
        <v>-5.34</v>
      </c>
      <c r="K10">
        <f>_xll.EQNXTDZ($A$1,$B10,K$1,$B$1)</f>
        <v>0.97699999999999998</v>
      </c>
      <c r="L10">
        <f>_xll.EQNXTDZ($A$1,$B10,L$1,$B$1)</f>
        <v>2.657</v>
      </c>
      <c r="M10">
        <f>_xll.EQNXTDZ($A$1,$B10,M$1,$B$1)</f>
        <v>0.46300000000000002</v>
      </c>
      <c r="N10">
        <f>_xll.EQNXTDZ($A$1,$B10,N$1,$B$1)</f>
        <v>-1.9770000000000001</v>
      </c>
      <c r="O10">
        <f>_xll.EQNXTDZ($A$1,$B10,O$1,$B$1)</f>
        <v>-2.5019999999999998</v>
      </c>
      <c r="P10">
        <f>_xll.EQNXTDZ($A$1,$B10,P$1,$B$1)</f>
        <v>-1.9710000000000001</v>
      </c>
      <c r="Q10">
        <f>_xll.EQNXTDZ($A$1,$B10,Q$1,$B$1)</f>
        <v>-2.1150000000000002</v>
      </c>
      <c r="R10">
        <f>_xll.EQNXTDZ($A$1,$B10,R$1,$B$1)</f>
        <v>5.1360000000000001</v>
      </c>
      <c r="S10">
        <f>_xll.EQNXTDZ($A$1,$B10,S$1,$B$1)</f>
        <v>1.845</v>
      </c>
      <c r="T10">
        <f>_xll.EQNXTDZ($A$1,$B10,T$1,$B$1)</f>
        <v>1.792</v>
      </c>
      <c r="U10">
        <f>_xll.EQNXTDZ($A$1,$B10,U$1,$B$1)</f>
        <v>1.9910000000000001</v>
      </c>
      <c r="V10">
        <f>_xll.EQNXTDZ($A$1,$B10,V$1,$B$1)</f>
        <v>-0.86199999999999999</v>
      </c>
      <c r="W10">
        <f>_xll.EQNXTDZ($A$1,$B10,W$1,$B$1)</f>
        <v>1.6819999999999999</v>
      </c>
      <c r="X10">
        <f>_xll.EQNXTDZ($A$1,$B10,X$1,$B$1)</f>
        <v>0.53300000000000003</v>
      </c>
      <c r="Y10">
        <f>_xll.EQNXTDZ($A$1,$B10,Y$1,$B$1)</f>
        <v>4.5999999999999999E-2</v>
      </c>
      <c r="Z10">
        <f>_xll.EQNXTDZ($A$1,$B10,Z$1,$B$1)</f>
        <v>0.16300000000000001</v>
      </c>
      <c r="AA10">
        <f>_xll.EQNXTDZ($A$1,$B10,AA$1,$B$1)</f>
        <v>1.2350000000000001</v>
      </c>
      <c r="AB10">
        <f>_xll.EQNXTDZ($A$1,$B10,AB$1,$B$1)</f>
        <v>1.3740000000000001</v>
      </c>
      <c r="AC10">
        <f>_xll.EQNXTDZ($A$1,$B10,AC$1,$B$1)</f>
        <v>-1.2010000000000001</v>
      </c>
      <c r="AD10">
        <f>_xll.EQNXTDZ($A$1,$B10,AD$1,$B$1)</f>
        <v>1.5780000000000001</v>
      </c>
      <c r="AE10">
        <f>_xll.EQNXTDZ($A$1,$B10,AE$1,$B$1)</f>
        <v>1.7000000000000001E-2</v>
      </c>
      <c r="AF10">
        <f>_xll.EQNXTDZ($A$1,$B10,AF$1,$B$1)</f>
        <v>-2.6709999999999998</v>
      </c>
      <c r="AG10">
        <f>_xll.EQNXTDZ($A$1,$B10,AG$1,$B$1)</f>
        <v>-0.29799999999999999</v>
      </c>
      <c r="AH10">
        <f>_xll.EQNXTDZ($A$1,$B10,AH$1,$B$1)</f>
        <v>2.3660000000000001</v>
      </c>
      <c r="AI10">
        <f>_xll.EQNXTDZ($A$1,$B10,AI$1,$B$1)</f>
        <v>0.64500000000000002</v>
      </c>
      <c r="AJ10">
        <f>_xll.EQNXTDZ($A$1,$B10,AJ$1,$B$1)</f>
        <v>-11.048</v>
      </c>
      <c r="AK10">
        <f>_xll.EQNXTDZ($A$1,$B10,AK$1,$B$1)</f>
        <v>3.7719999999999998</v>
      </c>
      <c r="AL10">
        <f>_xll.EQNXTDZ($A$1,$B10,AL$1,$B$1)</f>
        <v>7.0490000000000004</v>
      </c>
      <c r="AM10">
        <f>_xll.EQNXTDZ($A$1,$B10,AM$1,$B$1)</f>
        <v>0.378</v>
      </c>
      <c r="AN10">
        <f>_xll.EQNXTDZ($A$1,$B10,AN$1,$B$1)</f>
        <v>-4.8920000000000003</v>
      </c>
      <c r="AO10">
        <f>_xll.EQNXTDZ($A$1,$B10,AO$1,$B$1)</f>
        <v>-3.8980000000000001</v>
      </c>
      <c r="AP10">
        <f>_xll.EQNXTDZ($A$1,$B10,AP$1,$B$1)</f>
        <v>4.4119999999999999</v>
      </c>
      <c r="AQ10">
        <f>_xll.EQNXTDZ($A$1,$B10,AQ$1,$B$1)</f>
        <v>-6.1740000000000004</v>
      </c>
      <c r="AR10">
        <f>_xll.EQNXTDZ($A$1,$B10,AR$1,$B$1)</f>
        <v>-1.585</v>
      </c>
      <c r="AS10">
        <f>_xll.EQNXTDZ($A$1,$B10,AS$1,$B$1)</f>
        <v>-4.5880000000000001</v>
      </c>
      <c r="AT10">
        <f>_xll.EQNXTDZ($A$1,$B10,AT$1,$B$1)</f>
        <v>-1.4710000000000001</v>
      </c>
      <c r="AU10">
        <f>_xll.EQNXTDZ($A$1,$B10,AU$1,$B$1)</f>
        <v>15.57</v>
      </c>
      <c r="AV10">
        <f>_xll.EQNXTDZ($A$1,$B10,AV$1,$B$1)</f>
        <v>-0.34599999999999997</v>
      </c>
      <c r="AW10">
        <f>_xll.EQNXTDZ($A$1,$B10,AW$1,$B$1)</f>
        <v>1.5109999999999999</v>
      </c>
      <c r="AX10">
        <f>_xll.EQNXTDZ($A$1,$B10,AX$1,$B$1)</f>
        <v>-17.510000000000002</v>
      </c>
      <c r="AY10">
        <f>_xll.EQNXTDZ($A$1,$B10,AY$1,$B$1)</f>
        <v>1.66</v>
      </c>
      <c r="AZ10">
        <f>_xll.EQNXTDZ($A$1,$B10,AZ$1,$B$1)</f>
        <v>-8.9209999999999994</v>
      </c>
      <c r="BA10">
        <f>_xll.EQNXTDZ($A$1,$B10,BA$1,$B$1)</f>
        <v>-13.429</v>
      </c>
      <c r="BB10">
        <f>_xll.EQNXTDZ($A$1,$B10,BB$1,$B$1)</f>
        <v>0.88400000000000001</v>
      </c>
      <c r="BC10">
        <f>_xll.EQNXTDZ($A$1,$B10,BC$1,$B$1)</f>
        <v>12.384</v>
      </c>
      <c r="BD10">
        <f>_xll.EQNXTDZ($A$1,$B10,BD$1,$B$1)</f>
        <v>-4.9169999999999998</v>
      </c>
      <c r="BE10">
        <f>_xll.EQNXTDZ($A$1,$B10,BE$1,$B$1)</f>
        <v>-12.741</v>
      </c>
      <c r="BF10">
        <f>_xll.EQNXTDZ($A$1,$B10,BF$1,$B$1)</f>
        <v>-8.06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2.2109999999999999</v>
      </c>
      <c r="D11">
        <f>_xll.EQNXTDZ($A$1,$B11,D$1,$B$1)</f>
        <v>3.2869999999999999</v>
      </c>
      <c r="E11">
        <f>_xll.EQNXTDZ($A$1,$B11,E$1,$B$1)</f>
        <v>6.3220000000000001</v>
      </c>
      <c r="F11">
        <f>_xll.EQNXTDZ($A$1,$B11,F$1,$B$1)</f>
        <v>3.5840000000000001</v>
      </c>
      <c r="G11">
        <f>_xll.EQNXTDZ($A$1,$B11,G$1,$B$1)</f>
        <v>1.1140000000000001</v>
      </c>
      <c r="H11">
        <f>_xll.EQNXTDZ($A$1,$B11,H$1,$B$1)</f>
        <v>1.655</v>
      </c>
      <c r="I11">
        <f>_xll.EQNXTDZ($A$1,$B11,I$1,$B$1)</f>
        <v>2.3109999999999999</v>
      </c>
      <c r="J11">
        <f>_xll.EQNXTDZ($A$1,$B11,J$1,$B$1)</f>
        <v>2.524</v>
      </c>
      <c r="K11">
        <f>_xll.EQNXTDZ($A$1,$B11,K$1,$B$1)</f>
        <v>1.4910000000000001</v>
      </c>
      <c r="L11">
        <f>_xll.EQNXTDZ($A$1,$B11,L$1,$B$1)</f>
        <v>1.4870000000000001</v>
      </c>
      <c r="M11">
        <f>_xll.EQNXTDZ($A$1,$B11,M$1,$B$1)</f>
        <v>2.1059999999999999</v>
      </c>
      <c r="N11">
        <f>_xll.EQNXTDZ($A$1,$B11,N$1,$B$1)</f>
        <v>1.216</v>
      </c>
      <c r="O11">
        <f>_xll.EQNXTDZ($A$1,$B11,O$1,$B$1)</f>
        <v>2.9529999999999998</v>
      </c>
      <c r="P11">
        <f>_xll.EQNXTDZ($A$1,$B11,P$1,$B$1)</f>
        <v>1.952</v>
      </c>
      <c r="Q11">
        <f>_xll.EQNXTDZ($A$1,$B11,Q$1,$B$1)</f>
        <v>1.5089999999999999</v>
      </c>
      <c r="R11">
        <f>_xll.EQNXTDZ($A$1,$B11,R$1,$B$1)</f>
        <v>3.2719999999999998</v>
      </c>
      <c r="S11">
        <f>_xll.EQNXTDZ($A$1,$B11,S$1,$B$1)</f>
        <v>2.1709999999999998</v>
      </c>
      <c r="T11">
        <f>_xll.EQNXTDZ($A$1,$B11,T$1,$B$1)</f>
        <v>1.577</v>
      </c>
      <c r="U11">
        <f>_xll.EQNXTDZ($A$1,$B11,U$1,$B$1)</f>
        <v>1.542</v>
      </c>
      <c r="V11">
        <f>_xll.EQNXTDZ($A$1,$B11,V$1,$B$1)</f>
        <v>4.7300000000000004</v>
      </c>
      <c r="W11">
        <f>_xll.EQNXTDZ($A$1,$B11,W$1,$B$1)</f>
        <v>2.0139999999999998</v>
      </c>
      <c r="X11">
        <f>_xll.EQNXTDZ($A$1,$B11,X$1,$B$1)</f>
        <v>2.79</v>
      </c>
      <c r="Y11">
        <f>_xll.EQNXTDZ($A$1,$B11,Y$1,$B$1)</f>
        <v>6.9059999999999997</v>
      </c>
      <c r="Z11">
        <f>_xll.EQNXTDZ($A$1,$B11,Z$1,$B$1)</f>
        <v>5.7910000000000004</v>
      </c>
      <c r="AA11">
        <f>_xll.EQNXTDZ($A$1,$B11,AA$1,$B$1)</f>
        <v>2.5110000000000001</v>
      </c>
      <c r="AB11">
        <f>_xll.EQNXTDZ($A$1,$B11,AB$1,$B$1)</f>
        <v>2.0419999999999998</v>
      </c>
      <c r="AC11">
        <f>_xll.EQNXTDZ($A$1,$B11,AC$1,$B$1)</f>
        <v>4.3630000000000004</v>
      </c>
      <c r="AD11">
        <f>_xll.EQNXTDZ($A$1,$B11,AD$1,$B$1)</f>
        <v>2.3849999999999998</v>
      </c>
      <c r="AE11">
        <f>_xll.EQNXTDZ($A$1,$B11,AE$1,$B$1)</f>
        <v>2.2250000000000001</v>
      </c>
      <c r="AF11">
        <f>_xll.EQNXTDZ($A$1,$B11,AF$1,$B$1)</f>
        <v>1.6279999999999999</v>
      </c>
      <c r="AG11">
        <f>_xll.EQNXTDZ($A$1,$B11,AG$1,$B$1)</f>
        <v>3.1869999999999998</v>
      </c>
      <c r="AH11">
        <f>_xll.EQNXTDZ($A$1,$B11,AH$1,$B$1)</f>
        <v>6.9080000000000004</v>
      </c>
      <c r="AI11">
        <f>_xll.EQNXTDZ($A$1,$B11,AI$1,$B$1)</f>
        <v>3.2010000000000001</v>
      </c>
      <c r="AJ11">
        <f>_xll.EQNXTDZ($A$1,$B11,AJ$1,$B$1)</f>
        <v>11.239000000000001</v>
      </c>
      <c r="AK11">
        <f>_xll.EQNXTDZ($A$1,$B11,AK$1,$B$1)</f>
        <v>5.7389999999999999</v>
      </c>
      <c r="AL11">
        <f>_xll.EQNXTDZ($A$1,$B11,AL$1,$B$1)</f>
        <v>6.3929999999999998</v>
      </c>
      <c r="AM11">
        <f>_xll.EQNXTDZ($A$1,$B11,AM$1,$B$1)</f>
        <v>2.944</v>
      </c>
      <c r="AN11">
        <f>_xll.EQNXTDZ($A$1,$B11,AN$1,$B$1)</f>
        <v>9.0269999999999992</v>
      </c>
      <c r="AO11">
        <f>_xll.EQNXTDZ($A$1,$B11,AO$1,$B$1)</f>
        <v>15.688000000000001</v>
      </c>
      <c r="AP11">
        <f>_xll.EQNXTDZ($A$1,$B11,AP$1,$B$1)</f>
        <v>23.236000000000001</v>
      </c>
      <c r="AQ11">
        <f>_xll.EQNXTDZ($A$1,$B11,AQ$1,$B$1)</f>
        <v>16.995000000000001</v>
      </c>
      <c r="AR11">
        <f>_xll.EQNXTDZ($A$1,$B11,AR$1,$B$1)</f>
        <v>17.074000000000002</v>
      </c>
      <c r="AS11">
        <f>_xll.EQNXTDZ($A$1,$B11,AS$1,$B$1)</f>
        <v>20.92</v>
      </c>
      <c r="AT11">
        <f>_xll.EQNXTDZ($A$1,$B11,AT$1,$B$1)</f>
        <v>22.009</v>
      </c>
      <c r="AU11">
        <f>_xll.EQNXTDZ($A$1,$B11,AU$1,$B$1)</f>
        <v>28.375</v>
      </c>
      <c r="AV11">
        <f>_xll.EQNXTDZ($A$1,$B11,AV$1,$B$1)</f>
        <v>14.135999999999999</v>
      </c>
      <c r="AW11">
        <f>_xll.EQNXTDZ($A$1,$B11,AW$1,$B$1)</f>
        <v>16.210999999999999</v>
      </c>
      <c r="AX11">
        <f>_xll.EQNXTDZ($A$1,$B11,AX$1,$B$1)</f>
        <v>19.125</v>
      </c>
      <c r="AY11">
        <f>_xll.EQNXTDZ($A$1,$B11,AY$1,$B$1)</f>
        <v>17.169</v>
      </c>
      <c r="AZ11">
        <f>_xll.EQNXTDZ($A$1,$B11,AZ$1,$B$1)</f>
        <v>25.771999999999998</v>
      </c>
      <c r="BA11">
        <f>_xll.EQNXTDZ($A$1,$B11,BA$1,$B$1)</f>
        <v>28.481000000000002</v>
      </c>
      <c r="BB11">
        <f>_xll.EQNXTDZ($A$1,$B11,BB$1,$B$1)</f>
        <v>12.313000000000001</v>
      </c>
      <c r="BC11">
        <f>_xll.EQNXTDZ($A$1,$B11,BC$1,$B$1)</f>
        <v>8.2850000000000001</v>
      </c>
      <c r="BD11">
        <f>_xll.EQNXTDZ($A$1,$B11,BD$1,$B$1)</f>
        <v>20.562000000000001</v>
      </c>
      <c r="BE11">
        <f>_xll.EQNXTDZ($A$1,$B11,BE$1,$B$1)</f>
        <v>23.382000000000001</v>
      </c>
      <c r="BF11">
        <f>_xll.EQNXTDZ($A$1,$B11,BF$1,$B$1)</f>
        <v>26.504999999999999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0.49</v>
      </c>
      <c r="T13">
        <f>_xll.EQNXTDZ($A$1,$B13,T$1,$B$1)</f>
        <v>0.44500000000000001</v>
      </c>
      <c r="U13">
        <f>_xll.EQNXTDZ($A$1,$B13,U$1,$B$1)</f>
        <v>0.17599999999999999</v>
      </c>
      <c r="V13">
        <f>_xll.EQNXTDZ($A$1,$B13,V$1,$B$1)</f>
        <v>0.27700000000000002</v>
      </c>
      <c r="W13">
        <f>_xll.EQNXTDZ($A$1,$B13,W$1,$B$1)</f>
        <v>0.27800000000000002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1.4510000000000001</v>
      </c>
      <c r="D14">
        <f>_xll.EQNXTDZ($A$1,$B14,D$1,$B$1)</f>
        <v>1.4059999999999999</v>
      </c>
      <c r="E14">
        <f>_xll.EQNXTDZ($A$1,$B14,E$1,$B$1)</f>
        <v>2.2240000000000002</v>
      </c>
      <c r="F14">
        <f>_xll.EQNXTDZ($A$1,$B14,F$1,$B$1)</f>
        <v>1.9730000000000001</v>
      </c>
      <c r="G14">
        <f>_xll.EQNXTDZ($A$1,$B14,G$1,$B$1)</f>
        <v>1.72</v>
      </c>
      <c r="H14">
        <f>_xll.EQNXTDZ($A$1,$B14,H$1,$B$1)</f>
        <v>1.413</v>
      </c>
      <c r="I14">
        <f>_xll.EQNXTDZ($A$1,$B14,I$1,$B$1)</f>
        <v>1.7929999999999999</v>
      </c>
      <c r="J14">
        <f>_xll.EQNXTDZ($A$1,$B14,J$1,$B$1)</f>
        <v>2.0550000000000002</v>
      </c>
      <c r="K14">
        <f>_xll.EQNXTDZ($A$1,$B14,K$1,$B$1)</f>
        <v>0.99299999999999999</v>
      </c>
      <c r="L14">
        <f>_xll.EQNXTDZ($A$1,$B14,L$1,$B$1)</f>
        <v>1.179</v>
      </c>
      <c r="M14">
        <f>_xll.EQNXTDZ($A$1,$B14,M$1,$B$1)</f>
        <v>1.2889999999999999</v>
      </c>
      <c r="N14">
        <f>_xll.EQNXTDZ($A$1,$B14,N$1,$B$1)</f>
        <v>2.2749999999999999</v>
      </c>
      <c r="O14">
        <f>_xll.EQNXTDZ($A$1,$B14,O$1,$B$1)</f>
        <v>1.0229999999999999</v>
      </c>
      <c r="P14">
        <f>_xll.EQNXTDZ($A$1,$B14,P$1,$B$1)</f>
        <v>1.3149999999999999</v>
      </c>
      <c r="Q14">
        <f>_xll.EQNXTDZ($A$1,$B14,Q$1,$B$1)</f>
        <v>1.5429999999999999</v>
      </c>
      <c r="R14">
        <f>_xll.EQNXTDZ($A$1,$B14,R$1,$B$1)</f>
        <v>2.423</v>
      </c>
      <c r="S14">
        <f>_xll.EQNXTDZ($A$1,$B14,S$1,$B$1)</f>
        <v>1.776</v>
      </c>
      <c r="T14">
        <f>_xll.EQNXTDZ($A$1,$B14,T$1,$B$1)</f>
        <v>1.95</v>
      </c>
      <c r="U14">
        <f>_xll.EQNXTDZ($A$1,$B14,U$1,$B$1)</f>
        <v>2.512</v>
      </c>
      <c r="V14">
        <f>_xll.EQNXTDZ($A$1,$B14,V$1,$B$1)</f>
        <v>3.9009999999999998</v>
      </c>
      <c r="W14">
        <f>_xll.EQNXTDZ($A$1,$B14,W$1,$B$1)</f>
        <v>2.85</v>
      </c>
      <c r="X14">
        <f>_xll.EQNXTDZ($A$1,$B14,X$1,$B$1)</f>
        <v>2.3029999999999999</v>
      </c>
      <c r="Y14">
        <f>_xll.EQNXTDZ($A$1,$B14,Y$1,$B$1)</f>
        <v>3.1360000000000001</v>
      </c>
      <c r="Z14">
        <f>_xll.EQNXTDZ($A$1,$B14,Z$1,$B$1)</f>
        <v>4.5529999999999999</v>
      </c>
      <c r="AA14">
        <f>_xll.EQNXTDZ($A$1,$B14,AA$1,$B$1)</f>
        <v>3.0720000000000001</v>
      </c>
      <c r="AB14">
        <f>_xll.EQNXTDZ($A$1,$B14,AB$1,$B$1)</f>
        <v>3.2490000000000001</v>
      </c>
      <c r="AC14">
        <f>_xll.EQNXTDZ($A$1,$B14,AC$1,$B$1)</f>
        <v>3.976</v>
      </c>
      <c r="AD14">
        <f>_xll.EQNXTDZ($A$1,$B14,AD$1,$B$1)</f>
        <v>3.3769999999999998</v>
      </c>
      <c r="AE14">
        <f>_xll.EQNXTDZ($A$1,$B14,AE$1,$B$1)</f>
        <v>2.6419999999999999</v>
      </c>
      <c r="AF14">
        <f>_xll.EQNXTDZ($A$1,$B14,AF$1,$B$1)</f>
        <v>3.4420000000000002</v>
      </c>
      <c r="AG14">
        <f>_xll.EQNXTDZ($A$1,$B14,AG$1,$B$1)</f>
        <v>3.093</v>
      </c>
      <c r="AH14">
        <f>_xll.EQNXTDZ($A$1,$B14,AH$1,$B$1)</f>
        <v>3.9710000000000001</v>
      </c>
      <c r="AI14">
        <f>_xll.EQNXTDZ($A$1,$B14,AI$1,$B$1)</f>
        <v>2.6230000000000002</v>
      </c>
      <c r="AJ14">
        <f>_xll.EQNXTDZ($A$1,$B14,AJ$1,$B$1)</f>
        <v>4.7249999999999996</v>
      </c>
      <c r="AK14">
        <f>_xll.EQNXTDZ($A$1,$B14,AK$1,$B$1)</f>
        <v>5.2480000000000002</v>
      </c>
      <c r="AL14">
        <f>_xll.EQNXTDZ($A$1,$B14,AL$1,$B$1)</f>
        <v>5.6040000000000001</v>
      </c>
      <c r="AM14">
        <f>_xll.EQNXTDZ($A$1,$B14,AM$1,$B$1)</f>
        <v>3.024</v>
      </c>
      <c r="AN14">
        <f>_xll.EQNXTDZ($A$1,$B14,AN$1,$B$1)</f>
        <v>3.2679999999999998</v>
      </c>
      <c r="AO14">
        <f>_xll.EQNXTDZ($A$1,$B14,AO$1,$B$1)</f>
        <v>5.5570000000000004</v>
      </c>
      <c r="AP14">
        <f>_xll.EQNXTDZ($A$1,$B14,AP$1,$B$1)</f>
        <v>6.3040000000000003</v>
      </c>
      <c r="AQ14">
        <f>_xll.EQNXTDZ($A$1,$B14,AQ$1,$B$1)</f>
        <v>5.2779999999999996</v>
      </c>
      <c r="AR14">
        <f>_xll.EQNXTDZ($A$1,$B14,AR$1,$B$1)</f>
        <v>5.88</v>
      </c>
      <c r="AS14">
        <f>_xll.EQNXTDZ($A$1,$B14,AS$1,$B$1)</f>
        <v>6.7539999999999996</v>
      </c>
      <c r="AT14">
        <f>_xll.EQNXTDZ($A$1,$B14,AT$1,$B$1)</f>
        <v>8.84</v>
      </c>
      <c r="AU14">
        <f>_xll.EQNXTDZ($A$1,$B14,AU$1,$B$1)</f>
        <v>5.42</v>
      </c>
      <c r="AV14">
        <f>_xll.EQNXTDZ($A$1,$B14,AV$1,$B$1)</f>
        <v>6.7649999999999997</v>
      </c>
      <c r="AW14">
        <f>_xll.EQNXTDZ($A$1,$B14,AW$1,$B$1)</f>
        <v>8.0980000000000008</v>
      </c>
      <c r="AX14">
        <f>_xll.EQNXTDZ($A$1,$B14,AX$1,$B$1)</f>
        <v>9.5879999999999992</v>
      </c>
      <c r="AY14">
        <f>_xll.EQNXTDZ($A$1,$B14,AY$1,$B$1)</f>
        <v>8.2870000000000008</v>
      </c>
      <c r="AZ14">
        <f>_xll.EQNXTDZ($A$1,$B14,AZ$1,$B$1)</f>
        <v>9.798</v>
      </c>
      <c r="BA14">
        <f>_xll.EQNXTDZ($A$1,$B14,BA$1,$B$1)</f>
        <v>9.5109999999999992</v>
      </c>
      <c r="BB14">
        <f>_xll.EQNXTDZ($A$1,$B14,BB$1,$B$1)</f>
        <v>11.145</v>
      </c>
      <c r="BC14">
        <f>_xll.EQNXTDZ($A$1,$B14,BC$1,$B$1)</f>
        <v>10.695</v>
      </c>
      <c r="BD14">
        <f>_xll.EQNXTDZ($A$1,$B14,BD$1,$B$1)</f>
        <v>15.919</v>
      </c>
      <c r="BE14">
        <f>_xll.EQNXTDZ($A$1,$B14,BE$1,$B$1)</f>
        <v>15.032</v>
      </c>
      <c r="BF14">
        <f>_xll.EQNXTDZ($A$1,$B14,BF$1,$B$1)</f>
        <v>17.184000000000001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1.0389999999999999</v>
      </c>
      <c r="D16">
        <f>_xll.EQNXTDZ($A$1,$B16,D$1,$B$1)</f>
        <v>1.194</v>
      </c>
      <c r="E16">
        <f>_xll.EQNXTDZ($A$1,$B16,E$1,$B$1)</f>
        <v>1.1850000000000001</v>
      </c>
      <c r="F16">
        <f>_xll.EQNXTDZ($A$1,$B16,F$1,$B$1)</f>
        <v>1.206</v>
      </c>
      <c r="G16">
        <f>_xll.EQNXTDZ($A$1,$B16,G$1,$B$1)</f>
        <v>1.0820000000000001</v>
      </c>
      <c r="H16">
        <f>_xll.EQNXTDZ($A$1,$B16,H$1,$B$1)</f>
        <v>1.3380000000000001</v>
      </c>
      <c r="I16">
        <f>_xll.EQNXTDZ($A$1,$B16,I$1,$B$1)</f>
        <v>1.165</v>
      </c>
      <c r="J16">
        <f>_xll.EQNXTDZ($A$1,$B16,J$1,$B$1)</f>
        <v>1.3660000000000001</v>
      </c>
      <c r="K16">
        <f>_xll.EQNXTDZ($A$1,$B16,K$1,$B$1)</f>
        <v>1.0880000000000001</v>
      </c>
      <c r="L16">
        <f>_xll.EQNXTDZ($A$1,$B16,L$1,$B$1)</f>
        <v>1.014</v>
      </c>
      <c r="M16">
        <f>_xll.EQNXTDZ($A$1,$B16,M$1,$B$1)</f>
        <v>0.89600000000000002</v>
      </c>
      <c r="N16">
        <f>_xll.EQNXTDZ($A$1,$B16,N$1,$B$1)</f>
        <v>1.165</v>
      </c>
      <c r="O16">
        <f>_xll.EQNXTDZ($A$1,$B16,O$1,$B$1)</f>
        <v>0.85799999999999998</v>
      </c>
      <c r="P16">
        <f>_xll.EQNXTDZ($A$1,$B16,P$1,$B$1)</f>
        <v>0.86899999999999999</v>
      </c>
      <c r="Q16">
        <f>_xll.EQNXTDZ($A$1,$B16,Q$1,$B$1)</f>
        <v>1.022</v>
      </c>
      <c r="R16">
        <f>_xll.EQNXTDZ($A$1,$B16,R$1,$B$1)</f>
        <v>1.371</v>
      </c>
      <c r="S16">
        <f>_xll.EQNXTDZ($A$1,$B16,S$1,$B$1)</f>
        <v>1.036</v>
      </c>
      <c r="T16">
        <f>_xll.EQNXTDZ($A$1,$B16,T$1,$B$1)</f>
        <v>1.103</v>
      </c>
      <c r="U16">
        <f>_xll.EQNXTDZ($A$1,$B16,U$1,$B$1)</f>
        <v>1.226</v>
      </c>
      <c r="V16">
        <f>_xll.EQNXTDZ($A$1,$B16,V$1,$B$1)</f>
        <v>1.444</v>
      </c>
      <c r="W16">
        <f>_xll.EQNXTDZ($A$1,$B16,W$1,$B$1)</f>
        <v>1.5649999999999999</v>
      </c>
      <c r="X16">
        <f>_xll.EQNXTDZ($A$1,$B16,X$1,$B$1)</f>
        <v>1.544</v>
      </c>
      <c r="Y16">
        <f>_xll.EQNXTDZ($A$1,$B16,Y$1,$B$1)</f>
        <v>1.6910000000000001</v>
      </c>
      <c r="Z16">
        <f>_xll.EQNXTDZ($A$1,$B16,Z$1,$B$1)</f>
        <v>2.9809999999999999</v>
      </c>
      <c r="AA16">
        <f>_xll.EQNXTDZ($A$1,$B16,AA$1,$B$1)</f>
        <v>1.73</v>
      </c>
      <c r="AB16">
        <f>_xll.EQNXTDZ($A$1,$B16,AB$1,$B$1)</f>
        <v>1.871</v>
      </c>
      <c r="AC16">
        <f>_xll.EQNXTDZ($A$1,$B16,AC$1,$B$1)</f>
        <v>2.105</v>
      </c>
      <c r="AD16">
        <f>_xll.EQNXTDZ($A$1,$B16,AD$1,$B$1)</f>
        <v>2.8980000000000001</v>
      </c>
      <c r="AE16">
        <f>_xll.EQNXTDZ($A$1,$B16,AE$1,$B$1)</f>
        <v>1.804</v>
      </c>
      <c r="AF16">
        <f>_xll.EQNXTDZ($A$1,$B16,AF$1,$B$1)</f>
        <v>2.5219999999999998</v>
      </c>
      <c r="AG16">
        <f>_xll.EQNXTDZ($A$1,$B16,AG$1,$B$1)</f>
        <v>3.343</v>
      </c>
      <c r="AH16">
        <f>_xll.EQNXTDZ($A$1,$B16,AH$1,$B$1)</f>
        <v>2.5920000000000001</v>
      </c>
      <c r="AI16">
        <f>_xll.EQNXTDZ($A$1,$B16,AI$1,$B$1)</f>
        <v>2.0339999999999998</v>
      </c>
      <c r="AJ16">
        <f>_xll.EQNXTDZ($A$1,$B16,AJ$1,$B$1)</f>
        <v>2.613</v>
      </c>
      <c r="AK16">
        <f>_xll.EQNXTDZ($A$1,$B16,AK$1,$B$1)</f>
        <v>3.1440000000000001</v>
      </c>
      <c r="AL16">
        <f>_xll.EQNXTDZ($A$1,$B16,AL$1,$B$1)</f>
        <v>2.5649999999999999</v>
      </c>
      <c r="AM16">
        <f>_xll.EQNXTDZ($A$1,$B16,AM$1,$B$1)</f>
        <v>2.71</v>
      </c>
      <c r="AN16">
        <f>_xll.EQNXTDZ($A$1,$B16,AN$1,$B$1)</f>
        <v>2.98</v>
      </c>
      <c r="AO16">
        <f>_xll.EQNXTDZ($A$1,$B16,AO$1,$B$1)</f>
        <v>3.8639999999999999</v>
      </c>
      <c r="AP16">
        <f>_xll.EQNXTDZ($A$1,$B16,AP$1,$B$1)</f>
        <v>3.714</v>
      </c>
      <c r="AQ16">
        <f>_xll.EQNXTDZ($A$1,$B16,AQ$1,$B$1)</f>
        <v>3.5209999999999999</v>
      </c>
      <c r="AR16">
        <f>_xll.EQNXTDZ($A$1,$B16,AR$1,$B$1)</f>
        <v>4.8179999999999996</v>
      </c>
      <c r="AS16">
        <f>_xll.EQNXTDZ($A$1,$B16,AS$1,$B$1)</f>
        <v>4.4169999999999998</v>
      </c>
      <c r="AT16">
        <f>_xll.EQNXTDZ($A$1,$B16,AT$1,$B$1)</f>
        <v>5.016</v>
      </c>
      <c r="AU16">
        <f>_xll.EQNXTDZ($A$1,$B16,AU$1,$B$1)</f>
        <v>5.3319999999999999</v>
      </c>
      <c r="AV16">
        <f>_xll.EQNXTDZ($A$1,$B16,AV$1,$B$1)</f>
        <v>8.8219999999999992</v>
      </c>
      <c r="AW16">
        <f>_xll.EQNXTDZ($A$1,$B16,AW$1,$B$1)</f>
        <v>9.0619999999999994</v>
      </c>
      <c r="AX16">
        <f>_xll.EQNXTDZ($A$1,$B16,AX$1,$B$1)</f>
        <v>12.409000000000001</v>
      </c>
      <c r="AY16">
        <f>_xll.EQNXTDZ($A$1,$B16,AY$1,$B$1)</f>
        <v>10.484999999999999</v>
      </c>
      <c r="AZ16">
        <f>_xll.EQNXTDZ($A$1,$B16,AZ$1,$B$1)</f>
        <v>16.084</v>
      </c>
      <c r="BA16">
        <f>_xll.EQNXTDZ($A$1,$B16,BA$1,$B$1)</f>
        <v>14.071</v>
      </c>
      <c r="BB16">
        <f>_xll.EQNXTDZ($A$1,$B16,BB$1,$B$1)</f>
        <v>13.315</v>
      </c>
      <c r="BC16">
        <f>_xll.EQNXTDZ($A$1,$B16,BC$1,$B$1)</f>
        <v>10.093999999999999</v>
      </c>
      <c r="BD16">
        <f>_xll.EQNXTDZ($A$1,$B16,BD$1,$B$1)</f>
        <v>12.538</v>
      </c>
      <c r="BE16">
        <f>_xll.EQNXTDZ($A$1,$B16,BE$1,$B$1)</f>
        <v>13.504</v>
      </c>
      <c r="BF16">
        <f>_xll.EQNXTDZ($A$1,$B16,BF$1,$B$1)</f>
        <v>14.61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0.37</v>
      </c>
      <c r="D17">
        <f>_xll.EQNXTDZ($A$1,$B17,D$1,$B$1)</f>
        <v>0.39500000000000002</v>
      </c>
      <c r="E17">
        <f>_xll.EQNXTDZ($A$1,$B17,E$1,$B$1)</f>
        <v>0.42199999999999999</v>
      </c>
      <c r="F17">
        <f>_xll.EQNXTDZ($A$1,$B17,F$1,$B$1)</f>
        <v>0.70299999999999996</v>
      </c>
      <c r="G17">
        <f>_xll.EQNXTDZ($A$1,$B17,G$1,$B$1)</f>
        <v>0.58599999999999997</v>
      </c>
      <c r="H17">
        <f>_xll.EQNXTDZ($A$1,$B17,H$1,$B$1)</f>
        <v>0.39700000000000002</v>
      </c>
      <c r="I17">
        <f>_xll.EQNXTDZ($A$1,$B17,I$1,$B$1)</f>
        <v>0.47499999999999998</v>
      </c>
      <c r="J17">
        <f>_xll.EQNXTDZ($A$1,$B17,J$1,$B$1)</f>
        <v>0.44500000000000001</v>
      </c>
      <c r="K17">
        <f>_xll.EQNXTDZ($A$1,$B17,K$1,$B$1)</f>
        <v>0.41899999999999998</v>
      </c>
      <c r="L17">
        <f>_xll.EQNXTDZ($A$1,$B17,L$1,$B$1)</f>
        <v>0.50600000000000001</v>
      </c>
      <c r="M17">
        <f>_xll.EQNXTDZ($A$1,$B17,M$1,$B$1)</f>
        <v>0.54700000000000004</v>
      </c>
      <c r="N17">
        <f>_xll.EQNXTDZ($A$1,$B17,N$1,$B$1)</f>
        <v>0.72899999999999998</v>
      </c>
      <c r="O17">
        <f>_xll.EQNXTDZ($A$1,$B17,O$1,$B$1)</f>
        <v>0.36199999999999999</v>
      </c>
      <c r="P17">
        <f>_xll.EQNXTDZ($A$1,$B17,P$1,$B$1)</f>
        <v>0.46800000000000003</v>
      </c>
      <c r="Q17">
        <f>_xll.EQNXTDZ($A$1,$B17,Q$1,$B$1)</f>
        <v>0.55800000000000005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0.157</v>
      </c>
      <c r="D18">
        <f>_xll.EQNXTDZ($A$1,$B18,D$1,$B$1)</f>
        <v>0.216</v>
      </c>
      <c r="E18">
        <f>_xll.EQNXTDZ($A$1,$B18,E$1,$B$1)</f>
        <v>0.27600000000000002</v>
      </c>
      <c r="F18">
        <f>_xll.EQNXTDZ($A$1,$B18,F$1,$B$1)</f>
        <v>0.59799999999999998</v>
      </c>
      <c r="G18">
        <f>_xll.EQNXTDZ($A$1,$B18,G$1,$B$1)</f>
        <v>0.14199999999999999</v>
      </c>
      <c r="H18">
        <f>_xll.EQNXTDZ($A$1,$B18,H$1,$B$1)</f>
        <v>0.17699999999999999</v>
      </c>
      <c r="I18">
        <f>_xll.EQNXTDZ($A$1,$B18,I$1,$B$1)</f>
        <v>0.14499999999999999</v>
      </c>
      <c r="J18">
        <f>_xll.EQNXTDZ($A$1,$B18,J$1,$B$1)</f>
        <v>0.22</v>
      </c>
      <c r="K18">
        <f>_xll.EQNXTDZ($A$1,$B18,K$1,$B$1)</f>
        <v>0.125</v>
      </c>
      <c r="L18">
        <f>_xll.EQNXTDZ($A$1,$B18,L$1,$B$1)</f>
        <v>0.16300000000000001</v>
      </c>
      <c r="M18">
        <f>_xll.EQNXTDZ($A$1,$B18,M$1,$B$1)</f>
        <v>0.106</v>
      </c>
      <c r="N18">
        <f>_xll.EQNXTDZ($A$1,$B18,N$1,$B$1)</f>
        <v>0.30399999999999999</v>
      </c>
      <c r="O18">
        <f>_xll.EQNXTDZ($A$1,$B18,O$1,$B$1)</f>
        <v>0.128</v>
      </c>
      <c r="P18">
        <f>_xll.EQNXTDZ($A$1,$B18,P$1,$B$1)</f>
        <v>0.22</v>
      </c>
      <c r="Q18">
        <f>_xll.EQNXTDZ($A$1,$B18,Q$1,$B$1)</f>
        <v>0.30399999999999999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2.0070000000000001</v>
      </c>
      <c r="D22">
        <f>_xll.EQNXTDZ($A$1,$B22,D$1,$B$1)</f>
        <v>0.68899999999999995</v>
      </c>
      <c r="E22">
        <f>_xll.EQNXTDZ($A$1,$B22,E$1,$B$1)</f>
        <v>2.84</v>
      </c>
      <c r="F22">
        <f>_xll.EQNXTDZ($A$1,$B22,F$1,$B$1)</f>
        <v>4.6859999999999999</v>
      </c>
      <c r="G22">
        <f>_xll.EQNXTDZ($A$1,$B22,G$1,$B$1)</f>
        <v>-0.77400000000000002</v>
      </c>
      <c r="H22">
        <f>_xll.EQNXTDZ($A$1,$B22,H$1,$B$1)</f>
        <v>-0.499</v>
      </c>
      <c r="I22">
        <f>_xll.EQNXTDZ($A$1,$B22,I$1,$B$1)</f>
        <v>1.206</v>
      </c>
      <c r="J22">
        <f>_xll.EQNXTDZ($A$1,$B22,J$1,$B$1)</f>
        <v>1.8440000000000001</v>
      </c>
      <c r="K22">
        <f>_xll.EQNXTDZ($A$1,$B22,K$1,$B$1)</f>
        <v>-0.81100000000000005</v>
      </c>
      <c r="L22">
        <f>_xll.EQNXTDZ($A$1,$B22,L$1,$B$1)</f>
        <v>3.3090000000000002</v>
      </c>
      <c r="M22">
        <f>_xll.EQNXTDZ($A$1,$B22,M$1,$B$1)</f>
        <v>1.0249999999999999</v>
      </c>
      <c r="N22">
        <f>_xll.EQNXTDZ($A$1,$B22,N$1,$B$1)</f>
        <v>0.51400000000000001</v>
      </c>
      <c r="O22">
        <f>_xll.EQNXTDZ($A$1,$B22,O$1,$B$1)</f>
        <v>0.89700000000000002</v>
      </c>
      <c r="P22">
        <f>_xll.EQNXTDZ($A$1,$B22,P$1,$B$1)</f>
        <v>0.99199999999999999</v>
      </c>
      <c r="Q22">
        <f>_xll.EQNXTDZ($A$1,$B22,Q$1,$B$1)</f>
        <v>1</v>
      </c>
      <c r="R22">
        <f>_xll.EQNXTDZ($A$1,$B22,R$1,$B$1)</f>
        <v>1.0109999999999999</v>
      </c>
      <c r="S22">
        <f>_xll.EQNXTDZ($A$1,$B22,S$1,$B$1)</f>
        <v>1.0489999999999999</v>
      </c>
      <c r="T22">
        <f>_xll.EQNXTDZ($A$1,$B22,T$1,$B$1)</f>
        <v>0.94699999999999995</v>
      </c>
      <c r="U22">
        <f>_xll.EQNXTDZ($A$1,$B22,U$1,$B$1)</f>
        <v>1.028</v>
      </c>
      <c r="V22">
        <f>_xll.EQNXTDZ($A$1,$B22,V$1,$B$1)</f>
        <v>0.82799999999999996</v>
      </c>
      <c r="W22">
        <f>_xll.EQNXTDZ($A$1,$B22,W$1,$B$1)</f>
        <v>1.3740000000000001</v>
      </c>
      <c r="X22">
        <f>_xll.EQNXTDZ($A$1,$B22,X$1,$B$1)</f>
        <v>4.5030000000000001</v>
      </c>
      <c r="Y22">
        <f>_xll.EQNXTDZ($A$1,$B22,Y$1,$B$1)</f>
        <v>4.6070000000000002</v>
      </c>
      <c r="Z22">
        <f>_xll.EQNXTDZ($A$1,$B22,Z$1,$B$1)</f>
        <v>0.77000000000000202</v>
      </c>
      <c r="AA22">
        <f>_xll.EQNXTDZ($A$1,$B22,AA$1,$B$1)</f>
        <v>3.6339999999999999</v>
      </c>
      <c r="AB22">
        <f>_xll.EQNXTDZ($A$1,$B22,AB$1,$B$1)</f>
        <v>1.5409999999999999</v>
      </c>
      <c r="AC22">
        <f>_xll.EQNXTDZ($A$1,$B22,AC$1,$B$1)</f>
        <v>4.8029999999999999</v>
      </c>
      <c r="AD22">
        <f>_xll.EQNXTDZ($A$1,$B22,AD$1,$B$1)</f>
        <v>4.2380000000000004</v>
      </c>
      <c r="AE22">
        <f>_xll.EQNXTDZ($A$1,$B22,AE$1,$B$1)</f>
        <v>1.9970000000000001</v>
      </c>
      <c r="AF22">
        <f>_xll.EQNXTDZ($A$1,$B22,AF$1,$B$1)</f>
        <v>3.14</v>
      </c>
      <c r="AG22">
        <f>_xll.EQNXTDZ($A$1,$B22,AG$1,$B$1)</f>
        <v>4.1550000000000002</v>
      </c>
      <c r="AH22">
        <f>_xll.EQNXTDZ($A$1,$B22,AH$1,$B$1)</f>
        <v>5.8570000000000002</v>
      </c>
      <c r="AI22">
        <f>_xll.EQNXTDZ($A$1,$B22,AI$1,$B$1)</f>
        <v>2.6269999999999998</v>
      </c>
      <c r="AJ22">
        <f>_xll.EQNXTDZ($A$1,$B22,AJ$1,$B$1)</f>
        <v>4.9859999999999998</v>
      </c>
      <c r="AK22">
        <f>_xll.EQNXTDZ($A$1,$B22,AK$1,$B$1)</f>
        <v>7.0839999999999996</v>
      </c>
      <c r="AL22">
        <f>_xll.EQNXTDZ($A$1,$B22,AL$1,$B$1)</f>
        <v>7.452</v>
      </c>
      <c r="AM22">
        <f>_xll.EQNXTDZ($A$1,$B22,AM$1,$B$1)</f>
        <v>4.66</v>
      </c>
      <c r="AN22">
        <f>_xll.EQNXTDZ($A$1,$B22,AN$1,$B$1)</f>
        <v>5.0529999999999999</v>
      </c>
      <c r="AO22">
        <f>_xll.EQNXTDZ($A$1,$B22,AO$1,$B$1)</f>
        <v>7.8819999999999997</v>
      </c>
      <c r="AP22">
        <f>_xll.EQNXTDZ($A$1,$B22,AP$1,$B$1)</f>
        <v>9.0429999999999993</v>
      </c>
      <c r="AQ22">
        <f>_xll.EQNXTDZ($A$1,$B22,AQ$1,$B$1)</f>
        <v>7.3689999999999998</v>
      </c>
      <c r="AR22">
        <f>_xll.EQNXTDZ($A$1,$B22,AR$1,$B$1)</f>
        <v>10.038</v>
      </c>
      <c r="AS22">
        <f>_xll.EQNXTDZ($A$1,$B22,AS$1,$B$1)</f>
        <v>11.202</v>
      </c>
      <c r="AT22">
        <f>_xll.EQNXTDZ($A$1,$B22,AT$1,$B$1)</f>
        <v>18.137</v>
      </c>
      <c r="AU22">
        <f>_xll.EQNXTDZ($A$1,$B22,AU$1,$B$1)</f>
        <v>14.250999999999999</v>
      </c>
      <c r="AV22">
        <f>_xll.EQNXTDZ($A$1,$B22,AV$1,$B$1)</f>
        <v>24.956</v>
      </c>
      <c r="AW22">
        <f>_xll.EQNXTDZ($A$1,$B22,AW$1,$B$1)</f>
        <v>24.443000000000001</v>
      </c>
      <c r="AX22">
        <f>_xll.EQNXTDZ($A$1,$B22,AX$1,$B$1)</f>
        <v>18.149000000000001</v>
      </c>
      <c r="AY22">
        <f>_xll.EQNXTDZ($A$1,$B22,AY$1,$B$1)</f>
        <v>14.163</v>
      </c>
      <c r="AZ22">
        <f>_xll.EQNXTDZ($A$1,$B22,AZ$1,$B$1)</f>
        <v>34.686999999999998</v>
      </c>
      <c r="BA22">
        <f>_xll.EQNXTDZ($A$1,$B22,BA$1,$B$1)</f>
        <v>32.046999999999997</v>
      </c>
      <c r="BB22">
        <f>_xll.EQNXTDZ($A$1,$B22,BB$1,$B$1)</f>
        <v>11.603999999999999</v>
      </c>
      <c r="BC22">
        <f>_xll.EQNXTDZ($A$1,$B22,BC$1,$B$1)</f>
        <v>10.455</v>
      </c>
      <c r="BD22">
        <f>_xll.EQNXTDZ($A$1,$B22,BD$1,$B$1)</f>
        <v>11.316000000000001</v>
      </c>
      <c r="BE22">
        <f>_xll.EQNXTDZ($A$1,$B22,BE$1,$B$1)</f>
        <v>12.539</v>
      </c>
      <c r="BF22">
        <f>_xll.EQNXTDZ($A$1,$B22,BF$1,$B$1)</f>
        <v>13.587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2.7E-2</v>
      </c>
      <c r="D23">
        <f>_xll.EQNXTDZ($A$1,$B23,D$1,$B$1)</f>
        <v>1.4999999999999999E-2</v>
      </c>
      <c r="E23">
        <f>_xll.EQNXTDZ($A$1,$B23,E$1,$B$1)</f>
        <v>0.18</v>
      </c>
      <c r="F23">
        <f>_xll.EQNXTDZ($A$1,$B23,F$1,$B$1)</f>
        <v>1.2999999999999999E-2</v>
      </c>
      <c r="G23">
        <f>_xll.EQNXTDZ($A$1,$B23,G$1,$B$1)</f>
        <v>3.5999999999999997E-2</v>
      </c>
      <c r="H23">
        <f>_xll.EQNXTDZ($A$1,$B23,H$1,$B$1)</f>
        <v>0.10299999999999999</v>
      </c>
      <c r="I23">
        <f>_xll.EQNXTDZ($A$1,$B23,I$1,$B$1)</f>
        <v>1.4E-2</v>
      </c>
      <c r="J23">
        <f>_xll.EQNXTDZ($A$1,$B23,J$1,$B$1)</f>
        <v>2.7E-2</v>
      </c>
      <c r="K23">
        <f>_xll.EQNXTDZ($A$1,$B23,K$1,$B$1)</f>
        <v>6.0999999999999999E-2</v>
      </c>
      <c r="L23">
        <f>_xll.EQNXTDZ($A$1,$B23,L$1,$B$1)</f>
        <v>0.16300000000000001</v>
      </c>
      <c r="M23">
        <f>_xll.EQNXTDZ($A$1,$B23,M$1,$B$1)</f>
        <v>0.126</v>
      </c>
      <c r="N23">
        <f>_xll.EQNXTDZ($A$1,$B23,N$1,$B$1)</f>
        <v>0.47299999999999998</v>
      </c>
      <c r="O23">
        <f>_xll.EQNXTDZ($A$1,$B23,O$1,$B$1)</f>
        <v>0.11700000000000001</v>
      </c>
      <c r="P23">
        <f>_xll.EQNXTDZ($A$1,$B23,P$1,$B$1)</f>
        <v>0.11</v>
      </c>
      <c r="Q23">
        <f>_xll.EQNXTDZ($A$1,$B23,Q$1,$B$1)</f>
        <v>0.122</v>
      </c>
      <c r="R23">
        <f>_xll.EQNXTDZ($A$1,$B23,R$1,$B$1)</f>
        <v>8.6999999999999994E-2</v>
      </c>
      <c r="S23">
        <f>_xll.EQNXTDZ($A$1,$B23,S$1,$B$1)</f>
        <v>0.16600000000000001</v>
      </c>
      <c r="T23">
        <f>_xll.EQNXTDZ($A$1,$B23,T$1,$B$1)</f>
        <v>0.112</v>
      </c>
      <c r="U23">
        <f>_xll.EQNXTDZ($A$1,$B23,U$1,$B$1)</f>
        <v>0.152</v>
      </c>
      <c r="V23">
        <f>_xll.EQNXTDZ($A$1,$B23,V$1,$B$1)</f>
        <v>8.5999999999999993E-2</v>
      </c>
      <c r="W23">
        <f>_xll.EQNXTDZ($A$1,$B23,W$1,$B$1)</f>
        <v>15.132</v>
      </c>
      <c r="X23">
        <f>_xll.EQNXTDZ($A$1,$B23,X$1,$B$1)</f>
        <v>6.5000000000000002E-2</v>
      </c>
      <c r="Y23">
        <f>_xll.EQNXTDZ($A$1,$B23,Y$1,$B$1)</f>
        <v>4.5999999999999999E-2</v>
      </c>
      <c r="Z23">
        <f>_xll.EQNXTDZ($A$1,$B23,Z$1,$B$1)</f>
        <v>0.20100000000000001</v>
      </c>
      <c r="AA23">
        <f>_xll.EQNXTDZ($A$1,$B23,AA$1,$B$1)</f>
        <v>3.9E-2</v>
      </c>
      <c r="AB23">
        <f>_xll.EQNXTDZ($A$1,$B23,AB$1,$B$1)</f>
        <v>0.26300000000000001</v>
      </c>
      <c r="AC23">
        <f>_xll.EQNXTDZ($A$1,$B23,AC$1,$B$1)</f>
        <v>6.4000000000000001E-2</v>
      </c>
      <c r="AD23">
        <f>_xll.EQNXTDZ($A$1,$B23,AD$1,$B$1)</f>
        <v>0.54400000000000004</v>
      </c>
      <c r="AE23">
        <f>_xll.EQNXTDZ($A$1,$B23,AE$1,$B$1)</f>
        <v>0.35199999999999998</v>
      </c>
      <c r="AF23">
        <f>_xll.EQNXTDZ($A$1,$B23,AF$1,$B$1)</f>
        <v>0.35499999999999998</v>
      </c>
      <c r="AG23">
        <f>_xll.EQNXTDZ($A$1,$B23,AG$1,$B$1)</f>
        <v>8.2000000000000003E-2</v>
      </c>
      <c r="AH23">
        <f>_xll.EQNXTDZ($A$1,$B23,AH$1,$B$1)</f>
        <v>0.40799999999999997</v>
      </c>
      <c r="AI23">
        <f>_xll.EQNXTDZ($A$1,$B23,AI$1,$B$1)</f>
        <v>0.192</v>
      </c>
      <c r="AJ23">
        <f>_xll.EQNXTDZ($A$1,$B23,AJ$1,$B$1)</f>
        <v>0.13100000000000001</v>
      </c>
      <c r="AK23">
        <f>_xll.EQNXTDZ($A$1,$B23,AK$1,$B$1)</f>
        <v>0.14099999999999999</v>
      </c>
      <c r="AL23">
        <f>_xll.EQNXTDZ($A$1,$B23,AL$1,$B$1)</f>
        <v>0.435</v>
      </c>
      <c r="AM23">
        <f>_xll.EQNXTDZ($A$1,$B23,AM$1,$B$1)</f>
        <v>0.32600000000000001</v>
      </c>
      <c r="AN23">
        <f>_xll.EQNXTDZ($A$1,$B23,AN$1,$B$1)</f>
        <v>0.41299999999999998</v>
      </c>
      <c r="AO23">
        <f>_xll.EQNXTDZ($A$1,$B23,AO$1,$B$1)</f>
        <v>0.105</v>
      </c>
      <c r="AP23">
        <f>_xll.EQNXTDZ($A$1,$B23,AP$1,$B$1)</f>
        <v>0.52600000000000002</v>
      </c>
      <c r="AQ23">
        <f>_xll.EQNXTDZ($A$1,$B23,AQ$1,$B$1)</f>
        <v>0.11799999999999999</v>
      </c>
      <c r="AR23">
        <f>_xll.EQNXTDZ($A$1,$B23,AR$1,$B$1)</f>
        <v>6.2E-2</v>
      </c>
      <c r="AS23">
        <f>_xll.EQNXTDZ($A$1,$B23,AS$1,$B$1)</f>
        <v>0.28499999999999998</v>
      </c>
      <c r="AT23">
        <f>_xll.EQNXTDZ($A$1,$B23,AT$1,$B$1)</f>
        <v>8.8999999999999996E-2</v>
      </c>
      <c r="AU23">
        <f>_xll.EQNXTDZ($A$1,$B23,AU$1,$B$1)</f>
        <v>0.20599999999999999</v>
      </c>
      <c r="AV23">
        <f>_xll.EQNXTDZ($A$1,$B23,AV$1,$B$1)</f>
        <v>0.39600000000000002</v>
      </c>
      <c r="AW23">
        <f>_xll.EQNXTDZ($A$1,$B23,AW$1,$B$1)</f>
        <v>0.35899999999999999</v>
      </c>
      <c r="AX23">
        <f>_xll.EQNXTDZ($A$1,$B23,AX$1,$B$1)</f>
        <v>0.46100000000000002</v>
      </c>
      <c r="AY23">
        <f>_xll.EQNXTDZ($A$1,$B23,AY$1,$B$1)</f>
        <v>0.29899999999999999</v>
      </c>
      <c r="AZ23">
        <f>_xll.EQNXTDZ($A$1,$B23,AZ$1,$B$1)</f>
        <v>0.49299999999999999</v>
      </c>
      <c r="BA23">
        <f>_xll.EQNXTDZ($A$1,$B23,BA$1,$B$1)</f>
        <v>0.51400000000000001</v>
      </c>
      <c r="BB23">
        <f>_xll.EQNXTDZ($A$1,$B23,BB$1,$B$1)</f>
        <v>0.48199999999999998</v>
      </c>
      <c r="BC23">
        <f>_xll.EQNXTDZ($A$1,$B23,BC$1,$B$1)</f>
        <v>4.4999999999999998E-2</v>
      </c>
      <c r="BD23">
        <f>_xll.EQNXTDZ($A$1,$B23,BD$1,$B$1)</f>
        <v>0.91</v>
      </c>
      <c r="BE23">
        <f>_xll.EQNXTDZ($A$1,$B23,BE$1,$B$1)</f>
        <v>0.41299999999999998</v>
      </c>
      <c r="BF23">
        <f>_xll.EQNXTDZ($A$1,$B23,BF$1,$B$1)</f>
        <v>1.1040000000000001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2.0339999999999998</v>
      </c>
      <c r="D24">
        <f>_xll.EQNXTDZ($A$1,$B24,D$1,$B$1)</f>
        <v>0.70399999999999996</v>
      </c>
      <c r="E24">
        <f>_xll.EQNXTDZ($A$1,$B24,E$1,$B$1)</f>
        <v>3.02</v>
      </c>
      <c r="F24">
        <f>_xll.EQNXTDZ($A$1,$B24,F$1,$B$1)</f>
        <v>4.6989999999999998</v>
      </c>
      <c r="G24">
        <f>_xll.EQNXTDZ($A$1,$B24,G$1,$B$1)</f>
        <v>-0.73799999999999999</v>
      </c>
      <c r="H24">
        <f>_xll.EQNXTDZ($A$1,$B24,H$1,$B$1)</f>
        <v>-0.39600000000000002</v>
      </c>
      <c r="I24">
        <f>_xll.EQNXTDZ($A$1,$B24,I$1,$B$1)</f>
        <v>1.22</v>
      </c>
      <c r="J24">
        <f>_xll.EQNXTDZ($A$1,$B24,J$1,$B$1)</f>
        <v>1.871</v>
      </c>
      <c r="K24">
        <f>_xll.EQNXTDZ($A$1,$B24,K$1,$B$1)</f>
        <v>-0.75</v>
      </c>
      <c r="L24">
        <f>_xll.EQNXTDZ($A$1,$B24,L$1,$B$1)</f>
        <v>3.472</v>
      </c>
      <c r="M24">
        <f>_xll.EQNXTDZ($A$1,$B24,M$1,$B$1)</f>
        <v>1.151</v>
      </c>
      <c r="N24">
        <f>_xll.EQNXTDZ($A$1,$B24,N$1,$B$1)</f>
        <v>0.98699999999999999</v>
      </c>
      <c r="O24">
        <f>_xll.EQNXTDZ($A$1,$B24,O$1,$B$1)</f>
        <v>1.014</v>
      </c>
      <c r="P24">
        <f>_xll.EQNXTDZ($A$1,$B24,P$1,$B$1)</f>
        <v>1.1020000000000001</v>
      </c>
      <c r="Q24">
        <f>_xll.EQNXTDZ($A$1,$B24,Q$1,$B$1)</f>
        <v>1.1220000000000001</v>
      </c>
      <c r="R24">
        <f>_xll.EQNXTDZ($A$1,$B24,R$1,$B$1)</f>
        <v>1.0980000000000001</v>
      </c>
      <c r="S24">
        <f>_xll.EQNXTDZ($A$1,$B24,S$1,$B$1)</f>
        <v>1.2150000000000001</v>
      </c>
      <c r="T24">
        <f>_xll.EQNXTDZ($A$1,$B24,T$1,$B$1)</f>
        <v>1.0589999999999999</v>
      </c>
      <c r="U24">
        <f>_xll.EQNXTDZ($A$1,$B24,U$1,$B$1)</f>
        <v>1.18</v>
      </c>
      <c r="V24">
        <f>_xll.EQNXTDZ($A$1,$B24,V$1,$B$1)</f>
        <v>0.91400000000000003</v>
      </c>
      <c r="W24">
        <f>_xll.EQNXTDZ($A$1,$B24,W$1,$B$1)</f>
        <v>16.506</v>
      </c>
      <c r="X24">
        <f>_xll.EQNXTDZ($A$1,$B24,X$1,$B$1)</f>
        <v>4.5679999999999996</v>
      </c>
      <c r="Y24">
        <f>_xll.EQNXTDZ($A$1,$B24,Y$1,$B$1)</f>
        <v>4.6529999999999996</v>
      </c>
      <c r="Z24">
        <f>_xll.EQNXTDZ($A$1,$B24,Z$1,$B$1)</f>
        <v>0.97099999999999997</v>
      </c>
      <c r="AA24">
        <f>_xll.EQNXTDZ($A$1,$B24,AA$1,$B$1)</f>
        <v>3.673</v>
      </c>
      <c r="AB24">
        <f>_xll.EQNXTDZ($A$1,$B24,AB$1,$B$1)</f>
        <v>1.804</v>
      </c>
      <c r="AC24">
        <f>_xll.EQNXTDZ($A$1,$B24,AC$1,$B$1)</f>
        <v>4.867</v>
      </c>
      <c r="AD24">
        <f>_xll.EQNXTDZ($A$1,$B24,AD$1,$B$1)</f>
        <v>4.782</v>
      </c>
      <c r="AE24">
        <f>_xll.EQNXTDZ($A$1,$B24,AE$1,$B$1)</f>
        <v>2.3490000000000002</v>
      </c>
      <c r="AF24">
        <f>_xll.EQNXTDZ($A$1,$B24,AF$1,$B$1)</f>
        <v>3.4940000000000002</v>
      </c>
      <c r="AG24">
        <f>_xll.EQNXTDZ($A$1,$B24,AG$1,$B$1)</f>
        <v>4.2370000000000001</v>
      </c>
      <c r="AH24">
        <f>_xll.EQNXTDZ($A$1,$B24,AH$1,$B$1)</f>
        <v>6.2649999999999997</v>
      </c>
      <c r="AI24">
        <f>_xll.EQNXTDZ($A$1,$B24,AI$1,$B$1)</f>
        <v>2.819</v>
      </c>
      <c r="AJ24">
        <f>_xll.EQNXTDZ($A$1,$B24,AJ$1,$B$1)</f>
        <v>5.117</v>
      </c>
      <c r="AK24">
        <f>_xll.EQNXTDZ($A$1,$B24,AK$1,$B$1)</f>
        <v>7.2249999999999996</v>
      </c>
      <c r="AL24">
        <f>_xll.EQNXTDZ($A$1,$B24,AL$1,$B$1)</f>
        <v>7.8879999999999999</v>
      </c>
      <c r="AM24">
        <f>_xll.EQNXTDZ($A$1,$B24,AM$1,$B$1)</f>
        <v>4.9859999999999998</v>
      </c>
      <c r="AN24">
        <f>_xll.EQNXTDZ($A$1,$B24,AN$1,$B$1)</f>
        <v>5.4669999999999996</v>
      </c>
      <c r="AO24">
        <f>_xll.EQNXTDZ($A$1,$B24,AO$1,$B$1)</f>
        <v>7.9870000000000001</v>
      </c>
      <c r="AP24">
        <f>_xll.EQNXTDZ($A$1,$B24,AP$1,$B$1)</f>
        <v>9.5690000000000008</v>
      </c>
      <c r="AQ24">
        <f>_xll.EQNXTDZ($A$1,$B24,AQ$1,$B$1)</f>
        <v>7.4870000000000001</v>
      </c>
      <c r="AR24">
        <f>_xll.EQNXTDZ($A$1,$B24,AR$1,$B$1)</f>
        <v>10.101000000000001</v>
      </c>
      <c r="AS24">
        <f>_xll.EQNXTDZ($A$1,$B24,AS$1,$B$1)</f>
        <v>11.487</v>
      </c>
      <c r="AT24">
        <f>_xll.EQNXTDZ($A$1,$B24,AT$1,$B$1)</f>
        <v>18.225999999999999</v>
      </c>
      <c r="AU24">
        <f>_xll.EQNXTDZ($A$1,$B24,AU$1,$B$1)</f>
        <v>14.457000000000001</v>
      </c>
      <c r="AV24">
        <f>_xll.EQNXTDZ($A$1,$B24,AV$1,$B$1)</f>
        <v>25.352</v>
      </c>
      <c r="AW24">
        <f>_xll.EQNXTDZ($A$1,$B24,AW$1,$B$1)</f>
        <v>24.802</v>
      </c>
      <c r="AX24">
        <f>_xll.EQNXTDZ($A$1,$B24,AX$1,$B$1)</f>
        <v>18.61</v>
      </c>
      <c r="AY24">
        <f>_xll.EQNXTDZ($A$1,$B24,AY$1,$B$1)</f>
        <v>14.462</v>
      </c>
      <c r="AZ24">
        <f>_xll.EQNXTDZ($A$1,$B24,AZ$1,$B$1)</f>
        <v>35.18</v>
      </c>
      <c r="BA24">
        <f>_xll.EQNXTDZ($A$1,$B24,BA$1,$B$1)</f>
        <v>32.561</v>
      </c>
      <c r="BB24">
        <f>_xll.EQNXTDZ($A$1,$B24,BB$1,$B$1)</f>
        <v>12.087</v>
      </c>
      <c r="BC24">
        <f>_xll.EQNXTDZ($A$1,$B24,BC$1,$B$1)</f>
        <v>10.5</v>
      </c>
      <c r="BD24">
        <f>_xll.EQNXTDZ($A$1,$B24,BD$1,$B$1)</f>
        <v>12.226000000000001</v>
      </c>
      <c r="BE24">
        <f>_xll.EQNXTDZ($A$1,$B24,BE$1,$B$1)</f>
        <v>12.952</v>
      </c>
      <c r="BF24">
        <f>_xll.EQNXTDZ($A$1,$B24,BF$1,$B$1)</f>
        <v>14.691000000000001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0.23699999999999999</v>
      </c>
      <c r="D25">
        <f>_xll.EQNXTDZ($A$1,$B25,D$1,$B$1)</f>
        <v>0.318</v>
      </c>
      <c r="E25">
        <f>_xll.EQNXTDZ($A$1,$B25,E$1,$B$1)</f>
        <v>0.41599999999999998</v>
      </c>
      <c r="F25">
        <f>_xll.EQNXTDZ($A$1,$B25,F$1,$B$1)</f>
        <v>0.16200000000000001</v>
      </c>
      <c r="G25">
        <f>_xll.EQNXTDZ($A$1,$B25,G$1,$B$1)</f>
        <v>0.14299999999999999</v>
      </c>
      <c r="H25">
        <f>_xll.EQNXTDZ($A$1,$B25,H$1,$B$1)</f>
        <v>0.27200000000000002</v>
      </c>
      <c r="I25">
        <f>_xll.EQNXTDZ($A$1,$B25,I$1,$B$1)</f>
        <v>0.30499999999999999</v>
      </c>
      <c r="J25">
        <f>_xll.EQNXTDZ($A$1,$B25,J$1,$B$1)</f>
        <v>0.40300000000000002</v>
      </c>
      <c r="K25">
        <f>_xll.EQNXTDZ($A$1,$B25,K$1,$B$1)</f>
        <v>0.41899999999999998</v>
      </c>
      <c r="L25">
        <f>_xll.EQNXTDZ($A$1,$B25,L$1,$B$1)</f>
        <v>0.52300000000000002</v>
      </c>
      <c r="M25">
        <f>_xll.EQNXTDZ($A$1,$B25,M$1,$B$1)</f>
        <v>0.47299999999999998</v>
      </c>
      <c r="N25">
        <f>_xll.EQNXTDZ($A$1,$B25,N$1,$B$1)</f>
        <v>0.34899999999999998</v>
      </c>
      <c r="O25">
        <f>_xll.EQNXTDZ($A$1,$B25,O$1,$B$1)</f>
        <v>0.377</v>
      </c>
      <c r="P25">
        <f>_xll.EQNXTDZ($A$1,$B25,P$1,$B$1)</f>
        <v>0.47399999999999998</v>
      </c>
      <c r="Q25">
        <f>_xll.EQNXTDZ($A$1,$B25,Q$1,$B$1)</f>
        <v>0.495</v>
      </c>
      <c r="R25">
        <f>_xll.EQNXTDZ($A$1,$B25,R$1,$B$1)</f>
        <v>0.59799999999999998</v>
      </c>
      <c r="S25">
        <f>_xll.EQNXTDZ($A$1,$B25,S$1,$B$1)</f>
        <v>0.44400000000000001</v>
      </c>
      <c r="T25">
        <f>_xll.EQNXTDZ($A$1,$B25,T$1,$B$1)</f>
        <v>0.32400000000000001</v>
      </c>
      <c r="U25">
        <f>_xll.EQNXTDZ($A$1,$B25,U$1,$B$1)</f>
        <v>0.40799999999999997</v>
      </c>
      <c r="V25">
        <f>_xll.EQNXTDZ($A$1,$B25,V$1,$B$1)</f>
        <v>0.34300000000000003</v>
      </c>
      <c r="W25">
        <f>_xll.EQNXTDZ($A$1,$B25,W$1,$B$1)</f>
        <v>0.30599999999999999</v>
      </c>
      <c r="X25">
        <f>_xll.EQNXTDZ($A$1,$B25,X$1,$B$1)</f>
        <v>7.6999999999999999E-2</v>
      </c>
      <c r="Y25">
        <f>_xll.EQNXTDZ($A$1,$B25,Y$1,$B$1)</f>
        <v>0.23599999999999999</v>
      </c>
      <c r="Z25">
        <f>_xll.EQNXTDZ($A$1,$B25,Z$1,$B$1)</f>
        <v>0.246</v>
      </c>
      <c r="AA25">
        <f>_xll.EQNXTDZ($A$1,$B25,AA$1,$B$1)</f>
        <v>0.124</v>
      </c>
      <c r="AB25">
        <f>_xll.EQNXTDZ($A$1,$B25,AB$1,$B$1)</f>
        <v>0.121</v>
      </c>
      <c r="AC25">
        <f>_xll.EQNXTDZ($A$1,$B25,AC$1,$B$1)</f>
        <v>0.11799999999999999</v>
      </c>
      <c r="AD25">
        <f>_xll.EQNXTDZ($A$1,$B25,AD$1,$B$1)</f>
        <v>0.217</v>
      </c>
      <c r="AE25">
        <f>_xll.EQNXTDZ($A$1,$B25,AE$1,$B$1)</f>
        <v>0.11</v>
      </c>
      <c r="AF25">
        <f>_xll.EQNXTDZ($A$1,$B25,AF$1,$B$1)</f>
        <v>0.115</v>
      </c>
      <c r="AG25">
        <f>_xll.EQNXTDZ($A$1,$B25,AG$1,$B$1)</f>
        <v>0.11700000000000001</v>
      </c>
      <c r="AH25">
        <f>_xll.EQNXTDZ($A$1,$B25,AH$1,$B$1)</f>
        <v>0.51200000000000001</v>
      </c>
      <c r="AI25">
        <f>_xll.EQNXTDZ($A$1,$B25,AI$1,$B$1)</f>
        <v>0.33700000000000002</v>
      </c>
      <c r="AJ25">
        <f>_xll.EQNXTDZ($A$1,$B25,AJ$1,$B$1)</f>
        <v>0.37</v>
      </c>
      <c r="AK25">
        <f>_xll.EQNXTDZ($A$1,$B25,AK$1,$B$1)</f>
        <v>0.42799999999999999</v>
      </c>
      <c r="AL25">
        <f>_xll.EQNXTDZ($A$1,$B25,AL$1,$B$1)</f>
        <v>0.38</v>
      </c>
      <c r="AM25">
        <f>_xll.EQNXTDZ($A$1,$B25,AM$1,$B$1)</f>
        <v>0.34499999999999997</v>
      </c>
      <c r="AN25">
        <f>_xll.EQNXTDZ($A$1,$B25,AN$1,$B$1)</f>
        <v>0.308</v>
      </c>
      <c r="AO25">
        <f>_xll.EQNXTDZ($A$1,$B25,AO$1,$B$1)</f>
        <v>0.41699999999999998</v>
      </c>
      <c r="AP25">
        <f>_xll.EQNXTDZ($A$1,$B25,AP$1,$B$1)</f>
        <v>0.443</v>
      </c>
      <c r="AQ25">
        <f>_xll.EQNXTDZ($A$1,$B25,AQ$1,$B$1)</f>
        <v>0.68200000000000005</v>
      </c>
      <c r="AR25">
        <f>_xll.EQNXTDZ($A$1,$B25,AR$1,$B$1)</f>
        <v>1.127</v>
      </c>
      <c r="AS25">
        <f>_xll.EQNXTDZ($A$1,$B25,AS$1,$B$1)</f>
        <v>1.546</v>
      </c>
      <c r="AT25">
        <f>_xll.EQNXTDZ($A$1,$B25,AT$1,$B$1)</f>
        <v>1.508</v>
      </c>
      <c r="AU25">
        <f>_xll.EQNXTDZ($A$1,$B25,AU$1,$B$1)</f>
        <v>1.4890000000000001</v>
      </c>
      <c r="AV25">
        <f>_xll.EQNXTDZ($A$1,$B25,AV$1,$B$1)</f>
        <v>1.5129999999999999</v>
      </c>
      <c r="AW25">
        <f>_xll.EQNXTDZ($A$1,$B25,AW$1,$B$1)</f>
        <v>0.87</v>
      </c>
      <c r="AX25">
        <f>_xll.EQNXTDZ($A$1,$B25,AX$1,$B$1)</f>
        <v>0.30499999999999999</v>
      </c>
      <c r="AY25">
        <f>_xll.EQNXTDZ($A$1,$B25,AY$1,$B$1)</f>
        <v>0.64400000000000002</v>
      </c>
      <c r="AZ25">
        <f>_xll.EQNXTDZ($A$1,$B25,AZ$1,$B$1)</f>
        <v>0.71899999999999997</v>
      </c>
      <c r="BA25">
        <f>_xll.EQNXTDZ($A$1,$B25,BA$1,$B$1)</f>
        <v>1.0229999999999999</v>
      </c>
      <c r="BB25">
        <f>_xll.EQNXTDZ($A$1,$B25,BB$1,$B$1)</f>
        <v>0.65900000000000003</v>
      </c>
      <c r="BC25">
        <f>_xll.EQNXTDZ($A$1,$B25,BC$1,$B$1)</f>
        <v>0.80200000000000005</v>
      </c>
      <c r="BD25">
        <f>_xll.EQNXTDZ($A$1,$B25,BD$1,$B$1)</f>
        <v>1.256</v>
      </c>
      <c r="BE25">
        <f>_xll.EQNXTDZ($A$1,$B25,BE$1,$B$1)</f>
        <v>1.774</v>
      </c>
      <c r="BF25">
        <f>_xll.EQNXTDZ($A$1,$B25,BF$1,$B$1)</f>
        <v>1.8089999999999999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1.7969999999999999</v>
      </c>
      <c r="D27">
        <f>_xll.EQNXTDZ($A$1,$B27,D$1,$B$1)</f>
        <v>0.38600000000000001</v>
      </c>
      <c r="E27">
        <f>_xll.EQNXTDZ($A$1,$B27,E$1,$B$1)</f>
        <v>2.6040000000000001</v>
      </c>
      <c r="F27">
        <f>_xll.EQNXTDZ($A$1,$B27,F$1,$B$1)</f>
        <v>4.5369999999999999</v>
      </c>
      <c r="G27">
        <f>_xll.EQNXTDZ($A$1,$B27,G$1,$B$1)</f>
        <v>-0.88100000000000001</v>
      </c>
      <c r="H27">
        <f>_xll.EQNXTDZ($A$1,$B27,H$1,$B$1)</f>
        <v>-0.66800000000000004</v>
      </c>
      <c r="I27">
        <f>_xll.EQNXTDZ($A$1,$B27,I$1,$B$1)</f>
        <v>0.91500000000000004</v>
      </c>
      <c r="J27">
        <f>_xll.EQNXTDZ($A$1,$B27,J$1,$B$1)</f>
        <v>1.468</v>
      </c>
      <c r="K27">
        <f>_xll.EQNXTDZ($A$1,$B27,K$1,$B$1)</f>
        <v>-1.169</v>
      </c>
      <c r="L27">
        <f>_xll.EQNXTDZ($A$1,$B27,L$1,$B$1)</f>
        <v>2.9489999999999998</v>
      </c>
      <c r="M27">
        <f>_xll.EQNXTDZ($A$1,$B27,M$1,$B$1)</f>
        <v>0.67800000000000005</v>
      </c>
      <c r="N27">
        <f>_xll.EQNXTDZ($A$1,$B27,N$1,$B$1)</f>
        <v>0.63800000000000001</v>
      </c>
      <c r="O27">
        <f>_xll.EQNXTDZ($A$1,$B27,O$1,$B$1)</f>
        <v>0.63700000000000001</v>
      </c>
      <c r="P27">
        <f>_xll.EQNXTDZ($A$1,$B27,P$1,$B$1)</f>
        <v>0.628</v>
      </c>
      <c r="Q27">
        <f>_xll.EQNXTDZ($A$1,$B27,Q$1,$B$1)</f>
        <v>0.627</v>
      </c>
      <c r="R27">
        <f>_xll.EQNXTDZ($A$1,$B27,R$1,$B$1)</f>
        <v>0.5</v>
      </c>
      <c r="S27">
        <f>_xll.EQNXTDZ($A$1,$B27,S$1,$B$1)</f>
        <v>0.77100000000000002</v>
      </c>
      <c r="T27">
        <f>_xll.EQNXTDZ($A$1,$B27,T$1,$B$1)</f>
        <v>0.73499999999999999</v>
      </c>
      <c r="U27">
        <f>_xll.EQNXTDZ($A$1,$B27,U$1,$B$1)</f>
        <v>0.77200000000000002</v>
      </c>
      <c r="V27">
        <f>_xll.EQNXTDZ($A$1,$B27,V$1,$B$1)</f>
        <v>0.57099999999999995</v>
      </c>
      <c r="W27">
        <f>_xll.EQNXTDZ($A$1,$B27,W$1,$B$1)</f>
        <v>16.2</v>
      </c>
      <c r="X27">
        <f>_xll.EQNXTDZ($A$1,$B27,X$1,$B$1)</f>
        <v>4.4909999999999997</v>
      </c>
      <c r="Y27">
        <f>_xll.EQNXTDZ($A$1,$B27,Y$1,$B$1)</f>
        <v>4.4169999999999998</v>
      </c>
      <c r="Z27">
        <f>_xll.EQNXTDZ($A$1,$B27,Z$1,$B$1)</f>
        <v>0.72499999999999998</v>
      </c>
      <c r="AA27">
        <f>_xll.EQNXTDZ($A$1,$B27,AA$1,$B$1)</f>
        <v>3.5489999999999999</v>
      </c>
      <c r="AB27">
        <f>_xll.EQNXTDZ($A$1,$B27,AB$1,$B$1)</f>
        <v>1.6830000000000001</v>
      </c>
      <c r="AC27">
        <f>_xll.EQNXTDZ($A$1,$B27,AC$1,$B$1)</f>
        <v>4.7489999999999997</v>
      </c>
      <c r="AD27">
        <f>_xll.EQNXTDZ($A$1,$B27,AD$1,$B$1)</f>
        <v>4.5650000000000004</v>
      </c>
      <c r="AE27">
        <f>_xll.EQNXTDZ($A$1,$B27,AE$1,$B$1)</f>
        <v>2.2389999999999999</v>
      </c>
      <c r="AF27">
        <f>_xll.EQNXTDZ($A$1,$B27,AF$1,$B$1)</f>
        <v>3.379</v>
      </c>
      <c r="AG27">
        <f>_xll.EQNXTDZ($A$1,$B27,AG$1,$B$1)</f>
        <v>4.12</v>
      </c>
      <c r="AH27">
        <f>_xll.EQNXTDZ($A$1,$B27,AH$1,$B$1)</f>
        <v>5.7530000000000001</v>
      </c>
      <c r="AI27">
        <f>_xll.EQNXTDZ($A$1,$B27,AI$1,$B$1)</f>
        <v>2.4820000000000002</v>
      </c>
      <c r="AJ27">
        <f>_xll.EQNXTDZ($A$1,$B27,AJ$1,$B$1)</f>
        <v>4.7469999999999999</v>
      </c>
      <c r="AK27">
        <f>_xll.EQNXTDZ($A$1,$B27,AK$1,$B$1)</f>
        <v>6.7969999999999997</v>
      </c>
      <c r="AL27">
        <f>_xll.EQNXTDZ($A$1,$B27,AL$1,$B$1)</f>
        <v>7.508</v>
      </c>
      <c r="AM27">
        <f>_xll.EQNXTDZ($A$1,$B27,AM$1,$B$1)</f>
        <v>4.641</v>
      </c>
      <c r="AN27">
        <f>_xll.EQNXTDZ($A$1,$B27,AN$1,$B$1)</f>
        <v>5.1589999999999998</v>
      </c>
      <c r="AO27">
        <f>_xll.EQNXTDZ($A$1,$B27,AO$1,$B$1)</f>
        <v>7.57</v>
      </c>
      <c r="AP27">
        <f>_xll.EQNXTDZ($A$1,$B27,AP$1,$B$1)</f>
        <v>9.1259999999999994</v>
      </c>
      <c r="AQ27">
        <f>_xll.EQNXTDZ($A$1,$B27,AQ$1,$B$1)</f>
        <v>6.8049999999999997</v>
      </c>
      <c r="AR27">
        <f>_xll.EQNXTDZ($A$1,$B27,AR$1,$B$1)</f>
        <v>8.9740000000000002</v>
      </c>
      <c r="AS27">
        <f>_xll.EQNXTDZ($A$1,$B27,AS$1,$B$1)</f>
        <v>9.9409999999999901</v>
      </c>
      <c r="AT27">
        <f>_xll.EQNXTDZ($A$1,$B27,AT$1,$B$1)</f>
        <v>16.718</v>
      </c>
      <c r="AU27">
        <f>_xll.EQNXTDZ($A$1,$B27,AU$1,$B$1)</f>
        <v>12.968</v>
      </c>
      <c r="AV27">
        <f>_xll.EQNXTDZ($A$1,$B27,AV$1,$B$1)</f>
        <v>23.838999999999999</v>
      </c>
      <c r="AW27">
        <f>_xll.EQNXTDZ($A$1,$B27,AW$1,$B$1)</f>
        <v>23.931999999999999</v>
      </c>
      <c r="AX27">
        <f>_xll.EQNXTDZ($A$1,$B27,AX$1,$B$1)</f>
        <v>18.305</v>
      </c>
      <c r="AY27">
        <f>_xll.EQNXTDZ($A$1,$B27,AY$1,$B$1)</f>
        <v>13.818</v>
      </c>
      <c r="AZ27">
        <f>_xll.EQNXTDZ($A$1,$B27,AZ$1,$B$1)</f>
        <v>34.460999999999999</v>
      </c>
      <c r="BA27">
        <f>_xll.EQNXTDZ($A$1,$B27,BA$1,$B$1)</f>
        <v>31.538</v>
      </c>
      <c r="BB27">
        <f>_xll.EQNXTDZ($A$1,$B27,BB$1,$B$1)</f>
        <v>11.428000000000001</v>
      </c>
      <c r="BC27">
        <f>_xll.EQNXTDZ($A$1,$B27,BC$1,$B$1)</f>
        <v>9.6980000000000093</v>
      </c>
      <c r="BD27">
        <f>_xll.EQNXTDZ($A$1,$B27,BD$1,$B$1)</f>
        <v>10.97</v>
      </c>
      <c r="BE27">
        <f>_xll.EQNXTDZ($A$1,$B27,BE$1,$B$1)</f>
        <v>11.178000000000001</v>
      </c>
      <c r="BF27">
        <f>_xll.EQNXTDZ($A$1,$B27,BF$1,$B$1)</f>
        <v>12.882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0.31900000000000001</v>
      </c>
      <c r="D28">
        <f>_xll.EQNXTDZ($A$1,$B28,D$1,$B$1)</f>
        <v>0.31900000000000001</v>
      </c>
      <c r="E28">
        <f>_xll.EQNXTDZ($A$1,$B28,E$1,$B$1)</f>
        <v>0.317</v>
      </c>
      <c r="F28">
        <f>_xll.EQNXTDZ($A$1,$B28,F$1,$B$1)</f>
        <v>0.31</v>
      </c>
      <c r="G28">
        <f>_xll.EQNXTDZ($A$1,$B28,G$1,$B$1)</f>
        <v>0.498</v>
      </c>
      <c r="H28">
        <f>_xll.EQNXTDZ($A$1,$B28,H$1,$B$1)</f>
        <v>0.504</v>
      </c>
      <c r="I28">
        <f>_xll.EQNXTDZ($A$1,$B28,I$1,$B$1)</f>
        <v>0.49299999999999999</v>
      </c>
      <c r="J28">
        <f>_xll.EQNXTDZ($A$1,$B28,J$1,$B$1)</f>
        <v>0.49299999999999999</v>
      </c>
      <c r="K28">
        <f>_xll.EQNXTDZ($A$1,$B28,K$1,$B$1)</f>
        <v>0.499</v>
      </c>
      <c r="L28">
        <f>_xll.EQNXTDZ($A$1,$B28,L$1,$B$1)</f>
        <v>0.503</v>
      </c>
      <c r="M28">
        <f>_xll.EQNXTDZ($A$1,$B28,M$1,$B$1)</f>
        <v>0.46300000000000002</v>
      </c>
      <c r="N28">
        <f>_xll.EQNXTDZ($A$1,$B28,N$1,$B$1)</f>
        <v>0.42299999999999999</v>
      </c>
      <c r="O28">
        <f>_xll.EQNXTDZ($A$1,$B28,O$1,$B$1)</f>
        <v>0.45100000000000001</v>
      </c>
      <c r="P28">
        <f>_xll.EQNXTDZ($A$1,$B28,P$1,$B$1)</f>
        <v>0.46600000000000003</v>
      </c>
      <c r="Q28">
        <f>_xll.EQNXTDZ($A$1,$B28,Q$1,$B$1)</f>
        <v>0.40799999999999997</v>
      </c>
      <c r="R28">
        <f>_xll.EQNXTDZ($A$1,$B28,R$1,$B$1)</f>
        <v>0.41299999999999998</v>
      </c>
      <c r="S28">
        <f>_xll.EQNXTDZ($A$1,$B28,S$1,$B$1)</f>
        <v>0.39900000000000002</v>
      </c>
      <c r="T28">
        <f>_xll.EQNXTDZ($A$1,$B28,T$1,$B$1)</f>
        <v>0.41299999999999998</v>
      </c>
      <c r="U28">
        <f>_xll.EQNXTDZ($A$1,$B28,U$1,$B$1)</f>
        <v>0.42799999999999999</v>
      </c>
      <c r="V28">
        <f>_xll.EQNXTDZ($A$1,$B28,V$1,$B$1)</f>
        <v>0.55300000000000005</v>
      </c>
      <c r="W28">
        <f>_xll.EQNXTDZ($A$1,$B28,W$1,$B$1)</f>
        <v>0.36699999999999999</v>
      </c>
      <c r="X28">
        <f>_xll.EQNXTDZ($A$1,$B28,X$1,$B$1)</f>
        <v>0.35399999999999998</v>
      </c>
      <c r="Y28">
        <f>_xll.EQNXTDZ($A$1,$B28,Y$1,$B$1)</f>
        <v>0.436</v>
      </c>
      <c r="Z28">
        <f>_xll.EQNXTDZ($A$1,$B28,Z$1,$B$1)</f>
        <v>0.49</v>
      </c>
      <c r="AA28">
        <f>_xll.EQNXTDZ($A$1,$B28,AA$1,$B$1)</f>
        <v>0.46700000000000003</v>
      </c>
      <c r="AB28">
        <f>_xll.EQNXTDZ($A$1,$B28,AB$1,$B$1)</f>
        <v>0.51200000000000001</v>
      </c>
      <c r="AC28">
        <f>_xll.EQNXTDZ($A$1,$B28,AC$1,$B$1)</f>
        <v>0.52800000000000002</v>
      </c>
      <c r="AD28">
        <f>_xll.EQNXTDZ($A$1,$B28,AD$1,$B$1)</f>
        <v>0.54100000000000004</v>
      </c>
      <c r="AE28">
        <f>_xll.EQNXTDZ($A$1,$B28,AE$1,$B$1)</f>
        <v>0.50900000000000001</v>
      </c>
      <c r="AF28">
        <f>_xll.EQNXTDZ($A$1,$B28,AF$1,$B$1)</f>
        <v>0.57999999999999996</v>
      </c>
      <c r="AG28">
        <f>_xll.EQNXTDZ($A$1,$B28,AG$1,$B$1)</f>
        <v>0.60099999999999998</v>
      </c>
      <c r="AH28">
        <f>_xll.EQNXTDZ($A$1,$B28,AH$1,$B$1)</f>
        <v>1.0209999999999999</v>
      </c>
      <c r="AI28">
        <f>_xll.EQNXTDZ($A$1,$B28,AI$1,$B$1)</f>
        <v>0.71699999999999997</v>
      </c>
      <c r="AJ28">
        <f>_xll.EQNXTDZ($A$1,$B28,AJ$1,$B$1)</f>
        <v>0.75</v>
      </c>
      <c r="AK28">
        <f>_xll.EQNXTDZ($A$1,$B28,AK$1,$B$1)</f>
        <v>0.76300000000000001</v>
      </c>
      <c r="AL28">
        <f>_xll.EQNXTDZ($A$1,$B28,AL$1,$B$1)</f>
        <v>0.80100000000000005</v>
      </c>
      <c r="AM28">
        <f>_xll.EQNXTDZ($A$1,$B28,AM$1,$B$1)</f>
        <v>0.90700000000000003</v>
      </c>
      <c r="AN28">
        <f>_xll.EQNXTDZ($A$1,$B28,AN$1,$B$1)</f>
        <v>0.96899999999999997</v>
      </c>
      <c r="AO28">
        <f>_xll.EQNXTDZ($A$1,$B28,AO$1,$B$1)</f>
        <v>0.98799999999999999</v>
      </c>
      <c r="AP28">
        <f>_xll.EQNXTDZ($A$1,$B28,AP$1,$B$1)</f>
        <v>1.1639999999999999</v>
      </c>
      <c r="AQ28">
        <f>_xll.EQNXTDZ($A$1,$B28,AQ$1,$B$1)</f>
        <v>1.353</v>
      </c>
      <c r="AR28">
        <f>_xll.EQNXTDZ($A$1,$B28,AR$1,$B$1)</f>
        <v>1.361</v>
      </c>
      <c r="AS28">
        <f>_xll.EQNXTDZ($A$1,$B28,AS$1,$B$1)</f>
        <v>1.5249999999999999</v>
      </c>
      <c r="AT28">
        <f>_xll.EQNXTDZ($A$1,$B28,AT$1,$B$1)</f>
        <v>1.5289999999999999</v>
      </c>
      <c r="AU28">
        <f>_xll.EQNXTDZ($A$1,$B28,AU$1,$B$1)</f>
        <v>1.571</v>
      </c>
      <c r="AV28">
        <f>_xll.EQNXTDZ($A$1,$B28,AV$1,$B$1)</f>
        <v>1.637</v>
      </c>
      <c r="AW28">
        <f>_xll.EQNXTDZ($A$1,$B28,AW$1,$B$1)</f>
        <v>1.837</v>
      </c>
      <c r="AX28">
        <f>_xll.EQNXTDZ($A$1,$B28,AX$1,$B$1)</f>
        <v>2.4529999999999998</v>
      </c>
      <c r="AY28">
        <f>_xll.EQNXTDZ($A$1,$B28,AY$1,$B$1)</f>
        <v>2.8559999999999999</v>
      </c>
      <c r="AZ28">
        <f>_xll.EQNXTDZ($A$1,$B28,AZ$1,$B$1)</f>
        <v>2.9590000000000001</v>
      </c>
      <c r="BA28">
        <f>_xll.EQNXTDZ($A$1,$B28,BA$1,$B$1)</f>
        <v>3.0529999999999999</v>
      </c>
      <c r="BB28">
        <f>_xll.EQNXTDZ($A$1,$B28,BB$1,$B$1)</f>
        <v>2.9359999999999999</v>
      </c>
      <c r="BC28">
        <f>_xll.EQNXTDZ($A$1,$B28,BC$1,$B$1)</f>
        <v>4.3970000000000002</v>
      </c>
      <c r="BD28">
        <f>_xll.EQNXTDZ($A$1,$B28,BD$1,$B$1)</f>
        <v>4.7560000000000002</v>
      </c>
      <c r="BE28">
        <f>_xll.EQNXTDZ($A$1,$B28,BE$1,$B$1)</f>
        <v>5.3570000000000002</v>
      </c>
      <c r="BF28">
        <f>_xll.EQNXTDZ($A$1,$B28,BF$1,$B$1)</f>
        <v>5.5659999999999998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0.29599999999999999</v>
      </c>
      <c r="D29">
        <f>_xll.EQNXTDZ($A$1,$B29,D$1,$B$1)</f>
        <v>0</v>
      </c>
      <c r="E29">
        <f>_xll.EQNXTDZ($A$1,$B29,E$1,$B$1)</f>
        <v>0.45700000000000002</v>
      </c>
      <c r="F29">
        <f>_xll.EQNXTDZ($A$1,$B29,F$1,$B$1)</f>
        <v>0.84599999999999997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3.5999999999999997E-2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0.32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6.0999999999999999E-2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0.17199999999999999</v>
      </c>
      <c r="W29">
        <f>_xll.EQNXTDZ($A$1,$B29,W$1,$B$1)</f>
        <v>3.629</v>
      </c>
      <c r="X29">
        <f>_xll.EQNXTDZ($A$1,$B29,X$1,$B$1)</f>
        <v>0.88300000000000001</v>
      </c>
      <c r="Y29">
        <f>_xll.EQNXTDZ($A$1,$B29,Y$1,$B$1)</f>
        <v>0.85</v>
      </c>
      <c r="Z29">
        <f>_xll.EQNXTDZ($A$1,$B29,Z$1,$B$1)</f>
        <v>1.526</v>
      </c>
      <c r="AA29">
        <f>_xll.EQNXTDZ($A$1,$B29,AA$1,$B$1)</f>
        <v>0.66400000000000003</v>
      </c>
      <c r="AB29">
        <f>_xll.EQNXTDZ($A$1,$B29,AB$1,$B$1)</f>
        <v>0.54700000000000004</v>
      </c>
      <c r="AC29">
        <f>_xll.EQNXTDZ($A$1,$B29,AC$1,$B$1)</f>
        <v>0.91</v>
      </c>
      <c r="AD29">
        <f>_xll.EQNXTDZ($A$1,$B29,AD$1,$B$1)</f>
        <v>0.79</v>
      </c>
      <c r="AE29">
        <f>_xll.EQNXTDZ($A$1,$B29,AE$1,$B$1)</f>
        <v>0.373</v>
      </c>
      <c r="AF29">
        <f>_xll.EQNXTDZ($A$1,$B29,AF$1,$B$1)</f>
        <v>0.41799999999999998</v>
      </c>
      <c r="AG29">
        <f>_xll.EQNXTDZ($A$1,$B29,AG$1,$B$1)</f>
        <v>0.61499999999999999</v>
      </c>
      <c r="AH29">
        <f>_xll.EQNXTDZ($A$1,$B29,AH$1,$B$1)</f>
        <v>0.61599999999999999</v>
      </c>
      <c r="AI29">
        <f>_xll.EQNXTDZ($A$1,$B29,AI$1,$B$1)</f>
        <v>0.318</v>
      </c>
      <c r="AJ29">
        <f>_xll.EQNXTDZ($A$1,$B29,AJ$1,$B$1)</f>
        <v>0.70699999999999996</v>
      </c>
      <c r="AK29">
        <f>_xll.EQNXTDZ($A$1,$B29,AK$1,$B$1)</f>
        <v>1.0620000000000001</v>
      </c>
      <c r="AL29">
        <f>_xll.EQNXTDZ($A$1,$B29,AL$1,$B$1)</f>
        <v>1.0089999999999999</v>
      </c>
      <c r="AM29">
        <f>_xll.EQNXTDZ($A$1,$B29,AM$1,$B$1)</f>
        <v>0.66</v>
      </c>
      <c r="AN29">
        <f>_xll.EQNXTDZ($A$1,$B29,AN$1,$B$1)</f>
        <v>0.748</v>
      </c>
      <c r="AO29">
        <f>_xll.EQNXTDZ($A$1,$B29,AO$1,$B$1)</f>
        <v>1.196</v>
      </c>
      <c r="AP29">
        <f>_xll.EQNXTDZ($A$1,$B29,AP$1,$B$1)</f>
        <v>1.887</v>
      </c>
      <c r="AQ29">
        <f>_xll.EQNXTDZ($A$1,$B29,AQ$1,$B$1)</f>
        <v>1.071</v>
      </c>
      <c r="AR29">
        <f>_xll.EQNXTDZ($A$1,$B29,AR$1,$B$1)</f>
        <v>1.4690000000000001</v>
      </c>
      <c r="AS29">
        <f>_xll.EQNXTDZ($A$1,$B29,AS$1,$B$1)</f>
        <v>1.73</v>
      </c>
      <c r="AT29">
        <f>_xll.EQNXTDZ($A$1,$B29,AT$1,$B$1)</f>
        <v>5.56</v>
      </c>
      <c r="AU29">
        <f>_xll.EQNXTDZ($A$1,$B29,AU$1,$B$1)</f>
        <v>3.3849999999999998</v>
      </c>
      <c r="AV29">
        <f>_xll.EQNXTDZ($A$1,$B29,AV$1,$B$1)</f>
        <v>6.1289999999999996</v>
      </c>
      <c r="AW29">
        <f>_xll.EQNXTDZ($A$1,$B29,AW$1,$B$1)</f>
        <v>5.774</v>
      </c>
      <c r="AX29">
        <f>_xll.EQNXTDZ($A$1,$B29,AX$1,$B$1)</f>
        <v>3.7</v>
      </c>
      <c r="AY29">
        <f>_xll.EQNXTDZ($A$1,$B29,AY$1,$B$1)</f>
        <v>3.581</v>
      </c>
      <c r="AZ29">
        <f>_xll.EQNXTDZ($A$1,$B29,AZ$1,$B$1)</f>
        <v>8.6029999999999998</v>
      </c>
      <c r="BA29">
        <f>_xll.EQNXTDZ($A$1,$B29,BA$1,$B$1)</f>
        <v>8.4049999999999994</v>
      </c>
      <c r="BB29">
        <f>_xll.EQNXTDZ($A$1,$B29,BB$1,$B$1)</f>
        <v>2.4060000000000001</v>
      </c>
      <c r="BC29">
        <f>_xll.EQNXTDZ($A$1,$B29,BC$1,$B$1)</f>
        <v>2.0750000000000002</v>
      </c>
      <c r="BD29">
        <f>_xll.EQNXTDZ($A$1,$B29,BD$1,$B$1)</f>
        <v>1.9490000000000001</v>
      </c>
      <c r="BE29">
        <f>_xll.EQNXTDZ($A$1,$B29,BE$1,$B$1)</f>
        <v>3.0779999999999998</v>
      </c>
      <c r="BF29">
        <f>_xll.EQNXTDZ($A$1,$B29,BF$1,$B$1)</f>
        <v>2.5419999999999998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1.1830000000000001</v>
      </c>
      <c r="D30">
        <f>_xll.EQNXTDZ($A$1,$B30,D$1,$B$1)</f>
        <v>6.7000000000000004E-2</v>
      </c>
      <c r="E30">
        <f>_xll.EQNXTDZ($A$1,$B30,E$1,$B$1)</f>
        <v>1.829</v>
      </c>
      <c r="F30">
        <f>_xll.EQNXTDZ($A$1,$B30,F$1,$B$1)</f>
        <v>3.3820000000000001</v>
      </c>
      <c r="G30">
        <f>_xll.EQNXTDZ($A$1,$B30,G$1,$B$1)</f>
        <v>-1.379</v>
      </c>
      <c r="H30">
        <f>_xll.EQNXTDZ($A$1,$B30,H$1,$B$1)</f>
        <v>-1.1719999999999999</v>
      </c>
      <c r="I30">
        <f>_xll.EQNXTDZ($A$1,$B30,I$1,$B$1)</f>
        <v>0.42299999999999999</v>
      </c>
      <c r="J30">
        <f>_xll.EQNXTDZ($A$1,$B30,J$1,$B$1)</f>
        <v>0.93799999999999994</v>
      </c>
      <c r="K30">
        <f>_xll.EQNXTDZ($A$1,$B30,K$1,$B$1)</f>
        <v>-1.6679999999999999</v>
      </c>
      <c r="L30">
        <f>_xll.EQNXTDZ($A$1,$B30,L$1,$B$1)</f>
        <v>2.4460000000000002</v>
      </c>
      <c r="M30">
        <f>_xll.EQNXTDZ($A$1,$B30,M$1,$B$1)</f>
        <v>0.215</v>
      </c>
      <c r="N30">
        <f>_xll.EQNXTDZ($A$1,$B30,N$1,$B$1)</f>
        <v>-0.105</v>
      </c>
      <c r="O30">
        <f>_xll.EQNXTDZ($A$1,$B30,O$1,$B$1)</f>
        <v>0.186</v>
      </c>
      <c r="P30">
        <f>_xll.EQNXTDZ($A$1,$B30,P$1,$B$1)</f>
        <v>0.16200000000000001</v>
      </c>
      <c r="Q30">
        <f>_xll.EQNXTDZ($A$1,$B30,Q$1,$B$1)</f>
        <v>0.219</v>
      </c>
      <c r="R30">
        <f>_xll.EQNXTDZ($A$1,$B30,R$1,$B$1)</f>
        <v>2.5999999999999999E-2</v>
      </c>
      <c r="S30">
        <f>_xll.EQNXTDZ($A$1,$B30,S$1,$B$1)</f>
        <v>0.372</v>
      </c>
      <c r="T30">
        <f>_xll.EQNXTDZ($A$1,$B30,T$1,$B$1)</f>
        <v>0.32200000000000001</v>
      </c>
      <c r="U30">
        <f>_xll.EQNXTDZ($A$1,$B30,U$1,$B$1)</f>
        <v>0.34399999999999997</v>
      </c>
      <c r="V30">
        <f>_xll.EQNXTDZ($A$1,$B30,V$1,$B$1)</f>
        <v>-0.155</v>
      </c>
      <c r="W30">
        <f>_xll.EQNXTDZ($A$1,$B30,W$1,$B$1)</f>
        <v>12.204000000000001</v>
      </c>
      <c r="X30">
        <f>_xll.EQNXTDZ($A$1,$B30,X$1,$B$1)</f>
        <v>3.2549999999999999</v>
      </c>
      <c r="Y30">
        <f>_xll.EQNXTDZ($A$1,$B30,Y$1,$B$1)</f>
        <v>3.1320000000000001</v>
      </c>
      <c r="Z30">
        <f>_xll.EQNXTDZ($A$1,$B30,Z$1,$B$1)</f>
        <v>-1.2909999999999999</v>
      </c>
      <c r="AA30">
        <f>_xll.EQNXTDZ($A$1,$B30,AA$1,$B$1)</f>
        <v>2.4180000000000001</v>
      </c>
      <c r="AB30">
        <f>_xll.EQNXTDZ($A$1,$B30,AB$1,$B$1)</f>
        <v>0.625</v>
      </c>
      <c r="AC30">
        <f>_xll.EQNXTDZ($A$1,$B30,AC$1,$B$1)</f>
        <v>3.3109999999999999</v>
      </c>
      <c r="AD30">
        <f>_xll.EQNXTDZ($A$1,$B30,AD$1,$B$1)</f>
        <v>3.234</v>
      </c>
      <c r="AE30">
        <f>_xll.EQNXTDZ($A$1,$B30,AE$1,$B$1)</f>
        <v>1.357</v>
      </c>
      <c r="AF30">
        <f>_xll.EQNXTDZ($A$1,$B30,AF$1,$B$1)</f>
        <v>2.3809999999999998</v>
      </c>
      <c r="AG30">
        <f>_xll.EQNXTDZ($A$1,$B30,AG$1,$B$1)</f>
        <v>2.9039999999999999</v>
      </c>
      <c r="AH30">
        <f>_xll.EQNXTDZ($A$1,$B30,AH$1,$B$1)</f>
        <v>4.1159999999999997</v>
      </c>
      <c r="AI30">
        <f>_xll.EQNXTDZ($A$1,$B30,AI$1,$B$1)</f>
        <v>1.4470000000000001</v>
      </c>
      <c r="AJ30">
        <f>_xll.EQNXTDZ($A$1,$B30,AJ$1,$B$1)</f>
        <v>3.29</v>
      </c>
      <c r="AK30">
        <f>_xll.EQNXTDZ($A$1,$B30,AK$1,$B$1)</f>
        <v>4.9720000000000004</v>
      </c>
      <c r="AL30">
        <f>_xll.EQNXTDZ($A$1,$B30,AL$1,$B$1)</f>
        <v>5.6980000000000004</v>
      </c>
      <c r="AM30">
        <f>_xll.EQNXTDZ($A$1,$B30,AM$1,$B$1)</f>
        <v>3.0739999999999998</v>
      </c>
      <c r="AN30">
        <f>_xll.EQNXTDZ($A$1,$B30,AN$1,$B$1)</f>
        <v>3.4420000000000002</v>
      </c>
      <c r="AO30">
        <f>_xll.EQNXTDZ($A$1,$B30,AO$1,$B$1)</f>
        <v>5.3860000000000001</v>
      </c>
      <c r="AP30">
        <f>_xll.EQNXTDZ($A$1,$B30,AP$1,$B$1)</f>
        <v>6.0750000000000002</v>
      </c>
      <c r="AQ30">
        <f>_xll.EQNXTDZ($A$1,$B30,AQ$1,$B$1)</f>
        <v>4.3810000000000002</v>
      </c>
      <c r="AR30">
        <f>_xll.EQNXTDZ($A$1,$B30,AR$1,$B$1)</f>
        <v>6.1440000000000001</v>
      </c>
      <c r="AS30">
        <f>_xll.EQNXTDZ($A$1,$B30,AS$1,$B$1)</f>
        <v>6.6859999999999902</v>
      </c>
      <c r="AT30">
        <f>_xll.EQNXTDZ($A$1,$B30,AT$1,$B$1)</f>
        <v>9.6290000000000102</v>
      </c>
      <c r="AU30">
        <f>_xll.EQNXTDZ($A$1,$B30,AU$1,$B$1)</f>
        <v>8.0119999999999898</v>
      </c>
      <c r="AV30">
        <f>_xll.EQNXTDZ($A$1,$B30,AV$1,$B$1)</f>
        <v>16.073</v>
      </c>
      <c r="AW30">
        <f>_xll.EQNXTDZ($A$1,$B30,AW$1,$B$1)</f>
        <v>16.321000000000002</v>
      </c>
      <c r="AX30">
        <f>_xll.EQNXTDZ($A$1,$B30,AX$1,$B$1)</f>
        <v>12.151999999999999</v>
      </c>
      <c r="AY30">
        <f>_xll.EQNXTDZ($A$1,$B30,AY$1,$B$1)</f>
        <v>7.3810000000000002</v>
      </c>
      <c r="AZ30">
        <f>_xll.EQNXTDZ($A$1,$B30,AZ$1,$B$1)</f>
        <v>22.899000000000001</v>
      </c>
      <c r="BA30">
        <f>_xll.EQNXTDZ($A$1,$B30,BA$1,$B$1)</f>
        <v>20.079999999999998</v>
      </c>
      <c r="BB30">
        <f>_xll.EQNXTDZ($A$1,$B30,BB$1,$B$1)</f>
        <v>6.0859999999999896</v>
      </c>
      <c r="BC30">
        <f>_xll.EQNXTDZ($A$1,$B30,BC$1,$B$1)</f>
        <v>3.2260000000000102</v>
      </c>
      <c r="BD30">
        <f>_xll.EQNXTDZ($A$1,$B30,BD$1,$B$1)</f>
        <v>4.2649999999999997</v>
      </c>
      <c r="BE30">
        <f>_xll.EQNXTDZ($A$1,$B30,BE$1,$B$1)</f>
        <v>2.7429999999999999</v>
      </c>
      <c r="BF30">
        <f>_xll.EQNXTDZ($A$1,$B30,BF$1,$B$1)</f>
        <v>4.774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1.1830000000000001</v>
      </c>
      <c r="D38">
        <f>_xll.EQNXTDZ($A$1,$B38,D$1,$B$1)</f>
        <v>6.7000000000000004E-2</v>
      </c>
      <c r="E38">
        <f>_xll.EQNXTDZ($A$1,$B38,E$1,$B$1)</f>
        <v>1.829</v>
      </c>
      <c r="F38">
        <f>_xll.EQNXTDZ($A$1,$B38,F$1,$B$1)</f>
        <v>3.3820000000000001</v>
      </c>
      <c r="G38">
        <f>_xll.EQNXTDZ($A$1,$B38,G$1,$B$1)</f>
        <v>-1.379</v>
      </c>
      <c r="H38">
        <f>_xll.EQNXTDZ($A$1,$B38,H$1,$B$1)</f>
        <v>-1.1719999999999999</v>
      </c>
      <c r="I38">
        <f>_xll.EQNXTDZ($A$1,$B38,I$1,$B$1)</f>
        <v>0.42299999999999999</v>
      </c>
      <c r="J38">
        <f>_xll.EQNXTDZ($A$1,$B38,J$1,$B$1)</f>
        <v>0.93799999999999994</v>
      </c>
      <c r="K38">
        <f>_xll.EQNXTDZ($A$1,$B38,K$1,$B$1)</f>
        <v>-1.6679999999999999</v>
      </c>
      <c r="L38">
        <f>_xll.EQNXTDZ($A$1,$B38,L$1,$B$1)</f>
        <v>2.4460000000000002</v>
      </c>
      <c r="M38">
        <f>_xll.EQNXTDZ($A$1,$B38,M$1,$B$1)</f>
        <v>0.215</v>
      </c>
      <c r="N38">
        <f>_xll.EQNXTDZ($A$1,$B38,N$1,$B$1)</f>
        <v>-0.105</v>
      </c>
      <c r="O38">
        <f>_xll.EQNXTDZ($A$1,$B38,O$1,$B$1)</f>
        <v>0.186</v>
      </c>
      <c r="P38">
        <f>_xll.EQNXTDZ($A$1,$B38,P$1,$B$1)</f>
        <v>0.16200000000000001</v>
      </c>
      <c r="Q38">
        <f>_xll.EQNXTDZ($A$1,$B38,Q$1,$B$1)</f>
        <v>0.219</v>
      </c>
      <c r="R38">
        <f>_xll.EQNXTDZ($A$1,$B38,R$1,$B$1)</f>
        <v>2.5999999999999999E-2</v>
      </c>
      <c r="S38">
        <f>_xll.EQNXTDZ($A$1,$B38,S$1,$B$1)</f>
        <v>0.372</v>
      </c>
      <c r="T38">
        <f>_xll.EQNXTDZ($A$1,$B38,T$1,$B$1)</f>
        <v>0.32200000000000001</v>
      </c>
      <c r="U38">
        <f>_xll.EQNXTDZ($A$1,$B38,U$1,$B$1)</f>
        <v>0.34399999999999997</v>
      </c>
      <c r="V38">
        <f>_xll.EQNXTDZ($A$1,$B38,V$1,$B$1)</f>
        <v>-0.155</v>
      </c>
      <c r="W38">
        <f>_xll.EQNXTDZ($A$1,$B38,W$1,$B$1)</f>
        <v>12.204000000000001</v>
      </c>
      <c r="X38">
        <f>_xll.EQNXTDZ($A$1,$B38,X$1,$B$1)</f>
        <v>3.2549999999999999</v>
      </c>
      <c r="Y38">
        <f>_xll.EQNXTDZ($A$1,$B38,Y$1,$B$1)</f>
        <v>3.1320000000000001</v>
      </c>
      <c r="Z38">
        <f>_xll.EQNXTDZ($A$1,$B38,Z$1,$B$1)</f>
        <v>-1.2909999999999999</v>
      </c>
      <c r="AA38">
        <f>_xll.EQNXTDZ($A$1,$B38,AA$1,$B$1)</f>
        <v>2.4180000000000001</v>
      </c>
      <c r="AB38">
        <f>_xll.EQNXTDZ($A$1,$B38,AB$1,$B$1)</f>
        <v>0.625</v>
      </c>
      <c r="AC38">
        <f>_xll.EQNXTDZ($A$1,$B38,AC$1,$B$1)</f>
        <v>3.3109999999999999</v>
      </c>
      <c r="AD38">
        <f>_xll.EQNXTDZ($A$1,$B38,AD$1,$B$1)</f>
        <v>3.234</v>
      </c>
      <c r="AE38">
        <f>_xll.EQNXTDZ($A$1,$B38,AE$1,$B$1)</f>
        <v>1.357</v>
      </c>
      <c r="AF38">
        <f>_xll.EQNXTDZ($A$1,$B38,AF$1,$B$1)</f>
        <v>2.3809999999999998</v>
      </c>
      <c r="AG38">
        <f>_xll.EQNXTDZ($A$1,$B38,AG$1,$B$1)</f>
        <v>2.9039999999999999</v>
      </c>
      <c r="AH38">
        <f>_xll.EQNXTDZ($A$1,$B38,AH$1,$B$1)</f>
        <v>4.1159999999999997</v>
      </c>
      <c r="AI38">
        <f>_xll.EQNXTDZ($A$1,$B38,AI$1,$B$1)</f>
        <v>1.4470000000000001</v>
      </c>
      <c r="AJ38">
        <f>_xll.EQNXTDZ($A$1,$B38,AJ$1,$B$1)</f>
        <v>3.2890000000000001</v>
      </c>
      <c r="AK38">
        <f>_xll.EQNXTDZ($A$1,$B38,AK$1,$B$1)</f>
        <v>4.9729999999999999</v>
      </c>
      <c r="AL38">
        <f>_xll.EQNXTDZ($A$1,$B38,AL$1,$B$1)</f>
        <v>5.6970000000000001</v>
      </c>
      <c r="AM38">
        <f>_xll.EQNXTDZ($A$1,$B38,AM$1,$B$1)</f>
        <v>3.0739999999999998</v>
      </c>
      <c r="AN38">
        <f>_xll.EQNXTDZ($A$1,$B38,AN$1,$B$1)</f>
        <v>3.4420000000000002</v>
      </c>
      <c r="AO38">
        <f>_xll.EQNXTDZ($A$1,$B38,AO$1,$B$1)</f>
        <v>5.3860000000000001</v>
      </c>
      <c r="AP38">
        <f>_xll.EQNXTDZ($A$1,$B38,AP$1,$B$1)</f>
        <v>6.0759999999999996</v>
      </c>
      <c r="AQ38">
        <f>_xll.EQNXTDZ($A$1,$B38,AQ$1,$B$1)</f>
        <v>4.3819999999999997</v>
      </c>
      <c r="AR38">
        <f>_xll.EQNXTDZ($A$1,$B38,AR$1,$B$1)</f>
        <v>6.1429999999999998</v>
      </c>
      <c r="AS38">
        <f>_xll.EQNXTDZ($A$1,$B38,AS$1,$B$1)</f>
        <v>6.6870000000000003</v>
      </c>
      <c r="AT38">
        <f>_xll.EQNXTDZ($A$1,$B38,AT$1,$B$1)</f>
        <v>9.6280000000000001</v>
      </c>
      <c r="AU38">
        <f>_xll.EQNXTDZ($A$1,$B38,AU$1,$B$1)</f>
        <v>8.0120000000000005</v>
      </c>
      <c r="AV38">
        <f>_xll.EQNXTDZ($A$1,$B38,AV$1,$B$1)</f>
        <v>16.073</v>
      </c>
      <c r="AW38">
        <f>_xll.EQNXTDZ($A$1,$B38,AW$1,$B$1)</f>
        <v>16.321000000000002</v>
      </c>
      <c r="AX38">
        <f>_xll.EQNXTDZ($A$1,$B38,AX$1,$B$1)</f>
        <v>12.151999999999999</v>
      </c>
      <c r="AY38">
        <f>_xll.EQNXTDZ($A$1,$B38,AY$1,$B$1)</f>
        <v>7.3810000000000002</v>
      </c>
      <c r="AZ38">
        <f>_xll.EQNXTDZ($A$1,$B38,AZ$1,$B$1)</f>
        <v>22.899000000000001</v>
      </c>
      <c r="BA38">
        <f>_xll.EQNXTDZ($A$1,$B38,BA$1,$B$1)</f>
        <v>20.081</v>
      </c>
      <c r="BB38">
        <f>_xll.EQNXTDZ($A$1,$B38,BB$1,$B$1)</f>
        <v>6.0839999999999996</v>
      </c>
      <c r="BC38">
        <f>_xll.EQNXTDZ($A$1,$B38,BC$1,$B$1)</f>
        <v>3.2269999999999999</v>
      </c>
      <c r="BD38">
        <f>_xll.EQNXTDZ($A$1,$B38,BD$1,$B$1)</f>
        <v>4.266</v>
      </c>
      <c r="BE38">
        <f>_xll.EQNXTDZ($A$1,$B38,BE$1,$B$1)</f>
        <v>2.7440000000000002</v>
      </c>
      <c r="BF38">
        <f>_xll.EQNXTDZ($A$1,$B38,BF$1,$B$1)</f>
        <v>4.7750000000000004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-8.1000000000000003E-2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-0.17199999999999999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4.2999999999999997E-2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-7.5999999999999998E-2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-0.253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-0.36799999999999999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-0.35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-0.15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0.16200000000000001</v>
      </c>
      <c r="Q41">
        <f>_xll.EQNXTDZ($A$1,$B41,Q$1,$B$1)</f>
        <v>0.219</v>
      </c>
      <c r="R41">
        <f>_xll.EQNXTDZ($A$1,$B41,R$1,$B$1)</f>
        <v>2.5999999999999999E-2</v>
      </c>
      <c r="S41">
        <f>_xll.EQNXTDZ($A$1,$B41,S$1,$B$1)</f>
        <v>0.372</v>
      </c>
      <c r="T41">
        <f>_xll.EQNXTDZ($A$1,$B41,T$1,$B$1)</f>
        <v>0.32200000000000001</v>
      </c>
      <c r="U41">
        <f>_xll.EQNXTDZ($A$1,$B41,U$1,$B$1)</f>
        <v>0.34399999999999997</v>
      </c>
      <c r="V41">
        <f>_xll.EQNXTDZ($A$1,$B41,V$1,$B$1)</f>
        <v>-0.155</v>
      </c>
      <c r="W41">
        <f>_xll.EQNXTDZ($A$1,$B41,W$1,$B$1)</f>
        <v>12.204000000000001</v>
      </c>
      <c r="X41">
        <f>_xll.EQNXTDZ($A$1,$B41,X$1,$B$1)</f>
        <v>3.2549999999999999</v>
      </c>
      <c r="Y41">
        <f>_xll.EQNXTDZ($A$1,$B41,Y$1,$B$1)</f>
        <v>3.1320000000000001</v>
      </c>
      <c r="Z41">
        <f>_xll.EQNXTDZ($A$1,$B41,Z$1,$B$1)</f>
        <v>-1.2909999999999999</v>
      </c>
      <c r="AA41">
        <f>_xll.EQNXTDZ($A$1,$B41,AA$1,$B$1)</f>
        <v>2.4180000000000001</v>
      </c>
      <c r="AB41">
        <f>_xll.EQNXTDZ($A$1,$B41,AB$1,$B$1)</f>
        <v>0.625</v>
      </c>
      <c r="AC41">
        <f>_xll.EQNXTDZ($A$1,$B41,AC$1,$B$1)</f>
        <v>3.3119999999999998</v>
      </c>
      <c r="AD41">
        <f>_xll.EQNXTDZ($A$1,$B41,AD$1,$B$1)</f>
        <v>3.153</v>
      </c>
      <c r="AE41">
        <f>_xll.EQNXTDZ($A$1,$B41,AE$1,$B$1)</f>
        <v>1.357</v>
      </c>
      <c r="AF41">
        <f>_xll.EQNXTDZ($A$1,$B41,AF$1,$B$1)</f>
        <v>2.38</v>
      </c>
      <c r="AG41">
        <f>_xll.EQNXTDZ($A$1,$B41,AG$1,$B$1)</f>
        <v>2.9049999999999998</v>
      </c>
      <c r="AH41">
        <f>_xll.EQNXTDZ($A$1,$B41,AH$1,$B$1)</f>
        <v>3.944</v>
      </c>
      <c r="AI41">
        <f>_xll.EQNXTDZ($A$1,$B41,AI$1,$B$1)</f>
        <v>1.448</v>
      </c>
      <c r="AJ41">
        <f>_xll.EQNXTDZ($A$1,$B41,AJ$1,$B$1)</f>
        <v>3.2890000000000001</v>
      </c>
      <c r="AK41">
        <f>_xll.EQNXTDZ($A$1,$B41,AK$1,$B$1)</f>
        <v>4.9729999999999999</v>
      </c>
      <c r="AL41">
        <f>_xll.EQNXTDZ($A$1,$B41,AL$1,$B$1)</f>
        <v>5.74</v>
      </c>
      <c r="AM41">
        <f>_xll.EQNXTDZ($A$1,$B41,AM$1,$B$1)</f>
        <v>3.0739999999999998</v>
      </c>
      <c r="AN41">
        <f>_xll.EQNXTDZ($A$1,$B41,AN$1,$B$1)</f>
        <v>3.4420000000000002</v>
      </c>
      <c r="AO41">
        <f>_xll.EQNXTDZ($A$1,$B41,AO$1,$B$1)</f>
        <v>5.3860000000000001</v>
      </c>
      <c r="AP41">
        <f>_xll.EQNXTDZ($A$1,$B41,AP$1,$B$1)</f>
        <v>5.9989999999999997</v>
      </c>
      <c r="AQ41">
        <f>_xll.EQNXTDZ($A$1,$B41,AQ$1,$B$1)</f>
        <v>4.3819999999999997</v>
      </c>
      <c r="AR41">
        <f>_xll.EQNXTDZ($A$1,$B41,AR$1,$B$1)</f>
        <v>6.1429999999999998</v>
      </c>
      <c r="AS41">
        <f>_xll.EQNXTDZ($A$1,$B41,AS$1,$B$1)</f>
        <v>6.6870000000000003</v>
      </c>
      <c r="AT41">
        <f>_xll.EQNXTDZ($A$1,$B41,AT$1,$B$1)</f>
        <v>9.3740000000000006</v>
      </c>
      <c r="AU41">
        <f>_xll.EQNXTDZ($A$1,$B41,AU$1,$B$1)</f>
        <v>8.0120000000000005</v>
      </c>
      <c r="AV41">
        <f>_xll.EQNXTDZ($A$1,$B41,AV$1,$B$1)</f>
        <v>16.073</v>
      </c>
      <c r="AW41">
        <f>_xll.EQNXTDZ($A$1,$B41,AW$1,$B$1)</f>
        <v>16.321000000000002</v>
      </c>
      <c r="AX41">
        <f>_xll.EQNXTDZ($A$1,$B41,AX$1,$B$1)</f>
        <v>11.785</v>
      </c>
      <c r="AY41">
        <f>_xll.EQNXTDZ($A$1,$B41,AY$1,$B$1)</f>
        <v>7.3810000000000002</v>
      </c>
      <c r="AZ41">
        <f>_xll.EQNXTDZ($A$1,$B41,AZ$1,$B$1)</f>
        <v>22.899000000000001</v>
      </c>
      <c r="BA41">
        <f>_xll.EQNXTDZ($A$1,$B41,BA$1,$B$1)</f>
        <v>20.081</v>
      </c>
      <c r="BB41">
        <f>_xll.EQNXTDZ($A$1,$B41,BB$1,$B$1)</f>
        <v>5.7350000000000003</v>
      </c>
      <c r="BC41">
        <f>_xll.EQNXTDZ($A$1,$B41,BC$1,$B$1)</f>
        <v>3.2269999999999999</v>
      </c>
      <c r="BD41">
        <f>_xll.EQNXTDZ($A$1,$B41,BD$1,$B$1)</f>
        <v>4.266</v>
      </c>
      <c r="BE41">
        <f>_xll.EQNXTDZ($A$1,$B41,BE$1,$B$1)</f>
        <v>2.7440000000000002</v>
      </c>
      <c r="BF41">
        <f>_xll.EQNXTDZ($A$1,$B41,BF$1,$B$1)</f>
        <v>4.6239999999999997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1.1830000000000001</v>
      </c>
      <c r="D42">
        <f>_xll.EQNXTDZ($A$1,$B42,D$1,$B$1)</f>
        <v>6.7000000000000004E-2</v>
      </c>
      <c r="E42">
        <f>_xll.EQNXTDZ($A$1,$B42,E$1,$B$1)</f>
        <v>1.829</v>
      </c>
      <c r="F42">
        <f>_xll.EQNXTDZ($A$1,$B42,F$1,$B$1)</f>
        <v>3.3820000000000001</v>
      </c>
      <c r="G42">
        <f>_xll.EQNXTDZ($A$1,$B42,G$1,$B$1)</f>
        <v>-1.379</v>
      </c>
      <c r="H42">
        <f>_xll.EQNXTDZ($A$1,$B42,H$1,$B$1)</f>
        <v>-1.1719999999999999</v>
      </c>
      <c r="I42">
        <f>_xll.EQNXTDZ($A$1,$B42,I$1,$B$1)</f>
        <v>0.42299999999999999</v>
      </c>
      <c r="J42">
        <f>_xll.EQNXTDZ($A$1,$B42,J$1,$B$1)</f>
        <v>0.93799999999999994</v>
      </c>
      <c r="K42">
        <f>_xll.EQNXTDZ($A$1,$B42,K$1,$B$1)</f>
        <v>-1.6679999999999999</v>
      </c>
      <c r="L42">
        <f>_xll.EQNXTDZ($A$1,$B42,L$1,$B$1)</f>
        <v>2.4460000000000002</v>
      </c>
      <c r="M42">
        <f>_xll.EQNXTDZ($A$1,$B42,M$1,$B$1)</f>
        <v>0.215</v>
      </c>
      <c r="N42">
        <f>_xll.EQNXTDZ($A$1,$B42,N$1,$B$1)</f>
        <v>-0.105</v>
      </c>
      <c r="O42">
        <f>_xll.EQNXTDZ($A$1,$B42,O$1,$B$1)</f>
        <v>0.186</v>
      </c>
      <c r="P42">
        <f>_xll.EQNXTDZ($A$1,$B42,P$1,$B$1)</f>
        <v>0.16200000000000001</v>
      </c>
      <c r="Q42">
        <f>_xll.EQNXTDZ($A$1,$B42,Q$1,$B$1)</f>
        <v>0.219</v>
      </c>
      <c r="R42">
        <f>_xll.EQNXTDZ($A$1,$B42,R$1,$B$1)</f>
        <v>2.5999999999999999E-2</v>
      </c>
      <c r="S42">
        <f>_xll.EQNXTDZ($A$1,$B42,S$1,$B$1)</f>
        <v>0.372</v>
      </c>
      <c r="T42">
        <f>_xll.EQNXTDZ($A$1,$B42,T$1,$B$1)</f>
        <v>0.32200000000000001</v>
      </c>
      <c r="U42">
        <f>_xll.EQNXTDZ($A$1,$B42,U$1,$B$1)</f>
        <v>0.34399999999999997</v>
      </c>
      <c r="V42">
        <f>_xll.EQNXTDZ($A$1,$B42,V$1,$B$1)</f>
        <v>-0.155</v>
      </c>
      <c r="W42">
        <f>_xll.EQNXTDZ($A$1,$B42,W$1,$B$1)</f>
        <v>12.204000000000001</v>
      </c>
      <c r="X42">
        <f>_xll.EQNXTDZ($A$1,$B42,X$1,$B$1)</f>
        <v>3.2549999999999999</v>
      </c>
      <c r="Y42">
        <f>_xll.EQNXTDZ($A$1,$B42,Y$1,$B$1)</f>
        <v>3.1320000000000001</v>
      </c>
      <c r="Z42">
        <f>_xll.EQNXTDZ($A$1,$B42,Z$1,$B$1)</f>
        <v>-1.2909999999999999</v>
      </c>
      <c r="AA42">
        <f>_xll.EQNXTDZ($A$1,$B42,AA$1,$B$1)</f>
        <v>2.4180000000000001</v>
      </c>
      <c r="AB42">
        <f>_xll.EQNXTDZ($A$1,$B42,AB$1,$B$1)</f>
        <v>0.625</v>
      </c>
      <c r="AC42">
        <f>_xll.EQNXTDZ($A$1,$B42,AC$1,$B$1)</f>
        <v>3.3109999999999999</v>
      </c>
      <c r="AD42">
        <f>_xll.EQNXTDZ($A$1,$B42,AD$1,$B$1)</f>
        <v>3.234</v>
      </c>
      <c r="AE42">
        <f>_xll.EQNXTDZ($A$1,$B42,AE$1,$B$1)</f>
        <v>1.357</v>
      </c>
      <c r="AF42">
        <f>_xll.EQNXTDZ($A$1,$B42,AF$1,$B$1)</f>
        <v>2.3809999999999998</v>
      </c>
      <c r="AG42">
        <f>_xll.EQNXTDZ($A$1,$B42,AG$1,$B$1)</f>
        <v>2.9039999999999999</v>
      </c>
      <c r="AH42">
        <f>_xll.EQNXTDZ($A$1,$B42,AH$1,$B$1)</f>
        <v>4.1159999999999997</v>
      </c>
      <c r="AI42">
        <f>_xll.EQNXTDZ($A$1,$B42,AI$1,$B$1)</f>
        <v>1.4470000000000001</v>
      </c>
      <c r="AJ42">
        <f>_xll.EQNXTDZ($A$1,$B42,AJ$1,$B$1)</f>
        <v>3.2890000000000001</v>
      </c>
      <c r="AK42">
        <f>_xll.EQNXTDZ($A$1,$B42,AK$1,$B$1)</f>
        <v>4.9729999999999999</v>
      </c>
      <c r="AL42">
        <f>_xll.EQNXTDZ($A$1,$B42,AL$1,$B$1)</f>
        <v>5.6970000000000001</v>
      </c>
      <c r="AM42">
        <f>_xll.EQNXTDZ($A$1,$B42,AM$1,$B$1)</f>
        <v>3.0739999999999998</v>
      </c>
      <c r="AN42">
        <f>_xll.EQNXTDZ($A$1,$B42,AN$1,$B$1)</f>
        <v>3.4420000000000002</v>
      </c>
      <c r="AO42">
        <f>_xll.EQNXTDZ($A$1,$B42,AO$1,$B$1)</f>
        <v>5.3860000000000001</v>
      </c>
      <c r="AP42">
        <f>_xll.EQNXTDZ($A$1,$B42,AP$1,$B$1)</f>
        <v>6.0759999999999996</v>
      </c>
      <c r="AQ42">
        <f>_xll.EQNXTDZ($A$1,$B42,AQ$1,$B$1)</f>
        <v>4.3819999999999997</v>
      </c>
      <c r="AR42">
        <f>_xll.EQNXTDZ($A$1,$B42,AR$1,$B$1)</f>
        <v>6.1429999999999998</v>
      </c>
      <c r="AS42">
        <f>_xll.EQNXTDZ($A$1,$B42,AS$1,$B$1)</f>
        <v>6.6870000000000003</v>
      </c>
      <c r="AT42">
        <f>_xll.EQNXTDZ($A$1,$B42,AT$1,$B$1)</f>
        <v>9.6280000000000001</v>
      </c>
      <c r="AU42">
        <f>_xll.EQNXTDZ($A$1,$B42,AU$1,$B$1)</f>
        <v>8.0120000000000005</v>
      </c>
      <c r="AV42">
        <f>_xll.EQNXTDZ($A$1,$B42,AV$1,$B$1)</f>
        <v>16.073</v>
      </c>
      <c r="AW42">
        <f>_xll.EQNXTDZ($A$1,$B42,AW$1,$B$1)</f>
        <v>16.321000000000002</v>
      </c>
      <c r="AX42">
        <f>_xll.EQNXTDZ($A$1,$B42,AX$1,$B$1)</f>
        <v>12.151999999999999</v>
      </c>
      <c r="AY42">
        <f>_xll.EQNXTDZ($A$1,$B42,AY$1,$B$1)</f>
        <v>7.3810000000000002</v>
      </c>
      <c r="AZ42">
        <f>_xll.EQNXTDZ($A$1,$B42,AZ$1,$B$1)</f>
        <v>22.899000000000001</v>
      </c>
      <c r="BA42">
        <f>_xll.EQNXTDZ($A$1,$B42,BA$1,$B$1)</f>
        <v>20.081</v>
      </c>
      <c r="BB42">
        <f>_xll.EQNXTDZ($A$1,$B42,BB$1,$B$1)</f>
        <v>6.0839999999999996</v>
      </c>
      <c r="BC42">
        <f>_xll.EQNXTDZ($A$1,$B42,BC$1,$B$1)</f>
        <v>3.2269999999999999</v>
      </c>
      <c r="BD42">
        <f>_xll.EQNXTDZ($A$1,$B42,BD$1,$B$1)</f>
        <v>4.266</v>
      </c>
      <c r="BE42">
        <f>_xll.EQNXTDZ($A$1,$B42,BE$1,$B$1)</f>
        <v>2.7440000000000002</v>
      </c>
      <c r="BF42">
        <f>_xll.EQNXTDZ($A$1,$B42,BF$1,$B$1)</f>
        <v>4.7750000000000004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4.484</v>
      </c>
      <c r="D45">
        <f>_xll.EQNXTDZ($A$1,$B45,D$1,$B$1)</f>
        <v>4.484</v>
      </c>
      <c r="E45">
        <f>_xll.EQNXTDZ($A$1,$B45,E$1,$B$1)</f>
        <v>4.484</v>
      </c>
      <c r="F45">
        <f>_xll.EQNXTDZ($A$1,$B45,F$1,$B$1)</f>
        <v>4.484</v>
      </c>
      <c r="G45">
        <f>_xll.EQNXTDZ($A$1,$B45,G$1,$B$1)</f>
        <v>4.1840000000000002</v>
      </c>
      <c r="H45">
        <f>_xll.EQNXTDZ($A$1,$B45,H$1,$B$1)</f>
        <v>4.1840000000000002</v>
      </c>
      <c r="I45">
        <f>_xll.EQNXTDZ($A$1,$B45,I$1,$B$1)</f>
        <v>4.1840000000000002</v>
      </c>
      <c r="J45">
        <f>_xll.EQNXTDZ($A$1,$B45,J$1,$B$1)</f>
        <v>4.1840000000000002</v>
      </c>
      <c r="K45">
        <f>_xll.EQNXTDZ($A$1,$B45,K$1,$B$1)</f>
        <v>4.1840000000000002</v>
      </c>
      <c r="L45">
        <f>_xll.EQNXTDZ($A$1,$B45,L$1,$B$1)</f>
        <v>4.0549999999999997</v>
      </c>
      <c r="M45">
        <f>_xll.EQNXTDZ($A$1,$B45,M$1,$B$1)</f>
        <v>4.0549999999999997</v>
      </c>
      <c r="N45">
        <f>_xll.EQNXTDZ($A$1,$B45,N$1,$B$1)</f>
        <v>4.0549999999999997</v>
      </c>
      <c r="O45">
        <f>_xll.EQNXTDZ($A$1,$B45,O$1,$B$1)</f>
        <v>4.0549999999999997</v>
      </c>
      <c r="P45">
        <f>_xll.EQNXTDZ($A$1,$B45,P$1,$B$1)</f>
        <v>4.0549999999999997</v>
      </c>
      <c r="Q45">
        <f>_xll.EQNXTDZ($A$1,$B45,Q$1,$B$1)</f>
        <v>4.0549999999999997</v>
      </c>
      <c r="R45">
        <f>_xll.EQNXTDZ($A$1,$B45,R$1,$B$1)</f>
        <v>4.0549999999999997</v>
      </c>
      <c r="S45">
        <f>_xll.EQNXTDZ($A$1,$B45,S$1,$B$1)</f>
        <v>4.0549999999999997</v>
      </c>
      <c r="T45">
        <f>_xll.EQNXTDZ($A$1,$B45,T$1,$B$1)</f>
        <v>4.0549999999999997</v>
      </c>
      <c r="U45">
        <f>_xll.EQNXTDZ($A$1,$B45,U$1,$B$1)</f>
        <v>4.0549999999999997</v>
      </c>
      <c r="V45">
        <f>_xll.EQNXTDZ($A$1,$B45,V$1,$B$1)</f>
        <v>4.0549999999999997</v>
      </c>
      <c r="W45">
        <f>_xll.EQNXTDZ($A$1,$B45,W$1,$B$1)</f>
        <v>4.0549999999999997</v>
      </c>
      <c r="X45">
        <f>_xll.EQNXTDZ($A$1,$B45,X$1,$B$1)</f>
        <v>4.0549999999999997</v>
      </c>
      <c r="Y45">
        <f>_xll.EQNXTDZ($A$1,$B45,Y$1,$B$1)</f>
        <v>4.0549999999999997</v>
      </c>
      <c r="Z45">
        <f>_xll.EQNXTDZ($A$1,$B45,Z$1,$B$1)</f>
        <v>4.0549999999999997</v>
      </c>
      <c r="AA45">
        <f>_xll.EQNXTDZ($A$1,$B45,AA$1,$B$1)</f>
        <v>4.0549999999999997</v>
      </c>
      <c r="AB45">
        <f>_xll.EQNXTDZ($A$1,$B45,AB$1,$B$1)</f>
        <v>4.0549999999999997</v>
      </c>
      <c r="AC45">
        <f>_xll.EQNXTDZ($A$1,$B45,AC$1,$B$1)</f>
        <v>4.0549999999999997</v>
      </c>
      <c r="AD45">
        <f>_xll.EQNXTDZ($A$1,$B45,AD$1,$B$1)</f>
        <v>4.0549999999999997</v>
      </c>
      <c r="AE45">
        <f>_xll.EQNXTDZ($A$1,$B45,AE$1,$B$1)</f>
        <v>4.0549999999999997</v>
      </c>
      <c r="AF45">
        <f>_xll.EQNXTDZ($A$1,$B45,AF$1,$B$1)</f>
        <v>4.0549999999999997</v>
      </c>
      <c r="AG45">
        <f>_xll.EQNXTDZ($A$1,$B45,AG$1,$B$1)</f>
        <v>4.0549999999999997</v>
      </c>
      <c r="AH45">
        <f>_xll.EQNXTDZ($A$1,$B45,AH$1,$B$1)</f>
        <v>4.0549999999999997</v>
      </c>
      <c r="AI45">
        <f>_xll.EQNXTDZ($A$1,$B45,AI$1,$B$1)</f>
        <v>4.0549999999999997</v>
      </c>
      <c r="AJ45">
        <f>_xll.EQNXTDZ($A$1,$B45,AJ$1,$B$1)</f>
        <v>4.0549999999999997</v>
      </c>
      <c r="AK45">
        <f>_xll.EQNXTDZ($A$1,$B45,AK$1,$B$1)</f>
        <v>4.0549999999999997</v>
      </c>
      <c r="AL45">
        <f>_xll.EQNXTDZ($A$1,$B45,AL$1,$B$1)</f>
        <v>4.0549999999999997</v>
      </c>
      <c r="AM45">
        <f>_xll.EQNXTDZ($A$1,$B45,AM$1,$B$1)</f>
        <v>4.0549999999999997</v>
      </c>
      <c r="AN45">
        <f>_xll.EQNXTDZ($A$1,$B45,AN$1,$B$1)</f>
        <v>4.0549999999999997</v>
      </c>
      <c r="AO45">
        <f>_xll.EQNXTDZ($A$1,$B45,AO$1,$B$1)</f>
        <v>4.0549999999999997</v>
      </c>
      <c r="AP45">
        <f>_xll.EQNXTDZ($A$1,$B45,AP$1,$B$1)</f>
        <v>4.0549999999999997</v>
      </c>
      <c r="AQ45">
        <f>_xll.EQNXTDZ($A$1,$B45,AQ$1,$B$1)</f>
        <v>16.218</v>
      </c>
      <c r="AR45">
        <f>_xll.EQNXTDZ($A$1,$B45,AR$1,$B$1)</f>
        <v>16.219000000000001</v>
      </c>
      <c r="AS45">
        <f>_xll.EQNXTDZ($A$1,$B45,AS$1,$B$1)</f>
        <v>16.218</v>
      </c>
      <c r="AT45">
        <f>_xll.EQNXTDZ($A$1,$B45,AT$1,$B$1)</f>
        <v>16.219000000000001</v>
      </c>
      <c r="AU45">
        <f>_xll.EQNXTDZ($A$1,$B45,AU$1,$B$1)</f>
        <v>16.218</v>
      </c>
      <c r="AV45">
        <f>_xll.EQNXTDZ($A$1,$B45,AV$1,$B$1)</f>
        <v>16.219000000000001</v>
      </c>
      <c r="AW45">
        <f>_xll.EQNXTDZ($A$1,$B45,AW$1,$B$1)</f>
        <v>48.654000000000003</v>
      </c>
      <c r="AX45">
        <f>_xll.EQNXTDZ($A$1,$B45,AX$1,$B$1)</f>
        <v>48.655000000000001</v>
      </c>
      <c r="AY45">
        <f>_xll.EQNXTDZ($A$1,$B45,AY$1,$B$1)</f>
        <v>48.654000000000003</v>
      </c>
      <c r="AZ45">
        <f>_xll.EQNXTDZ($A$1,$B45,AZ$1,$B$1)</f>
        <v>48.655000000000001</v>
      </c>
      <c r="BA45">
        <f>_xll.EQNXTDZ($A$1,$B45,BA$1,$B$1)</f>
        <v>48.936</v>
      </c>
      <c r="BB45">
        <f>_xll.EQNXTDZ($A$1,$B45,BB$1,$B$1)</f>
        <v>48.948</v>
      </c>
      <c r="BC45">
        <f>_xll.EQNXTDZ($A$1,$B45,BC$1,$B$1)</f>
        <v>52.991999999999997</v>
      </c>
      <c r="BD45">
        <f>_xll.EQNXTDZ($A$1,$B45,BD$1,$B$1)</f>
        <v>52.994999999999997</v>
      </c>
      <c r="BE45">
        <f>_xll.EQNXTDZ($A$1,$B45,BE$1,$B$1)</f>
        <v>53.093000000000004</v>
      </c>
      <c r="BF45">
        <f>_xll.EQNXTDZ($A$1,$B45,BF$1,$B$1)</f>
        <v>53.142000000000003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0.97009463751277603</v>
      </c>
      <c r="D48" s="55">
        <f>_xll.EQNXTDZ($A$1,$B48,D$5)</f>
        <v>0.87902452868504599</v>
      </c>
      <c r="E48" s="55">
        <f>_xll.EQNXTDZ($A$1,$B48,E$5)</f>
        <v>0.97247037948219495</v>
      </c>
      <c r="F48" s="55">
        <f>_xll.EQNXTDZ($A$1,$B48,F$5)</f>
        <v>0.95663209968606799</v>
      </c>
      <c r="G48" s="55">
        <f>_xll.EQNXTDZ($A$1,$B48,G$5)</f>
        <v>1.0247367028094101</v>
      </c>
      <c r="H48" s="55">
        <f>_xll.EQNXTDZ($A$1,$B48,H$5)</f>
        <v>0.88694366858310902</v>
      </c>
      <c r="I48" s="55">
        <f>_xll.EQNXTDZ($A$1,$B48,I$5)</f>
        <v>0.71984981673396997</v>
      </c>
      <c r="J48" s="55">
        <f>_xll.EQNXTDZ($A$1,$B48,J$5)</f>
        <v>0.73252044057087096</v>
      </c>
      <c r="K48" s="55">
        <f>_xll.EQNXTDZ($A$1,$B48,K$5)</f>
        <v>1.1292693494638499</v>
      </c>
      <c r="L48" s="55">
        <f>_xll.EQNXTDZ($A$1,$B48,L$5)</f>
        <v>1.71053421798171</v>
      </c>
      <c r="M48" s="55">
        <f>_xll.EQNXTDZ($A$1,$B48,M$5)</f>
        <v>2.3519845497248499</v>
      </c>
      <c r="N48" s="55">
        <f>_xll.EQNXTDZ($A$1,$B48,N$5)</f>
        <v>1.87208467190221</v>
      </c>
      <c r="O48" s="55">
        <f>_xll.EQNXTDZ($A$1,$B48,O$5)</f>
        <v>1.59966625940882</v>
      </c>
      <c r="P48" s="55">
        <f>_xll.EQNXTDZ($A$1,$B48,P$5)</f>
        <v>1.2575594158124801</v>
      </c>
      <c r="Q48" s="55">
        <f>_xll.EQNXTDZ($A$1,$B48,Q$5)</f>
        <v>2.41533766890936</v>
      </c>
      <c r="R48" s="55">
        <f>_xll.EQNXTDZ($A$1,$B48,R$5)</f>
        <v>1.97661731855664</v>
      </c>
      <c r="S48" s="55">
        <f>_xll.EQNXTDZ($A$1,$B48,S$5)</f>
        <v>2.02729981390425</v>
      </c>
      <c r="T48" s="55">
        <f>_xll.EQNXTDZ($A$1,$B48,T$5)</f>
        <v>1.7754711651458299</v>
      </c>
      <c r="U48" s="55">
        <f>_xll.EQNXTDZ($A$1,$B48,U$5)</f>
        <v>2.1056992988950798</v>
      </c>
      <c r="V48" s="55">
        <f>_xll.EQNXTDZ($A$1,$B48,V$5)</f>
        <v>2.99185105348838</v>
      </c>
      <c r="W48" s="55">
        <f>_xll.EQNXTDZ($A$1,$B48,W$5)</f>
        <v>4.6105232486525596</v>
      </c>
      <c r="X48" s="55">
        <f>_xll.EQNXTDZ($A$1,$B48,X$5)</f>
        <v>3.7338744619369302</v>
      </c>
      <c r="Y48" s="55">
        <f>_xll.EQNXTDZ($A$1,$B48,Y$5)</f>
        <v>7.2087930492071797</v>
      </c>
      <c r="Z48" s="55">
        <f>_xll.EQNXTDZ($A$1,$B48,Z$5)</f>
        <v>8.0783146100145498</v>
      </c>
      <c r="AA48" s="55">
        <f>_xll.EQNXTDZ($A$1,$B48,AA$5)</f>
        <v>5.3612577109889701</v>
      </c>
      <c r="AB48" s="55">
        <f>_xll.EQNXTDZ($A$1,$B48,AB$5)</f>
        <v>4.0561834557881102</v>
      </c>
      <c r="AC48" s="55">
        <f>_xll.EQNXTDZ($A$1,$B48,AC$5)</f>
        <v>3.6467639230582298</v>
      </c>
      <c r="AD48" s="55">
        <f>_xll.EQNXTDZ($A$1,$B48,AD$5)</f>
        <v>3.56915635205721</v>
      </c>
      <c r="AE48" s="55">
        <f>_xll.EQNXTDZ($A$1,$B48,AE$5)</f>
        <v>3.73466637592673</v>
      </c>
      <c r="AF48" s="55">
        <f>_xll.EQNXTDZ($A$1,$B48,AF$5)</f>
        <v>3.1842861530113198</v>
      </c>
      <c r="AG48" s="55">
        <f>_xll.EQNXTDZ($A$1,$B48,AG$5)</f>
        <v>4.6984257015210602</v>
      </c>
      <c r="AH48" s="55">
        <f>_xll.EQNXTDZ($A$1,$B48,AH$5)</f>
        <v>2.6172757363099799</v>
      </c>
      <c r="AI48" s="55">
        <f>_xll.EQNXTDZ($A$1,$B48,AI$5)</f>
        <v>4.1425020806769997</v>
      </c>
      <c r="AJ48" s="55">
        <f>_xll.EQNXTDZ($A$1,$B48,AJ$5)</f>
        <v>6.3614450801143896</v>
      </c>
      <c r="AK48" s="55">
        <f>_xll.EQNXTDZ($A$1,$B48,AK$5)</f>
        <v>5.4364895400205704</v>
      </c>
      <c r="AL48" s="55">
        <f>_xll.EQNXTDZ($A$1,$B48,AL$5)</f>
        <v>5.9916212468748196</v>
      </c>
      <c r="AM48" s="55">
        <f>_xll.EQNXTDZ($A$1,$B48,AM$5)</f>
        <v>8.4703120349686891</v>
      </c>
      <c r="AN48" s="55">
        <f>_xll.EQNXTDZ($A$1,$B48,AN$5)</f>
        <v>13.478376106503999</v>
      </c>
      <c r="AO48" s="55">
        <f>_xll.EQNXTDZ($A$1,$B48,AO$5)</f>
        <v>11.1897446759637</v>
      </c>
      <c r="AP48" s="55">
        <f>_xll.EQNXTDZ($A$1,$B48,AP$5)</f>
        <v>16.200184489468398</v>
      </c>
      <c r="AQ48" s="55">
        <f>_xll.EQNXTDZ($A$1,$B48,AQ$5)</f>
        <v>17.083168588102499</v>
      </c>
      <c r="AR48" s="55">
        <f>_xll.EQNXTDZ($A$1,$B48,AR$5)</f>
        <v>18.838049989513401</v>
      </c>
      <c r="AS48" s="55">
        <f>_xll.EQNXTDZ($A$1,$B48,AS$5)</f>
        <v>24.3117594870549</v>
      </c>
      <c r="AT48" s="55">
        <f>_xll.EQNXTDZ($A$1,$B48,AT$5)</f>
        <v>25.581989526704199</v>
      </c>
      <c r="AU48" s="55">
        <f>_xll.EQNXTDZ($A$1,$B48,AU$5)</f>
        <v>47.150558953069897</v>
      </c>
      <c r="AV48" s="55">
        <f>_xll.EQNXTDZ($A$1,$B48,AV$5)</f>
        <v>79.6982239341108</v>
      </c>
      <c r="AW48" s="55">
        <f>_xll.EQNXTDZ($A$1,$B48,AW$5)</f>
        <v>107.09844798141</v>
      </c>
      <c r="AX48" s="55">
        <f>_xll.EQNXTDZ($A$1,$B48,AX$5)</f>
        <v>94.079381988994101</v>
      </c>
      <c r="AY48" s="55">
        <f>_xll.EQNXTDZ($A$1,$B48,AY$5)</f>
        <v>163.97371072930201</v>
      </c>
      <c r="AZ48" s="55">
        <f>_xll.EQNXTDZ($A$1,$B48,AZ$5)</f>
        <v>174.71206443107599</v>
      </c>
      <c r="BA48" s="55">
        <f>_xll.EQNXTDZ($A$1,$B48,BA$5)</f>
        <v>145.20534917089199</v>
      </c>
      <c r="BB48" s="55">
        <f>_xll.EQNXTDZ($A$1,$B48,BB$5)</f>
        <v>107.76365573284799</v>
      </c>
      <c r="BC48" s="55">
        <f>_xll.EQNXTDZ($A$1,$B48,BC$5)</f>
        <v>158.25</v>
      </c>
      <c r="BD48" s="55">
        <f>_xll.EQNXTDZ($A$1,$B48,BD$5)</f>
        <v>174.3</v>
      </c>
      <c r="BE48" s="55">
        <f>_xll.EQNXTDZ($A$1,$B48,BE$5)</f>
        <v>157.6</v>
      </c>
      <c r="BF48" s="55">
        <f>_xll.EQNXTDZ($A$1,$B48,BF$5)</f>
        <v>126.45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33.869999999999997</v>
      </c>
      <c r="D49" s="55">
        <f>_xll.EQNXTDZ($A$1,$B49,D$5)</f>
        <v>33.74</v>
      </c>
      <c r="E49" s="55">
        <f>_xll.EQNXTDZ($A$1,$B49,E$5)</f>
        <v>35.04</v>
      </c>
      <c r="F49" s="55">
        <f>_xll.EQNXTDZ($A$1,$B49,F$5)</f>
        <v>35.549999999999997</v>
      </c>
      <c r="G49" s="55">
        <f>_xll.EQNXTDZ($A$1,$B49,G$5)</f>
        <v>38.1</v>
      </c>
      <c r="H49" s="55">
        <f>_xll.EQNXTDZ($A$1,$B49,H$5)</f>
        <v>39.9</v>
      </c>
      <c r="I49" s="55">
        <f>_xll.EQNXTDZ($A$1,$B49,I$5)</f>
        <v>39.9</v>
      </c>
      <c r="J49" s="55">
        <f>_xll.EQNXTDZ($A$1,$B49,J$5)</f>
        <v>39.83</v>
      </c>
      <c r="K49" s="55">
        <f>_xll.EQNXTDZ($A$1,$B49,K$5)</f>
        <v>39.83</v>
      </c>
      <c r="L49" s="55">
        <f>_xll.EQNXTDZ($A$1,$B49,L$5)</f>
        <v>41.09</v>
      </c>
      <c r="M49" s="55">
        <f>_xll.EQNXTDZ($A$1,$B49,M$5)</f>
        <v>39.1</v>
      </c>
      <c r="N49" s="55">
        <f>_xll.EQNXTDZ($A$1,$B49,N$5)</f>
        <v>39.1</v>
      </c>
      <c r="O49" s="55">
        <f>_xll.EQNXTDZ($A$1,$B49,O$5)</f>
        <v>38.46</v>
      </c>
      <c r="P49" s="55">
        <f>_xll.EQNXTDZ($A$1,$B49,P$5)</f>
        <v>38.46</v>
      </c>
      <c r="Q49" s="55">
        <f>_xll.EQNXTDZ($A$1,$B49,Q$5)</f>
        <v>38.46</v>
      </c>
      <c r="R49" s="55">
        <f>_xll.EQNXTDZ($A$1,$B49,R$5)</f>
        <v>38.46</v>
      </c>
      <c r="S49" s="55">
        <f>_xll.EQNXTDZ($A$1,$B49,S$5)</f>
        <v>38.46</v>
      </c>
      <c r="T49" s="55">
        <f>_xll.EQNXTDZ($A$1,$B49,T$5)</f>
        <v>38.46</v>
      </c>
      <c r="U49" s="55">
        <f>_xll.EQNXTDZ($A$1,$B49,U$5)</f>
        <v>38.46</v>
      </c>
      <c r="V49" s="55">
        <f>_xll.EQNXTDZ($A$1,$B49,V$5)</f>
        <v>37.47</v>
      </c>
      <c r="W49" s="55">
        <f>_xll.EQNXTDZ($A$1,$B49,W$5)</f>
        <v>37.14</v>
      </c>
      <c r="X49" s="55">
        <f>_xll.EQNXTDZ($A$1,$B49,X$5)</f>
        <v>36.299999999999997</v>
      </c>
      <c r="Y49" s="55">
        <f>_xll.EQNXTDZ($A$1,$B49,Y$5)</f>
        <v>36.299999999999997</v>
      </c>
      <c r="Z49" s="55">
        <f>_xll.EQNXTDZ($A$1,$B49,Z$5)</f>
        <v>36.299999999999997</v>
      </c>
      <c r="AA49" s="55">
        <f>_xll.EQNXTDZ($A$1,$B49,AA$5)</f>
        <v>36.299999999999997</v>
      </c>
      <c r="AB49" s="55">
        <f>_xll.EQNXTDZ($A$1,$B49,AB$5)</f>
        <v>36.840000000000003</v>
      </c>
      <c r="AC49" s="55">
        <f>_xll.EQNXTDZ($A$1,$B49,AC$5)</f>
        <v>38.08</v>
      </c>
      <c r="AD49" s="55">
        <f>_xll.EQNXTDZ($A$1,$B49,AD$5)</f>
        <v>38.26</v>
      </c>
      <c r="AE49" s="55">
        <f>_xll.EQNXTDZ($A$1,$B49,AE$5)</f>
        <v>38.69</v>
      </c>
      <c r="AF49" s="55">
        <f>_xll.EQNXTDZ($A$1,$B49,AF$5)</f>
        <v>39.520000000000003</v>
      </c>
      <c r="AG49" s="55">
        <f>_xll.EQNXTDZ($A$1,$B49,AG$5)</f>
        <v>40.869999999999997</v>
      </c>
      <c r="AH49" s="55">
        <f>_xll.EQNXTDZ($A$1,$B49,AH$5)</f>
        <v>40.869999999999997</v>
      </c>
      <c r="AI49" s="55">
        <f>_xll.EQNXTDZ($A$1,$B49,AI$5)</f>
        <v>40.869999999999997</v>
      </c>
      <c r="AJ49" s="55">
        <f>_xll.EQNXTDZ($A$1,$B49,AJ$5)</f>
        <v>40.479999999999997</v>
      </c>
      <c r="AK49" s="55">
        <f>_xll.EQNXTDZ($A$1,$B49,AK$5)</f>
        <v>40.479999999999997</v>
      </c>
      <c r="AL49" s="55">
        <f>_xll.EQNXTDZ($A$1,$B49,AL$5)</f>
        <v>40.36</v>
      </c>
      <c r="AM49" s="55">
        <f>_xll.EQNXTDZ($A$1,$B49,AM$5)</f>
        <v>40.36</v>
      </c>
      <c r="AN49" s="55">
        <f>_xll.EQNXTDZ($A$1,$B49,AN$5)</f>
        <v>40.14</v>
      </c>
      <c r="AO49" s="55">
        <f>_xll.EQNXTDZ($A$1,$B49,AO$5)</f>
        <v>40.14</v>
      </c>
      <c r="AP49" s="55">
        <f>_xll.EQNXTDZ($A$1,$B49,AP$5)</f>
        <v>40.14</v>
      </c>
      <c r="AQ49" s="55">
        <f>_xll.EQNXTDZ($A$1,$B49,AQ$5)</f>
        <v>40.14</v>
      </c>
      <c r="AR49" s="55">
        <f>_xll.EQNXTDZ($A$1,$B49,AR$5)</f>
        <v>40.14</v>
      </c>
      <c r="AS49" s="55">
        <f>_xll.EQNXTDZ($A$1,$B49,AS$5)</f>
        <v>40.14</v>
      </c>
      <c r="AT49" s="55">
        <f>_xll.EQNXTDZ($A$1,$B49,AT$5)</f>
        <v>40.14</v>
      </c>
      <c r="AU49" s="55">
        <f>_xll.EQNXTDZ($A$1,$B49,AU$5)</f>
        <v>40.1</v>
      </c>
      <c r="AV49" s="55">
        <f>_xll.EQNXTDZ($A$1,$B49,AV$5)</f>
        <v>40.1</v>
      </c>
      <c r="AW49" s="55">
        <f>_xll.EQNXTDZ($A$1,$B49,AW$5)</f>
        <v>40.1</v>
      </c>
      <c r="AX49" s="55">
        <f>_xll.EQNXTDZ($A$1,$B49,AX$5)</f>
        <v>40.06</v>
      </c>
      <c r="AY49" s="55">
        <f>_xll.EQNXTDZ($A$1,$B49,AY$5)</f>
        <v>40.06</v>
      </c>
      <c r="AZ49" s="55">
        <f>_xll.EQNXTDZ($A$1,$B49,AZ$5)</f>
        <v>40.06</v>
      </c>
      <c r="BA49" s="55">
        <f>_xll.EQNXTDZ($A$1,$B49,BA$5)</f>
        <v>38.58</v>
      </c>
      <c r="BB49" s="55">
        <f>_xll.EQNXTDZ($A$1,$B49,BB$5)</f>
        <v>38.57</v>
      </c>
      <c r="BC49" s="55">
        <f>_xll.EQNXTDZ($A$1,$B49,BC$5)</f>
        <v>37.15</v>
      </c>
      <c r="BD49" s="55">
        <f>_xll.EQNXTDZ($A$1,$B49,BD$5)</f>
        <v>37.15</v>
      </c>
      <c r="BE49" s="55">
        <f>_xll.EQNXTDZ($A$1,$B49,BE$5)</f>
        <v>37.08</v>
      </c>
      <c r="BF49" s="55">
        <f>_xll.EQNXTDZ($A$1,$B49,BF$5)</f>
        <v>37.04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4.484</v>
      </c>
      <c r="E56" s="55">
        <f>_xll.EQNXTDZ($A$1,$B56,E$5,$B$1)</f>
        <v>0</v>
      </c>
      <c r="F56" s="55">
        <f>_xll.EQNXTDZ($A$1,$B56,F$5,$B$1)</f>
        <v>4.484</v>
      </c>
      <c r="G56" s="55">
        <f>_xll.EQNXTDZ($A$1,$B56,G$5,$B$1)</f>
        <v>0</v>
      </c>
      <c r="H56" s="55">
        <f>_xll.EQNXTDZ($A$1,$B56,H$5,$B$1)</f>
        <v>4.1840000000000002</v>
      </c>
      <c r="I56" s="55">
        <f>_xll.EQNXTDZ($A$1,$B56,I$5,$B$1)</f>
        <v>0</v>
      </c>
      <c r="J56" s="55">
        <f>_xll.EQNXTDZ($A$1,$B56,J$5,$B$1)</f>
        <v>4.1840000000000002</v>
      </c>
      <c r="K56" s="55">
        <f>_xll.EQNXTDZ($A$1,$B56,K$5,$B$1)</f>
        <v>0</v>
      </c>
      <c r="L56" s="55">
        <f>_xll.EQNXTDZ($A$1,$B56,L$5,$B$1)</f>
        <v>4.0549999999999997</v>
      </c>
      <c r="M56" s="55">
        <f>_xll.EQNXTDZ($A$1,$B56,M$5,$B$1)</f>
        <v>0</v>
      </c>
      <c r="N56" s="55">
        <f>_xll.EQNXTDZ($A$1,$B56,N$5,$B$1)</f>
        <v>4.0549999999999997</v>
      </c>
      <c r="O56" s="55">
        <f>_xll.EQNXTDZ($A$1,$B56,O$5,$B$1)</f>
        <v>0</v>
      </c>
      <c r="P56" s="55">
        <f>_xll.EQNXTDZ($A$1,$B56,P$5,$B$1)</f>
        <v>4.0549999999999997</v>
      </c>
      <c r="Q56" s="55">
        <f>_xll.EQNXTDZ($A$1,$B56,Q$5,$B$1)</f>
        <v>0</v>
      </c>
      <c r="R56" s="55">
        <f>_xll.EQNXTDZ($A$1,$B56,R$5,$B$1)</f>
        <v>4.0549999999999997</v>
      </c>
      <c r="S56" s="55">
        <f>_xll.EQNXTDZ($A$1,$B56,S$5,$B$1)</f>
        <v>0</v>
      </c>
      <c r="T56" s="55">
        <f>_xll.EQNXTDZ($A$1,$B56,T$5,$B$1)</f>
        <v>4.0549999999999997</v>
      </c>
      <c r="U56" s="55">
        <f>_xll.EQNXTDZ($A$1,$B56,U$5,$B$1)</f>
        <v>0</v>
      </c>
      <c r="V56" s="55">
        <f>_xll.EQNXTDZ($A$1,$B56,V$5,$B$1)</f>
        <v>4.0549999999999997</v>
      </c>
      <c r="W56" s="55">
        <f>_xll.EQNXTDZ($A$1,$B56,W$5,$B$1)</f>
        <v>0</v>
      </c>
      <c r="X56" s="55">
        <f>_xll.EQNXTDZ($A$1,$B56,X$5,$B$1)</f>
        <v>4.0549999999999997</v>
      </c>
      <c r="Y56" s="55">
        <f>_xll.EQNXTDZ($A$1,$B56,Y$5,$B$1)</f>
        <v>0</v>
      </c>
      <c r="Z56" s="55">
        <f>_xll.EQNXTDZ($A$1,$B56,Z$5,$B$1)</f>
        <v>4.0549999999999997</v>
      </c>
      <c r="AA56" s="55">
        <f>_xll.EQNXTDZ($A$1,$B56,AA$5,$B$1)</f>
        <v>0</v>
      </c>
      <c r="AB56" s="55">
        <f>_xll.EQNXTDZ($A$1,$B56,AB$5,$B$1)</f>
        <v>4.0549999999999997</v>
      </c>
      <c r="AC56" s="55">
        <f>_xll.EQNXTDZ($A$1,$B56,AC$5,$B$1)</f>
        <v>0</v>
      </c>
      <c r="AD56" s="55">
        <f>_xll.EQNXTDZ($A$1,$B56,AD$5,$B$1)</f>
        <v>4.0549999999999997</v>
      </c>
      <c r="AE56" s="55">
        <f>_xll.EQNXTDZ($A$1,$B56,AE$5,$B$1)</f>
        <v>0</v>
      </c>
      <c r="AF56" s="55">
        <f>_xll.EQNXTDZ($A$1,$B56,AF$5,$B$1)</f>
        <v>4.0549999999999997</v>
      </c>
      <c r="AG56" s="55">
        <f>_xll.EQNXTDZ($A$1,$B56,AG$5,$B$1)</f>
        <v>0</v>
      </c>
      <c r="AH56" s="55">
        <f>_xll.EQNXTDZ($A$1,$B56,AH$5,$B$1)</f>
        <v>4.0549999999999997</v>
      </c>
      <c r="AI56" s="55">
        <f>_xll.EQNXTDZ($A$1,$B56,AI$5,$B$1)</f>
        <v>0</v>
      </c>
      <c r="AJ56" s="55">
        <f>_xll.EQNXTDZ($A$1,$B56,AJ$5,$B$1)</f>
        <v>4.0549999999999997</v>
      </c>
      <c r="AK56" s="55">
        <f>_xll.EQNXTDZ($A$1,$B56,AK$5,$B$1)</f>
        <v>0</v>
      </c>
      <c r="AL56" s="55">
        <f>_xll.EQNXTDZ($A$1,$B56,AL$5,$B$1)</f>
        <v>4.0549999999999997</v>
      </c>
      <c r="AM56" s="55">
        <f>_xll.EQNXTDZ($A$1,$B56,AM$5,$B$1)</f>
        <v>0</v>
      </c>
      <c r="AN56" s="55">
        <f>_xll.EQNXTDZ($A$1,$B56,AN$5,$B$1)</f>
        <v>4.0549999999999997</v>
      </c>
      <c r="AO56" s="55">
        <f>_xll.EQNXTDZ($A$1,$B56,AO$5,$B$1)</f>
        <v>0</v>
      </c>
      <c r="AP56" s="55">
        <f>_xll.EQNXTDZ($A$1,$B56,AP$5,$B$1)</f>
        <v>4.0549999999999997</v>
      </c>
      <c r="AQ56" s="55">
        <f>_xll.EQNXTDZ($A$1,$B56,AQ$5,$B$1)</f>
        <v>0</v>
      </c>
      <c r="AR56" s="55">
        <f>_xll.EQNXTDZ($A$1,$B56,AR$5,$B$1)</f>
        <v>16.219000000000001</v>
      </c>
      <c r="AS56" s="55">
        <f>_xll.EQNXTDZ($A$1,$B56,AS$5,$B$1)</f>
        <v>0</v>
      </c>
      <c r="AT56" s="55">
        <f>_xll.EQNXTDZ($A$1,$B56,AT$5,$B$1)</f>
        <v>16.219000000000001</v>
      </c>
      <c r="AU56" s="55">
        <f>_xll.EQNXTDZ($A$1,$B56,AU$5,$B$1)</f>
        <v>0</v>
      </c>
      <c r="AV56" s="55">
        <f>_xll.EQNXTDZ($A$1,$B56,AV$5,$B$1)</f>
        <v>16.219000000000001</v>
      </c>
      <c r="AW56" s="55">
        <f>_xll.EQNXTDZ($A$1,$B56,AW$5,$B$1)</f>
        <v>0</v>
      </c>
      <c r="AX56" s="55">
        <f>_xll.EQNXTDZ($A$1,$B56,AX$5,$B$1)</f>
        <v>48.654000000000003</v>
      </c>
      <c r="AY56" s="55">
        <f>_xll.EQNXTDZ($A$1,$B56,AY$5,$B$1)</f>
        <v>0</v>
      </c>
      <c r="AZ56" s="55">
        <f>_xll.EQNXTDZ($A$1,$B56,AZ$5,$B$1)</f>
        <v>48.655000000000001</v>
      </c>
      <c r="BA56" s="55">
        <f>_xll.EQNXTDZ($A$1,$B56,BA$5,$B$1)</f>
        <v>0</v>
      </c>
      <c r="BB56" s="55">
        <f>_xll.EQNXTDZ($A$1,$B56,BB$5,$B$1)</f>
        <v>48.948</v>
      </c>
      <c r="BC56" s="55">
        <f>_xll.EQNXTDZ($A$1,$B56,BC$5,$B$1)</f>
        <v>0</v>
      </c>
      <c r="BD56" s="55">
        <f>_xll.EQNXTDZ($A$1,$B56,BD$5,$B$1)</f>
        <v>52.994999999999997</v>
      </c>
      <c r="BE56" s="55">
        <f>_xll.EQNXTDZ($A$1,$B56,BE$5,$B$1)</f>
        <v>0</v>
      </c>
      <c r="BF56" s="55">
        <f>_xll.EQNXTDZ($A$1,$B56,BF$5,$B$1)</f>
        <v>53.143000000000001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15.74</v>
      </c>
      <c r="E58" s="55">
        <f>_xll.EQNXTDZ($A$1,$B58,E$5,$B$1)</f>
        <v>0</v>
      </c>
      <c r="F58" s="55">
        <f>_xll.EQNXTDZ($A$1,$B58,F$5,$B$1)</f>
        <v>19.363</v>
      </c>
      <c r="G58" s="55">
        <f>_xll.EQNXTDZ($A$1,$B58,G$5,$B$1)</f>
        <v>0</v>
      </c>
      <c r="H58" s="55">
        <f>_xll.EQNXTDZ($A$1,$B58,H$5,$B$1)</f>
        <v>15.135999999999999</v>
      </c>
      <c r="I58" s="55">
        <f>_xll.EQNXTDZ($A$1,$B58,I$5,$B$1)</f>
        <v>0</v>
      </c>
      <c r="J58" s="55">
        <f>_xll.EQNXTDZ($A$1,$B58,J$5,$B$1)</f>
        <v>16.526</v>
      </c>
      <c r="K58" s="55">
        <f>_xll.EQNXTDZ($A$1,$B58,K$5,$B$1)</f>
        <v>0</v>
      </c>
      <c r="L58" s="55">
        <f>_xll.EQNXTDZ($A$1,$B58,L$5,$B$1)</f>
        <v>16.317</v>
      </c>
      <c r="M58" s="55">
        <f>_xll.EQNXTDZ($A$1,$B58,M$5,$B$1)</f>
        <v>0</v>
      </c>
      <c r="N58" s="55">
        <f>_xll.EQNXTDZ($A$1,$B58,N$5,$B$1)</f>
        <v>15.661</v>
      </c>
      <c r="O58" s="55">
        <f>_xll.EQNXTDZ($A$1,$B58,O$5,$B$1)</f>
        <v>0</v>
      </c>
      <c r="P58" s="55">
        <f>_xll.EQNXTDZ($A$1,$B58,P$5,$B$1)</f>
        <v>15.97</v>
      </c>
      <c r="Q58" s="55">
        <f>_xll.EQNXTDZ($A$1,$B58,Q$5,$B$1)</f>
        <v>0</v>
      </c>
      <c r="R58" s="55">
        <f>_xll.EQNXTDZ($A$1,$B58,R$5,$B$1)</f>
        <v>15.686999999999999</v>
      </c>
      <c r="S58" s="55">
        <f>_xll.EQNXTDZ($A$1,$B58,S$5,$B$1)</f>
        <v>0</v>
      </c>
      <c r="T58" s="55">
        <f>_xll.EQNXTDZ($A$1,$B58,T$5,$B$1)</f>
        <v>16.327000000000002</v>
      </c>
      <c r="U58" s="55">
        <f>_xll.EQNXTDZ($A$1,$B58,U$5,$B$1)</f>
        <v>0</v>
      </c>
      <c r="V58" s="55">
        <f>_xll.EQNXTDZ($A$1,$B58,V$5,$B$1)</f>
        <v>16.574999999999999</v>
      </c>
      <c r="W58" s="55">
        <f>_xll.EQNXTDZ($A$1,$B58,W$5,$B$1)</f>
        <v>0</v>
      </c>
      <c r="X58" s="55">
        <f>_xll.EQNXTDZ($A$1,$B58,X$5,$B$1)</f>
        <v>31.056999999999999</v>
      </c>
      <c r="Y58" s="55">
        <f>_xll.EQNXTDZ($A$1,$B58,Y$5,$B$1)</f>
        <v>0</v>
      </c>
      <c r="Z58" s="55">
        <f>_xll.EQNXTDZ($A$1,$B58,Z$5,$B$1)</f>
        <v>32.902999999999999</v>
      </c>
      <c r="AA58" s="55">
        <f>_xll.EQNXTDZ($A$1,$B58,AA$5,$B$1)</f>
        <v>0</v>
      </c>
      <c r="AB58" s="55">
        <f>_xll.EQNXTDZ($A$1,$B58,AB$5,$B$1)</f>
        <v>33.99</v>
      </c>
      <c r="AC58" s="55">
        <f>_xll.EQNXTDZ($A$1,$B58,AC$5,$B$1)</f>
        <v>0</v>
      </c>
      <c r="AD58" s="55">
        <f>_xll.EQNXTDZ($A$1,$B58,AD$5,$B$1)</f>
        <v>38.988999999999997</v>
      </c>
      <c r="AE58" s="55">
        <f>_xll.EQNXTDZ($A$1,$B58,AE$5,$B$1)</f>
        <v>0</v>
      </c>
      <c r="AF58" s="55">
        <f>_xll.EQNXTDZ($A$1,$B58,AF$5,$B$1)</f>
        <v>41.747999999999998</v>
      </c>
      <c r="AG58" s="55">
        <f>_xll.EQNXTDZ($A$1,$B58,AG$5,$B$1)</f>
        <v>0</v>
      </c>
      <c r="AH58" s="55">
        <f>_xll.EQNXTDZ($A$1,$B58,AH$5,$B$1)</f>
        <v>47.619</v>
      </c>
      <c r="AI58" s="55">
        <f>_xll.EQNXTDZ($A$1,$B58,AI$5,$B$1)</f>
        <v>0</v>
      </c>
      <c r="AJ58" s="55">
        <f>_xll.EQNXTDZ($A$1,$B58,AJ$5,$B$1)</f>
        <v>51.545000000000002</v>
      </c>
      <c r="AK58" s="55">
        <f>_xll.EQNXTDZ($A$1,$B58,AK$5,$B$1)</f>
        <v>0</v>
      </c>
      <c r="AL58" s="55">
        <f>_xll.EQNXTDZ($A$1,$B58,AL$5,$B$1)</f>
        <v>62.185000000000002</v>
      </c>
      <c r="AM58" s="55">
        <f>_xll.EQNXTDZ($A$1,$B58,AM$5,$B$1)</f>
        <v>0</v>
      </c>
      <c r="AN58" s="55">
        <f>_xll.EQNXTDZ($A$1,$B58,AN$5,$B$1)</f>
        <v>67.078000000000003</v>
      </c>
      <c r="AO58" s="55">
        <f>_xll.EQNXTDZ($A$1,$B58,AO$5,$B$1)</f>
        <v>0</v>
      </c>
      <c r="AP58" s="55">
        <f>_xll.EQNXTDZ($A$1,$B58,AP$5,$B$1)</f>
        <v>78.463999999999999</v>
      </c>
      <c r="AQ58" s="55">
        <f>_xll.EQNXTDZ($A$1,$B58,AQ$5,$B$1)</f>
        <v>0</v>
      </c>
      <c r="AR58" s="55">
        <f>_xll.EQNXTDZ($A$1,$B58,AR$5,$B$1)</f>
        <v>75.203000000000003</v>
      </c>
      <c r="AS58" s="55">
        <f>_xll.EQNXTDZ($A$1,$B58,AS$5,$B$1)</f>
        <v>0</v>
      </c>
      <c r="AT58" s="55">
        <f>_xll.EQNXTDZ($A$1,$B58,AT$5,$B$1)</f>
        <v>91.263000000000005</v>
      </c>
      <c r="AU58" s="55">
        <f>_xll.EQNXTDZ($A$1,$B58,AU$5,$B$1)</f>
        <v>0</v>
      </c>
      <c r="AV58" s="55">
        <f>_xll.EQNXTDZ($A$1,$B58,AV$5,$B$1)</f>
        <v>113.723</v>
      </c>
      <c r="AW58" s="55">
        <f>_xll.EQNXTDZ($A$1,$B58,AW$5,$B$1)</f>
        <v>0</v>
      </c>
      <c r="AX58" s="55">
        <f>_xll.EQNXTDZ($A$1,$B58,AX$5,$B$1)</f>
        <v>115.465</v>
      </c>
      <c r="AY58" s="55">
        <f>_xll.EQNXTDZ($A$1,$B58,AY$5,$B$1)</f>
        <v>0</v>
      </c>
      <c r="AZ58" s="55">
        <f>_xll.EQNXTDZ($A$1,$B58,AZ$5,$B$1)</f>
        <v>148.19800000000001</v>
      </c>
      <c r="BA58" s="55">
        <f>_xll.EQNXTDZ($A$1,$B58,BA$5,$B$1)</f>
        <v>0</v>
      </c>
      <c r="BB58" s="55">
        <f>_xll.EQNXTDZ($A$1,$B58,BB$5,$B$1)</f>
        <v>188.298</v>
      </c>
      <c r="BC58" s="55">
        <f>_xll.EQNXTDZ($A$1,$B58,BC$5,$B$1)</f>
        <v>0</v>
      </c>
      <c r="BD58" s="55">
        <f>_xll.EQNXTDZ($A$1,$B58,BD$5,$B$1)</f>
        <v>270.64600000000002</v>
      </c>
      <c r="BE58" s="55">
        <f>_xll.EQNXTDZ($A$1,$B58,BE$5,$B$1)</f>
        <v>0</v>
      </c>
      <c r="BF58" s="55">
        <f>_xll.EQNXTDZ($A$1,$B58,BF$5,$B$1)</f>
        <v>285.08999999999997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20.224</v>
      </c>
      <c r="E59" s="55">
        <f>_xll.EQNXTDZ($A$1,$B59,E$5,$B$1)</f>
        <v>0</v>
      </c>
      <c r="F59" s="55">
        <f>_xll.EQNXTDZ($A$1,$B59,F$5,$B$1)</f>
        <v>23.847000000000001</v>
      </c>
      <c r="G59" s="55">
        <f>_xll.EQNXTDZ($A$1,$B59,G$5,$B$1)</f>
        <v>0</v>
      </c>
      <c r="H59" s="55">
        <f>_xll.EQNXTDZ($A$1,$B59,H$5,$B$1)</f>
        <v>19.32</v>
      </c>
      <c r="I59" s="55">
        <f>_xll.EQNXTDZ($A$1,$B59,I$5,$B$1)</f>
        <v>0</v>
      </c>
      <c r="J59" s="55">
        <f>_xll.EQNXTDZ($A$1,$B59,J$5,$B$1)</f>
        <v>20.71</v>
      </c>
      <c r="K59" s="55">
        <f>_xll.EQNXTDZ($A$1,$B59,K$5,$B$1)</f>
        <v>0</v>
      </c>
      <c r="L59" s="55">
        <f>_xll.EQNXTDZ($A$1,$B59,L$5,$B$1)</f>
        <v>20.372</v>
      </c>
      <c r="M59" s="55">
        <f>_xll.EQNXTDZ($A$1,$B59,M$5,$B$1)</f>
        <v>0</v>
      </c>
      <c r="N59" s="55">
        <f>_xll.EQNXTDZ($A$1,$B59,N$5,$B$1)</f>
        <v>19.716000000000001</v>
      </c>
      <c r="O59" s="55">
        <f>_xll.EQNXTDZ($A$1,$B59,O$5,$B$1)</f>
        <v>0</v>
      </c>
      <c r="P59" s="55">
        <f>_xll.EQNXTDZ($A$1,$B59,P$5,$B$1)</f>
        <v>20.024999999999999</v>
      </c>
      <c r="Q59" s="55">
        <f>_xll.EQNXTDZ($A$1,$B59,Q$5,$B$1)</f>
        <v>0</v>
      </c>
      <c r="R59" s="55">
        <f>_xll.EQNXTDZ($A$1,$B59,R$5,$B$1)</f>
        <v>19.742000000000001</v>
      </c>
      <c r="S59" s="55">
        <f>_xll.EQNXTDZ($A$1,$B59,S$5,$B$1)</f>
        <v>0</v>
      </c>
      <c r="T59" s="55">
        <f>_xll.EQNXTDZ($A$1,$B59,T$5,$B$1)</f>
        <v>20.382000000000001</v>
      </c>
      <c r="U59" s="55">
        <f>_xll.EQNXTDZ($A$1,$B59,U$5,$B$1)</f>
        <v>0</v>
      </c>
      <c r="V59" s="55">
        <f>_xll.EQNXTDZ($A$1,$B59,V$5,$B$1)</f>
        <v>20.63</v>
      </c>
      <c r="W59" s="55">
        <f>_xll.EQNXTDZ($A$1,$B59,W$5,$B$1)</f>
        <v>0</v>
      </c>
      <c r="X59" s="55">
        <f>_xll.EQNXTDZ($A$1,$B59,X$5,$B$1)</f>
        <v>35.112000000000002</v>
      </c>
      <c r="Y59" s="55">
        <f>_xll.EQNXTDZ($A$1,$B59,Y$5,$B$1)</f>
        <v>0</v>
      </c>
      <c r="Z59" s="55">
        <f>_xll.EQNXTDZ($A$1,$B59,Z$5,$B$1)</f>
        <v>36.957999999999998</v>
      </c>
      <c r="AA59" s="55">
        <f>_xll.EQNXTDZ($A$1,$B59,AA$5,$B$1)</f>
        <v>0</v>
      </c>
      <c r="AB59" s="55">
        <f>_xll.EQNXTDZ($A$1,$B59,AB$5,$B$1)</f>
        <v>38.045000000000002</v>
      </c>
      <c r="AC59" s="55">
        <f>_xll.EQNXTDZ($A$1,$B59,AC$5,$B$1)</f>
        <v>0</v>
      </c>
      <c r="AD59" s="55">
        <f>_xll.EQNXTDZ($A$1,$B59,AD$5,$B$1)</f>
        <v>43.043999999999997</v>
      </c>
      <c r="AE59" s="55">
        <f>_xll.EQNXTDZ($A$1,$B59,AE$5,$B$1)</f>
        <v>0</v>
      </c>
      <c r="AF59" s="55">
        <f>_xll.EQNXTDZ($A$1,$B59,AF$5,$B$1)</f>
        <v>45.802999999999997</v>
      </c>
      <c r="AG59" s="55">
        <f>_xll.EQNXTDZ($A$1,$B59,AG$5,$B$1)</f>
        <v>0</v>
      </c>
      <c r="AH59" s="55">
        <f>_xll.EQNXTDZ($A$1,$B59,AH$5,$B$1)</f>
        <v>51.673999999999999</v>
      </c>
      <c r="AI59" s="55">
        <f>_xll.EQNXTDZ($A$1,$B59,AI$5,$B$1)</f>
        <v>0</v>
      </c>
      <c r="AJ59" s="55">
        <f>_xll.EQNXTDZ($A$1,$B59,AJ$5,$B$1)</f>
        <v>55.6</v>
      </c>
      <c r="AK59" s="55">
        <f>_xll.EQNXTDZ($A$1,$B59,AK$5,$B$1)</f>
        <v>0</v>
      </c>
      <c r="AL59" s="55">
        <f>_xll.EQNXTDZ($A$1,$B59,AL$5,$B$1)</f>
        <v>66.239999999999995</v>
      </c>
      <c r="AM59" s="55">
        <f>_xll.EQNXTDZ($A$1,$B59,AM$5,$B$1)</f>
        <v>0</v>
      </c>
      <c r="AN59" s="55">
        <f>_xll.EQNXTDZ($A$1,$B59,AN$5,$B$1)</f>
        <v>71.132999999999996</v>
      </c>
      <c r="AO59" s="55">
        <f>_xll.EQNXTDZ($A$1,$B59,AO$5,$B$1)</f>
        <v>0</v>
      </c>
      <c r="AP59" s="55">
        <f>_xll.EQNXTDZ($A$1,$B59,AP$5,$B$1)</f>
        <v>82.519000000000005</v>
      </c>
      <c r="AQ59" s="55">
        <f>_xll.EQNXTDZ($A$1,$B59,AQ$5,$B$1)</f>
        <v>0</v>
      </c>
      <c r="AR59" s="55">
        <f>_xll.EQNXTDZ($A$1,$B59,AR$5,$B$1)</f>
        <v>91.421999999999997</v>
      </c>
      <c r="AS59" s="55">
        <f>_xll.EQNXTDZ($A$1,$B59,AS$5,$B$1)</f>
        <v>0</v>
      </c>
      <c r="AT59" s="55">
        <f>_xll.EQNXTDZ($A$1,$B59,AT$5,$B$1)</f>
        <v>107.482</v>
      </c>
      <c r="AU59" s="55">
        <f>_xll.EQNXTDZ($A$1,$B59,AU$5,$B$1)</f>
        <v>0</v>
      </c>
      <c r="AV59" s="55">
        <f>_xll.EQNXTDZ($A$1,$B59,AV$5,$B$1)</f>
        <v>129.94200000000001</v>
      </c>
      <c r="AW59" s="55">
        <f>_xll.EQNXTDZ($A$1,$B59,AW$5,$B$1)</f>
        <v>0</v>
      </c>
      <c r="AX59" s="55">
        <f>_xll.EQNXTDZ($A$1,$B59,AX$5,$B$1)</f>
        <v>164.119</v>
      </c>
      <c r="AY59" s="55">
        <f>_xll.EQNXTDZ($A$1,$B59,AY$5,$B$1)</f>
        <v>0</v>
      </c>
      <c r="AZ59" s="55">
        <f>_xll.EQNXTDZ($A$1,$B59,AZ$5,$B$1)</f>
        <v>196.85300000000001</v>
      </c>
      <c r="BA59" s="55">
        <f>_xll.EQNXTDZ($A$1,$B59,BA$5,$B$1)</f>
        <v>0</v>
      </c>
      <c r="BB59" s="55">
        <f>_xll.EQNXTDZ($A$1,$B59,BB$5,$B$1)</f>
        <v>237.24600000000001</v>
      </c>
      <c r="BC59" s="55">
        <f>_xll.EQNXTDZ($A$1,$B59,BC$5,$B$1)</f>
        <v>0</v>
      </c>
      <c r="BD59" s="55">
        <f>_xll.EQNXTDZ($A$1,$B59,BD$5,$B$1)</f>
        <v>323.64100000000002</v>
      </c>
      <c r="BE59" s="55">
        <f>_xll.EQNXTDZ($A$1,$B59,BE$5,$B$1)</f>
        <v>0</v>
      </c>
      <c r="BF59" s="55">
        <f>_xll.EQNXTDZ($A$1,$B59,BF$5,$B$1)</f>
        <v>338.233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6</v>
      </c>
      <c r="I61" s="55">
        <f>_xll.EQNXTDZ($A$1,$B61,I$5,$B$1)</f>
        <v>0</v>
      </c>
      <c r="J61" s="55">
        <f>_xll.EQNXTDZ($A$1,$B61,J$5,$B$1)</f>
        <v>4.47</v>
      </c>
      <c r="K61" s="55">
        <f>_xll.EQNXTDZ($A$1,$B61,K$5,$B$1)</f>
        <v>0</v>
      </c>
      <c r="L61" s="55">
        <f>_xll.EQNXTDZ($A$1,$B61,L$5,$B$1)</f>
        <v>4.9800000000000004</v>
      </c>
      <c r="M61" s="55">
        <f>_xll.EQNXTDZ($A$1,$B61,M$5,$B$1)</f>
        <v>0</v>
      </c>
      <c r="N61" s="55">
        <f>_xll.EQNXTDZ($A$1,$B61,N$5,$B$1)</f>
        <v>3.45</v>
      </c>
      <c r="O61" s="55">
        <f>_xll.EQNXTDZ($A$1,$B61,O$5,$B$1)</f>
        <v>0</v>
      </c>
      <c r="P61" s="55">
        <f>_xll.EQNXTDZ($A$1,$B61,P$5,$B$1)</f>
        <v>3.1179999999999999</v>
      </c>
      <c r="Q61" s="55">
        <f>_xll.EQNXTDZ($A$1,$B61,Q$5,$B$1)</f>
        <v>0</v>
      </c>
      <c r="R61" s="55">
        <f>_xll.EQNXTDZ($A$1,$B61,R$5,$B$1)</f>
        <v>2.4300000000000002</v>
      </c>
      <c r="S61" s="55">
        <f>_xll.EQNXTDZ($A$1,$B61,S$5,$B$1)</f>
        <v>0</v>
      </c>
      <c r="T61" s="55">
        <f>_xll.EQNXTDZ($A$1,$B61,T$5,$B$1)</f>
        <v>1.92</v>
      </c>
      <c r="U61" s="55">
        <f>_xll.EQNXTDZ($A$1,$B61,U$5,$B$1)</f>
        <v>0</v>
      </c>
      <c r="V61" s="55">
        <f>_xll.EQNXTDZ($A$1,$B61,V$5,$B$1)</f>
        <v>1.41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4.1749999999999998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12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12.327999999999999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6</v>
      </c>
      <c r="I63" s="55">
        <f>_xll.EQNXTDZ($A$1,$B63,I$5,$B$1)</f>
        <v>0</v>
      </c>
      <c r="J63" s="55">
        <f>_xll.EQNXTDZ($A$1,$B63,J$5,$B$1)</f>
        <v>4.47</v>
      </c>
      <c r="K63" s="55">
        <f>_xll.EQNXTDZ($A$1,$B63,K$5,$B$1)</f>
        <v>0</v>
      </c>
      <c r="L63" s="55">
        <f>_xll.EQNXTDZ($A$1,$B63,L$5,$B$1)</f>
        <v>4.9800000000000004</v>
      </c>
      <c r="M63" s="55">
        <f>_xll.EQNXTDZ($A$1,$B63,M$5,$B$1)</f>
        <v>0</v>
      </c>
      <c r="N63" s="55">
        <f>_xll.EQNXTDZ($A$1,$B63,N$5,$B$1)</f>
        <v>3.45</v>
      </c>
      <c r="O63" s="55">
        <f>_xll.EQNXTDZ($A$1,$B63,O$5,$B$1)</f>
        <v>0</v>
      </c>
      <c r="P63" s="55">
        <f>_xll.EQNXTDZ($A$1,$B63,P$5,$B$1)</f>
        <v>3.1179999999999999</v>
      </c>
      <c r="Q63" s="55">
        <f>_xll.EQNXTDZ($A$1,$B63,Q$5,$B$1)</f>
        <v>0</v>
      </c>
      <c r="R63" s="55">
        <f>_xll.EQNXTDZ($A$1,$B63,R$5,$B$1)</f>
        <v>2.4300000000000002</v>
      </c>
      <c r="S63" s="55">
        <f>_xll.EQNXTDZ($A$1,$B63,S$5,$B$1)</f>
        <v>0</v>
      </c>
      <c r="T63" s="55">
        <f>_xll.EQNXTDZ($A$1,$B63,T$5,$B$1)</f>
        <v>1.92</v>
      </c>
      <c r="U63" s="55">
        <f>_xll.EQNXTDZ($A$1,$B63,U$5,$B$1)</f>
        <v>0</v>
      </c>
      <c r="V63" s="55">
        <f>_xll.EQNXTDZ($A$1,$B63,V$5,$B$1)</f>
        <v>1.41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4.1749999999999998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12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12.327999999999999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1.238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3.2839999999999998</v>
      </c>
      <c r="AI64" s="55">
        <f>_xll.EQNXTDZ($A$1,$B64,AI$5,$B$1)</f>
        <v>0</v>
      </c>
      <c r="AJ64" s="55">
        <f>_xll.EQNXTDZ($A$1,$B64,AJ$5,$B$1)</f>
        <v>3.181</v>
      </c>
      <c r="AK64" s="55">
        <f>_xll.EQNXTDZ($A$1,$B64,AK$5,$B$1)</f>
        <v>0</v>
      </c>
      <c r="AL64" s="55">
        <f>_xll.EQNXTDZ($A$1,$B64,AL$5,$B$1)</f>
        <v>3.0630000000000002</v>
      </c>
      <c r="AM64" s="55">
        <f>_xll.EQNXTDZ($A$1,$B64,AM$5,$B$1)</f>
        <v>0</v>
      </c>
      <c r="AN64" s="55">
        <f>_xll.EQNXTDZ($A$1,$B64,AN$5,$B$1)</f>
        <v>2.9329999999999998</v>
      </c>
      <c r="AO64" s="55">
        <f>_xll.EQNXTDZ($A$1,$B64,AO$5,$B$1)</f>
        <v>0</v>
      </c>
      <c r="AP64" s="55">
        <f>_xll.EQNXTDZ($A$1,$B64,AP$5,$B$1)</f>
        <v>2.7850000000000001</v>
      </c>
      <c r="AQ64" s="55">
        <f>_xll.EQNXTDZ($A$1,$B64,AQ$5,$B$1)</f>
        <v>0</v>
      </c>
      <c r="AR64" s="55">
        <f>_xll.EQNXTDZ($A$1,$B64,AR$5,$B$1)</f>
        <v>2.6230000000000002</v>
      </c>
      <c r="AS64" s="55">
        <f>_xll.EQNXTDZ($A$1,$B64,AS$5,$B$1)</f>
        <v>0</v>
      </c>
      <c r="AT64" s="55">
        <f>_xll.EQNXTDZ($A$1,$B64,AT$5,$B$1)</f>
        <v>2.4409999999999998</v>
      </c>
      <c r="AU64" s="55">
        <f>_xll.EQNXTDZ($A$1,$B64,AU$5,$B$1)</f>
        <v>0</v>
      </c>
      <c r="AV64" s="55">
        <f>_xll.EQNXTDZ($A$1,$B64,AV$5,$B$1)</f>
        <v>2.2429999999999999</v>
      </c>
      <c r="AW64" s="55">
        <f>_xll.EQNXTDZ($A$1,$B64,AW$5,$B$1)</f>
        <v>0</v>
      </c>
      <c r="AX64" s="55">
        <f>_xll.EQNXTDZ($A$1,$B64,AX$5,$B$1)</f>
        <v>6.0019999999999998</v>
      </c>
      <c r="AY64" s="55">
        <f>_xll.EQNXTDZ($A$1,$B64,AY$5,$B$1)</f>
        <v>0</v>
      </c>
      <c r="AZ64" s="55">
        <f>_xll.EQNXTDZ($A$1,$B64,AZ$5,$B$1)</f>
        <v>5.6120000000000001</v>
      </c>
      <c r="BA64" s="55">
        <f>_xll.EQNXTDZ($A$1,$B64,BA$5,$B$1)</f>
        <v>0</v>
      </c>
      <c r="BB64" s="55">
        <f>_xll.EQNXTDZ($A$1,$B64,BB$5,$B$1)</f>
        <v>5.2190000000000003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0.16600000000000001</v>
      </c>
      <c r="E66" s="55">
        <f>_xll.EQNXTDZ($A$1,$B66,E$5,$B$1)</f>
        <v>0</v>
      </c>
      <c r="F66" s="55">
        <f>_xll.EQNXTDZ($A$1,$B66,F$5,$B$1)</f>
        <v>4.7E-2</v>
      </c>
      <c r="G66" s="55">
        <f>_xll.EQNXTDZ($A$1,$B66,G$5,$B$1)</f>
        <v>0</v>
      </c>
      <c r="H66" s="55">
        <f>_xll.EQNXTDZ($A$1,$B66,H$5,$B$1)</f>
        <v>4.7E-2</v>
      </c>
      <c r="I66" s="55">
        <f>_xll.EQNXTDZ($A$1,$B66,I$5,$B$1)</f>
        <v>0</v>
      </c>
      <c r="J66" s="55">
        <f>_xll.EQNXTDZ($A$1,$B66,J$5,$B$1)</f>
        <v>0.19400000000000001</v>
      </c>
      <c r="K66" s="55">
        <f>_xll.EQNXTDZ($A$1,$B66,K$5,$B$1)</f>
        <v>0</v>
      </c>
      <c r="L66" s="55">
        <f>_xll.EQNXTDZ($A$1,$B66,L$5,$B$1)</f>
        <v>4.3999999999999997E-2</v>
      </c>
      <c r="M66" s="55">
        <f>_xll.EQNXTDZ($A$1,$B66,M$5,$B$1)</f>
        <v>0</v>
      </c>
      <c r="N66" s="55">
        <f>_xll.EQNXTDZ($A$1,$B66,N$5,$B$1)</f>
        <v>0.27100000000000002</v>
      </c>
      <c r="O66" s="55">
        <f>_xll.EQNXTDZ($A$1,$B66,O$5,$B$1)</f>
        <v>0</v>
      </c>
      <c r="P66" s="55">
        <f>_xll.EQNXTDZ($A$1,$B66,P$5,$B$1)</f>
        <v>0.184</v>
      </c>
      <c r="Q66" s="55">
        <f>_xll.EQNXTDZ($A$1,$B66,Q$5,$B$1)</f>
        <v>0</v>
      </c>
      <c r="R66" s="55">
        <f>_xll.EQNXTDZ($A$1,$B66,R$5,$B$1)</f>
        <v>0.26200000000000001</v>
      </c>
      <c r="S66" s="55">
        <f>_xll.EQNXTDZ($A$1,$B66,S$5,$B$1)</f>
        <v>0</v>
      </c>
      <c r="T66" s="55">
        <f>_xll.EQNXTDZ($A$1,$B66,T$5,$B$1)</f>
        <v>0.26200000000000001</v>
      </c>
      <c r="U66" s="55">
        <f>_xll.EQNXTDZ($A$1,$B66,U$5,$B$1)</f>
        <v>0</v>
      </c>
      <c r="V66" s="55">
        <f>_xll.EQNXTDZ($A$1,$B66,V$5,$B$1)</f>
        <v>0.254</v>
      </c>
      <c r="W66" s="55">
        <f>_xll.EQNXTDZ($A$1,$B66,W$5,$B$1)</f>
        <v>0</v>
      </c>
      <c r="X66" s="55">
        <f>_xll.EQNXTDZ($A$1,$B66,X$5,$B$1)</f>
        <v>0.104</v>
      </c>
      <c r="Y66" s="55">
        <f>_xll.EQNXTDZ($A$1,$B66,Y$5,$B$1)</f>
        <v>0</v>
      </c>
      <c r="Z66" s="55">
        <f>_xll.EQNXTDZ($A$1,$B66,Z$5,$B$1)</f>
        <v>0.53300000000000003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0.36499999999999999</v>
      </c>
      <c r="AE66" s="55">
        <f>_xll.EQNXTDZ($A$1,$B66,AE$5,$B$1)</f>
        <v>0</v>
      </c>
      <c r="AF66" s="55">
        <f>_xll.EQNXTDZ($A$1,$B66,AF$5,$B$1)</f>
        <v>0.2</v>
      </c>
      <c r="AG66" s="55">
        <f>_xll.EQNXTDZ($A$1,$B66,AG$5,$B$1)</f>
        <v>0</v>
      </c>
      <c r="AH66" s="55">
        <f>_xll.EQNXTDZ($A$1,$B66,AH$5,$B$1)</f>
        <v>0.376</v>
      </c>
      <c r="AI66" s="55">
        <f>_xll.EQNXTDZ($A$1,$B66,AI$5,$B$1)</f>
        <v>0</v>
      </c>
      <c r="AJ66" s="55">
        <f>_xll.EQNXTDZ($A$1,$B66,AJ$5,$B$1)</f>
        <v>0.15</v>
      </c>
      <c r="AK66" s="55">
        <f>_xll.EQNXTDZ($A$1,$B66,AK$5,$B$1)</f>
        <v>0</v>
      </c>
      <c r="AL66" s="55">
        <f>_xll.EQNXTDZ($A$1,$B66,AL$5,$B$1)</f>
        <v>8.4000000000000005E-2</v>
      </c>
      <c r="AM66" s="55">
        <f>_xll.EQNXTDZ($A$1,$B66,AM$5,$B$1)</f>
        <v>0</v>
      </c>
      <c r="AN66" s="55">
        <f>_xll.EQNXTDZ($A$1,$B66,AN$5,$B$1)</f>
        <v>0.15</v>
      </c>
      <c r="AO66" s="55">
        <f>_xll.EQNXTDZ($A$1,$B66,AO$5,$B$1)</f>
        <v>0</v>
      </c>
      <c r="AP66" s="55">
        <f>_xll.EQNXTDZ($A$1,$B66,AP$5,$B$1)</f>
        <v>0.221</v>
      </c>
      <c r="AQ66" s="55">
        <f>_xll.EQNXTDZ($A$1,$B66,AQ$5,$B$1)</f>
        <v>0</v>
      </c>
      <c r="AR66" s="55">
        <f>_xll.EQNXTDZ($A$1,$B66,AR$5,$B$1)</f>
        <v>0.15</v>
      </c>
      <c r="AS66" s="55">
        <f>_xll.EQNXTDZ($A$1,$B66,AS$5,$B$1)</f>
        <v>0</v>
      </c>
      <c r="AT66" s="55">
        <f>_xll.EQNXTDZ($A$1,$B66,AT$5,$B$1)</f>
        <v>0.62</v>
      </c>
      <c r="AU66" s="55">
        <f>_xll.EQNXTDZ($A$1,$B66,AU$5,$B$1)</f>
        <v>0</v>
      </c>
      <c r="AV66" s="55">
        <f>_xll.EQNXTDZ($A$1,$B66,AV$5,$B$1)</f>
        <v>0.77</v>
      </c>
      <c r="AW66" s="55">
        <f>_xll.EQNXTDZ($A$1,$B66,AW$5,$B$1)</f>
        <v>0</v>
      </c>
      <c r="AX66" s="55">
        <f>_xll.EQNXTDZ($A$1,$B66,AX$5,$B$1)</f>
        <v>0.60899999999999999</v>
      </c>
      <c r="AY66" s="55">
        <f>_xll.EQNXTDZ($A$1,$B66,AY$5,$B$1)</f>
        <v>0</v>
      </c>
      <c r="AZ66" s="55">
        <f>_xll.EQNXTDZ($A$1,$B66,AZ$5,$B$1)</f>
        <v>0.35899999999999999</v>
      </c>
      <c r="BA66" s="55">
        <f>_xll.EQNXTDZ($A$1,$B66,BA$5,$B$1)</f>
        <v>0</v>
      </c>
      <c r="BB66" s="55">
        <f>_xll.EQNXTDZ($A$1,$B66,BB$5,$B$1)</f>
        <v>0.98</v>
      </c>
      <c r="BC66" s="55">
        <f>_xll.EQNXTDZ($A$1,$B66,BC$5,$B$1)</f>
        <v>0</v>
      </c>
      <c r="BD66" s="55">
        <f>_xll.EQNXTDZ($A$1,$B66,BD$5,$B$1)</f>
        <v>0.5</v>
      </c>
      <c r="BE66" s="55">
        <f>_xll.EQNXTDZ($A$1,$B66,BE$5,$B$1)</f>
        <v>0</v>
      </c>
      <c r="BF66" s="55">
        <f>_xll.EQNXTDZ($A$1,$B66,BF$5,$B$1)</f>
        <v>0.61299999999999999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20.39</v>
      </c>
      <c r="E67" s="55">
        <f>_xll.EQNXTDZ($A$1,$B67,E$5,$B$1)</f>
        <v>0</v>
      </c>
      <c r="F67" s="55">
        <f>_xll.EQNXTDZ($A$1,$B67,F$5,$B$1)</f>
        <v>23.893999999999998</v>
      </c>
      <c r="G67" s="55">
        <f>_xll.EQNXTDZ($A$1,$B67,G$5,$B$1)</f>
        <v>0</v>
      </c>
      <c r="H67" s="55">
        <f>_xll.EQNXTDZ($A$1,$B67,H$5,$B$1)</f>
        <v>25.367000000000001</v>
      </c>
      <c r="I67" s="55">
        <f>_xll.EQNXTDZ($A$1,$B67,I$5,$B$1)</f>
        <v>0</v>
      </c>
      <c r="J67" s="55">
        <f>_xll.EQNXTDZ($A$1,$B67,J$5,$B$1)</f>
        <v>25.373999999999999</v>
      </c>
      <c r="K67" s="55">
        <f>_xll.EQNXTDZ($A$1,$B67,K$5,$B$1)</f>
        <v>0</v>
      </c>
      <c r="L67" s="55">
        <f>_xll.EQNXTDZ($A$1,$B67,L$5,$B$1)</f>
        <v>25.396000000000001</v>
      </c>
      <c r="M67" s="55">
        <f>_xll.EQNXTDZ($A$1,$B67,M$5,$B$1)</f>
        <v>0</v>
      </c>
      <c r="N67" s="55">
        <f>_xll.EQNXTDZ($A$1,$B67,N$5,$B$1)</f>
        <v>23.437000000000001</v>
      </c>
      <c r="O67" s="55">
        <f>_xll.EQNXTDZ($A$1,$B67,O$5,$B$1)</f>
        <v>0</v>
      </c>
      <c r="P67" s="55">
        <f>_xll.EQNXTDZ($A$1,$B67,P$5,$B$1)</f>
        <v>23.327000000000002</v>
      </c>
      <c r="Q67" s="55">
        <f>_xll.EQNXTDZ($A$1,$B67,Q$5,$B$1)</f>
        <v>0</v>
      </c>
      <c r="R67" s="55">
        <f>_xll.EQNXTDZ($A$1,$B67,R$5,$B$1)</f>
        <v>22.434000000000001</v>
      </c>
      <c r="S67" s="55">
        <f>_xll.EQNXTDZ($A$1,$B67,S$5,$B$1)</f>
        <v>0</v>
      </c>
      <c r="T67" s="55">
        <f>_xll.EQNXTDZ($A$1,$B67,T$5,$B$1)</f>
        <v>22.564</v>
      </c>
      <c r="U67" s="55">
        <f>_xll.EQNXTDZ($A$1,$B67,U$5,$B$1)</f>
        <v>0</v>
      </c>
      <c r="V67" s="55">
        <f>_xll.EQNXTDZ($A$1,$B67,V$5,$B$1)</f>
        <v>22.294</v>
      </c>
      <c r="W67" s="55">
        <f>_xll.EQNXTDZ($A$1,$B67,W$5,$B$1)</f>
        <v>0</v>
      </c>
      <c r="X67" s="55">
        <f>_xll.EQNXTDZ($A$1,$B67,X$5,$B$1)</f>
        <v>35.216000000000001</v>
      </c>
      <c r="Y67" s="55">
        <f>_xll.EQNXTDZ($A$1,$B67,Y$5,$B$1)</f>
        <v>0</v>
      </c>
      <c r="Z67" s="55">
        <f>_xll.EQNXTDZ($A$1,$B67,Z$5,$B$1)</f>
        <v>37.491</v>
      </c>
      <c r="AA67" s="55">
        <f>_xll.EQNXTDZ($A$1,$B67,AA$5,$B$1)</f>
        <v>0</v>
      </c>
      <c r="AB67" s="55">
        <f>_xll.EQNXTDZ($A$1,$B67,AB$5,$B$1)</f>
        <v>39.283000000000001</v>
      </c>
      <c r="AC67" s="55">
        <f>_xll.EQNXTDZ($A$1,$B67,AC$5,$B$1)</f>
        <v>0</v>
      </c>
      <c r="AD67" s="55">
        <f>_xll.EQNXTDZ($A$1,$B67,AD$5,$B$1)</f>
        <v>43.408999999999999</v>
      </c>
      <c r="AE67" s="55">
        <f>_xll.EQNXTDZ($A$1,$B67,AE$5,$B$1)</f>
        <v>0</v>
      </c>
      <c r="AF67" s="55">
        <f>_xll.EQNXTDZ($A$1,$B67,AF$5,$B$1)</f>
        <v>46.003</v>
      </c>
      <c r="AG67" s="55">
        <f>_xll.EQNXTDZ($A$1,$B67,AG$5,$B$1)</f>
        <v>0</v>
      </c>
      <c r="AH67" s="55">
        <f>_xll.EQNXTDZ($A$1,$B67,AH$5,$B$1)</f>
        <v>55.334000000000003</v>
      </c>
      <c r="AI67" s="55">
        <f>_xll.EQNXTDZ($A$1,$B67,AI$5,$B$1)</f>
        <v>0</v>
      </c>
      <c r="AJ67" s="55">
        <f>_xll.EQNXTDZ($A$1,$B67,AJ$5,$B$1)</f>
        <v>58.930999999999997</v>
      </c>
      <c r="AK67" s="55">
        <f>_xll.EQNXTDZ($A$1,$B67,AK$5,$B$1)</f>
        <v>0</v>
      </c>
      <c r="AL67" s="55">
        <f>_xll.EQNXTDZ($A$1,$B67,AL$5,$B$1)</f>
        <v>69.387</v>
      </c>
      <c r="AM67" s="55">
        <f>_xll.EQNXTDZ($A$1,$B67,AM$5,$B$1)</f>
        <v>0</v>
      </c>
      <c r="AN67" s="55">
        <f>_xll.EQNXTDZ($A$1,$B67,AN$5,$B$1)</f>
        <v>74.215999999999994</v>
      </c>
      <c r="AO67" s="55">
        <f>_xll.EQNXTDZ($A$1,$B67,AO$5,$B$1)</f>
        <v>0</v>
      </c>
      <c r="AP67" s="55">
        <f>_xll.EQNXTDZ($A$1,$B67,AP$5,$B$1)</f>
        <v>85.525000000000006</v>
      </c>
      <c r="AQ67" s="55">
        <f>_xll.EQNXTDZ($A$1,$B67,AQ$5,$B$1)</f>
        <v>0</v>
      </c>
      <c r="AR67" s="55">
        <f>_xll.EQNXTDZ($A$1,$B67,AR$5,$B$1)</f>
        <v>98.37</v>
      </c>
      <c r="AS67" s="55">
        <f>_xll.EQNXTDZ($A$1,$B67,AS$5,$B$1)</f>
        <v>0</v>
      </c>
      <c r="AT67" s="55">
        <f>_xll.EQNXTDZ($A$1,$B67,AT$5,$B$1)</f>
        <v>110.54300000000001</v>
      </c>
      <c r="AU67" s="55">
        <f>_xll.EQNXTDZ($A$1,$B67,AU$5,$B$1)</f>
        <v>0</v>
      </c>
      <c r="AV67" s="55">
        <f>_xll.EQNXTDZ($A$1,$B67,AV$5,$B$1)</f>
        <v>132.95500000000001</v>
      </c>
      <c r="AW67" s="55">
        <f>_xll.EQNXTDZ($A$1,$B67,AW$5,$B$1)</f>
        <v>0</v>
      </c>
      <c r="AX67" s="55">
        <f>_xll.EQNXTDZ($A$1,$B67,AX$5,$B$1)</f>
        <v>170.73</v>
      </c>
      <c r="AY67" s="55">
        <f>_xll.EQNXTDZ($A$1,$B67,AY$5,$B$1)</f>
        <v>0</v>
      </c>
      <c r="AZ67" s="55">
        <f>_xll.EQNXTDZ($A$1,$B67,AZ$5,$B$1)</f>
        <v>202.82400000000001</v>
      </c>
      <c r="BA67" s="55">
        <f>_xll.EQNXTDZ($A$1,$B67,BA$5,$B$1)</f>
        <v>0</v>
      </c>
      <c r="BB67" s="55">
        <f>_xll.EQNXTDZ($A$1,$B67,BB$5,$B$1)</f>
        <v>255.44499999999999</v>
      </c>
      <c r="BC67" s="55">
        <f>_xll.EQNXTDZ($A$1,$B67,BC$5,$B$1)</f>
        <v>0</v>
      </c>
      <c r="BD67" s="55">
        <f>_xll.EQNXTDZ($A$1,$B67,BD$5,$B$1)</f>
        <v>324.14100000000002</v>
      </c>
      <c r="BE67" s="55">
        <f>_xll.EQNXTDZ($A$1,$B67,BE$5,$B$1)</f>
        <v>0</v>
      </c>
      <c r="BF67" s="55">
        <f>_xll.EQNXTDZ($A$1,$B67,BF$5,$B$1)</f>
        <v>351.17399999999998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12.414999999999999</v>
      </c>
      <c r="E68" s="55">
        <f>_xll.EQNXTDZ($A$1,$B68,E$5,$B$1)</f>
        <v>0</v>
      </c>
      <c r="F68" s="55">
        <f>_xll.EQNXTDZ($A$1,$B68,F$5,$B$1)</f>
        <v>16.369</v>
      </c>
      <c r="G68" s="55">
        <f>_xll.EQNXTDZ($A$1,$B68,G$5,$B$1)</f>
        <v>0</v>
      </c>
      <c r="H68" s="55">
        <f>_xll.EQNXTDZ($A$1,$B68,H$5,$B$1)</f>
        <v>15.997</v>
      </c>
      <c r="I68" s="55">
        <f>_xll.EQNXTDZ($A$1,$B68,I$5,$B$1)</f>
        <v>0</v>
      </c>
      <c r="J68" s="55">
        <f>_xll.EQNXTDZ($A$1,$B68,J$5,$B$1)</f>
        <v>15.388999999999999</v>
      </c>
      <c r="K68" s="55">
        <f>_xll.EQNXTDZ($A$1,$B68,K$5,$B$1)</f>
        <v>0</v>
      </c>
      <c r="L68" s="55">
        <f>_xll.EQNXTDZ($A$1,$B68,L$5,$B$1)</f>
        <v>14.423999999999999</v>
      </c>
      <c r="M68" s="55">
        <f>_xll.EQNXTDZ($A$1,$B68,M$5,$B$1)</f>
        <v>0</v>
      </c>
      <c r="N68" s="55">
        <f>_xll.EQNXTDZ($A$1,$B68,N$5,$B$1)</f>
        <v>13.694000000000001</v>
      </c>
      <c r="O68" s="55">
        <f>_xll.EQNXTDZ($A$1,$B68,O$5,$B$1)</f>
        <v>0</v>
      </c>
      <c r="P68" s="55">
        <f>_xll.EQNXTDZ($A$1,$B68,P$5,$B$1)</f>
        <v>13.689</v>
      </c>
      <c r="Q68" s="55">
        <f>_xll.EQNXTDZ($A$1,$B68,Q$5,$B$1)</f>
        <v>0</v>
      </c>
      <c r="R68" s="55">
        <f>_xll.EQNXTDZ($A$1,$B68,R$5,$B$1)</f>
        <v>13.391</v>
      </c>
      <c r="S68" s="55">
        <f>_xll.EQNXTDZ($A$1,$B68,S$5,$B$1)</f>
        <v>0</v>
      </c>
      <c r="T68" s="55">
        <f>_xll.EQNXTDZ($A$1,$B68,T$5,$B$1)</f>
        <v>13.065</v>
      </c>
      <c r="U68" s="55">
        <f>_xll.EQNXTDZ($A$1,$B68,U$5,$B$1)</f>
        <v>0</v>
      </c>
      <c r="V68" s="55">
        <f>_xll.EQNXTDZ($A$1,$B68,V$5,$B$1)</f>
        <v>13.302</v>
      </c>
      <c r="W68" s="55">
        <f>_xll.EQNXTDZ($A$1,$B68,W$5,$B$1)</f>
        <v>0</v>
      </c>
      <c r="X68" s="55">
        <f>_xll.EQNXTDZ($A$1,$B68,X$5,$B$1)</f>
        <v>11.648999999999999</v>
      </c>
      <c r="Y68" s="55">
        <f>_xll.EQNXTDZ($A$1,$B68,Y$5,$B$1)</f>
        <v>0</v>
      </c>
      <c r="Z68" s="55">
        <f>_xll.EQNXTDZ($A$1,$B68,Z$5,$B$1)</f>
        <v>12.099</v>
      </c>
      <c r="AA68" s="55">
        <f>_xll.EQNXTDZ($A$1,$B68,AA$5,$B$1)</f>
        <v>0</v>
      </c>
      <c r="AB68" s="55">
        <f>_xll.EQNXTDZ($A$1,$B68,AB$5,$B$1)</f>
        <v>11.923999999999999</v>
      </c>
      <c r="AC68" s="55">
        <f>_xll.EQNXTDZ($A$1,$B68,AC$5,$B$1)</f>
        <v>0</v>
      </c>
      <c r="AD68" s="55">
        <f>_xll.EQNXTDZ($A$1,$B68,AD$5,$B$1)</f>
        <v>11.659000000000001</v>
      </c>
      <c r="AE68" s="55">
        <f>_xll.EQNXTDZ($A$1,$B68,AE$5,$B$1)</f>
        <v>0</v>
      </c>
      <c r="AF68" s="55">
        <f>_xll.EQNXTDZ($A$1,$B68,AF$5,$B$1)</f>
        <v>11.664999999999999</v>
      </c>
      <c r="AG68" s="55">
        <f>_xll.EQNXTDZ($A$1,$B68,AG$5,$B$1)</f>
        <v>0</v>
      </c>
      <c r="AH68" s="55">
        <f>_xll.EQNXTDZ($A$1,$B68,AH$5,$B$1)</f>
        <v>11.180999999999999</v>
      </c>
      <c r="AI68" s="55">
        <f>_xll.EQNXTDZ($A$1,$B68,AI$5,$B$1)</f>
        <v>0</v>
      </c>
      <c r="AJ68" s="55">
        <f>_xll.EQNXTDZ($A$1,$B68,AJ$5,$B$1)</f>
        <v>10.797000000000001</v>
      </c>
      <c r="AK68" s="55">
        <f>_xll.EQNXTDZ($A$1,$B68,AK$5,$B$1)</f>
        <v>0</v>
      </c>
      <c r="AL68" s="55">
        <f>_xll.EQNXTDZ($A$1,$B68,AL$5,$B$1)</f>
        <v>13.398999999999999</v>
      </c>
      <c r="AM68" s="55">
        <f>_xll.EQNXTDZ($A$1,$B68,AM$5,$B$1)</f>
        <v>0</v>
      </c>
      <c r="AN68" s="55">
        <f>_xll.EQNXTDZ($A$1,$B68,AN$5,$B$1)</f>
        <v>13.599</v>
      </c>
      <c r="AO68" s="55">
        <f>_xll.EQNXTDZ($A$1,$B68,AO$5,$B$1)</f>
        <v>0</v>
      </c>
      <c r="AP68" s="55">
        <f>_xll.EQNXTDZ($A$1,$B68,AP$5,$B$1)</f>
        <v>24.46</v>
      </c>
      <c r="AQ68" s="55">
        <f>_xll.EQNXTDZ($A$1,$B68,AQ$5,$B$1)</f>
        <v>0</v>
      </c>
      <c r="AR68" s="55">
        <f>_xll.EQNXTDZ($A$1,$B68,AR$5,$B$1)</f>
        <v>26.693000000000001</v>
      </c>
      <c r="AS68" s="55">
        <f>_xll.EQNXTDZ($A$1,$B68,AS$5,$B$1)</f>
        <v>0</v>
      </c>
      <c r="AT68" s="55">
        <f>_xll.EQNXTDZ($A$1,$B68,AT$5,$B$1)</f>
        <v>29.355</v>
      </c>
      <c r="AU68" s="55">
        <f>_xll.EQNXTDZ($A$1,$B68,AU$5,$B$1)</f>
        <v>0</v>
      </c>
      <c r="AV68" s="55">
        <f>_xll.EQNXTDZ($A$1,$B68,AV$5,$B$1)</f>
        <v>29.795999999999999</v>
      </c>
      <c r="AW68" s="55">
        <f>_xll.EQNXTDZ($A$1,$B68,AW$5,$B$1)</f>
        <v>0</v>
      </c>
      <c r="AX68" s="55">
        <f>_xll.EQNXTDZ($A$1,$B68,AX$5,$B$1)</f>
        <v>43.253</v>
      </c>
      <c r="AY68" s="55">
        <f>_xll.EQNXTDZ($A$1,$B68,AY$5,$B$1)</f>
        <v>0</v>
      </c>
      <c r="AZ68" s="55">
        <f>_xll.EQNXTDZ($A$1,$B68,AZ$5,$B$1)</f>
        <v>48.628999999999998</v>
      </c>
      <c r="BA68" s="55">
        <f>_xll.EQNXTDZ($A$1,$B68,BA$5,$B$1)</f>
        <v>0</v>
      </c>
      <c r="BB68" s="55">
        <f>_xll.EQNXTDZ($A$1,$B68,BB$5,$B$1)</f>
        <v>110.363</v>
      </c>
      <c r="BC68" s="55">
        <f>_xll.EQNXTDZ($A$1,$B68,BC$5,$B$1)</f>
        <v>0</v>
      </c>
      <c r="BD68" s="55">
        <f>_xll.EQNXTDZ($A$1,$B68,BD$5,$B$1)</f>
        <v>130.09800000000001</v>
      </c>
      <c r="BE68" s="55">
        <f>_xll.EQNXTDZ($A$1,$B68,BE$5,$B$1)</f>
        <v>0</v>
      </c>
      <c r="BF68" s="55">
        <f>_xll.EQNXTDZ($A$1,$B68,BF$5,$B$1)</f>
        <v>181.178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12.414999999999999</v>
      </c>
      <c r="E71" s="55">
        <f>_xll.EQNXTDZ($A$1,$B71,E$5,$B$1)</f>
        <v>0</v>
      </c>
      <c r="F71" s="55">
        <f>_xll.EQNXTDZ($A$1,$B71,F$5,$B$1)</f>
        <v>16.369</v>
      </c>
      <c r="G71" s="55">
        <f>_xll.EQNXTDZ($A$1,$B71,G$5,$B$1)</f>
        <v>0</v>
      </c>
      <c r="H71" s="55">
        <f>_xll.EQNXTDZ($A$1,$B71,H$5,$B$1)</f>
        <v>15.997</v>
      </c>
      <c r="I71" s="55">
        <f>_xll.EQNXTDZ($A$1,$B71,I$5,$B$1)</f>
        <v>0</v>
      </c>
      <c r="J71" s="55">
        <f>_xll.EQNXTDZ($A$1,$B71,J$5,$B$1)</f>
        <v>15.388999999999999</v>
      </c>
      <c r="K71" s="55">
        <f>_xll.EQNXTDZ($A$1,$B71,K$5,$B$1)</f>
        <v>0</v>
      </c>
      <c r="L71" s="55">
        <f>_xll.EQNXTDZ($A$1,$B71,L$5,$B$1)</f>
        <v>14.423999999999999</v>
      </c>
      <c r="M71" s="55">
        <f>_xll.EQNXTDZ($A$1,$B71,M$5,$B$1)</f>
        <v>0</v>
      </c>
      <c r="N71" s="55">
        <f>_xll.EQNXTDZ($A$1,$B71,N$5,$B$1)</f>
        <v>13.694000000000001</v>
      </c>
      <c r="O71" s="55">
        <f>_xll.EQNXTDZ($A$1,$B71,O$5,$B$1)</f>
        <v>0</v>
      </c>
      <c r="P71" s="55">
        <f>_xll.EQNXTDZ($A$1,$B71,P$5,$B$1)</f>
        <v>13.689</v>
      </c>
      <c r="Q71" s="55">
        <f>_xll.EQNXTDZ($A$1,$B71,Q$5,$B$1)</f>
        <v>0</v>
      </c>
      <c r="R71" s="55">
        <f>_xll.EQNXTDZ($A$1,$B71,R$5,$B$1)</f>
        <v>13.391</v>
      </c>
      <c r="S71" s="55">
        <f>_xll.EQNXTDZ($A$1,$B71,S$5,$B$1)</f>
        <v>0</v>
      </c>
      <c r="T71" s="55">
        <f>_xll.EQNXTDZ($A$1,$B71,T$5,$B$1)</f>
        <v>13.065</v>
      </c>
      <c r="U71" s="55">
        <f>_xll.EQNXTDZ($A$1,$B71,U$5,$B$1)</f>
        <v>0</v>
      </c>
      <c r="V71" s="55">
        <f>_xll.EQNXTDZ($A$1,$B71,V$5,$B$1)</f>
        <v>13.302</v>
      </c>
      <c r="W71" s="55">
        <f>_xll.EQNXTDZ($A$1,$B71,W$5,$B$1)</f>
        <v>0</v>
      </c>
      <c r="X71" s="55">
        <f>_xll.EQNXTDZ($A$1,$B71,X$5,$B$1)</f>
        <v>11.648999999999999</v>
      </c>
      <c r="Y71" s="55">
        <f>_xll.EQNXTDZ($A$1,$B71,Y$5,$B$1)</f>
        <v>0</v>
      </c>
      <c r="Z71" s="55">
        <f>_xll.EQNXTDZ($A$1,$B71,Z$5,$B$1)</f>
        <v>12.099</v>
      </c>
      <c r="AA71" s="55">
        <f>_xll.EQNXTDZ($A$1,$B71,AA$5,$B$1)</f>
        <v>0</v>
      </c>
      <c r="AB71" s="55">
        <f>_xll.EQNXTDZ($A$1,$B71,AB$5,$B$1)</f>
        <v>11.923999999999999</v>
      </c>
      <c r="AC71" s="55">
        <f>_xll.EQNXTDZ($A$1,$B71,AC$5,$B$1)</f>
        <v>0</v>
      </c>
      <c r="AD71" s="55">
        <f>_xll.EQNXTDZ($A$1,$B71,AD$5,$B$1)</f>
        <v>11.659000000000001</v>
      </c>
      <c r="AE71" s="55">
        <f>_xll.EQNXTDZ($A$1,$B71,AE$5,$B$1)</f>
        <v>0</v>
      </c>
      <c r="AF71" s="55">
        <f>_xll.EQNXTDZ($A$1,$B71,AF$5,$B$1)</f>
        <v>11.664999999999999</v>
      </c>
      <c r="AG71" s="55">
        <f>_xll.EQNXTDZ($A$1,$B71,AG$5,$B$1)</f>
        <v>0</v>
      </c>
      <c r="AH71" s="55">
        <f>_xll.EQNXTDZ($A$1,$B71,AH$5,$B$1)</f>
        <v>11.180999999999999</v>
      </c>
      <c r="AI71" s="55">
        <f>_xll.EQNXTDZ($A$1,$B71,AI$5,$B$1)</f>
        <v>0</v>
      </c>
      <c r="AJ71" s="55">
        <f>_xll.EQNXTDZ($A$1,$B71,AJ$5,$B$1)</f>
        <v>10.797000000000001</v>
      </c>
      <c r="AK71" s="55">
        <f>_xll.EQNXTDZ($A$1,$B71,AK$5,$B$1)</f>
        <v>0</v>
      </c>
      <c r="AL71" s="55">
        <f>_xll.EQNXTDZ($A$1,$B71,AL$5,$B$1)</f>
        <v>13.398999999999999</v>
      </c>
      <c r="AM71" s="55">
        <f>_xll.EQNXTDZ($A$1,$B71,AM$5,$B$1)</f>
        <v>0</v>
      </c>
      <c r="AN71" s="55">
        <f>_xll.EQNXTDZ($A$1,$B71,AN$5,$B$1)</f>
        <v>13.599</v>
      </c>
      <c r="AO71" s="55">
        <f>_xll.EQNXTDZ($A$1,$B71,AO$5,$B$1)</f>
        <v>0</v>
      </c>
      <c r="AP71" s="55">
        <f>_xll.EQNXTDZ($A$1,$B71,AP$5,$B$1)</f>
        <v>24.46</v>
      </c>
      <c r="AQ71" s="55">
        <f>_xll.EQNXTDZ($A$1,$B71,AQ$5,$B$1)</f>
        <v>0</v>
      </c>
      <c r="AR71" s="55">
        <f>_xll.EQNXTDZ($A$1,$B71,AR$5,$B$1)</f>
        <v>26.693000000000001</v>
      </c>
      <c r="AS71" s="55">
        <f>_xll.EQNXTDZ($A$1,$B71,AS$5,$B$1)</f>
        <v>0</v>
      </c>
      <c r="AT71" s="55">
        <f>_xll.EQNXTDZ($A$1,$B71,AT$5,$B$1)</f>
        <v>29.355</v>
      </c>
      <c r="AU71" s="55">
        <f>_xll.EQNXTDZ($A$1,$B71,AU$5,$B$1)</f>
        <v>0</v>
      </c>
      <c r="AV71" s="55">
        <f>_xll.EQNXTDZ($A$1,$B71,AV$5,$B$1)</f>
        <v>29.795999999999999</v>
      </c>
      <c r="AW71" s="55">
        <f>_xll.EQNXTDZ($A$1,$B71,AW$5,$B$1)</f>
        <v>0</v>
      </c>
      <c r="AX71" s="55">
        <f>_xll.EQNXTDZ($A$1,$B71,AX$5,$B$1)</f>
        <v>43.253</v>
      </c>
      <c r="AY71" s="55">
        <f>_xll.EQNXTDZ($A$1,$B71,AY$5,$B$1)</f>
        <v>0</v>
      </c>
      <c r="AZ71" s="55">
        <f>_xll.EQNXTDZ($A$1,$B71,AZ$5,$B$1)</f>
        <v>48.628999999999998</v>
      </c>
      <c r="BA71" s="55">
        <f>_xll.EQNXTDZ($A$1,$B71,BA$5,$B$1)</f>
        <v>0</v>
      </c>
      <c r="BB71" s="55">
        <f>_xll.EQNXTDZ($A$1,$B71,BB$5,$B$1)</f>
        <v>110.363</v>
      </c>
      <c r="BC71" s="55">
        <f>_xll.EQNXTDZ($A$1,$B71,BC$5,$B$1)</f>
        <v>0</v>
      </c>
      <c r="BD71" s="55">
        <f>_xll.EQNXTDZ($A$1,$B71,BD$5,$B$1)</f>
        <v>130.09800000000001</v>
      </c>
      <c r="BE71" s="55">
        <f>_xll.EQNXTDZ($A$1,$B71,BE$5,$B$1)</f>
        <v>0</v>
      </c>
      <c r="BF71" s="55">
        <f>_xll.EQNXTDZ($A$1,$B71,BF$5,$B$1)</f>
        <v>181.178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0.08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1.7000000000000001E-2</v>
      </c>
      <c r="AK74" s="55">
        <f>_xll.EQNXTDZ($A$1,$B74,AK$5,$B$1)</f>
        <v>0</v>
      </c>
      <c r="AL74" s="55">
        <f>_xll.EQNXTDZ($A$1,$B74,AL$5,$B$1)</f>
        <v>0.73599999999999999</v>
      </c>
      <c r="AM74" s="55">
        <f>_xll.EQNXTDZ($A$1,$B74,AM$5,$B$1)</f>
        <v>0</v>
      </c>
      <c r="AN74" s="55">
        <f>_xll.EQNXTDZ($A$1,$B74,AN$5,$B$1)</f>
        <v>1.3620000000000001</v>
      </c>
      <c r="AO74" s="55">
        <f>_xll.EQNXTDZ($A$1,$B74,AO$5,$B$1)</f>
        <v>0</v>
      </c>
      <c r="AP74" s="55">
        <f>_xll.EQNXTDZ($A$1,$B74,AP$5,$B$1)</f>
        <v>7.008</v>
      </c>
      <c r="AQ74" s="55">
        <f>_xll.EQNXTDZ($A$1,$B74,AQ$5,$B$1)</f>
        <v>0</v>
      </c>
      <c r="AR74" s="55">
        <f>_xll.EQNXTDZ($A$1,$B74,AR$5,$B$1)</f>
        <v>7.1689999999999996</v>
      </c>
      <c r="AS74" s="55">
        <f>_xll.EQNXTDZ($A$1,$B74,AS$5,$B$1)</f>
        <v>0</v>
      </c>
      <c r="AT74" s="55">
        <f>_xll.EQNXTDZ($A$1,$B74,AT$5,$B$1)</f>
        <v>8.6560000000000006</v>
      </c>
      <c r="AU74" s="55">
        <f>_xll.EQNXTDZ($A$1,$B74,AU$5,$B$1)</f>
        <v>0</v>
      </c>
      <c r="AV74" s="55">
        <f>_xll.EQNXTDZ($A$1,$B74,AV$5,$B$1)</f>
        <v>11.65</v>
      </c>
      <c r="AW74" s="55">
        <f>_xll.EQNXTDZ($A$1,$B74,AW$5,$B$1)</f>
        <v>0</v>
      </c>
      <c r="AX74" s="55">
        <f>_xll.EQNXTDZ($A$1,$B74,AX$5,$B$1)</f>
        <v>18.004000000000001</v>
      </c>
      <c r="AY74" s="55">
        <f>_xll.EQNXTDZ($A$1,$B74,AY$5,$B$1)</f>
        <v>0</v>
      </c>
      <c r="AZ74" s="55">
        <f>_xll.EQNXTDZ($A$1,$B74,AZ$5,$B$1)</f>
        <v>25.373999999999999</v>
      </c>
      <c r="BA74" s="55">
        <f>_xll.EQNXTDZ($A$1,$B74,BA$5,$B$1)</f>
        <v>0</v>
      </c>
      <c r="BB74" s="55">
        <f>_xll.EQNXTDZ($A$1,$B74,BB$5,$B$1)</f>
        <v>4.5430000000000001</v>
      </c>
      <c r="BC74" s="55">
        <f>_xll.EQNXTDZ($A$1,$B74,BC$5,$B$1)</f>
        <v>0</v>
      </c>
      <c r="BD74" s="55">
        <f>_xll.EQNXTDZ($A$1,$B74,BD$5,$B$1)</f>
        <v>18.533000000000001</v>
      </c>
      <c r="BE74" s="55">
        <f>_xll.EQNXTDZ($A$1,$B74,BE$5,$B$1)</f>
        <v>0</v>
      </c>
      <c r="BF74" s="55">
        <f>_xll.EQNXTDZ($A$1,$B74,BF$5,$B$1)</f>
        <v>5.9359999999999999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0.81699999999999995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0.186</v>
      </c>
      <c r="E79" s="55">
        <f>_xll.EQNXTDZ($A$1,$B79,E$5,$B$1)</f>
        <v>0</v>
      </c>
      <c r="F79" s="55">
        <f>_xll.EQNXTDZ($A$1,$B79,F$5,$B$1)</f>
        <v>0.21299999999999999</v>
      </c>
      <c r="G79" s="55">
        <f>_xll.EQNXTDZ($A$1,$B79,G$5,$B$1)</f>
        <v>0</v>
      </c>
      <c r="H79" s="55">
        <f>_xll.EQNXTDZ($A$1,$B79,H$5,$B$1)</f>
        <v>0.21299999999999999</v>
      </c>
      <c r="I79" s="55">
        <f>_xll.EQNXTDZ($A$1,$B79,I$5,$B$1)</f>
        <v>0</v>
      </c>
      <c r="J79" s="55">
        <f>_xll.EQNXTDZ($A$1,$B79,J$5,$B$1)</f>
        <v>0.45800000000000002</v>
      </c>
      <c r="K79" s="55">
        <f>_xll.EQNXTDZ($A$1,$B79,K$5,$B$1)</f>
        <v>0</v>
      </c>
      <c r="L79" s="55">
        <f>_xll.EQNXTDZ($A$1,$B79,L$5,$B$1)</f>
        <v>0.47299999999999998</v>
      </c>
      <c r="M79" s="55">
        <f>_xll.EQNXTDZ($A$1,$B79,M$5,$B$1)</f>
        <v>0</v>
      </c>
      <c r="N79" s="55">
        <f>_xll.EQNXTDZ($A$1,$B79,N$5,$B$1)</f>
        <v>0.48799999999999999</v>
      </c>
      <c r="O79" s="55">
        <f>_xll.EQNXTDZ($A$1,$B79,O$5,$B$1)</f>
        <v>0</v>
      </c>
      <c r="P79" s="55">
        <f>_xll.EQNXTDZ($A$1,$B79,P$5,$B$1)</f>
        <v>0.497</v>
      </c>
      <c r="Q79" s="55">
        <f>_xll.EQNXTDZ($A$1,$B79,Q$5,$B$1)</f>
        <v>0</v>
      </c>
      <c r="R79" s="55">
        <f>_xll.EQNXTDZ($A$1,$B79,R$5,$B$1)</f>
        <v>0.40799999999999997</v>
      </c>
      <c r="S79" s="55">
        <f>_xll.EQNXTDZ($A$1,$B79,S$5,$B$1)</f>
        <v>0</v>
      </c>
      <c r="T79" s="55">
        <f>_xll.EQNXTDZ($A$1,$B79,T$5,$B$1)</f>
        <v>0.42299999999999999</v>
      </c>
      <c r="U79" s="55">
        <f>_xll.EQNXTDZ($A$1,$B79,U$5,$B$1)</f>
        <v>0</v>
      </c>
      <c r="V79" s="55">
        <f>_xll.EQNXTDZ($A$1,$B79,V$5,$B$1)</f>
        <v>0.59599999999999997</v>
      </c>
      <c r="W79" s="55">
        <f>_xll.EQNXTDZ($A$1,$B79,W$5,$B$1)</f>
        <v>0</v>
      </c>
      <c r="X79" s="55">
        <f>_xll.EQNXTDZ($A$1,$B79,X$5,$B$1)</f>
        <v>0.85899999999999999</v>
      </c>
      <c r="Y79" s="55">
        <f>_xll.EQNXTDZ($A$1,$B79,Y$5,$B$1)</f>
        <v>0</v>
      </c>
      <c r="Z79" s="55">
        <f>_xll.EQNXTDZ($A$1,$B79,Z$5,$B$1)</f>
        <v>1.395</v>
      </c>
      <c r="AA79" s="55">
        <f>_xll.EQNXTDZ($A$1,$B79,AA$5,$B$1)</f>
        <v>0</v>
      </c>
      <c r="AB79" s="55">
        <f>_xll.EQNXTDZ($A$1,$B79,AB$5,$B$1)</f>
        <v>1.32</v>
      </c>
      <c r="AC79" s="55">
        <f>_xll.EQNXTDZ($A$1,$B79,AC$5,$B$1)</f>
        <v>0</v>
      </c>
      <c r="AD79" s="55">
        <f>_xll.EQNXTDZ($A$1,$B79,AD$5,$B$1)</f>
        <v>1.403</v>
      </c>
      <c r="AE79" s="55">
        <f>_xll.EQNXTDZ($A$1,$B79,AE$5,$B$1)</f>
        <v>0</v>
      </c>
      <c r="AF79" s="55">
        <f>_xll.EQNXTDZ($A$1,$B79,AF$5,$B$1)</f>
        <v>1.4330000000000001</v>
      </c>
      <c r="AG79" s="55">
        <f>_xll.EQNXTDZ($A$1,$B79,AG$5,$B$1)</f>
        <v>0</v>
      </c>
      <c r="AH79" s="55">
        <f>_xll.EQNXTDZ($A$1,$B79,AH$5,$B$1)</f>
        <v>6.3849999999999998</v>
      </c>
      <c r="AI79" s="55">
        <f>_xll.EQNXTDZ($A$1,$B79,AI$5,$B$1)</f>
        <v>0</v>
      </c>
      <c r="AJ79" s="55">
        <f>_xll.EQNXTDZ($A$1,$B79,AJ$5,$B$1)</f>
        <v>5.7549999999999999</v>
      </c>
      <c r="AK79" s="55">
        <f>_xll.EQNXTDZ($A$1,$B79,AK$5,$B$1)</f>
        <v>0</v>
      </c>
      <c r="AL79" s="55">
        <f>_xll.EQNXTDZ($A$1,$B79,AL$5,$B$1)</f>
        <v>7.8250000000000002</v>
      </c>
      <c r="AM79" s="55">
        <f>_xll.EQNXTDZ($A$1,$B79,AM$5,$B$1)</f>
        <v>0</v>
      </c>
      <c r="AN79" s="55">
        <f>_xll.EQNXTDZ($A$1,$B79,AN$5,$B$1)</f>
        <v>2.819</v>
      </c>
      <c r="AO79" s="55">
        <f>_xll.EQNXTDZ($A$1,$B79,AO$5,$B$1)</f>
        <v>0</v>
      </c>
      <c r="AP79" s="55">
        <f>_xll.EQNXTDZ($A$1,$B79,AP$5,$B$1)</f>
        <v>5.9260000000000002</v>
      </c>
      <c r="AQ79" s="55">
        <f>_xll.EQNXTDZ($A$1,$B79,AQ$5,$B$1)</f>
        <v>0</v>
      </c>
      <c r="AR79" s="55">
        <f>_xll.EQNXTDZ($A$1,$B79,AR$5,$B$1)</f>
        <v>2.5339999999999998</v>
      </c>
      <c r="AS79" s="55">
        <f>_xll.EQNXTDZ($A$1,$B79,AS$5,$B$1)</f>
        <v>0</v>
      </c>
      <c r="AT79" s="55">
        <f>_xll.EQNXTDZ($A$1,$B79,AT$5,$B$1)</f>
        <v>3.6930000000000001</v>
      </c>
      <c r="AU79" s="55">
        <f>_xll.EQNXTDZ($A$1,$B79,AU$5,$B$1)</f>
        <v>0</v>
      </c>
      <c r="AV79" s="55">
        <f>_xll.EQNXTDZ($A$1,$B79,AV$5,$B$1)</f>
        <v>2.516</v>
      </c>
      <c r="AW79" s="55">
        <f>_xll.EQNXTDZ($A$1,$B79,AW$5,$B$1)</f>
        <v>0</v>
      </c>
      <c r="AX79" s="55">
        <f>_xll.EQNXTDZ($A$1,$B79,AX$5,$B$1)</f>
        <v>8.0329999999999995</v>
      </c>
      <c r="AY79" s="55">
        <f>_xll.EQNXTDZ($A$1,$B79,AY$5,$B$1)</f>
        <v>0</v>
      </c>
      <c r="AZ79" s="55">
        <f>_xll.EQNXTDZ($A$1,$B79,AZ$5,$B$1)</f>
        <v>6.0529999999999999</v>
      </c>
      <c r="BA79" s="55">
        <f>_xll.EQNXTDZ($A$1,$B79,BA$5,$B$1)</f>
        <v>0</v>
      </c>
      <c r="BB79" s="55">
        <f>_xll.EQNXTDZ($A$1,$B79,BB$5,$B$1)</f>
        <v>7.2519999999999998</v>
      </c>
      <c r="BC79" s="55">
        <f>_xll.EQNXTDZ($A$1,$B79,BC$5,$B$1)</f>
        <v>0</v>
      </c>
      <c r="BD79" s="55">
        <f>_xll.EQNXTDZ($A$1,$B79,BD$5,$B$1)</f>
        <v>2.5499999999999998</v>
      </c>
      <c r="BE79" s="55">
        <f>_xll.EQNXTDZ($A$1,$B79,BE$5,$B$1)</f>
        <v>0</v>
      </c>
      <c r="BF79" s="55">
        <f>_xll.EQNXTDZ($A$1,$B79,BF$5,$B$1)</f>
        <v>4.6429999999999998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0.34300000000000003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13.340999999999999</v>
      </c>
      <c r="E81" s="55">
        <f>_xll.EQNXTDZ($A$1,$B81,E$5,$B$1)</f>
        <v>0</v>
      </c>
      <c r="F81" s="55">
        <f>_xll.EQNXTDZ($A$1,$B81,F$5,$B$1)</f>
        <v>1.077</v>
      </c>
      <c r="G81" s="55">
        <f>_xll.EQNXTDZ($A$1,$B81,G$5,$B$1)</f>
        <v>0</v>
      </c>
      <c r="H81" s="55">
        <f>_xll.EQNXTDZ($A$1,$B81,H$5,$B$1)</f>
        <v>4.62</v>
      </c>
      <c r="I81" s="55">
        <f>_xll.EQNXTDZ($A$1,$B81,I$5,$B$1)</f>
        <v>0</v>
      </c>
      <c r="J81" s="55">
        <f>_xll.EQNXTDZ($A$1,$B81,J$5,$B$1)</f>
        <v>12.103999999999999</v>
      </c>
      <c r="K81" s="55">
        <f>_xll.EQNXTDZ($A$1,$B81,K$5,$B$1)</f>
        <v>0</v>
      </c>
      <c r="L81" s="55">
        <f>_xll.EQNXTDZ($A$1,$B81,L$5,$B$1)</f>
        <v>8.8350000000000009</v>
      </c>
      <c r="M81" s="55">
        <f>_xll.EQNXTDZ($A$1,$B81,M$5,$B$1)</f>
        <v>0</v>
      </c>
      <c r="N81" s="55">
        <f>_xll.EQNXTDZ($A$1,$B81,N$5,$B$1)</f>
        <v>10.587999999999999</v>
      </c>
      <c r="O81" s="55">
        <f>_xll.EQNXTDZ($A$1,$B81,O$5,$B$1)</f>
        <v>0</v>
      </c>
      <c r="P81" s="55">
        <f>_xll.EQNXTDZ($A$1,$B81,P$5,$B$1)</f>
        <v>15.718</v>
      </c>
      <c r="Q81" s="55">
        <f>_xll.EQNXTDZ($A$1,$B81,Q$5,$B$1)</f>
        <v>0</v>
      </c>
      <c r="R81" s="55">
        <f>_xll.EQNXTDZ($A$1,$B81,R$5,$B$1)</f>
        <v>12.443</v>
      </c>
      <c r="S81" s="55">
        <f>_xll.EQNXTDZ($A$1,$B81,S$5,$B$1)</f>
        <v>0</v>
      </c>
      <c r="T81" s="55">
        <f>_xll.EQNXTDZ($A$1,$B81,T$5,$B$1)</f>
        <v>9.1739999999999995</v>
      </c>
      <c r="U81" s="55">
        <f>_xll.EQNXTDZ($A$1,$B81,U$5,$B$1)</f>
        <v>0</v>
      </c>
      <c r="V81" s="55">
        <f>_xll.EQNXTDZ($A$1,$B81,V$5,$B$1)</f>
        <v>7.6980000000000004</v>
      </c>
      <c r="W81" s="55">
        <f>_xll.EQNXTDZ($A$1,$B81,W$5,$B$1)</f>
        <v>0</v>
      </c>
      <c r="X81" s="55">
        <f>_xll.EQNXTDZ($A$1,$B81,X$5,$B$1)</f>
        <v>5.5170000000000003</v>
      </c>
      <c r="Y81" s="55">
        <f>_xll.EQNXTDZ($A$1,$B81,Y$5,$B$1)</f>
        <v>0</v>
      </c>
      <c r="Z81" s="55">
        <f>_xll.EQNXTDZ($A$1,$B81,Z$5,$B$1)</f>
        <v>6.673</v>
      </c>
      <c r="AA81" s="55">
        <f>_xll.EQNXTDZ($A$1,$B81,AA$5,$B$1)</f>
        <v>0</v>
      </c>
      <c r="AB81" s="55">
        <f>_xll.EQNXTDZ($A$1,$B81,AB$5,$B$1)</f>
        <v>3.827</v>
      </c>
      <c r="AC81" s="55">
        <f>_xll.EQNXTDZ($A$1,$B81,AC$5,$B$1)</f>
        <v>0</v>
      </c>
      <c r="AD81" s="55">
        <f>_xll.EQNXTDZ($A$1,$B81,AD$5,$B$1)</f>
        <v>2.4420000000000002</v>
      </c>
      <c r="AE81" s="55">
        <f>_xll.EQNXTDZ($A$1,$B81,AE$5,$B$1)</f>
        <v>0</v>
      </c>
      <c r="AF81" s="55">
        <f>_xll.EQNXTDZ($A$1,$B81,AF$5,$B$1)</f>
        <v>6.06</v>
      </c>
      <c r="AG81" s="55">
        <f>_xll.EQNXTDZ($A$1,$B81,AG$5,$B$1)</f>
        <v>0</v>
      </c>
      <c r="AH81" s="55">
        <f>_xll.EQNXTDZ($A$1,$B81,AH$5,$B$1)</f>
        <v>5.0890000000000004</v>
      </c>
      <c r="AI81" s="55">
        <f>_xll.EQNXTDZ($A$1,$B81,AI$5,$B$1)</f>
        <v>0</v>
      </c>
      <c r="AJ81" s="55">
        <f>_xll.EQNXTDZ($A$1,$B81,AJ$5,$B$1)</f>
        <v>16.324999999999999</v>
      </c>
      <c r="AK81" s="55">
        <f>_xll.EQNXTDZ($A$1,$B81,AK$5,$B$1)</f>
        <v>0</v>
      </c>
      <c r="AL81" s="55">
        <f>_xll.EQNXTDZ($A$1,$B81,AL$5,$B$1)</f>
        <v>2.5139999999999998</v>
      </c>
      <c r="AM81" s="55">
        <f>_xll.EQNXTDZ($A$1,$B81,AM$5,$B$1)</f>
        <v>0</v>
      </c>
      <c r="AN81" s="55">
        <f>_xll.EQNXTDZ($A$1,$B81,AN$5,$B$1)</f>
        <v>15.343999999999999</v>
      </c>
      <c r="AO81" s="55">
        <f>_xll.EQNXTDZ($A$1,$B81,AO$5,$B$1)</f>
        <v>0</v>
      </c>
      <c r="AP81" s="55">
        <f>_xll.EQNXTDZ($A$1,$B81,AP$5,$B$1)</f>
        <v>16.77</v>
      </c>
      <c r="AQ81" s="55">
        <f>_xll.EQNXTDZ($A$1,$B81,AQ$5,$B$1)</f>
        <v>0</v>
      </c>
      <c r="AR81" s="55">
        <f>_xll.EQNXTDZ($A$1,$B81,AR$5,$B$1)</f>
        <v>37.094000000000001</v>
      </c>
      <c r="AS81" s="55">
        <f>_xll.EQNXTDZ($A$1,$B81,AS$5,$B$1)</f>
        <v>0</v>
      </c>
      <c r="AT81" s="55">
        <f>_xll.EQNXTDZ($A$1,$B81,AT$5,$B$1)</f>
        <v>44.598999999999997</v>
      </c>
      <c r="AU81" s="55">
        <f>_xll.EQNXTDZ($A$1,$B81,AU$5,$B$1)</f>
        <v>0</v>
      </c>
      <c r="AV81" s="55">
        <f>_xll.EQNXTDZ($A$1,$B81,AV$5,$B$1)</f>
        <v>24.762</v>
      </c>
      <c r="AW81" s="55">
        <f>_xll.EQNXTDZ($A$1,$B81,AW$5,$B$1)</f>
        <v>0</v>
      </c>
      <c r="AX81" s="55">
        <f>_xll.EQNXTDZ($A$1,$B81,AX$5,$B$1)</f>
        <v>46.039000000000001</v>
      </c>
      <c r="AY81" s="55">
        <f>_xll.EQNXTDZ($A$1,$B81,AY$5,$B$1)</f>
        <v>0</v>
      </c>
      <c r="AZ81" s="55">
        <f>_xll.EQNXTDZ($A$1,$B81,AZ$5,$B$1)</f>
        <v>59.747</v>
      </c>
      <c r="BA81" s="55">
        <f>_xll.EQNXTDZ($A$1,$B81,BA$5,$B$1)</f>
        <v>0</v>
      </c>
      <c r="BB81" s="55">
        <f>_xll.EQNXTDZ($A$1,$B81,BB$5,$B$1)</f>
        <v>60.451999999999998</v>
      </c>
      <c r="BC81" s="55">
        <f>_xll.EQNXTDZ($A$1,$B81,BC$5,$B$1)</f>
        <v>0</v>
      </c>
      <c r="BD81" s="55">
        <f>_xll.EQNXTDZ($A$1,$B81,BD$5,$B$1)</f>
        <v>55.220999999999997</v>
      </c>
      <c r="BE81" s="55">
        <f>_xll.EQNXTDZ($A$1,$B81,BE$5,$B$1)</f>
        <v>0</v>
      </c>
      <c r="BF81" s="55">
        <f>_xll.EQNXTDZ($A$1,$B81,BF$5,$B$1)</f>
        <v>93.323999999999998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4.1909999999999998</v>
      </c>
      <c r="E82" s="55">
        <f>_xll.EQNXTDZ($A$1,$B82,E$5,$B$1)</f>
        <v>0</v>
      </c>
      <c r="F82" s="55">
        <f>_xll.EQNXTDZ($A$1,$B82,F$5,$B$1)</f>
        <v>11.662000000000001</v>
      </c>
      <c r="G82" s="55">
        <f>_xll.EQNXTDZ($A$1,$B82,G$5,$B$1)</f>
        <v>0</v>
      </c>
      <c r="H82" s="55">
        <f>_xll.EQNXTDZ($A$1,$B82,H$5,$B$1)</f>
        <v>3.915</v>
      </c>
      <c r="I82" s="55">
        <f>_xll.EQNXTDZ($A$1,$B82,I$5,$B$1)</f>
        <v>0</v>
      </c>
      <c r="J82" s="55">
        <f>_xll.EQNXTDZ($A$1,$B82,J$5,$B$1)</f>
        <v>4.3129999999999997</v>
      </c>
      <c r="K82" s="55">
        <f>_xll.EQNXTDZ($A$1,$B82,K$5,$B$1)</f>
        <v>0</v>
      </c>
      <c r="L82" s="55">
        <f>_xll.EQNXTDZ($A$1,$B82,L$5,$B$1)</f>
        <v>6.6950000000000003</v>
      </c>
      <c r="M82" s="55">
        <f>_xll.EQNXTDZ($A$1,$B82,M$5,$B$1)</f>
        <v>0</v>
      </c>
      <c r="N82" s="55">
        <f>_xll.EQNXTDZ($A$1,$B82,N$5,$B$1)</f>
        <v>4.6120000000000001</v>
      </c>
      <c r="O82" s="55">
        <f>_xll.EQNXTDZ($A$1,$B82,O$5,$B$1)</f>
        <v>0</v>
      </c>
      <c r="P82" s="55">
        <f>_xll.EQNXTDZ($A$1,$B82,P$5,$B$1)</f>
        <v>4.4130000000000003</v>
      </c>
      <c r="Q82" s="55">
        <f>_xll.EQNXTDZ($A$1,$B82,Q$5,$B$1)</f>
        <v>0</v>
      </c>
      <c r="R82" s="55">
        <f>_xll.EQNXTDZ($A$1,$B82,R$5,$B$1)</f>
        <v>4.0919999999999996</v>
      </c>
      <c r="S82" s="55">
        <f>_xll.EQNXTDZ($A$1,$B82,S$5,$B$1)</f>
        <v>0</v>
      </c>
      <c r="T82" s="55">
        <f>_xll.EQNXTDZ($A$1,$B82,T$5,$B$1)</f>
        <v>6.4509999999999996</v>
      </c>
      <c r="U82" s="55">
        <f>_xll.EQNXTDZ($A$1,$B82,U$5,$B$1)</f>
        <v>0</v>
      </c>
      <c r="V82" s="55">
        <f>_xll.EQNXTDZ($A$1,$B82,V$5,$B$1)</f>
        <v>9.625</v>
      </c>
      <c r="W82" s="55">
        <f>_xll.EQNXTDZ($A$1,$B82,W$5,$B$1)</f>
        <v>0</v>
      </c>
      <c r="X82" s="55">
        <f>_xll.EQNXTDZ($A$1,$B82,X$5,$B$1)</f>
        <v>20.864000000000001</v>
      </c>
      <c r="Y82" s="55">
        <f>_xll.EQNXTDZ($A$1,$B82,Y$5,$B$1)</f>
        <v>0</v>
      </c>
      <c r="Z82" s="55">
        <f>_xll.EQNXTDZ($A$1,$B82,Z$5,$B$1)</f>
        <v>8.9160000000000004</v>
      </c>
      <c r="AA82" s="55">
        <f>_xll.EQNXTDZ($A$1,$B82,AA$5,$B$1)</f>
        <v>0</v>
      </c>
      <c r="AB82" s="55">
        <f>_xll.EQNXTDZ($A$1,$B82,AB$5,$B$1)</f>
        <v>7.2889999999999997</v>
      </c>
      <c r="AC82" s="55">
        <f>_xll.EQNXTDZ($A$1,$B82,AC$5,$B$1)</f>
        <v>0</v>
      </c>
      <c r="AD82" s="55">
        <f>_xll.EQNXTDZ($A$1,$B82,AD$5,$B$1)</f>
        <v>19.259</v>
      </c>
      <c r="AE82" s="55">
        <f>_xll.EQNXTDZ($A$1,$B82,AE$5,$B$1)</f>
        <v>0</v>
      </c>
      <c r="AF82" s="55">
        <f>_xll.EQNXTDZ($A$1,$B82,AF$5,$B$1)</f>
        <v>10.273999999999999</v>
      </c>
      <c r="AG82" s="55">
        <f>_xll.EQNXTDZ($A$1,$B82,AG$5,$B$1)</f>
        <v>0</v>
      </c>
      <c r="AH82" s="55">
        <f>_xll.EQNXTDZ($A$1,$B82,AH$5,$B$1)</f>
        <v>29.65</v>
      </c>
      <c r="AI82" s="55">
        <f>_xll.EQNXTDZ($A$1,$B82,AI$5,$B$1)</f>
        <v>0</v>
      </c>
      <c r="AJ82" s="55">
        <f>_xll.EQNXTDZ($A$1,$B82,AJ$5,$B$1)</f>
        <v>12.603999999999999</v>
      </c>
      <c r="AK82" s="55">
        <f>_xll.EQNXTDZ($A$1,$B82,AK$5,$B$1)</f>
        <v>0</v>
      </c>
      <c r="AL82" s="55">
        <f>_xll.EQNXTDZ($A$1,$B82,AL$5,$B$1)</f>
        <v>13.127000000000001</v>
      </c>
      <c r="AM82" s="55">
        <f>_xll.EQNXTDZ($A$1,$B82,AM$5,$B$1)</f>
        <v>0</v>
      </c>
      <c r="AN82" s="55">
        <f>_xll.EQNXTDZ($A$1,$B82,AN$5,$B$1)</f>
        <v>20.526</v>
      </c>
      <c r="AO82" s="55">
        <f>_xll.EQNXTDZ($A$1,$B82,AO$5,$B$1)</f>
        <v>0</v>
      </c>
      <c r="AP82" s="55">
        <f>_xll.EQNXTDZ($A$1,$B82,AP$5,$B$1)</f>
        <v>36.156999999999996</v>
      </c>
      <c r="AQ82" s="55">
        <f>_xll.EQNXTDZ($A$1,$B82,AQ$5,$B$1)</f>
        <v>0</v>
      </c>
      <c r="AR82" s="55">
        <f>_xll.EQNXTDZ($A$1,$B82,AR$5,$B$1)</f>
        <v>36.859000000000002</v>
      </c>
      <c r="AS82" s="55">
        <f>_xll.EQNXTDZ($A$1,$B82,AS$5,$B$1)</f>
        <v>0</v>
      </c>
      <c r="AT82" s="55">
        <f>_xll.EQNXTDZ($A$1,$B82,AT$5,$B$1)</f>
        <v>39.838000000000001</v>
      </c>
      <c r="AU82" s="55">
        <f>_xll.EQNXTDZ($A$1,$B82,AU$5,$B$1)</f>
        <v>0</v>
      </c>
      <c r="AV82" s="55">
        <f>_xll.EQNXTDZ($A$1,$B82,AV$5,$B$1)</f>
        <v>78.718999999999994</v>
      </c>
      <c r="AW82" s="55">
        <f>_xll.EQNXTDZ($A$1,$B82,AW$5,$B$1)</f>
        <v>0</v>
      </c>
      <c r="AX82" s="55">
        <f>_xll.EQNXTDZ($A$1,$B82,AX$5,$B$1)</f>
        <v>64.176000000000002</v>
      </c>
      <c r="AY82" s="55">
        <f>_xll.EQNXTDZ($A$1,$B82,AY$5,$B$1)</f>
        <v>0</v>
      </c>
      <c r="AZ82" s="55">
        <f>_xll.EQNXTDZ($A$1,$B82,AZ$5,$B$1)</f>
        <v>92.911000000000001</v>
      </c>
      <c r="BA82" s="55">
        <f>_xll.EQNXTDZ($A$1,$B82,BA$5,$B$1)</f>
        <v>0</v>
      </c>
      <c r="BB82" s="55">
        <f>_xll.EQNXTDZ($A$1,$B82,BB$5,$B$1)</f>
        <v>71.239000000000004</v>
      </c>
      <c r="BC82" s="55">
        <f>_xll.EQNXTDZ($A$1,$B82,BC$5,$B$1)</f>
        <v>0</v>
      </c>
      <c r="BD82" s="55">
        <f>_xll.EQNXTDZ($A$1,$B82,BD$5,$B$1)</f>
        <v>104.33199999999999</v>
      </c>
      <c r="BE82" s="55">
        <f>_xll.EQNXTDZ($A$1,$B82,BE$5,$B$1)</f>
        <v>0</v>
      </c>
      <c r="BF82" s="55">
        <f>_xll.EQNXTDZ($A$1,$B82,BF$5,$B$1)</f>
        <v>71.709000000000003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0.36399999999999999</v>
      </c>
      <c r="E83" s="55">
        <f>_xll.EQNXTDZ($A$1,$B83,E$5,$B$1)</f>
        <v>0</v>
      </c>
      <c r="F83" s="55">
        <f>_xll.EQNXTDZ($A$1,$B83,F$5,$B$1)</f>
        <v>1.3049999999999999</v>
      </c>
      <c r="G83" s="55">
        <f>_xll.EQNXTDZ($A$1,$B83,G$5,$B$1)</f>
        <v>0</v>
      </c>
      <c r="H83" s="55">
        <f>_xll.EQNXTDZ($A$1,$B83,H$5,$B$1)</f>
        <v>1.407</v>
      </c>
      <c r="I83" s="55">
        <f>_xll.EQNXTDZ($A$1,$B83,I$5,$B$1)</f>
        <v>0</v>
      </c>
      <c r="J83" s="55">
        <f>_xll.EQNXTDZ($A$1,$B83,J$5,$B$1)</f>
        <v>0.4</v>
      </c>
      <c r="K83" s="55">
        <f>_xll.EQNXTDZ($A$1,$B83,K$5,$B$1)</f>
        <v>0</v>
      </c>
      <c r="L83" s="55">
        <f>_xll.EQNXTDZ($A$1,$B83,L$5,$B$1)</f>
        <v>3.0419999999999998</v>
      </c>
      <c r="M83" s="55">
        <f>_xll.EQNXTDZ($A$1,$B83,M$5,$B$1)</f>
        <v>0</v>
      </c>
      <c r="N83" s="55">
        <f>_xll.EQNXTDZ($A$1,$B83,N$5,$B$1)</f>
        <v>0.45</v>
      </c>
      <c r="O83" s="55">
        <f>_xll.EQNXTDZ($A$1,$B83,O$5,$B$1)</f>
        <v>0</v>
      </c>
      <c r="P83" s="55">
        <f>_xll.EQNXTDZ($A$1,$B83,P$5,$B$1)</f>
        <v>1.0069999999999999</v>
      </c>
      <c r="Q83" s="55">
        <f>_xll.EQNXTDZ($A$1,$B83,Q$5,$B$1)</f>
        <v>0</v>
      </c>
      <c r="R83" s="55">
        <f>_xll.EQNXTDZ($A$1,$B83,R$5,$B$1)</f>
        <v>0.109</v>
      </c>
      <c r="S83" s="55">
        <f>_xll.EQNXTDZ($A$1,$B83,S$5,$B$1)</f>
        <v>0</v>
      </c>
      <c r="T83" s="55">
        <f>_xll.EQNXTDZ($A$1,$B83,T$5,$B$1)</f>
        <v>0.51300000000000001</v>
      </c>
      <c r="U83" s="55">
        <f>_xll.EQNXTDZ($A$1,$B83,U$5,$B$1)</f>
        <v>0</v>
      </c>
      <c r="V83" s="55">
        <f>_xll.EQNXTDZ($A$1,$B83,V$5,$B$1)</f>
        <v>0.32</v>
      </c>
      <c r="W83" s="55">
        <f>_xll.EQNXTDZ($A$1,$B83,W$5,$B$1)</f>
        <v>0</v>
      </c>
      <c r="X83" s="55">
        <f>_xll.EQNXTDZ($A$1,$B83,X$5,$B$1)</f>
        <v>2.7759999999999998</v>
      </c>
      <c r="Y83" s="55">
        <f>_xll.EQNXTDZ($A$1,$B83,Y$5,$B$1)</f>
        <v>0</v>
      </c>
      <c r="Z83" s="55">
        <f>_xll.EQNXTDZ($A$1,$B83,Z$5,$B$1)</f>
        <v>10.964</v>
      </c>
      <c r="AA83" s="55">
        <f>_xll.EQNXTDZ($A$1,$B83,AA$5,$B$1)</f>
        <v>0</v>
      </c>
      <c r="AB83" s="55">
        <f>_xll.EQNXTDZ($A$1,$B83,AB$5,$B$1)</f>
        <v>15.704000000000001</v>
      </c>
      <c r="AC83" s="55">
        <f>_xll.EQNXTDZ($A$1,$B83,AC$5,$B$1)</f>
        <v>0</v>
      </c>
      <c r="AD83" s="55">
        <f>_xll.EQNXTDZ($A$1,$B83,AD$5,$B$1)</f>
        <v>10.101000000000001</v>
      </c>
      <c r="AE83" s="55">
        <f>_xll.EQNXTDZ($A$1,$B83,AE$5,$B$1)</f>
        <v>0</v>
      </c>
      <c r="AF83" s="55">
        <f>_xll.EQNXTDZ($A$1,$B83,AF$5,$B$1)</f>
        <v>17.321999999999999</v>
      </c>
      <c r="AG83" s="55">
        <f>_xll.EQNXTDZ($A$1,$B83,AG$5,$B$1)</f>
        <v>0</v>
      </c>
      <c r="AH83" s="55">
        <f>_xll.EQNXTDZ($A$1,$B83,AH$5,$B$1)</f>
        <v>7.9240000000000004</v>
      </c>
      <c r="AI83" s="55">
        <f>_xll.EQNXTDZ($A$1,$B83,AI$5,$B$1)</f>
        <v>0</v>
      </c>
      <c r="AJ83" s="55">
        <f>_xll.EQNXTDZ($A$1,$B83,AJ$5,$B$1)</f>
        <v>18.928000000000001</v>
      </c>
      <c r="AK83" s="55">
        <f>_xll.EQNXTDZ($A$1,$B83,AK$5,$B$1)</f>
        <v>0</v>
      </c>
      <c r="AL83" s="55">
        <f>_xll.EQNXTDZ($A$1,$B83,AL$5,$B$1)</f>
        <v>42.970999999999997</v>
      </c>
      <c r="AM83" s="55">
        <f>_xll.EQNXTDZ($A$1,$B83,AM$5,$B$1)</f>
        <v>0</v>
      </c>
      <c r="AN83" s="55">
        <f>_xll.EQNXTDZ($A$1,$B83,AN$5,$B$1)</f>
        <v>25.989000000000001</v>
      </c>
      <c r="AO83" s="55">
        <f>_xll.EQNXTDZ($A$1,$B83,AO$5,$B$1)</f>
        <v>0</v>
      </c>
      <c r="AP83" s="55">
        <f>_xll.EQNXTDZ($A$1,$B83,AP$5,$B$1)</f>
        <v>1.333</v>
      </c>
      <c r="AQ83" s="55">
        <f>_xll.EQNXTDZ($A$1,$B83,AQ$5,$B$1)</f>
        <v>0</v>
      </c>
      <c r="AR83" s="55">
        <f>_xll.EQNXTDZ($A$1,$B83,AR$5,$B$1)</f>
        <v>6.8380000000000001</v>
      </c>
      <c r="AS83" s="55">
        <f>_xll.EQNXTDZ($A$1,$B83,AS$5,$B$1)</f>
        <v>0</v>
      </c>
      <c r="AT83" s="55">
        <f>_xll.EQNXTDZ($A$1,$B83,AT$5,$B$1)</f>
        <v>1.252</v>
      </c>
      <c r="AU83" s="55">
        <f>_xll.EQNXTDZ($A$1,$B83,AU$5,$B$1)</f>
        <v>0</v>
      </c>
      <c r="AV83" s="55">
        <f>_xll.EQNXTDZ($A$1,$B83,AV$5,$B$1)</f>
        <v>6.681</v>
      </c>
      <c r="AW83" s="55">
        <f>_xll.EQNXTDZ($A$1,$B83,AW$5,$B$1)</f>
        <v>0</v>
      </c>
      <c r="AX83" s="55">
        <f>_xll.EQNXTDZ($A$1,$B83,AX$5,$B$1)</f>
        <v>13.286</v>
      </c>
      <c r="AY83" s="55">
        <f>_xll.EQNXTDZ($A$1,$B83,AY$5,$B$1)</f>
        <v>0</v>
      </c>
      <c r="AZ83" s="55">
        <f>_xll.EQNXTDZ($A$1,$B83,AZ$5,$B$1)</f>
        <v>8.5380000000000003</v>
      </c>
      <c r="BA83" s="55">
        <f>_xll.EQNXTDZ($A$1,$B83,BA$5,$B$1)</f>
        <v>0</v>
      </c>
      <c r="BB83" s="55">
        <f>_xll.EQNXTDZ($A$1,$B83,BB$5,$B$1)</f>
        <v>7.7670000000000003</v>
      </c>
      <c r="BC83" s="55">
        <f>_xll.EQNXTDZ($A$1,$B83,BC$5,$B$1)</f>
        <v>0</v>
      </c>
      <c r="BD83" s="55">
        <f>_xll.EQNXTDZ($A$1,$B83,BD$5,$B$1)</f>
        <v>49.563000000000002</v>
      </c>
      <c r="BE83" s="55">
        <f>_xll.EQNXTDZ($A$1,$B83,BE$5,$B$1)</f>
        <v>0</v>
      </c>
      <c r="BF83" s="55">
        <f>_xll.EQNXTDZ($A$1,$B83,BF$5,$B$1)</f>
        <v>11.048999999999999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0.40300000000000002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0.34399999999999997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0.82499999999999996</v>
      </c>
      <c r="W84" s="55">
        <f>_xll.EQNXTDZ($A$1,$B84,W$5,$B$1)</f>
        <v>0</v>
      </c>
      <c r="X84" s="55">
        <f>_xll.EQNXTDZ($A$1,$B84,X$5,$B$1)</f>
        <v>4.8330000000000002</v>
      </c>
      <c r="Y84" s="55">
        <f>_xll.EQNXTDZ($A$1,$B84,Y$5,$B$1)</f>
        <v>0</v>
      </c>
      <c r="Z84" s="55">
        <f>_xll.EQNXTDZ($A$1,$B84,Z$5,$B$1)</f>
        <v>2.8969999999999998</v>
      </c>
      <c r="AA84" s="55">
        <f>_xll.EQNXTDZ($A$1,$B84,AA$5,$B$1)</f>
        <v>0</v>
      </c>
      <c r="AB84" s="55">
        <f>_xll.EQNXTDZ($A$1,$B84,AB$5,$B$1)</f>
        <v>2.4980000000000002</v>
      </c>
      <c r="AC84" s="55">
        <f>_xll.EQNXTDZ($A$1,$B84,AC$5,$B$1)</f>
        <v>0</v>
      </c>
      <c r="AD84" s="55">
        <f>_xll.EQNXTDZ($A$1,$B84,AD$5,$B$1)</f>
        <v>2.3340000000000001</v>
      </c>
      <c r="AE84" s="55">
        <f>_xll.EQNXTDZ($A$1,$B84,AE$5,$B$1)</f>
        <v>0</v>
      </c>
      <c r="AF84" s="55">
        <f>_xll.EQNXTDZ($A$1,$B84,AF$5,$B$1)</f>
        <v>3.19</v>
      </c>
      <c r="AG84" s="55">
        <f>_xll.EQNXTDZ($A$1,$B84,AG$5,$B$1)</f>
        <v>0</v>
      </c>
      <c r="AH84" s="55">
        <f>_xll.EQNXTDZ($A$1,$B84,AH$5,$B$1)</f>
        <v>6.657</v>
      </c>
      <c r="AI84" s="55">
        <f>_xll.EQNXTDZ($A$1,$B84,AI$5,$B$1)</f>
        <v>0</v>
      </c>
      <c r="AJ84" s="55">
        <f>_xll.EQNXTDZ($A$1,$B84,AJ$5,$B$1)</f>
        <v>7.4820000000000002</v>
      </c>
      <c r="AK84" s="55">
        <f>_xll.EQNXTDZ($A$1,$B84,AK$5,$B$1)</f>
        <v>0</v>
      </c>
      <c r="AL84" s="55">
        <f>_xll.EQNXTDZ($A$1,$B84,AL$5,$B$1)</f>
        <v>6.1929999999999996</v>
      </c>
      <c r="AM84" s="55">
        <f>_xll.EQNXTDZ($A$1,$B84,AM$5,$B$1)</f>
        <v>0</v>
      </c>
      <c r="AN84" s="55">
        <f>_xll.EQNXTDZ($A$1,$B84,AN$5,$B$1)</f>
        <v>16.513000000000002</v>
      </c>
      <c r="AO84" s="55">
        <f>_xll.EQNXTDZ($A$1,$B84,AO$5,$B$1)</f>
        <v>0</v>
      </c>
      <c r="AP84" s="55">
        <f>_xll.EQNXTDZ($A$1,$B84,AP$5,$B$1)</f>
        <v>17.341999999999999</v>
      </c>
      <c r="AQ84" s="55">
        <f>_xll.EQNXTDZ($A$1,$B84,AQ$5,$B$1)</f>
        <v>0</v>
      </c>
      <c r="AR84" s="55">
        <f>_xll.EQNXTDZ($A$1,$B84,AR$5,$B$1)</f>
        <v>24.969000000000001</v>
      </c>
      <c r="AS84" s="55">
        <f>_xll.EQNXTDZ($A$1,$B84,AS$5,$B$1)</f>
        <v>0</v>
      </c>
      <c r="AT84" s="55">
        <f>_xll.EQNXTDZ($A$1,$B84,AT$5,$B$1)</f>
        <v>22.077999999999999</v>
      </c>
      <c r="AU84" s="55">
        <f>_xll.EQNXTDZ($A$1,$B84,AU$5,$B$1)</f>
        <v>0</v>
      </c>
      <c r="AV84" s="55">
        <f>_xll.EQNXTDZ($A$1,$B84,AV$5,$B$1)</f>
        <v>23.556999999999999</v>
      </c>
      <c r="AW84" s="55">
        <f>_xll.EQNXTDZ($A$1,$B84,AW$5,$B$1)</f>
        <v>0</v>
      </c>
      <c r="AX84" s="55">
        <f>_xll.EQNXTDZ($A$1,$B84,AX$5,$B$1)</f>
        <v>22.809000000000001</v>
      </c>
      <c r="AY84" s="55">
        <f>_xll.EQNXTDZ($A$1,$B84,AY$5,$B$1)</f>
        <v>0</v>
      </c>
      <c r="AZ84" s="55">
        <f>_xll.EQNXTDZ($A$1,$B84,AZ$5,$B$1)</f>
        <v>27.687000000000001</v>
      </c>
      <c r="BA84" s="55">
        <f>_xll.EQNXTDZ($A$1,$B84,BA$5,$B$1)</f>
        <v>0</v>
      </c>
      <c r="BB84" s="55">
        <f>_xll.EQNXTDZ($A$1,$B84,BB$5,$B$1)</f>
        <v>27.98</v>
      </c>
      <c r="BC84" s="55">
        <f>_xll.EQNXTDZ($A$1,$B84,BC$5,$B$1)</f>
        <v>0</v>
      </c>
      <c r="BD84" s="55">
        <f>_xll.EQNXTDZ($A$1,$B84,BD$5,$B$1)</f>
        <v>28.154</v>
      </c>
      <c r="BE84" s="55">
        <f>_xll.EQNXTDZ($A$1,$B84,BE$5,$B$1)</f>
        <v>0</v>
      </c>
      <c r="BF84" s="55">
        <f>_xll.EQNXTDZ($A$1,$B84,BF$5,$B$1)</f>
        <v>42.003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3.01</v>
      </c>
      <c r="E85" s="55">
        <f>_xll.EQNXTDZ($A$1,$B85,E$5,$B$1)</f>
        <v>0</v>
      </c>
      <c r="F85" s="55">
        <f>_xll.EQNXTDZ($A$1,$B85,F$5,$B$1)</f>
        <v>2.02</v>
      </c>
      <c r="G85" s="55">
        <f>_xll.EQNXTDZ($A$1,$B85,G$5,$B$1)</f>
        <v>0</v>
      </c>
      <c r="H85" s="55">
        <f>_xll.EQNXTDZ($A$1,$B85,H$5,$B$1)</f>
        <v>1.63</v>
      </c>
      <c r="I85" s="55">
        <f>_xll.EQNXTDZ($A$1,$B85,I$5,$B$1)</f>
        <v>0</v>
      </c>
      <c r="J85" s="55">
        <f>_xll.EQNXTDZ($A$1,$B85,J$5,$B$1)</f>
        <v>0.75900000000000001</v>
      </c>
      <c r="K85" s="55">
        <f>_xll.EQNXTDZ($A$1,$B85,K$5,$B$1)</f>
        <v>0</v>
      </c>
      <c r="L85" s="55">
        <f>_xll.EQNXTDZ($A$1,$B85,L$5,$B$1)</f>
        <v>2.8159999999999998</v>
      </c>
      <c r="M85" s="55">
        <f>_xll.EQNXTDZ($A$1,$B85,M$5,$B$1)</f>
        <v>0</v>
      </c>
      <c r="N85" s="55">
        <f>_xll.EQNXTDZ($A$1,$B85,N$5,$B$1)</f>
        <v>1.5029999999999999</v>
      </c>
      <c r="O85" s="55">
        <f>_xll.EQNXTDZ($A$1,$B85,O$5,$B$1)</f>
        <v>0</v>
      </c>
      <c r="P85" s="55">
        <f>_xll.EQNXTDZ($A$1,$B85,P$5,$B$1)</f>
        <v>1.3140000000000001</v>
      </c>
      <c r="Q85" s="55">
        <f>_xll.EQNXTDZ($A$1,$B85,Q$5,$B$1)</f>
        <v>0</v>
      </c>
      <c r="R85" s="55">
        <f>_xll.EQNXTDZ($A$1,$B85,R$5,$B$1)</f>
        <v>1.0860000000000001</v>
      </c>
      <c r="S85" s="55">
        <f>_xll.EQNXTDZ($A$1,$B85,S$5,$B$1)</f>
        <v>0</v>
      </c>
      <c r="T85" s="55">
        <f>_xll.EQNXTDZ($A$1,$B85,T$5,$B$1)</f>
        <v>2.052</v>
      </c>
      <c r="U85" s="55">
        <f>_xll.EQNXTDZ($A$1,$B85,U$5,$B$1)</f>
        <v>0</v>
      </c>
      <c r="V85" s="55">
        <f>_xll.EQNXTDZ($A$1,$B85,V$5,$B$1)</f>
        <v>0.182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9.9000000000000005E-2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20.905999999999999</v>
      </c>
      <c r="E86" s="55">
        <f>_xll.EQNXTDZ($A$1,$B86,E$5,$B$1)</f>
        <v>0</v>
      </c>
      <c r="F86" s="55">
        <f>_xll.EQNXTDZ($A$1,$B86,F$5,$B$1)</f>
        <v>16.064</v>
      </c>
      <c r="G86" s="55">
        <f>_xll.EQNXTDZ($A$1,$B86,G$5,$B$1)</f>
        <v>0</v>
      </c>
      <c r="H86" s="55">
        <f>_xll.EQNXTDZ($A$1,$B86,H$5,$B$1)</f>
        <v>11.975</v>
      </c>
      <c r="I86" s="55">
        <f>_xll.EQNXTDZ($A$1,$B86,I$5,$B$1)</f>
        <v>0</v>
      </c>
      <c r="J86" s="55">
        <f>_xll.EQNXTDZ($A$1,$B86,J$5,$B$1)</f>
        <v>17.576000000000001</v>
      </c>
      <c r="K86" s="55">
        <f>_xll.EQNXTDZ($A$1,$B86,K$5,$B$1)</f>
        <v>0</v>
      </c>
      <c r="L86" s="55">
        <f>_xll.EQNXTDZ($A$1,$B86,L$5,$B$1)</f>
        <v>21.731999999999999</v>
      </c>
      <c r="M86" s="55">
        <f>_xll.EQNXTDZ($A$1,$B86,M$5,$B$1)</f>
        <v>0</v>
      </c>
      <c r="N86" s="55">
        <f>_xll.EQNXTDZ($A$1,$B86,N$5,$B$1)</f>
        <v>17.152999999999999</v>
      </c>
      <c r="O86" s="55">
        <f>_xll.EQNXTDZ($A$1,$B86,O$5,$B$1)</f>
        <v>0</v>
      </c>
      <c r="P86" s="55">
        <f>_xll.EQNXTDZ($A$1,$B86,P$5,$B$1)</f>
        <v>22.452000000000002</v>
      </c>
      <c r="Q86" s="55">
        <f>_xll.EQNXTDZ($A$1,$B86,Q$5,$B$1)</f>
        <v>0</v>
      </c>
      <c r="R86" s="55">
        <f>_xll.EQNXTDZ($A$1,$B86,R$5,$B$1)</f>
        <v>18.073</v>
      </c>
      <c r="S86" s="55">
        <f>_xll.EQNXTDZ($A$1,$B86,S$5,$B$1)</f>
        <v>0</v>
      </c>
      <c r="T86" s="55">
        <f>_xll.EQNXTDZ($A$1,$B86,T$5,$B$1)</f>
        <v>18.190000000000001</v>
      </c>
      <c r="U86" s="55">
        <f>_xll.EQNXTDZ($A$1,$B86,U$5,$B$1)</f>
        <v>0</v>
      </c>
      <c r="V86" s="55">
        <f>_xll.EQNXTDZ($A$1,$B86,V$5,$B$1)</f>
        <v>18.649999999999999</v>
      </c>
      <c r="W86" s="55">
        <f>_xll.EQNXTDZ($A$1,$B86,W$5,$B$1)</f>
        <v>0</v>
      </c>
      <c r="X86" s="55">
        <f>_xll.EQNXTDZ($A$1,$B86,X$5,$B$1)</f>
        <v>33.99</v>
      </c>
      <c r="Y86" s="55">
        <f>_xll.EQNXTDZ($A$1,$B86,Y$5,$B$1)</f>
        <v>0</v>
      </c>
      <c r="Z86" s="55">
        <f>_xll.EQNXTDZ($A$1,$B86,Z$5,$B$1)</f>
        <v>29.548999999999999</v>
      </c>
      <c r="AA86" s="55">
        <f>_xll.EQNXTDZ($A$1,$B86,AA$5,$B$1)</f>
        <v>0</v>
      </c>
      <c r="AB86" s="55">
        <f>_xll.EQNXTDZ($A$1,$B86,AB$5,$B$1)</f>
        <v>29.318000000000001</v>
      </c>
      <c r="AC86" s="55">
        <f>_xll.EQNXTDZ($A$1,$B86,AC$5,$B$1)</f>
        <v>0</v>
      </c>
      <c r="AD86" s="55">
        <f>_xll.EQNXTDZ($A$1,$B86,AD$5,$B$1)</f>
        <v>34.136000000000003</v>
      </c>
      <c r="AE86" s="55">
        <f>_xll.EQNXTDZ($A$1,$B86,AE$5,$B$1)</f>
        <v>0</v>
      </c>
      <c r="AF86" s="55">
        <f>_xll.EQNXTDZ($A$1,$B86,AF$5,$B$1)</f>
        <v>36.845999999999997</v>
      </c>
      <c r="AG86" s="55">
        <f>_xll.EQNXTDZ($A$1,$B86,AG$5,$B$1)</f>
        <v>0</v>
      </c>
      <c r="AH86" s="55">
        <f>_xll.EQNXTDZ($A$1,$B86,AH$5,$B$1)</f>
        <v>49.32</v>
      </c>
      <c r="AI86" s="55">
        <f>_xll.EQNXTDZ($A$1,$B86,AI$5,$B$1)</f>
        <v>0</v>
      </c>
      <c r="AJ86" s="55">
        <f>_xll.EQNXTDZ($A$1,$B86,AJ$5,$B$1)</f>
        <v>55.338999999999999</v>
      </c>
      <c r="AK86" s="55">
        <f>_xll.EQNXTDZ($A$1,$B86,AK$5,$B$1)</f>
        <v>0</v>
      </c>
      <c r="AL86" s="55">
        <f>_xll.EQNXTDZ($A$1,$B86,AL$5,$B$1)</f>
        <v>64.805000000000007</v>
      </c>
      <c r="AM86" s="55">
        <f>_xll.EQNXTDZ($A$1,$B86,AM$5,$B$1)</f>
        <v>0</v>
      </c>
      <c r="AN86" s="55">
        <f>_xll.EQNXTDZ($A$1,$B86,AN$5,$B$1)</f>
        <v>78.372</v>
      </c>
      <c r="AO86" s="55">
        <f>_xll.EQNXTDZ($A$1,$B86,AO$5,$B$1)</f>
        <v>0</v>
      </c>
      <c r="AP86" s="55">
        <f>_xll.EQNXTDZ($A$1,$B86,AP$5,$B$1)</f>
        <v>71.602000000000004</v>
      </c>
      <c r="AQ86" s="55">
        <f>_xll.EQNXTDZ($A$1,$B86,AQ$5,$B$1)</f>
        <v>0</v>
      </c>
      <c r="AR86" s="55">
        <f>_xll.EQNXTDZ($A$1,$B86,AR$5,$B$1)</f>
        <v>105.76</v>
      </c>
      <c r="AS86" s="55">
        <f>_xll.EQNXTDZ($A$1,$B86,AS$5,$B$1)</f>
        <v>0</v>
      </c>
      <c r="AT86" s="55">
        <f>_xll.EQNXTDZ($A$1,$B86,AT$5,$B$1)</f>
        <v>107.767</v>
      </c>
      <c r="AU86" s="55">
        <f>_xll.EQNXTDZ($A$1,$B86,AU$5,$B$1)</f>
        <v>0</v>
      </c>
      <c r="AV86" s="55">
        <f>_xll.EQNXTDZ($A$1,$B86,AV$5,$B$1)</f>
        <v>133.71899999999999</v>
      </c>
      <c r="AW86" s="55">
        <f>_xll.EQNXTDZ($A$1,$B86,AW$5,$B$1)</f>
        <v>0</v>
      </c>
      <c r="AX86" s="55">
        <f>_xll.EQNXTDZ($A$1,$B86,AX$5,$B$1)</f>
        <v>146.31</v>
      </c>
      <c r="AY86" s="55">
        <f>_xll.EQNXTDZ($A$1,$B86,AY$5,$B$1)</f>
        <v>0</v>
      </c>
      <c r="AZ86" s="55">
        <f>_xll.EQNXTDZ($A$1,$B86,AZ$5,$B$1)</f>
        <v>188.88300000000001</v>
      </c>
      <c r="BA86" s="55">
        <f>_xll.EQNXTDZ($A$1,$B86,BA$5,$B$1)</f>
        <v>0</v>
      </c>
      <c r="BB86" s="55">
        <f>_xll.EQNXTDZ($A$1,$B86,BB$5,$B$1)</f>
        <v>167.43799999999999</v>
      </c>
      <c r="BC86" s="55">
        <f>_xll.EQNXTDZ($A$1,$B86,BC$5,$B$1)</f>
        <v>0</v>
      </c>
      <c r="BD86" s="55">
        <f>_xll.EQNXTDZ($A$1,$B86,BD$5,$B$1)</f>
        <v>237.27</v>
      </c>
      <c r="BE86" s="55">
        <f>_xll.EQNXTDZ($A$1,$B86,BE$5,$B$1)</f>
        <v>0</v>
      </c>
      <c r="BF86" s="55">
        <f>_xll.EQNXTDZ($A$1,$B86,BF$5,$B$1)</f>
        <v>218.08500000000001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9.452</v>
      </c>
      <c r="E88" s="55">
        <f>_xll.EQNXTDZ($A$1,$B88,E$5,$B$1)</f>
        <v>0</v>
      </c>
      <c r="F88" s="55">
        <f>_xll.EQNXTDZ($A$1,$B88,F$5,$B$1)</f>
        <v>3.758</v>
      </c>
      <c r="G88" s="55">
        <f>_xll.EQNXTDZ($A$1,$B88,G$5,$B$1)</f>
        <v>0</v>
      </c>
      <c r="H88" s="55">
        <f>_xll.EQNXTDZ($A$1,$B88,H$5,$B$1)</f>
        <v>0.97299999999999998</v>
      </c>
      <c r="I88" s="55">
        <f>_xll.EQNXTDZ($A$1,$B88,I$5,$B$1)</f>
        <v>0</v>
      </c>
      <c r="J88" s="55">
        <f>_xll.EQNXTDZ($A$1,$B88,J$5,$B$1)</f>
        <v>5.0430000000000001</v>
      </c>
      <c r="K88" s="55">
        <f>_xll.EQNXTDZ($A$1,$B88,K$5,$B$1)</f>
        <v>0</v>
      </c>
      <c r="L88" s="55">
        <f>_xll.EQNXTDZ($A$1,$B88,L$5,$B$1)</f>
        <v>9.3279999999999994</v>
      </c>
      <c r="M88" s="55">
        <f>_xll.EQNXTDZ($A$1,$B88,M$5,$B$1)</f>
        <v>0</v>
      </c>
      <c r="N88" s="55">
        <f>_xll.EQNXTDZ($A$1,$B88,N$5,$B$1)</f>
        <v>4.8170000000000002</v>
      </c>
      <c r="O88" s="55">
        <f>_xll.EQNXTDZ($A$1,$B88,O$5,$B$1)</f>
        <v>0</v>
      </c>
      <c r="P88" s="55">
        <f>_xll.EQNXTDZ($A$1,$B88,P$5,$B$1)</f>
        <v>9.9</v>
      </c>
      <c r="Q88" s="55">
        <f>_xll.EQNXTDZ($A$1,$B88,Q$5,$B$1)</f>
        <v>0</v>
      </c>
      <c r="R88" s="55">
        <f>_xll.EQNXTDZ($A$1,$B88,R$5,$B$1)</f>
        <v>6.0170000000000003</v>
      </c>
      <c r="S88" s="55">
        <f>_xll.EQNXTDZ($A$1,$B88,S$5,$B$1)</f>
        <v>0</v>
      </c>
      <c r="T88" s="55">
        <f>_xll.EQNXTDZ($A$1,$B88,T$5,$B$1)</f>
        <v>6.3879999999999999</v>
      </c>
      <c r="U88" s="55">
        <f>_xll.EQNXTDZ($A$1,$B88,U$5,$B$1)</f>
        <v>0</v>
      </c>
      <c r="V88" s="55">
        <f>_xll.EQNXTDZ($A$1,$B88,V$5,$B$1)</f>
        <v>9.0229999999999997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12.867000000000001</v>
      </c>
      <c r="AQ88" s="55">
        <f>_xll.EQNXTDZ($A$1,$B88,AQ$5,$B$1)</f>
        <v>0</v>
      </c>
      <c r="AR88" s="55">
        <f>_xll.EQNXTDZ($A$1,$B88,AR$5,$B$1)</f>
        <v>30.753</v>
      </c>
      <c r="AS88" s="55">
        <f>_xll.EQNXTDZ($A$1,$B88,AS$5,$B$1)</f>
        <v>0</v>
      </c>
      <c r="AT88" s="55">
        <f>_xll.EQNXTDZ($A$1,$B88,AT$5,$B$1)</f>
        <v>27.902999999999999</v>
      </c>
      <c r="AU88" s="55">
        <f>_xll.EQNXTDZ($A$1,$B88,AU$5,$B$1)</f>
        <v>0</v>
      </c>
      <c r="AV88" s="55">
        <f>_xll.EQNXTDZ($A$1,$B88,AV$5,$B$1)</f>
        <v>17.538</v>
      </c>
      <c r="AW88" s="55">
        <f>_xll.EQNXTDZ($A$1,$B88,AW$5,$B$1)</f>
        <v>0</v>
      </c>
      <c r="AX88" s="55">
        <f>_xll.EQNXTDZ($A$1,$B88,AX$5,$B$1)</f>
        <v>11.504</v>
      </c>
      <c r="AY88" s="55">
        <f>_xll.EQNXTDZ($A$1,$B88,AY$5,$B$1)</f>
        <v>0</v>
      </c>
      <c r="AZ88" s="55">
        <f>_xll.EQNXTDZ($A$1,$B88,AZ$5,$B$1)</f>
        <v>11.654999999999999</v>
      </c>
      <c r="BA88" s="55">
        <f>_xll.EQNXTDZ($A$1,$B88,BA$5,$B$1)</f>
        <v>0</v>
      </c>
      <c r="BB88" s="55">
        <f>_xll.EQNXTDZ($A$1,$B88,BB$5,$B$1)</f>
        <v>9.109</v>
      </c>
      <c r="BC88" s="55">
        <f>_xll.EQNXTDZ($A$1,$B88,BC$5,$B$1)</f>
        <v>0</v>
      </c>
      <c r="BD88" s="55">
        <f>_xll.EQNXTDZ($A$1,$B88,BD$5,$B$1)</f>
        <v>30.69</v>
      </c>
      <c r="BE88" s="55">
        <f>_xll.EQNXTDZ($A$1,$B88,BE$5,$B$1)</f>
        <v>0</v>
      </c>
      <c r="BF88" s="55">
        <f>_xll.EQNXTDZ($A$1,$B88,BF$5,$B$1)</f>
        <v>22.050999999999998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2.0169999999999999</v>
      </c>
      <c r="E89" s="55">
        <f>_xll.EQNXTDZ($A$1,$B89,E$5,$B$1)</f>
        <v>0</v>
      </c>
      <c r="F89" s="55">
        <f>_xll.EQNXTDZ($A$1,$B89,F$5,$B$1)</f>
        <v>0.247</v>
      </c>
      <c r="G89" s="55">
        <f>_xll.EQNXTDZ($A$1,$B89,G$5,$B$1)</f>
        <v>0</v>
      </c>
      <c r="H89" s="55">
        <f>_xll.EQNXTDZ($A$1,$B89,H$5,$B$1)</f>
        <v>0.93300000000000005</v>
      </c>
      <c r="I89" s="55">
        <f>_xll.EQNXTDZ($A$1,$B89,I$5,$B$1)</f>
        <v>0</v>
      </c>
      <c r="J89" s="55">
        <f>_xll.EQNXTDZ($A$1,$B89,J$5,$B$1)</f>
        <v>1.0609999999999999</v>
      </c>
      <c r="K89" s="55">
        <f>_xll.EQNXTDZ($A$1,$B89,K$5,$B$1)</f>
        <v>0</v>
      </c>
      <c r="L89" s="55">
        <f>_xll.EQNXTDZ($A$1,$B89,L$5,$B$1)</f>
        <v>0.91500000000000004</v>
      </c>
      <c r="M89" s="55">
        <f>_xll.EQNXTDZ($A$1,$B89,M$5,$B$1)</f>
        <v>0</v>
      </c>
      <c r="N89" s="55">
        <f>_xll.EQNXTDZ($A$1,$B89,N$5,$B$1)</f>
        <v>0.47199999999999998</v>
      </c>
      <c r="O89" s="55">
        <f>_xll.EQNXTDZ($A$1,$B89,O$5,$B$1)</f>
        <v>0</v>
      </c>
      <c r="P89" s="55">
        <f>_xll.EQNXTDZ($A$1,$B89,P$5,$B$1)</f>
        <v>1.2470000000000001</v>
      </c>
      <c r="Q89" s="55">
        <f>_xll.EQNXTDZ($A$1,$B89,Q$5,$B$1)</f>
        <v>0</v>
      </c>
      <c r="R89" s="55">
        <f>_xll.EQNXTDZ($A$1,$B89,R$5,$B$1)</f>
        <v>0.32200000000000001</v>
      </c>
      <c r="S89" s="55">
        <f>_xll.EQNXTDZ($A$1,$B89,S$5,$B$1)</f>
        <v>0</v>
      </c>
      <c r="T89" s="55">
        <f>_xll.EQNXTDZ($A$1,$B89,T$5,$B$1)</f>
        <v>1</v>
      </c>
      <c r="U89" s="55">
        <f>_xll.EQNXTDZ($A$1,$B89,U$5,$B$1)</f>
        <v>0</v>
      </c>
      <c r="V89" s="55">
        <f>_xll.EQNXTDZ($A$1,$B89,V$5,$B$1)</f>
        <v>0.50600000000000001</v>
      </c>
      <c r="W89" s="55">
        <f>_xll.EQNXTDZ($A$1,$B89,W$5,$B$1)</f>
        <v>0</v>
      </c>
      <c r="X89" s="55">
        <f>_xll.EQNXTDZ($A$1,$B89,X$5,$B$1)</f>
        <v>2.734</v>
      </c>
      <c r="Y89" s="55">
        <f>_xll.EQNXTDZ($A$1,$B89,Y$5,$B$1)</f>
        <v>0</v>
      </c>
      <c r="Z89" s="55">
        <f>_xll.EQNXTDZ($A$1,$B89,Z$5,$B$1)</f>
        <v>2.052</v>
      </c>
      <c r="AA89" s="55">
        <f>_xll.EQNXTDZ($A$1,$B89,AA$5,$B$1)</f>
        <v>0</v>
      </c>
      <c r="AB89" s="55">
        <f>_xll.EQNXTDZ($A$1,$B89,AB$5,$B$1)</f>
        <v>0.72699999999999998</v>
      </c>
      <c r="AC89" s="55">
        <f>_xll.EQNXTDZ($A$1,$B89,AC$5,$B$1)</f>
        <v>0</v>
      </c>
      <c r="AD89" s="55">
        <f>_xll.EQNXTDZ($A$1,$B89,AD$5,$B$1)</f>
        <v>0.16800000000000001</v>
      </c>
      <c r="AE89" s="55">
        <f>_xll.EQNXTDZ($A$1,$B89,AE$5,$B$1)</f>
        <v>0</v>
      </c>
      <c r="AF89" s="55">
        <f>_xll.EQNXTDZ($A$1,$B89,AF$5,$B$1)</f>
        <v>0.29799999999999999</v>
      </c>
      <c r="AG89" s="55">
        <f>_xll.EQNXTDZ($A$1,$B89,AG$5,$B$1)</f>
        <v>0</v>
      </c>
      <c r="AH89" s="55">
        <f>_xll.EQNXTDZ($A$1,$B89,AH$5,$B$1)</f>
        <v>1.554</v>
      </c>
      <c r="AI89" s="55">
        <f>_xll.EQNXTDZ($A$1,$B89,AI$5,$B$1)</f>
        <v>0</v>
      </c>
      <c r="AJ89" s="55">
        <f>_xll.EQNXTDZ($A$1,$B89,AJ$5,$B$1)</f>
        <v>6.5119999999999996</v>
      </c>
      <c r="AK89" s="55">
        <f>_xll.EQNXTDZ($A$1,$B89,AK$5,$B$1)</f>
        <v>0</v>
      </c>
      <c r="AL89" s="55">
        <f>_xll.EQNXTDZ($A$1,$B89,AL$5,$B$1)</f>
        <v>0.32800000000000001</v>
      </c>
      <c r="AM89" s="55">
        <f>_xll.EQNXTDZ($A$1,$B89,AM$5,$B$1)</f>
        <v>0</v>
      </c>
      <c r="AN89" s="55">
        <f>_xll.EQNXTDZ($A$1,$B89,AN$5,$B$1)</f>
        <v>2.66</v>
      </c>
      <c r="AO89" s="55">
        <f>_xll.EQNXTDZ($A$1,$B89,AO$5,$B$1)</f>
        <v>0</v>
      </c>
      <c r="AP89" s="55">
        <f>_xll.EQNXTDZ($A$1,$B89,AP$5,$B$1)</f>
        <v>0.70599999999999996</v>
      </c>
      <c r="AQ89" s="55">
        <f>_xll.EQNXTDZ($A$1,$B89,AQ$5,$B$1)</f>
        <v>0</v>
      </c>
      <c r="AR89" s="55">
        <f>_xll.EQNXTDZ($A$1,$B89,AR$5,$B$1)</f>
        <v>5.173</v>
      </c>
      <c r="AS89" s="55">
        <f>_xll.EQNXTDZ($A$1,$B89,AS$5,$B$1)</f>
        <v>0</v>
      </c>
      <c r="AT89" s="55">
        <f>_xll.EQNXTDZ($A$1,$B89,AT$5,$B$1)</f>
        <v>3.0529999999999999</v>
      </c>
      <c r="AU89" s="55">
        <f>_xll.EQNXTDZ($A$1,$B89,AU$5,$B$1)</f>
        <v>0</v>
      </c>
      <c r="AV89" s="55">
        <f>_xll.EQNXTDZ($A$1,$B89,AV$5,$B$1)</f>
        <v>3.2210000000000001</v>
      </c>
      <c r="AW89" s="55">
        <f>_xll.EQNXTDZ($A$1,$B89,AW$5,$B$1)</f>
        <v>0</v>
      </c>
      <c r="AX89" s="55">
        <f>_xll.EQNXTDZ($A$1,$B89,AX$5,$B$1)</f>
        <v>5.8380000000000001</v>
      </c>
      <c r="AY89" s="55">
        <f>_xll.EQNXTDZ($A$1,$B89,AY$5,$B$1)</f>
        <v>0</v>
      </c>
      <c r="AZ89" s="55">
        <f>_xll.EQNXTDZ($A$1,$B89,AZ$5,$B$1)</f>
        <v>7.5540000000000003</v>
      </c>
      <c r="BA89" s="55">
        <f>_xll.EQNXTDZ($A$1,$B89,BA$5,$B$1)</f>
        <v>0</v>
      </c>
      <c r="BB89" s="55">
        <f>_xll.EQNXTDZ($A$1,$B89,BB$5,$B$1)</f>
        <v>4.1520000000000001</v>
      </c>
      <c r="BC89" s="55">
        <f>_xll.EQNXTDZ($A$1,$B89,BC$5,$B$1)</f>
        <v>0</v>
      </c>
      <c r="BD89" s="55">
        <f>_xll.EQNXTDZ($A$1,$B89,BD$5,$B$1)</f>
        <v>10.545</v>
      </c>
      <c r="BE89" s="55">
        <f>_xll.EQNXTDZ($A$1,$B89,BE$5,$B$1)</f>
        <v>0</v>
      </c>
      <c r="BF89" s="55">
        <f>_xll.EQNXTDZ($A$1,$B89,BF$5,$B$1)</f>
        <v>1.974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0.66400000000000003</v>
      </c>
      <c r="E91" s="55">
        <f>_xll.EQNXTDZ($A$1,$B91,E$5,$B$1)</f>
        <v>0</v>
      </c>
      <c r="F91" s="55">
        <f>_xll.EQNXTDZ($A$1,$B91,F$5,$B$1)</f>
        <v>1.33</v>
      </c>
      <c r="G91" s="55">
        <f>_xll.EQNXTDZ($A$1,$B91,G$5,$B$1)</f>
        <v>0</v>
      </c>
      <c r="H91" s="55">
        <f>_xll.EQNXTDZ($A$1,$B91,H$5,$B$1)</f>
        <v>1.0740000000000001</v>
      </c>
      <c r="I91" s="55">
        <f>_xll.EQNXTDZ($A$1,$B91,I$5,$B$1)</f>
        <v>0</v>
      </c>
      <c r="J91" s="55">
        <f>_xll.EQNXTDZ($A$1,$B91,J$5,$B$1)</f>
        <v>2.1970000000000001</v>
      </c>
      <c r="K91" s="55">
        <f>_xll.EQNXTDZ($A$1,$B91,K$5,$B$1)</f>
        <v>0</v>
      </c>
      <c r="L91" s="55">
        <f>_xll.EQNXTDZ($A$1,$B91,L$5,$B$1)</f>
        <v>1.1759999999999999</v>
      </c>
      <c r="M91" s="55">
        <f>_xll.EQNXTDZ($A$1,$B91,M$5,$B$1)</f>
        <v>0</v>
      </c>
      <c r="N91" s="55">
        <f>_xll.EQNXTDZ($A$1,$B91,N$5,$B$1)</f>
        <v>1.7669999999999999</v>
      </c>
      <c r="O91" s="55">
        <f>_xll.EQNXTDZ($A$1,$B91,O$5,$B$1)</f>
        <v>0</v>
      </c>
      <c r="P91" s="55">
        <f>_xll.EQNXTDZ($A$1,$B91,P$5,$B$1)</f>
        <v>1.62</v>
      </c>
      <c r="Q91" s="55">
        <f>_xll.EQNXTDZ($A$1,$B91,Q$5,$B$1)</f>
        <v>0</v>
      </c>
      <c r="R91" s="55">
        <f>_xll.EQNXTDZ($A$1,$B91,R$5,$B$1)</f>
        <v>2.4359999999999999</v>
      </c>
      <c r="S91" s="55">
        <f>_xll.EQNXTDZ($A$1,$B91,S$5,$B$1)</f>
        <v>0</v>
      </c>
      <c r="T91" s="55">
        <f>_xll.EQNXTDZ($A$1,$B91,T$5,$B$1)</f>
        <v>1.444</v>
      </c>
      <c r="U91" s="55">
        <f>_xll.EQNXTDZ($A$1,$B91,U$5,$B$1)</f>
        <v>0</v>
      </c>
      <c r="V91" s="55">
        <f>_xll.EQNXTDZ($A$1,$B91,V$5,$B$1)</f>
        <v>2.028</v>
      </c>
      <c r="W91" s="55">
        <f>_xll.EQNXTDZ($A$1,$B91,W$5,$B$1)</f>
        <v>0</v>
      </c>
      <c r="X91" s="55">
        <f>_xll.EQNXTDZ($A$1,$B91,X$5,$B$1)</f>
        <v>1.1040000000000001</v>
      </c>
      <c r="Y91" s="55">
        <f>_xll.EQNXTDZ($A$1,$B91,Y$5,$B$1)</f>
        <v>0</v>
      </c>
      <c r="Z91" s="55">
        <f>_xll.EQNXTDZ($A$1,$B91,Z$5,$B$1)</f>
        <v>2.2610000000000001</v>
      </c>
      <c r="AA91" s="55">
        <f>_xll.EQNXTDZ($A$1,$B91,AA$5,$B$1)</f>
        <v>0</v>
      </c>
      <c r="AB91" s="55">
        <f>_xll.EQNXTDZ($A$1,$B91,AB$5,$B$1)</f>
        <v>2.552</v>
      </c>
      <c r="AC91" s="55">
        <f>_xll.EQNXTDZ($A$1,$B91,AC$5,$B$1)</f>
        <v>0</v>
      </c>
      <c r="AD91" s="55">
        <f>_xll.EQNXTDZ($A$1,$B91,AD$5,$B$1)</f>
        <v>2.5870000000000002</v>
      </c>
      <c r="AE91" s="55">
        <f>_xll.EQNXTDZ($A$1,$B91,AE$5,$B$1)</f>
        <v>0</v>
      </c>
      <c r="AF91" s="55">
        <f>_xll.EQNXTDZ($A$1,$B91,AF$5,$B$1)</f>
        <v>2.5270000000000001</v>
      </c>
      <c r="AG91" s="55">
        <f>_xll.EQNXTDZ($A$1,$B91,AG$5,$B$1)</f>
        <v>0</v>
      </c>
      <c r="AH91" s="55">
        <f>_xll.EQNXTDZ($A$1,$B91,AH$5,$B$1)</f>
        <v>8.9649999999999999</v>
      </c>
      <c r="AI91" s="55">
        <f>_xll.EQNXTDZ($A$1,$B91,AI$5,$B$1)</f>
        <v>0</v>
      </c>
      <c r="AJ91" s="55">
        <f>_xll.EQNXTDZ($A$1,$B91,AJ$5,$B$1)</f>
        <v>5.4320000000000004</v>
      </c>
      <c r="AK91" s="55">
        <f>_xll.EQNXTDZ($A$1,$B91,AK$5,$B$1)</f>
        <v>0</v>
      </c>
      <c r="AL91" s="55">
        <f>_xll.EQNXTDZ($A$1,$B91,AL$5,$B$1)</f>
        <v>16.338000000000001</v>
      </c>
      <c r="AM91" s="55">
        <f>_xll.EQNXTDZ($A$1,$B91,AM$5,$B$1)</f>
        <v>0</v>
      </c>
      <c r="AN91" s="55">
        <f>_xll.EQNXTDZ($A$1,$B91,AN$5,$B$1)</f>
        <v>18.565000000000001</v>
      </c>
      <c r="AO91" s="55">
        <f>_xll.EQNXTDZ($A$1,$B91,AO$5,$B$1)</f>
        <v>0</v>
      </c>
      <c r="AP91" s="55">
        <f>_xll.EQNXTDZ($A$1,$B91,AP$5,$B$1)</f>
        <v>8.8930000000000007</v>
      </c>
      <c r="AQ91" s="55">
        <f>_xll.EQNXTDZ($A$1,$B91,AQ$5,$B$1)</f>
        <v>0</v>
      </c>
      <c r="AR91" s="55">
        <f>_xll.EQNXTDZ($A$1,$B91,AR$5,$B$1)</f>
        <v>6.8550000000000004</v>
      </c>
      <c r="AS91" s="55">
        <f>_xll.EQNXTDZ($A$1,$B91,AS$5,$B$1)</f>
        <v>0</v>
      </c>
      <c r="AT91" s="55">
        <f>_xll.EQNXTDZ($A$1,$B91,AT$5,$B$1)</f>
        <v>7.5039999999999996</v>
      </c>
      <c r="AU91" s="55">
        <f>_xll.EQNXTDZ($A$1,$B91,AU$5,$B$1)</f>
        <v>0</v>
      </c>
      <c r="AV91" s="55">
        <f>_xll.EQNXTDZ($A$1,$B91,AV$5,$B$1)</f>
        <v>23.5</v>
      </c>
      <c r="AW91" s="55">
        <f>_xll.EQNXTDZ($A$1,$B91,AW$5,$B$1)</f>
        <v>0</v>
      </c>
      <c r="AX91" s="55">
        <f>_xll.EQNXTDZ($A$1,$B91,AX$5,$B$1)</f>
        <v>27.773</v>
      </c>
      <c r="AY91" s="55">
        <f>_xll.EQNXTDZ($A$1,$B91,AY$5,$B$1)</f>
        <v>0</v>
      </c>
      <c r="AZ91" s="55">
        <f>_xll.EQNXTDZ($A$1,$B91,AZ$5,$B$1)</f>
        <v>47.151000000000003</v>
      </c>
      <c r="BA91" s="55">
        <f>_xll.EQNXTDZ($A$1,$B91,BA$5,$B$1)</f>
        <v>0</v>
      </c>
      <c r="BB91" s="55">
        <f>_xll.EQNXTDZ($A$1,$B91,BB$5,$B$1)</f>
        <v>21.34</v>
      </c>
      <c r="BC91" s="55">
        <f>_xll.EQNXTDZ($A$1,$B91,BC$5,$B$1)</f>
        <v>0</v>
      </c>
      <c r="BD91" s="55">
        <f>_xll.EQNXTDZ($A$1,$B91,BD$5,$B$1)</f>
        <v>23.527000000000001</v>
      </c>
      <c r="BE91" s="55">
        <f>_xll.EQNXTDZ($A$1,$B91,BE$5,$B$1)</f>
        <v>0</v>
      </c>
      <c r="BF91" s="55">
        <f>_xll.EQNXTDZ($A$1,$B91,BF$5,$B$1)</f>
        <v>34.591999999999999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1.1579999999999999</v>
      </c>
      <c r="E92" s="55">
        <f>_xll.EQNXTDZ($A$1,$B92,E$5,$B$1)</f>
        <v>0</v>
      </c>
      <c r="F92" s="55">
        <f>_xll.EQNXTDZ($A$1,$B92,F$5,$B$1)</f>
        <v>3.7240000000000002</v>
      </c>
      <c r="G92" s="55">
        <f>_xll.EQNXTDZ($A$1,$B92,G$5,$B$1)</f>
        <v>0</v>
      </c>
      <c r="H92" s="55">
        <f>_xll.EQNXTDZ($A$1,$B92,H$5,$B$1)</f>
        <v>0.14599999999999999</v>
      </c>
      <c r="I92" s="55">
        <f>_xll.EQNXTDZ($A$1,$B92,I$5,$B$1)</f>
        <v>0</v>
      </c>
      <c r="J92" s="55">
        <f>_xll.EQNXTDZ($A$1,$B92,J$5,$B$1)</f>
        <v>0.13500000000000001</v>
      </c>
      <c r="K92" s="55">
        <f>_xll.EQNXTDZ($A$1,$B92,K$5,$B$1)</f>
        <v>0</v>
      </c>
      <c r="L92" s="55">
        <f>_xll.EQNXTDZ($A$1,$B92,L$5,$B$1)</f>
        <v>0.19700000000000001</v>
      </c>
      <c r="M92" s="55">
        <f>_xll.EQNXTDZ($A$1,$B92,M$5,$B$1)</f>
        <v>0</v>
      </c>
      <c r="N92" s="55">
        <f>_xll.EQNXTDZ($A$1,$B92,N$5,$B$1)</f>
        <v>1.202</v>
      </c>
      <c r="O92" s="55">
        <f>_xll.EQNXTDZ($A$1,$B92,O$5,$B$1)</f>
        <v>0</v>
      </c>
      <c r="P92" s="55">
        <f>_xll.EQNXTDZ($A$1,$B92,P$5,$B$1)</f>
        <v>0.90400000000000003</v>
      </c>
      <c r="Q92" s="55">
        <f>_xll.EQNXTDZ($A$1,$B92,Q$5,$B$1)</f>
        <v>0</v>
      </c>
      <c r="R92" s="55">
        <f>_xll.EQNXTDZ($A$1,$B92,R$5,$B$1)</f>
        <v>1.0880000000000001</v>
      </c>
      <c r="S92" s="55">
        <f>_xll.EQNXTDZ($A$1,$B92,S$5,$B$1)</f>
        <v>0</v>
      </c>
      <c r="T92" s="55">
        <f>_xll.EQNXTDZ($A$1,$B92,T$5,$B$1)</f>
        <v>0.69099999999999995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7.931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13.291</v>
      </c>
      <c r="E93" s="55">
        <f>_xll.EQNXTDZ($A$1,$B93,E$5,$B$1)</f>
        <v>0</v>
      </c>
      <c r="F93" s="55">
        <f>_xll.EQNXTDZ($A$1,$B93,F$5,$B$1)</f>
        <v>9.0589999999999993</v>
      </c>
      <c r="G93" s="55">
        <f>_xll.EQNXTDZ($A$1,$B93,G$5,$B$1)</f>
        <v>0</v>
      </c>
      <c r="H93" s="55">
        <f>_xll.EQNXTDZ($A$1,$B93,H$5,$B$1)</f>
        <v>3.1259999999999999</v>
      </c>
      <c r="I93" s="55">
        <f>_xll.EQNXTDZ($A$1,$B93,I$5,$B$1)</f>
        <v>0</v>
      </c>
      <c r="J93" s="55">
        <f>_xll.EQNXTDZ($A$1,$B93,J$5,$B$1)</f>
        <v>8.4359999999999999</v>
      </c>
      <c r="K93" s="55">
        <f>_xll.EQNXTDZ($A$1,$B93,K$5,$B$1)</f>
        <v>0</v>
      </c>
      <c r="L93" s="55">
        <f>_xll.EQNXTDZ($A$1,$B93,L$5,$B$1)</f>
        <v>11.616</v>
      </c>
      <c r="M93" s="55">
        <f>_xll.EQNXTDZ($A$1,$B93,M$5,$B$1)</f>
        <v>0</v>
      </c>
      <c r="N93" s="55">
        <f>_xll.EQNXTDZ($A$1,$B93,N$5,$B$1)</f>
        <v>8.2579999999999991</v>
      </c>
      <c r="O93" s="55">
        <f>_xll.EQNXTDZ($A$1,$B93,O$5,$B$1)</f>
        <v>0</v>
      </c>
      <c r="P93" s="55">
        <f>_xll.EQNXTDZ($A$1,$B93,P$5,$B$1)</f>
        <v>13.670999999999999</v>
      </c>
      <c r="Q93" s="55">
        <f>_xll.EQNXTDZ($A$1,$B93,Q$5,$B$1)</f>
        <v>0</v>
      </c>
      <c r="R93" s="55">
        <f>_xll.EQNXTDZ($A$1,$B93,R$5,$B$1)</f>
        <v>9.8629999999999995</v>
      </c>
      <c r="S93" s="55">
        <f>_xll.EQNXTDZ($A$1,$B93,S$5,$B$1)</f>
        <v>0</v>
      </c>
      <c r="T93" s="55">
        <f>_xll.EQNXTDZ($A$1,$B93,T$5,$B$1)</f>
        <v>9.5229999999999997</v>
      </c>
      <c r="U93" s="55">
        <f>_xll.EQNXTDZ($A$1,$B93,U$5,$B$1)</f>
        <v>0</v>
      </c>
      <c r="V93" s="55">
        <f>_xll.EQNXTDZ($A$1,$B93,V$5,$B$1)</f>
        <v>11.557</v>
      </c>
      <c r="W93" s="55">
        <f>_xll.EQNXTDZ($A$1,$B93,W$5,$B$1)</f>
        <v>0</v>
      </c>
      <c r="X93" s="55">
        <f>_xll.EQNXTDZ($A$1,$B93,X$5,$B$1)</f>
        <v>11.769</v>
      </c>
      <c r="Y93" s="55">
        <f>_xll.EQNXTDZ($A$1,$B93,Y$5,$B$1)</f>
        <v>0</v>
      </c>
      <c r="Z93" s="55">
        <f>_xll.EQNXTDZ($A$1,$B93,Z$5,$B$1)</f>
        <v>4.3129999999999997</v>
      </c>
      <c r="AA93" s="55">
        <f>_xll.EQNXTDZ($A$1,$B93,AA$5,$B$1)</f>
        <v>0</v>
      </c>
      <c r="AB93" s="55">
        <f>_xll.EQNXTDZ($A$1,$B93,AB$5,$B$1)</f>
        <v>3.2789999999999999</v>
      </c>
      <c r="AC93" s="55">
        <f>_xll.EQNXTDZ($A$1,$B93,AC$5,$B$1)</f>
        <v>0</v>
      </c>
      <c r="AD93" s="55">
        <f>_xll.EQNXTDZ($A$1,$B93,AD$5,$B$1)</f>
        <v>2.7549999999999999</v>
      </c>
      <c r="AE93" s="55">
        <f>_xll.EQNXTDZ($A$1,$B93,AE$5,$B$1)</f>
        <v>0</v>
      </c>
      <c r="AF93" s="55">
        <f>_xll.EQNXTDZ($A$1,$B93,AF$5,$B$1)</f>
        <v>2.8250000000000002</v>
      </c>
      <c r="AG93" s="55">
        <f>_xll.EQNXTDZ($A$1,$B93,AG$5,$B$1)</f>
        <v>0</v>
      </c>
      <c r="AH93" s="55">
        <f>_xll.EQNXTDZ($A$1,$B93,AH$5,$B$1)</f>
        <v>10.519</v>
      </c>
      <c r="AI93" s="55">
        <f>_xll.EQNXTDZ($A$1,$B93,AI$5,$B$1)</f>
        <v>0</v>
      </c>
      <c r="AJ93" s="55">
        <f>_xll.EQNXTDZ($A$1,$B93,AJ$5,$B$1)</f>
        <v>11.944000000000001</v>
      </c>
      <c r="AK93" s="55">
        <f>_xll.EQNXTDZ($A$1,$B93,AK$5,$B$1)</f>
        <v>0</v>
      </c>
      <c r="AL93" s="55">
        <f>_xll.EQNXTDZ($A$1,$B93,AL$5,$B$1)</f>
        <v>16.666</v>
      </c>
      <c r="AM93" s="55">
        <f>_xll.EQNXTDZ($A$1,$B93,AM$5,$B$1)</f>
        <v>0</v>
      </c>
      <c r="AN93" s="55">
        <f>_xll.EQNXTDZ($A$1,$B93,AN$5,$B$1)</f>
        <v>21.225000000000001</v>
      </c>
      <c r="AO93" s="55">
        <f>_xll.EQNXTDZ($A$1,$B93,AO$5,$B$1)</f>
        <v>0</v>
      </c>
      <c r="AP93" s="55">
        <f>_xll.EQNXTDZ($A$1,$B93,AP$5,$B$1)</f>
        <v>22.466000000000001</v>
      </c>
      <c r="AQ93" s="55">
        <f>_xll.EQNXTDZ($A$1,$B93,AQ$5,$B$1)</f>
        <v>0</v>
      </c>
      <c r="AR93" s="55">
        <f>_xll.EQNXTDZ($A$1,$B93,AR$5,$B$1)</f>
        <v>42.780999999999999</v>
      </c>
      <c r="AS93" s="55">
        <f>_xll.EQNXTDZ($A$1,$B93,AS$5,$B$1)</f>
        <v>0</v>
      </c>
      <c r="AT93" s="55">
        <f>_xll.EQNXTDZ($A$1,$B93,AT$5,$B$1)</f>
        <v>38.46</v>
      </c>
      <c r="AU93" s="55">
        <f>_xll.EQNXTDZ($A$1,$B93,AU$5,$B$1)</f>
        <v>0</v>
      </c>
      <c r="AV93" s="55">
        <f>_xll.EQNXTDZ($A$1,$B93,AV$5,$B$1)</f>
        <v>44.259</v>
      </c>
      <c r="AW93" s="55">
        <f>_xll.EQNXTDZ($A$1,$B93,AW$5,$B$1)</f>
        <v>0</v>
      </c>
      <c r="AX93" s="55">
        <f>_xll.EQNXTDZ($A$1,$B93,AX$5,$B$1)</f>
        <v>45.115000000000002</v>
      </c>
      <c r="AY93" s="55">
        <f>_xll.EQNXTDZ($A$1,$B93,AY$5,$B$1)</f>
        <v>0</v>
      </c>
      <c r="AZ93" s="55">
        <f>_xll.EQNXTDZ($A$1,$B93,AZ$5,$B$1)</f>
        <v>66.36</v>
      </c>
      <c r="BA93" s="55">
        <f>_xll.EQNXTDZ($A$1,$B93,BA$5,$B$1)</f>
        <v>0</v>
      </c>
      <c r="BB93" s="55">
        <f>_xll.EQNXTDZ($A$1,$B93,BB$5,$B$1)</f>
        <v>34.600999999999999</v>
      </c>
      <c r="BC93" s="55">
        <f>_xll.EQNXTDZ($A$1,$B93,BC$5,$B$1)</f>
        <v>0</v>
      </c>
      <c r="BD93" s="55">
        <f>_xll.EQNXTDZ($A$1,$B93,BD$5,$B$1)</f>
        <v>64.762</v>
      </c>
      <c r="BE93" s="55">
        <f>_xll.EQNXTDZ($A$1,$B93,BE$5,$B$1)</f>
        <v>0</v>
      </c>
      <c r="BF93" s="55">
        <f>_xll.EQNXTDZ($A$1,$B93,BF$5,$B$1)</f>
        <v>58.616999999999997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7.6150000000000002</v>
      </c>
      <c r="E94" s="55">
        <f>_xll.EQNXTDZ($A$1,$B94,E$5,$B$1)</f>
        <v>0</v>
      </c>
      <c r="F94" s="55">
        <f>_xll.EQNXTDZ($A$1,$B94,F$5,$B$1)</f>
        <v>7.0049999999999999</v>
      </c>
      <c r="G94" s="55">
        <f>_xll.EQNXTDZ($A$1,$B94,G$5,$B$1)</f>
        <v>0</v>
      </c>
      <c r="H94" s="55">
        <f>_xll.EQNXTDZ($A$1,$B94,H$5,$B$1)</f>
        <v>8.8490000000000002</v>
      </c>
      <c r="I94" s="55">
        <f>_xll.EQNXTDZ($A$1,$B94,I$5,$B$1)</f>
        <v>0</v>
      </c>
      <c r="J94" s="55">
        <f>_xll.EQNXTDZ($A$1,$B94,J$5,$B$1)</f>
        <v>9.14</v>
      </c>
      <c r="K94" s="55">
        <f>_xll.EQNXTDZ($A$1,$B94,K$5,$B$1)</f>
        <v>0</v>
      </c>
      <c r="L94" s="55">
        <f>_xll.EQNXTDZ($A$1,$B94,L$5,$B$1)</f>
        <v>10.116</v>
      </c>
      <c r="M94" s="55">
        <f>_xll.EQNXTDZ($A$1,$B94,M$5,$B$1)</f>
        <v>0</v>
      </c>
      <c r="N94" s="55">
        <f>_xll.EQNXTDZ($A$1,$B94,N$5,$B$1)</f>
        <v>8.8949999999999996</v>
      </c>
      <c r="O94" s="55">
        <f>_xll.EQNXTDZ($A$1,$B94,O$5,$B$1)</f>
        <v>0</v>
      </c>
      <c r="P94" s="55">
        <f>_xll.EQNXTDZ($A$1,$B94,P$5,$B$1)</f>
        <v>8.7810000000000006</v>
      </c>
      <c r="Q94" s="55">
        <f>_xll.EQNXTDZ($A$1,$B94,Q$5,$B$1)</f>
        <v>0</v>
      </c>
      <c r="R94" s="55">
        <f>_xll.EQNXTDZ($A$1,$B94,R$5,$B$1)</f>
        <v>8.2100000000000009</v>
      </c>
      <c r="S94" s="55">
        <f>_xll.EQNXTDZ($A$1,$B94,S$5,$B$1)</f>
        <v>0</v>
      </c>
      <c r="T94" s="55">
        <f>_xll.EQNXTDZ($A$1,$B94,T$5,$B$1)</f>
        <v>8.6669999999999998</v>
      </c>
      <c r="U94" s="55">
        <f>_xll.EQNXTDZ($A$1,$B94,U$5,$B$1)</f>
        <v>0</v>
      </c>
      <c r="V94" s="55">
        <f>_xll.EQNXTDZ($A$1,$B94,V$5,$B$1)</f>
        <v>7.093</v>
      </c>
      <c r="W94" s="55">
        <f>_xll.EQNXTDZ($A$1,$B94,W$5,$B$1)</f>
        <v>0</v>
      </c>
      <c r="X94" s="55">
        <f>_xll.EQNXTDZ($A$1,$B94,X$5,$B$1)</f>
        <v>22.221</v>
      </c>
      <c r="Y94" s="55">
        <f>_xll.EQNXTDZ($A$1,$B94,Y$5,$B$1)</f>
        <v>0</v>
      </c>
      <c r="Z94" s="55">
        <f>_xll.EQNXTDZ($A$1,$B94,Z$5,$B$1)</f>
        <v>25.236000000000001</v>
      </c>
      <c r="AA94" s="55">
        <f>_xll.EQNXTDZ($A$1,$B94,AA$5,$B$1)</f>
        <v>0</v>
      </c>
      <c r="AB94" s="55">
        <f>_xll.EQNXTDZ($A$1,$B94,AB$5,$B$1)</f>
        <v>26.039000000000001</v>
      </c>
      <c r="AC94" s="55">
        <f>_xll.EQNXTDZ($A$1,$B94,AC$5,$B$1)</f>
        <v>0</v>
      </c>
      <c r="AD94" s="55">
        <f>_xll.EQNXTDZ($A$1,$B94,AD$5,$B$1)</f>
        <v>31.381</v>
      </c>
      <c r="AE94" s="55">
        <f>_xll.EQNXTDZ($A$1,$B94,AE$5,$B$1)</f>
        <v>0</v>
      </c>
      <c r="AF94" s="55">
        <f>_xll.EQNXTDZ($A$1,$B94,AF$5,$B$1)</f>
        <v>34.021000000000001</v>
      </c>
      <c r="AG94" s="55">
        <f>_xll.EQNXTDZ($A$1,$B94,AG$5,$B$1)</f>
        <v>0</v>
      </c>
      <c r="AH94" s="55">
        <f>_xll.EQNXTDZ($A$1,$B94,AH$5,$B$1)</f>
        <v>38.801000000000002</v>
      </c>
      <c r="AI94" s="55">
        <f>_xll.EQNXTDZ($A$1,$B94,AI$5,$B$1)</f>
        <v>0</v>
      </c>
      <c r="AJ94" s="55">
        <f>_xll.EQNXTDZ($A$1,$B94,AJ$5,$B$1)</f>
        <v>43.395000000000003</v>
      </c>
      <c r="AK94" s="55">
        <f>_xll.EQNXTDZ($A$1,$B94,AK$5,$B$1)</f>
        <v>0</v>
      </c>
      <c r="AL94" s="55">
        <f>_xll.EQNXTDZ($A$1,$B94,AL$5,$B$1)</f>
        <v>48.139000000000003</v>
      </c>
      <c r="AM94" s="55">
        <f>_xll.EQNXTDZ($A$1,$B94,AM$5,$B$1)</f>
        <v>0</v>
      </c>
      <c r="AN94" s="55">
        <f>_xll.EQNXTDZ($A$1,$B94,AN$5,$B$1)</f>
        <v>57.146999999999998</v>
      </c>
      <c r="AO94" s="55">
        <f>_xll.EQNXTDZ($A$1,$B94,AO$5,$B$1)</f>
        <v>0</v>
      </c>
      <c r="AP94" s="55">
        <f>_xll.EQNXTDZ($A$1,$B94,AP$5,$B$1)</f>
        <v>49.136000000000003</v>
      </c>
      <c r="AQ94" s="55">
        <f>_xll.EQNXTDZ($A$1,$B94,AQ$5,$B$1)</f>
        <v>0</v>
      </c>
      <c r="AR94" s="55">
        <f>_xll.EQNXTDZ($A$1,$B94,AR$5,$B$1)</f>
        <v>62.978999999999999</v>
      </c>
      <c r="AS94" s="55">
        <f>_xll.EQNXTDZ($A$1,$B94,AS$5,$B$1)</f>
        <v>0</v>
      </c>
      <c r="AT94" s="55">
        <f>_xll.EQNXTDZ($A$1,$B94,AT$5,$B$1)</f>
        <v>69.307000000000002</v>
      </c>
      <c r="AU94" s="55">
        <f>_xll.EQNXTDZ($A$1,$B94,AU$5,$B$1)</f>
        <v>0</v>
      </c>
      <c r="AV94" s="55">
        <f>_xll.EQNXTDZ($A$1,$B94,AV$5,$B$1)</f>
        <v>89.46</v>
      </c>
      <c r="AW94" s="55">
        <f>_xll.EQNXTDZ($A$1,$B94,AW$5,$B$1)</f>
        <v>0</v>
      </c>
      <c r="AX94" s="55">
        <f>_xll.EQNXTDZ($A$1,$B94,AX$5,$B$1)</f>
        <v>101.19499999999999</v>
      </c>
      <c r="AY94" s="55">
        <f>_xll.EQNXTDZ($A$1,$B94,AY$5,$B$1)</f>
        <v>0</v>
      </c>
      <c r="AZ94" s="55">
        <f>_xll.EQNXTDZ($A$1,$B94,AZ$5,$B$1)</f>
        <v>122.523</v>
      </c>
      <c r="BA94" s="55">
        <f>_xll.EQNXTDZ($A$1,$B94,BA$5,$B$1)</f>
        <v>0</v>
      </c>
      <c r="BB94" s="55">
        <f>_xll.EQNXTDZ($A$1,$B94,BB$5,$B$1)</f>
        <v>132.83699999999999</v>
      </c>
      <c r="BC94" s="55">
        <f>_xll.EQNXTDZ($A$1,$B94,BC$5,$B$1)</f>
        <v>0</v>
      </c>
      <c r="BD94" s="55">
        <f>_xll.EQNXTDZ($A$1,$B94,BD$5,$B$1)</f>
        <v>172.50800000000001</v>
      </c>
      <c r="BE94" s="55">
        <f>_xll.EQNXTDZ($A$1,$B94,BE$5,$B$1)</f>
        <v>0</v>
      </c>
      <c r="BF94" s="55">
        <f>_xll.EQNXTDZ($A$1,$B94,BF$5,$B$1)</f>
        <v>159.46799999999999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0.17299999999999999</v>
      </c>
      <c r="E96" s="55">
        <f>_xll.EQNXTDZ($A$1,$B96,E$5,$B$1)</f>
        <v>0</v>
      </c>
      <c r="F96" s="55">
        <f>_xll.EQNXTDZ($A$1,$B96,F$5,$B$1)</f>
        <v>0.307</v>
      </c>
      <c r="G96" s="55">
        <f>_xll.EQNXTDZ($A$1,$B96,G$5,$B$1)</f>
        <v>0</v>
      </c>
      <c r="H96" s="55">
        <f>_xll.EQNXTDZ($A$1,$B96,H$5,$B$1)</f>
        <v>0.307</v>
      </c>
      <c r="I96" s="55">
        <f>_xll.EQNXTDZ($A$1,$B96,I$5,$B$1)</f>
        <v>0</v>
      </c>
      <c r="J96" s="55">
        <f>_xll.EQNXTDZ($A$1,$B96,J$5,$B$1)</f>
        <v>0.38600000000000001</v>
      </c>
      <c r="K96" s="55">
        <f>_xll.EQNXTDZ($A$1,$B96,K$5,$B$1)</f>
        <v>0</v>
      </c>
      <c r="L96" s="55">
        <f>_xll.EQNXTDZ($A$1,$B96,L$5,$B$1)</f>
        <v>0.38600000000000001</v>
      </c>
      <c r="M96" s="55">
        <f>_xll.EQNXTDZ($A$1,$B96,M$5,$B$1)</f>
        <v>0</v>
      </c>
      <c r="N96" s="55">
        <f>_xll.EQNXTDZ($A$1,$B96,N$5,$B$1)</f>
        <v>0.36</v>
      </c>
      <c r="O96" s="55">
        <f>_xll.EQNXTDZ($A$1,$B96,O$5,$B$1)</f>
        <v>0</v>
      </c>
      <c r="P96" s="55">
        <f>_xll.EQNXTDZ($A$1,$B96,P$5,$B$1)</f>
        <v>0.36</v>
      </c>
      <c r="Q96" s="55">
        <f>_xll.EQNXTDZ($A$1,$B96,Q$5,$B$1)</f>
        <v>0</v>
      </c>
      <c r="R96" s="55">
        <f>_xll.EQNXTDZ($A$1,$B96,R$5,$B$1)</f>
        <v>0.42299999999999999</v>
      </c>
      <c r="S96" s="55">
        <f>_xll.EQNXTDZ($A$1,$B96,S$5,$B$1)</f>
        <v>0</v>
      </c>
      <c r="T96" s="55">
        <f>_xll.EQNXTDZ($A$1,$B96,T$5,$B$1)</f>
        <v>0.40899999999999997</v>
      </c>
      <c r="U96" s="55">
        <f>_xll.EQNXTDZ($A$1,$B96,U$5,$B$1)</f>
        <v>0</v>
      </c>
      <c r="V96" s="55">
        <f>_xll.EQNXTDZ($A$1,$B96,V$5,$B$1)</f>
        <v>0.48599999999999999</v>
      </c>
      <c r="W96" s="55">
        <f>_xll.EQNXTDZ($A$1,$B96,W$5,$B$1)</f>
        <v>0</v>
      </c>
      <c r="X96" s="55">
        <f>_xll.EQNXTDZ($A$1,$B96,X$5,$B$1)</f>
        <v>0.48599999999999999</v>
      </c>
      <c r="Y96" s="55">
        <f>_xll.EQNXTDZ($A$1,$B96,Y$5,$B$1)</f>
        <v>0</v>
      </c>
      <c r="Z96" s="55">
        <f>_xll.EQNXTDZ($A$1,$B96,Z$5,$B$1)</f>
        <v>-1.238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-1.1140000000000001</v>
      </c>
      <c r="AE96" s="55">
        <f>_xll.EQNXTDZ($A$1,$B96,AE$5,$B$1)</f>
        <v>0</v>
      </c>
      <c r="AF96" s="55">
        <f>_xll.EQNXTDZ($A$1,$B96,AF$5,$B$1)</f>
        <v>-1.1140000000000001</v>
      </c>
      <c r="AG96" s="55">
        <f>_xll.EQNXTDZ($A$1,$B96,AG$5,$B$1)</f>
        <v>0</v>
      </c>
      <c r="AH96" s="55">
        <f>_xll.EQNXTDZ($A$1,$B96,AH$5,$B$1)</f>
        <v>-1.0329999999999999</v>
      </c>
      <c r="AI96" s="55">
        <f>_xll.EQNXTDZ($A$1,$B96,AI$5,$B$1)</f>
        <v>0</v>
      </c>
      <c r="AJ96" s="55">
        <f>_xll.EQNXTDZ($A$1,$B96,AJ$5,$B$1)</f>
        <v>-1.0329999999999999</v>
      </c>
      <c r="AK96" s="55">
        <f>_xll.EQNXTDZ($A$1,$B96,AK$5,$B$1)</f>
        <v>0</v>
      </c>
      <c r="AL96" s="55">
        <f>_xll.EQNXTDZ($A$1,$B96,AL$5,$B$1)</f>
        <v>-0.71099999999999997</v>
      </c>
      <c r="AM96" s="55">
        <f>_xll.EQNXTDZ($A$1,$B96,AM$5,$B$1)</f>
        <v>0</v>
      </c>
      <c r="AN96" s="55">
        <f>_xll.EQNXTDZ($A$1,$B96,AN$5,$B$1)</f>
        <v>-0.71099999999999997</v>
      </c>
      <c r="AO96" s="55">
        <f>_xll.EQNXTDZ($A$1,$B96,AO$5,$B$1)</f>
        <v>0</v>
      </c>
      <c r="AP96" s="55">
        <f>_xll.EQNXTDZ($A$1,$B96,AP$5,$B$1)</f>
        <v>-1.006</v>
      </c>
      <c r="AQ96" s="55">
        <f>_xll.EQNXTDZ($A$1,$B96,AQ$5,$B$1)</f>
        <v>0</v>
      </c>
      <c r="AR96" s="55">
        <f>_xll.EQNXTDZ($A$1,$B96,AR$5,$B$1)</f>
        <v>-1.006</v>
      </c>
      <c r="AS96" s="55">
        <f>_xll.EQNXTDZ($A$1,$B96,AS$5,$B$1)</f>
        <v>0</v>
      </c>
      <c r="AT96" s="55">
        <f>_xll.EQNXTDZ($A$1,$B96,AT$5,$B$1)</f>
        <v>-0.46800000000000003</v>
      </c>
      <c r="AU96" s="55">
        <f>_xll.EQNXTDZ($A$1,$B96,AU$5,$B$1)</f>
        <v>0</v>
      </c>
      <c r="AV96" s="55">
        <f>_xll.EQNXTDZ($A$1,$B96,AV$5,$B$1)</f>
        <v>-0.46800000000000003</v>
      </c>
      <c r="AW96" s="55">
        <f>_xll.EQNXTDZ($A$1,$B96,AW$5,$B$1)</f>
        <v>0</v>
      </c>
      <c r="AX96" s="55">
        <f>_xll.EQNXTDZ($A$1,$B96,AX$5,$B$1)</f>
        <v>0.245</v>
      </c>
      <c r="AY96" s="55">
        <f>_xll.EQNXTDZ($A$1,$B96,AY$5,$B$1)</f>
        <v>0</v>
      </c>
      <c r="AZ96" s="55">
        <f>_xll.EQNXTDZ($A$1,$B96,AZ$5,$B$1)</f>
        <v>0.245</v>
      </c>
      <c r="BA96" s="55">
        <f>_xll.EQNXTDZ($A$1,$B96,BA$5,$B$1)</f>
        <v>0</v>
      </c>
      <c r="BB96" s="55">
        <f>_xll.EQNXTDZ($A$1,$B96,BB$5,$B$1)</f>
        <v>0.45100000000000001</v>
      </c>
      <c r="BC96" s="55">
        <f>_xll.EQNXTDZ($A$1,$B96,BC$5,$B$1)</f>
        <v>0</v>
      </c>
      <c r="BD96" s="55">
        <f>_xll.EQNXTDZ($A$1,$B96,BD$5,$B$1)</f>
        <v>0.45100000000000001</v>
      </c>
      <c r="BE96" s="55">
        <f>_xll.EQNXTDZ($A$1,$B96,BE$5,$B$1)</f>
        <v>0</v>
      </c>
      <c r="BF96" s="55">
        <f>_xll.EQNXTDZ($A$1,$B96,BF$5,$B$1)</f>
        <v>-5.1999999999999998E-2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20.388999999999999</v>
      </c>
      <c r="E97" s="55">
        <f>_xll.EQNXTDZ($A$1,$B97,E$5,$B$1)</f>
        <v>0</v>
      </c>
      <c r="F97" s="55">
        <f>_xll.EQNXTDZ($A$1,$B97,F$5,$B$1)</f>
        <v>23.893999999999998</v>
      </c>
      <c r="G97" s="55">
        <f>_xll.EQNXTDZ($A$1,$B97,G$5,$B$1)</f>
        <v>0</v>
      </c>
      <c r="H97" s="55">
        <f>_xll.EQNXTDZ($A$1,$B97,H$5,$B$1)</f>
        <v>25.366</v>
      </c>
      <c r="I97" s="55">
        <f>_xll.EQNXTDZ($A$1,$B97,I$5,$B$1)</f>
        <v>0</v>
      </c>
      <c r="J97" s="55">
        <f>_xll.EQNXTDZ($A$1,$B97,J$5,$B$1)</f>
        <v>25.373000000000001</v>
      </c>
      <c r="K97" s="55">
        <f>_xll.EQNXTDZ($A$1,$B97,K$5,$B$1)</f>
        <v>0</v>
      </c>
      <c r="L97" s="55">
        <f>_xll.EQNXTDZ($A$1,$B97,L$5,$B$1)</f>
        <v>25.399000000000001</v>
      </c>
      <c r="M97" s="55">
        <f>_xll.EQNXTDZ($A$1,$B97,M$5,$B$1)</f>
        <v>0</v>
      </c>
      <c r="N97" s="55">
        <f>_xll.EQNXTDZ($A$1,$B97,N$5,$B$1)</f>
        <v>23.437000000000001</v>
      </c>
      <c r="O97" s="55">
        <f>_xll.EQNXTDZ($A$1,$B97,O$5,$B$1)</f>
        <v>0</v>
      </c>
      <c r="P97" s="55">
        <f>_xll.EQNXTDZ($A$1,$B97,P$5,$B$1)</f>
        <v>23.327000000000002</v>
      </c>
      <c r="Q97" s="55">
        <f>_xll.EQNXTDZ($A$1,$B97,Q$5,$B$1)</f>
        <v>0</v>
      </c>
      <c r="R97" s="55">
        <f>_xll.EQNXTDZ($A$1,$B97,R$5,$B$1)</f>
        <v>22.431999999999999</v>
      </c>
      <c r="S97" s="55">
        <f>_xll.EQNXTDZ($A$1,$B97,S$5,$B$1)</f>
        <v>0</v>
      </c>
      <c r="T97" s="55">
        <f>_xll.EQNXTDZ($A$1,$B97,T$5,$B$1)</f>
        <v>22.564</v>
      </c>
      <c r="U97" s="55">
        <f>_xll.EQNXTDZ($A$1,$B97,U$5,$B$1)</f>
        <v>0</v>
      </c>
      <c r="V97" s="55">
        <f>_xll.EQNXTDZ($A$1,$B97,V$5,$B$1)</f>
        <v>22.294</v>
      </c>
      <c r="W97" s="55">
        <f>_xll.EQNXTDZ($A$1,$B97,W$5,$B$1)</f>
        <v>0</v>
      </c>
      <c r="X97" s="55">
        <f>_xll.EQNXTDZ($A$1,$B97,X$5,$B$1)</f>
        <v>35.215000000000003</v>
      </c>
      <c r="Y97" s="55">
        <f>_xll.EQNXTDZ($A$1,$B97,Y$5,$B$1)</f>
        <v>0</v>
      </c>
      <c r="Z97" s="55">
        <f>_xll.EQNXTDZ($A$1,$B97,Z$5,$B$1)</f>
        <v>37.491999999999997</v>
      </c>
      <c r="AA97" s="55">
        <f>_xll.EQNXTDZ($A$1,$B97,AA$5,$B$1)</f>
        <v>0</v>
      </c>
      <c r="AB97" s="55">
        <f>_xll.EQNXTDZ($A$1,$B97,AB$5,$B$1)</f>
        <v>39.283000000000001</v>
      </c>
      <c r="AC97" s="55">
        <f>_xll.EQNXTDZ($A$1,$B97,AC$5,$B$1)</f>
        <v>0</v>
      </c>
      <c r="AD97" s="55">
        <f>_xll.EQNXTDZ($A$1,$B97,AD$5,$B$1)</f>
        <v>43.408999999999999</v>
      </c>
      <c r="AE97" s="55">
        <f>_xll.EQNXTDZ($A$1,$B97,AE$5,$B$1)</f>
        <v>0</v>
      </c>
      <c r="AF97" s="55">
        <f>_xll.EQNXTDZ($A$1,$B97,AF$5,$B$1)</f>
        <v>46.005000000000003</v>
      </c>
      <c r="AG97" s="55">
        <f>_xll.EQNXTDZ($A$1,$B97,AG$5,$B$1)</f>
        <v>0</v>
      </c>
      <c r="AH97" s="55">
        <f>_xll.EQNXTDZ($A$1,$B97,AH$5,$B$1)</f>
        <v>55.334000000000003</v>
      </c>
      <c r="AI97" s="55">
        <f>_xll.EQNXTDZ($A$1,$B97,AI$5,$B$1)</f>
        <v>0</v>
      </c>
      <c r="AJ97" s="55">
        <f>_xll.EQNXTDZ($A$1,$B97,AJ$5,$B$1)</f>
        <v>58.930999999999997</v>
      </c>
      <c r="AK97" s="55">
        <f>_xll.EQNXTDZ($A$1,$B97,AK$5,$B$1)</f>
        <v>0</v>
      </c>
      <c r="AL97" s="55">
        <f>_xll.EQNXTDZ($A$1,$B97,AL$5,$B$1)</f>
        <v>69.388000000000005</v>
      </c>
      <c r="AM97" s="55">
        <f>_xll.EQNXTDZ($A$1,$B97,AM$5,$B$1)</f>
        <v>0</v>
      </c>
      <c r="AN97" s="55">
        <f>_xll.EQNXTDZ($A$1,$B97,AN$5,$B$1)</f>
        <v>74.215999999999994</v>
      </c>
      <c r="AO97" s="55">
        <f>_xll.EQNXTDZ($A$1,$B97,AO$5,$B$1)</f>
        <v>0</v>
      </c>
      <c r="AP97" s="55">
        <f>_xll.EQNXTDZ($A$1,$B97,AP$5,$B$1)</f>
        <v>85.524000000000001</v>
      </c>
      <c r="AQ97" s="55">
        <f>_xll.EQNXTDZ($A$1,$B97,AQ$5,$B$1)</f>
        <v>0</v>
      </c>
      <c r="AR97" s="55">
        <f>_xll.EQNXTDZ($A$1,$B97,AR$5,$B$1)</f>
        <v>98.369</v>
      </c>
      <c r="AS97" s="55">
        <f>_xll.EQNXTDZ($A$1,$B97,AS$5,$B$1)</f>
        <v>0</v>
      </c>
      <c r="AT97" s="55">
        <f>_xll.EQNXTDZ($A$1,$B97,AT$5,$B$1)</f>
        <v>110.54300000000001</v>
      </c>
      <c r="AU97" s="55">
        <f>_xll.EQNXTDZ($A$1,$B97,AU$5,$B$1)</f>
        <v>0</v>
      </c>
      <c r="AV97" s="55">
        <f>_xll.EQNXTDZ($A$1,$B97,AV$5,$B$1)</f>
        <v>132.95400000000001</v>
      </c>
      <c r="AW97" s="55">
        <f>_xll.EQNXTDZ($A$1,$B97,AW$5,$B$1)</f>
        <v>0</v>
      </c>
      <c r="AX97" s="55">
        <f>_xll.EQNXTDZ($A$1,$B97,AX$5,$B$1)</f>
        <v>170.73</v>
      </c>
      <c r="AY97" s="55">
        <f>_xll.EQNXTDZ($A$1,$B97,AY$5,$B$1)</f>
        <v>0</v>
      </c>
      <c r="AZ97" s="55">
        <f>_xll.EQNXTDZ($A$1,$B97,AZ$5,$B$1)</f>
        <v>202.82400000000001</v>
      </c>
      <c r="BA97" s="55">
        <f>_xll.EQNXTDZ($A$1,$B97,BA$5,$B$1)</f>
        <v>0</v>
      </c>
      <c r="BB97" s="55">
        <f>_xll.EQNXTDZ($A$1,$B97,BB$5,$B$1)</f>
        <v>255.446</v>
      </c>
      <c r="BC97" s="55">
        <f>_xll.EQNXTDZ($A$1,$B97,BC$5,$B$1)</f>
        <v>0</v>
      </c>
      <c r="BD97" s="55">
        <f>_xll.EQNXTDZ($A$1,$B97,BD$5,$B$1)</f>
        <v>324.14</v>
      </c>
      <c r="BE97" s="55">
        <f>_xll.EQNXTDZ($A$1,$B97,BE$5,$B$1)</f>
        <v>0</v>
      </c>
      <c r="BF97" s="55">
        <f>_xll.EQNXTDZ($A$1,$B97,BF$5,$B$1)</f>
        <v>351.173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132406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Avantel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18.299236799999999</v>
      </c>
      <c r="D6" s="100">
        <f>_xll.EQNXTDZ($A$1,$B6,D$1,$B$1)</f>
        <v>7.7180276000000001</v>
      </c>
      <c r="E6" s="100">
        <f>_xll.EQNXTDZ($A$1,$B6,E$1,$B$1)</f>
        <v>6.6204983000000004</v>
      </c>
      <c r="F6" s="100">
        <f>_xll.EQNXTDZ($A$1,$B6,F$1,$B$1)</f>
        <v>9.8397860000000001</v>
      </c>
      <c r="G6" s="100">
        <f>_xll.EQNXTDZ($A$1,$B6,G$1,$B$1)</f>
        <v>13.2090307</v>
      </c>
      <c r="H6" s="100">
        <f>_xll.EQNXTDZ($A$1,$B6,H$1,$B$1)</f>
        <v>16.4950191</v>
      </c>
      <c r="I6" s="100">
        <f>_xll.EQNXTDZ($A$1,$B6,I$1,$B$1)</f>
        <v>26.119254900000001</v>
      </c>
      <c r="J6" s="100">
        <f>_xll.EQNXTDZ($A$1,$B6,J$1,$B$1)</f>
        <v>26.7658679</v>
      </c>
      <c r="K6" s="100">
        <f>_xll.EQNXTDZ($A$1,$B6,K$1,$B$1)</f>
        <v>27.279905299999999</v>
      </c>
      <c r="L6" s="100">
        <f>_xll.EQNXTDZ($A$1,$B6,L$1,$B$1)</f>
        <v>22.690498300000002</v>
      </c>
      <c r="M6" s="100">
        <f>_xll.EQNXTDZ($A$1,$B6,M$1,$B$1)</f>
        <v>24.067049399999998</v>
      </c>
      <c r="N6" s="100">
        <f>_xll.EQNXTDZ($A$1,$B6,N$1,$B$1)</f>
        <v>26.846307599999999</v>
      </c>
      <c r="O6" s="100">
        <f>_xll.EQNXTDZ($A$1,$B6,O$1,$B$1)</f>
        <v>46.997975799999999</v>
      </c>
      <c r="P6" s="100">
        <f>_xll.EQNXTDZ($A$1,$B6,P$1,$B$1)</f>
        <v>13.6706076</v>
      </c>
      <c r="Q6" s="100">
        <f>_xll.EQNXTDZ($A$1,$B6,Q$1,$B$1)</f>
        <v>26.1181932</v>
      </c>
      <c r="R6" s="100">
        <f>_xll.EQNXTDZ($A$1,$B6,R$1,$B$1)</f>
        <v>27.102640000000001</v>
      </c>
      <c r="S6" s="100">
        <f>_xll.EQNXTDZ($A$1,$B6,S$1,$B$1)</f>
        <v>35.204327300000003</v>
      </c>
      <c r="T6" s="100">
        <f>_xll.EQNXTDZ($A$1,$B6,T$1,$B$1)</f>
        <v>61.678060600000002</v>
      </c>
      <c r="U6" s="100">
        <f>_xll.EQNXTDZ($A$1,$B6,U$1,$B$1)</f>
        <v>58.7487499</v>
      </c>
      <c r="V6" s="100">
        <f>_xll.EQNXTDZ($A$1,$B6,V$1,$B$1)</f>
        <v>58.893212300000002</v>
      </c>
      <c r="W6" s="100">
        <f>_xll.EQNXTDZ($A$1,$B6,W$1,$B$1)</f>
        <v>85.671000000000006</v>
      </c>
      <c r="X6" s="100">
        <f>_xll.EQNXTDZ($A$1,$B6,X$1,$B$1)</f>
        <v>114.8913</v>
      </c>
      <c r="Y6" s="100">
        <f>_xll.EQNXTDZ($A$1,$B6,Y$1,$B$1)</f>
        <v>172.4881</v>
      </c>
      <c r="Z6" s="100">
        <f>_xll.EQNXTDZ($A$1,$B6,Z$1,$B$1)</f>
        <v>251.1259</v>
      </c>
      <c r="AA6" s="100">
        <f>_xll.EQNXTDZ($A$1,$B6,AA$1,$B$1)</f>
        <v>276.02719999999999</v>
      </c>
      <c r="AB6" s="100">
        <f>_xll.EQNXTDZ($A$1,$B6,AB$1,$B$1)</f>
        <v>257.13119999999998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2.6435151000000001</v>
      </c>
      <c r="D9" s="100">
        <f>_xll.EQNXTDZ($A$1,$B9,D$1,$B$1)</f>
        <v>0.83077849999999998</v>
      </c>
      <c r="E9" s="100">
        <f>_xll.EQNXTDZ($A$1,$B9,E$1,$B$1)</f>
        <v>0.73669910000000005</v>
      </c>
      <c r="F9" s="100">
        <f>_xll.EQNXTDZ($A$1,$B9,F$1,$B$1)</f>
        <v>0.52498840000000002</v>
      </c>
      <c r="G9" s="100">
        <f>_xll.EQNXTDZ($A$1,$B9,G$1,$B$1)</f>
        <v>1.4214415</v>
      </c>
      <c r="H9" s="100">
        <f>_xll.EQNXTDZ($A$1,$B9,H$1,$B$1)</f>
        <v>0.3748225</v>
      </c>
      <c r="I9" s="100">
        <f>_xll.EQNXTDZ($A$1,$B9,I$1,$B$1)</f>
        <v>3.4731337999999998</v>
      </c>
      <c r="J9" s="100">
        <f>_xll.EQNXTDZ($A$1,$B9,J$1,$B$1)</f>
        <v>2.7262873999999999</v>
      </c>
      <c r="K9" s="100">
        <f>_xll.EQNXTDZ($A$1,$B9,K$1,$B$1)</f>
        <v>1.5344947</v>
      </c>
      <c r="L9" s="100">
        <f>_xll.EQNXTDZ($A$1,$B9,L$1,$B$1)</f>
        <v>1.1464650999999999</v>
      </c>
      <c r="M9" s="100">
        <f>_xll.EQNXTDZ($A$1,$B9,M$1,$B$1)</f>
        <v>1.8058126999999999</v>
      </c>
      <c r="N9" s="100">
        <f>_xll.EQNXTDZ($A$1,$B9,N$1,$B$1)</f>
        <v>0.83247819999999995</v>
      </c>
      <c r="O9" s="100">
        <f>_xll.EQNXTDZ($A$1,$B9,O$1,$B$1)</f>
        <v>4.0519683999999998</v>
      </c>
      <c r="P9" s="100">
        <f>_xll.EQNXTDZ($A$1,$B9,P$1,$B$1)</f>
        <v>0.66522729999999997</v>
      </c>
      <c r="Q9" s="100">
        <f>_xll.EQNXTDZ($A$1,$B9,Q$1,$B$1)</f>
        <v>0.83559340000000004</v>
      </c>
      <c r="R9" s="100">
        <f>_xll.EQNXTDZ($A$1,$B9,R$1,$B$1)</f>
        <v>2.4716832000000002</v>
      </c>
      <c r="S9" s="100">
        <f>_xll.EQNXTDZ($A$1,$B9,S$1,$B$1)</f>
        <v>1.6166444</v>
      </c>
      <c r="T9" s="100">
        <f>_xll.EQNXTDZ($A$1,$B9,T$1,$B$1)</f>
        <v>9.9839493000000008</v>
      </c>
      <c r="U9" s="100">
        <f>_xll.EQNXTDZ($A$1,$B9,U$1,$B$1)</f>
        <v>8.2375275999999999</v>
      </c>
      <c r="V9" s="100">
        <f>_xll.EQNXTDZ($A$1,$B9,V$1,$B$1)</f>
        <v>6.9739069999999996</v>
      </c>
      <c r="W9" s="100">
        <f>_xll.EQNXTDZ($A$1,$B9,W$1,$B$1)</f>
        <v>7.9749999999999996</v>
      </c>
      <c r="X9" s="100">
        <f>_xll.EQNXTDZ($A$1,$B9,X$1,$B$1)</f>
        <v>9.9377999999999993</v>
      </c>
      <c r="Y9" s="100">
        <f>_xll.EQNXTDZ($A$1,$B9,Y$1,$B$1)</f>
        <v>18.036999999999999</v>
      </c>
      <c r="Z9" s="100">
        <f>_xll.EQNXTDZ($A$1,$B9,Z$1,$B$1)</f>
        <v>26.758900000000001</v>
      </c>
      <c r="AA9" s="100">
        <f>_xll.EQNXTDZ($A$1,$B9,AA$1,$B$1)</f>
        <v>26.901</v>
      </c>
      <c r="AB9" s="100">
        <f>_xll.EQNXTDZ($A$1,$B9,AB$1,$B$1)</f>
        <v>34.258800000000001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15.655721700000001</v>
      </c>
      <c r="D10" s="100">
        <f>_xll.EQNXTDZ($A$1,$B10,D$1,$B$1)</f>
        <v>6.8872491</v>
      </c>
      <c r="E10" s="100">
        <f>_xll.EQNXTDZ($A$1,$B10,E$1,$B$1)</f>
        <v>5.8837992000000003</v>
      </c>
      <c r="F10" s="100">
        <f>_xll.EQNXTDZ($A$1,$B10,F$1,$B$1)</f>
        <v>9.3147976000000003</v>
      </c>
      <c r="G10" s="100">
        <f>_xll.EQNXTDZ($A$1,$B10,G$1,$B$1)</f>
        <v>11.787589199999999</v>
      </c>
      <c r="H10" s="100">
        <f>_xll.EQNXTDZ($A$1,$B10,H$1,$B$1)</f>
        <v>16.1201966</v>
      </c>
      <c r="I10" s="100">
        <f>_xll.EQNXTDZ($A$1,$B10,I$1,$B$1)</f>
        <v>22.646121099999998</v>
      </c>
      <c r="J10" s="100">
        <f>_xll.EQNXTDZ($A$1,$B10,J$1,$B$1)</f>
        <v>24.0395805</v>
      </c>
      <c r="K10" s="100">
        <f>_xll.EQNXTDZ($A$1,$B10,K$1,$B$1)</f>
        <v>25.7454106</v>
      </c>
      <c r="L10" s="100">
        <f>_xll.EQNXTDZ($A$1,$B10,L$1,$B$1)</f>
        <v>21.544033200000001</v>
      </c>
      <c r="M10" s="100">
        <f>_xll.EQNXTDZ($A$1,$B10,M$1,$B$1)</f>
        <v>22.261236700000001</v>
      </c>
      <c r="N10" s="100">
        <f>_xll.EQNXTDZ($A$1,$B10,N$1,$B$1)</f>
        <v>26.013829399999999</v>
      </c>
      <c r="O10" s="100">
        <f>_xll.EQNXTDZ($A$1,$B10,O$1,$B$1)</f>
        <v>42.946007399999999</v>
      </c>
      <c r="P10" s="100">
        <f>_xll.EQNXTDZ($A$1,$B10,P$1,$B$1)</f>
        <v>13.005380300000001</v>
      </c>
      <c r="Q10" s="100">
        <f>_xll.EQNXTDZ($A$1,$B10,Q$1,$B$1)</f>
        <v>25.2825998</v>
      </c>
      <c r="R10" s="100">
        <f>_xll.EQNXTDZ($A$1,$B10,R$1,$B$1)</f>
        <v>24.6309568</v>
      </c>
      <c r="S10" s="100">
        <f>_xll.EQNXTDZ($A$1,$B10,S$1,$B$1)</f>
        <v>33.587682899999997</v>
      </c>
      <c r="T10" s="100">
        <f>_xll.EQNXTDZ($A$1,$B10,T$1,$B$1)</f>
        <v>51.694111300000003</v>
      </c>
      <c r="U10" s="100">
        <f>_xll.EQNXTDZ($A$1,$B10,U$1,$B$1)</f>
        <v>50.5112223</v>
      </c>
      <c r="V10" s="100">
        <f>_xll.EQNXTDZ($A$1,$B10,V$1,$B$1)</f>
        <v>51.919305299999998</v>
      </c>
      <c r="W10" s="100">
        <f>_xll.EQNXTDZ($A$1,$B10,W$1,$B$1)</f>
        <v>77.695999999999998</v>
      </c>
      <c r="X10" s="100">
        <f>_xll.EQNXTDZ($A$1,$B10,X$1,$B$1)</f>
        <v>104.95350000000001</v>
      </c>
      <c r="Y10" s="100">
        <f>_xll.EQNXTDZ($A$1,$B10,Y$1,$B$1)</f>
        <v>154.4511</v>
      </c>
      <c r="Z10" s="100">
        <f>_xll.EQNXTDZ($A$1,$B10,Z$1,$B$1)</f>
        <v>224.36699999999999</v>
      </c>
      <c r="AA10" s="100">
        <f>_xll.EQNXTDZ($A$1,$B10,AA$1,$B$1)</f>
        <v>249.12620000000001</v>
      </c>
      <c r="AB10" s="100">
        <f>_xll.EQNXTDZ($A$1,$B10,AB$1,$B$1)</f>
        <v>222.8724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-2.9007698</v>
      </c>
      <c r="D11" s="100">
        <f>_xll.EQNXTDZ($A$1,$B11,D$1,$B$1)</f>
        <v>1.1651066000000001</v>
      </c>
      <c r="E11" s="100">
        <f>_xll.EQNXTDZ($A$1,$B11,E$1,$B$1)</f>
        <v>0.14626919999999999</v>
      </c>
      <c r="F11" s="100">
        <f>_xll.EQNXTDZ($A$1,$B11,F$1,$B$1)</f>
        <v>0.25174400000000002</v>
      </c>
      <c r="G11" s="100">
        <f>_xll.EQNXTDZ($A$1,$B11,G$1,$B$1)</f>
        <v>0.30007270000000003</v>
      </c>
      <c r="H11" s="100">
        <f>_xll.EQNXTDZ($A$1,$B11,H$1,$B$1)</f>
        <v>-0.1346977</v>
      </c>
      <c r="I11" s="100">
        <f>_xll.EQNXTDZ($A$1,$B11,I$1,$B$1)</f>
        <v>0.79669999999999996</v>
      </c>
      <c r="J11" s="100">
        <f>_xll.EQNXTDZ($A$1,$B11,J$1,$B$1)</f>
        <v>-1.0825</v>
      </c>
      <c r="K11" s="100">
        <f>_xll.EQNXTDZ($A$1,$B11,K$1,$B$1)</f>
        <v>1.0647500000000001</v>
      </c>
      <c r="L11" s="100">
        <f>_xll.EQNXTDZ($A$1,$B11,L$1,$B$1)</f>
        <v>9.6570000000000003E-2</v>
      </c>
      <c r="M11" s="100">
        <f>_xll.EQNXTDZ($A$1,$B11,M$1,$B$1)</f>
        <v>-0.83616820000000003</v>
      </c>
      <c r="N11" s="100">
        <f>_xll.EQNXTDZ($A$1,$B11,N$1,$B$1)</f>
        <v>-0.49147259999999998</v>
      </c>
      <c r="O11" s="100">
        <f>_xll.EQNXTDZ($A$1,$B11,O$1,$B$1)</f>
        <v>2.5058938999999998</v>
      </c>
      <c r="P11" s="100">
        <f>_xll.EQNXTDZ($A$1,$B11,P$1,$B$1)</f>
        <v>-10.8942137</v>
      </c>
      <c r="Q11" s="100">
        <f>_xll.EQNXTDZ($A$1,$B11,Q$1,$B$1)</f>
        <v>2.1203512</v>
      </c>
      <c r="R11" s="100">
        <f>_xll.EQNXTDZ($A$1,$B11,R$1,$B$1)</f>
        <v>-1.4517888999999999</v>
      </c>
      <c r="S11" s="100">
        <f>_xll.EQNXTDZ($A$1,$B11,S$1,$B$1)</f>
        <v>4.7657797000000004</v>
      </c>
      <c r="T11" s="100">
        <f>_xll.EQNXTDZ($A$1,$B11,T$1,$B$1)</f>
        <v>2.4239909000000002</v>
      </c>
      <c r="U11" s="100">
        <f>_xll.EQNXTDZ($A$1,$B11,U$1,$B$1)</f>
        <v>2.9863076999999998</v>
      </c>
      <c r="V11" s="100">
        <f>_xll.EQNXTDZ($A$1,$B11,V$1,$B$1)</f>
        <v>-0.58551699999999995</v>
      </c>
      <c r="W11" s="100">
        <f>_xll.EQNXTDZ($A$1,$B11,W$1,$B$1)</f>
        <v>0.41810000000000003</v>
      </c>
      <c r="X11" s="100">
        <f>_xll.EQNXTDZ($A$1,$B11,X$1,$B$1)</f>
        <v>-4.0000999999999998</v>
      </c>
      <c r="Y11" s="100">
        <f>_xll.EQNXTDZ($A$1,$B11,Y$1,$B$1)</f>
        <v>-13.817399999999999</v>
      </c>
      <c r="Z11" s="100">
        <f>_xll.EQNXTDZ($A$1,$B11,Z$1,$B$1)</f>
        <v>-0.77610000000000001</v>
      </c>
      <c r="AA11" s="100">
        <f>_xll.EQNXTDZ($A$1,$B11,AA$1,$B$1)</f>
        <v>-19.8062</v>
      </c>
      <c r="AB11" s="100">
        <f>_xll.EQNXTDZ($A$1,$B11,AB$1,$B$1)</f>
        <v>-13.319699999999999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11.531491000000001</v>
      </c>
      <c r="D12" s="100">
        <f>_xll.EQNXTDZ($A$1,$B12,D$1,$B$1)</f>
        <v>3.2351773000000001</v>
      </c>
      <c r="E12" s="100">
        <f>_xll.EQNXTDZ($A$1,$B12,E$1,$B$1)</f>
        <v>1.9119843999999999</v>
      </c>
      <c r="F12" s="100">
        <f>_xll.EQNXTDZ($A$1,$B12,F$1,$B$1)</f>
        <v>3.1145469000000001</v>
      </c>
      <c r="G12" s="100">
        <f>_xll.EQNXTDZ($A$1,$B12,G$1,$B$1)</f>
        <v>4.1382070999999998</v>
      </c>
      <c r="H12" s="100">
        <f>_xll.EQNXTDZ($A$1,$B12,H$1,$B$1)</f>
        <v>9.2868735000000004</v>
      </c>
      <c r="I12" s="100">
        <f>_xll.EQNXTDZ($A$1,$B12,I$1,$B$1)</f>
        <v>10.4756117</v>
      </c>
      <c r="J12" s="100">
        <f>_xll.EQNXTDZ($A$1,$B12,J$1,$B$1)</f>
        <v>10.0934724</v>
      </c>
      <c r="K12" s="100">
        <f>_xll.EQNXTDZ($A$1,$B12,K$1,$B$1)</f>
        <v>11.616111800000001</v>
      </c>
      <c r="L12" s="100">
        <f>_xll.EQNXTDZ($A$1,$B12,L$1,$B$1)</f>
        <v>9.4828428000000002</v>
      </c>
      <c r="M12" s="100">
        <f>_xll.EQNXTDZ($A$1,$B12,M$1,$B$1)</f>
        <v>9.0803755000000006</v>
      </c>
      <c r="N12" s="100">
        <f>_xll.EQNXTDZ($A$1,$B12,N$1,$B$1)</f>
        <v>7.9786856999999998</v>
      </c>
      <c r="O12" s="100">
        <f>_xll.EQNXTDZ($A$1,$B12,O$1,$B$1)</f>
        <v>16.9104575</v>
      </c>
      <c r="P12" s="100">
        <f>_xll.EQNXTDZ($A$1,$B12,P$1,$B$1)</f>
        <v>9.7122665999999995</v>
      </c>
      <c r="Q12" s="100">
        <f>_xll.EQNXTDZ($A$1,$B12,Q$1,$B$1)</f>
        <v>8.1914517</v>
      </c>
      <c r="R12" s="100">
        <f>_xll.EQNXTDZ($A$1,$B12,R$1,$B$1)</f>
        <v>10.7290993</v>
      </c>
      <c r="S12" s="100">
        <f>_xll.EQNXTDZ($A$1,$B12,S$1,$B$1)</f>
        <v>10.0206883</v>
      </c>
      <c r="T12" s="100">
        <f>_xll.EQNXTDZ($A$1,$B12,T$1,$B$1)</f>
        <v>17.499437199999999</v>
      </c>
      <c r="U12" s="100">
        <f>_xll.EQNXTDZ($A$1,$B12,U$1,$B$1)</f>
        <v>11.3012488</v>
      </c>
      <c r="V12" s="100">
        <f>_xll.EQNXTDZ($A$1,$B12,V$1,$B$1)</f>
        <v>13.9483063</v>
      </c>
      <c r="W12" s="100">
        <f>_xll.EQNXTDZ($A$1,$B12,W$1,$B$1)</f>
        <v>26.570799999999998</v>
      </c>
      <c r="X12" s="100">
        <f>_xll.EQNXTDZ($A$1,$B12,X$1,$B$1)</f>
        <v>50.894199999999998</v>
      </c>
      <c r="Y12" s="100">
        <f>_xll.EQNXTDZ($A$1,$B12,Y$1,$B$1)</f>
        <v>76.997600000000006</v>
      </c>
      <c r="Z12" s="100">
        <f>_xll.EQNXTDZ($A$1,$B12,Z$1,$B$1)</f>
        <v>77.849800000000002</v>
      </c>
      <c r="AA12" s="100">
        <f>_xll.EQNXTDZ($A$1,$B12,AA$1,$B$1)</f>
        <v>83.736400000000003</v>
      </c>
      <c r="AB12" s="100">
        <f>_xll.EQNXTDZ($A$1,$B12,AB$1,$B$1)</f>
        <v>78.7333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9.7385200000000005E-2</v>
      </c>
      <c r="D13" s="100">
        <f>_xll.EQNXTDZ($A$1,$B13,D$1,$B$1)</f>
        <v>8.2254900000000006E-2</v>
      </c>
      <c r="E13" s="100">
        <f>_xll.EQNXTDZ($A$1,$B13,E$1,$B$1)</f>
        <v>6.9714899999999996E-2</v>
      </c>
      <c r="F13" s="100">
        <f>_xll.EQNXTDZ($A$1,$B13,F$1,$B$1)</f>
        <v>7.6823199999999994E-2</v>
      </c>
      <c r="G13" s="100">
        <f>_xll.EQNXTDZ($A$1,$B13,G$1,$B$1)</f>
        <v>8.5101899999999994E-2</v>
      </c>
      <c r="H13" s="100">
        <f>_xll.EQNXTDZ($A$1,$B13,H$1,$B$1)</f>
        <v>8.5185399999999994E-2</v>
      </c>
      <c r="I13" s="100">
        <f>_xll.EQNXTDZ($A$1,$B13,I$1,$B$1)</f>
        <v>0.1161523</v>
      </c>
      <c r="J13" s="100">
        <f>_xll.EQNXTDZ($A$1,$B13,J$1,$B$1)</f>
        <v>0.125115</v>
      </c>
      <c r="K13" s="100">
        <f>_xll.EQNXTDZ($A$1,$B13,K$1,$B$1)</f>
        <v>0.129109</v>
      </c>
      <c r="L13" s="100">
        <f>_xll.EQNXTDZ($A$1,$B13,L$1,$B$1)</f>
        <v>0.15622</v>
      </c>
      <c r="M13" s="100">
        <f>_xll.EQNXTDZ($A$1,$B13,M$1,$B$1)</f>
        <v>0.17792559999999999</v>
      </c>
      <c r="N13" s="100">
        <f>_xll.EQNXTDZ($A$1,$B13,N$1,$B$1)</f>
        <v>0.21663489999999999</v>
      </c>
      <c r="O13" s="100">
        <f>_xll.EQNXTDZ($A$1,$B13,O$1,$B$1)</f>
        <v>0.31574069999999999</v>
      </c>
      <c r="P13" s="100">
        <f>_xll.EQNXTDZ($A$1,$B13,P$1,$B$1)</f>
        <v>0.37934659999999998</v>
      </c>
      <c r="Q13" s="100">
        <f>_xll.EQNXTDZ($A$1,$B13,Q$1,$B$1)</f>
        <v>0.3269147</v>
      </c>
      <c r="R13" s="100">
        <f>_xll.EQNXTDZ($A$1,$B13,R$1,$B$1)</f>
        <v>0.32015470000000001</v>
      </c>
      <c r="S13" s="100">
        <f>_xll.EQNXTDZ($A$1,$B13,S$1,$B$1)</f>
        <v>0.31490449999999998</v>
      </c>
      <c r="T13" s="100">
        <f>_xll.EQNXTDZ($A$1,$B13,T$1,$B$1)</f>
        <v>0.42952489999999999</v>
      </c>
      <c r="U13" s="100">
        <f>_xll.EQNXTDZ($A$1,$B13,U$1,$B$1)</f>
        <v>0.46803899999999998</v>
      </c>
      <c r="V13" s="100">
        <f>_xll.EQNXTDZ($A$1,$B13,V$1,$B$1)</f>
        <v>0.43107329999999999</v>
      </c>
      <c r="W13" s="100">
        <f>_xll.EQNXTDZ($A$1,$B13,W$1,$B$1)</f>
        <v>0.51539999999999997</v>
      </c>
      <c r="X13" s="100">
        <f>_xll.EQNXTDZ($A$1,$B13,X$1,$B$1)</f>
        <v>0.60509999999999997</v>
      </c>
      <c r="Y13" s="100">
        <f>_xll.EQNXTDZ($A$1,$B13,Y$1,$B$1)</f>
        <v>0.90959999999999996</v>
      </c>
      <c r="Z13" s="100">
        <f>_xll.EQNXTDZ($A$1,$B13,Z$1,$B$1)</f>
        <v>1.6004</v>
      </c>
      <c r="AA13" s="100">
        <f>_xll.EQNXTDZ($A$1,$B13,AA$1,$B$1)</f>
        <v>2.3641999999999999</v>
      </c>
      <c r="AB13" s="100">
        <f>_xll.EQNXTDZ($A$1,$B13,AB$1,$B$1)</f>
        <v>3.3555000000000001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1.6868951999999999</v>
      </c>
      <c r="D14" s="100">
        <f>_xll.EQNXTDZ($A$1,$B14,D$1,$B$1)</f>
        <v>1.4504334999999999</v>
      </c>
      <c r="E14" s="100">
        <f>_xll.EQNXTDZ($A$1,$B14,E$1,$B$1)</f>
        <v>0.82994210000000002</v>
      </c>
      <c r="F14" s="100">
        <f>_xll.EQNXTDZ($A$1,$B14,F$1,$B$1)</f>
        <v>1.9424493</v>
      </c>
      <c r="G14" s="100">
        <f>_xll.EQNXTDZ($A$1,$B14,G$1,$B$1)</f>
        <v>2.6026172999999999</v>
      </c>
      <c r="H14" s="100">
        <f>_xll.EQNXTDZ($A$1,$B14,H$1,$B$1)</f>
        <v>2.3729569000000001</v>
      </c>
      <c r="I14" s="100">
        <f>_xll.EQNXTDZ($A$1,$B14,I$1,$B$1)</f>
        <v>2.8263584000000002</v>
      </c>
      <c r="J14" s="100">
        <f>_xll.EQNXTDZ($A$1,$B14,J$1,$B$1)</f>
        <v>2.6687514999999999</v>
      </c>
      <c r="K14" s="100">
        <f>_xll.EQNXTDZ($A$1,$B14,K$1,$B$1)</f>
        <v>4.2889502999999998</v>
      </c>
      <c r="L14" s="100">
        <f>_xll.EQNXTDZ($A$1,$B14,L$1,$B$1)</f>
        <v>2.8708090999999998</v>
      </c>
      <c r="M14" s="100">
        <f>_xll.EQNXTDZ($A$1,$B14,M$1,$B$1)</f>
        <v>3.1598937</v>
      </c>
      <c r="N14" s="100">
        <f>_xll.EQNXTDZ($A$1,$B14,N$1,$B$1)</f>
        <v>3.636107</v>
      </c>
      <c r="O14" s="100">
        <f>_xll.EQNXTDZ($A$1,$B14,O$1,$B$1)</f>
        <v>4.4441550000000003</v>
      </c>
      <c r="P14" s="100">
        <f>_xll.EQNXTDZ($A$1,$B14,P$1,$B$1)</f>
        <v>4.5982441999999999</v>
      </c>
      <c r="Q14" s="100">
        <f>_xll.EQNXTDZ($A$1,$B14,Q$1,$B$1)</f>
        <v>3.8597144999999999</v>
      </c>
      <c r="R14" s="100">
        <f>_xll.EQNXTDZ($A$1,$B14,R$1,$B$1)</f>
        <v>3.7923849000000001</v>
      </c>
      <c r="S14" s="100">
        <f>_xll.EQNXTDZ($A$1,$B14,S$1,$B$1)</f>
        <v>4.4539685999999996</v>
      </c>
      <c r="T14" s="100">
        <f>_xll.EQNXTDZ($A$1,$B14,T$1,$B$1)</f>
        <v>6.5585465999999997</v>
      </c>
      <c r="U14" s="100">
        <f>_xll.EQNXTDZ($A$1,$B14,U$1,$B$1)</f>
        <v>7.2356930999999998</v>
      </c>
      <c r="V14" s="100">
        <f>_xll.EQNXTDZ($A$1,$B14,V$1,$B$1)</f>
        <v>8.7857892</v>
      </c>
      <c r="W14" s="100">
        <f>_xll.EQNXTDZ($A$1,$B14,W$1,$B$1)</f>
        <v>8.5274000000000001</v>
      </c>
      <c r="X14" s="100">
        <f>_xll.EQNXTDZ($A$1,$B14,X$1,$B$1)</f>
        <v>10.691000000000001</v>
      </c>
      <c r="Y14" s="100">
        <f>_xll.EQNXTDZ($A$1,$B14,Y$1,$B$1)</f>
        <v>14.167</v>
      </c>
      <c r="Z14" s="100">
        <f>_xll.EQNXTDZ($A$1,$B14,Z$1,$B$1)</f>
        <v>29.806699999999999</v>
      </c>
      <c r="AA14" s="100">
        <f>_xll.EQNXTDZ($A$1,$B14,AA$1,$B$1)</f>
        <v>45.550899999999999</v>
      </c>
      <c r="AB14" s="100">
        <f>_xll.EQNXTDZ($A$1,$B14,AB$1,$B$1)</f>
        <v>47.273600000000002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1.1590495000000001</v>
      </c>
      <c r="D15" s="100">
        <f>_xll.EQNXTDZ($A$1,$B15,D$1,$B$1)</f>
        <v>0.46729110000000001</v>
      </c>
      <c r="E15" s="100">
        <f>_xll.EQNXTDZ($A$1,$B15,E$1,$B$1)</f>
        <v>0.31485669999999999</v>
      </c>
      <c r="F15" s="100">
        <f>_xll.EQNXTDZ($A$1,$B15,F$1,$B$1)</f>
        <v>0.60791899999999999</v>
      </c>
      <c r="G15" s="100">
        <f>_xll.EQNXTDZ($A$1,$B15,G$1,$B$1)</f>
        <v>1.4569547</v>
      </c>
      <c r="H15" s="100">
        <f>_xll.EQNXTDZ($A$1,$B15,H$1,$B$1)</f>
        <v>1.426515</v>
      </c>
      <c r="I15" s="100">
        <f>_xll.EQNXTDZ($A$1,$B15,I$1,$B$1)</f>
        <v>2.1730518999999999</v>
      </c>
      <c r="J15" s="100">
        <f>_xll.EQNXTDZ($A$1,$B15,J$1,$B$1)</f>
        <v>3.8075280999999999</v>
      </c>
      <c r="K15" s="100">
        <f>_xll.EQNXTDZ($A$1,$B15,K$1,$B$1)</f>
        <v>2.5073045</v>
      </c>
      <c r="L15" s="100">
        <f>_xll.EQNXTDZ($A$1,$B15,L$1,$B$1)</f>
        <v>4.7070498000000001</v>
      </c>
      <c r="M15" s="100">
        <f>_xll.EQNXTDZ($A$1,$B15,M$1,$B$1)</f>
        <v>3.8521076000000001</v>
      </c>
      <c r="N15" s="100">
        <f>_xll.EQNXTDZ($A$1,$B15,N$1,$B$1)</f>
        <v>5.0955897999999999</v>
      </c>
      <c r="O15" s="100">
        <f>_xll.EQNXTDZ($A$1,$B15,O$1,$B$1)</f>
        <v>5.7162587</v>
      </c>
      <c r="P15" s="100">
        <f>_xll.EQNXTDZ($A$1,$B15,P$1,$B$1)</f>
        <v>5.0894067999999999</v>
      </c>
      <c r="Q15" s="100">
        <f>_xll.EQNXTDZ($A$1,$B15,Q$1,$B$1)</f>
        <v>4.1378747000000002</v>
      </c>
      <c r="R15" s="100">
        <f>_xll.EQNXTDZ($A$1,$B15,R$1,$B$1)</f>
        <v>4.5550483000000002</v>
      </c>
      <c r="S15" s="100">
        <f>_xll.EQNXTDZ($A$1,$B15,S$1,$B$1)</f>
        <v>6.5507961000000003</v>
      </c>
      <c r="T15" s="100">
        <f>_xll.EQNXTDZ($A$1,$B15,T$1,$B$1)</f>
        <v>7.6230190000000002</v>
      </c>
      <c r="U15" s="100">
        <f>_xll.EQNXTDZ($A$1,$B15,U$1,$B$1)</f>
        <v>9.0361881999999998</v>
      </c>
      <c r="V15" s="100">
        <f>_xll.EQNXTDZ($A$1,$B15,V$1,$B$1)</f>
        <v>9.1301570999999999</v>
      </c>
      <c r="W15" s="100">
        <f>_xll.EQNXTDZ($A$1,$B15,W$1,$B$1)</f>
        <v>14.728300000000001</v>
      </c>
      <c r="X15" s="100">
        <f>_xll.EQNXTDZ($A$1,$B15,X$1,$B$1)</f>
        <v>13.4139</v>
      </c>
      <c r="Y15" s="100">
        <f>_xll.EQNXTDZ($A$1,$B15,Y$1,$B$1)</f>
        <v>19.588899999999999</v>
      </c>
      <c r="Z15" s="100">
        <f>_xll.EQNXTDZ($A$1,$B15,Z$1,$B$1)</f>
        <v>17.972999999999999</v>
      </c>
      <c r="AA15" s="100">
        <f>_xll.EQNXTDZ($A$1,$B15,AA$1,$B$1)</f>
        <v>24.2852</v>
      </c>
      <c r="AB15" s="100">
        <f>_xll.EQNXTDZ($A$1,$B15,AB$1,$B$1)</f>
        <v>36.435600000000001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1.4358641999999999</v>
      </c>
      <c r="D17" s="100">
        <f>_xll.EQNXTDZ($A$1,$B17,D$1,$B$1)</f>
        <v>1.0162433</v>
      </c>
      <c r="E17" s="100">
        <f>_xll.EQNXTDZ($A$1,$B17,E$1,$B$1)</f>
        <v>0.62148749999999997</v>
      </c>
      <c r="F17" s="100">
        <f>_xll.EQNXTDZ($A$1,$B17,F$1,$B$1)</f>
        <v>0.90997039999999996</v>
      </c>
      <c r="G17" s="100">
        <f>_xll.EQNXTDZ($A$1,$B17,G$1,$B$1)</f>
        <v>0.99331360000000002</v>
      </c>
      <c r="H17" s="100">
        <f>_xll.EQNXTDZ($A$1,$B17,H$1,$B$1)</f>
        <v>0.9204601</v>
      </c>
      <c r="I17" s="100">
        <f>_xll.EQNXTDZ($A$1,$B17,I$1,$B$1)</f>
        <v>0.96510530000000005</v>
      </c>
      <c r="J17" s="100">
        <f>_xll.EQNXTDZ($A$1,$B17,J$1,$B$1)</f>
        <v>1.0105816999999999</v>
      </c>
      <c r="K17" s="100">
        <f>_xll.EQNXTDZ($A$1,$B17,K$1,$B$1)</f>
        <v>1.1298237</v>
      </c>
      <c r="L17" s="100">
        <f>_xll.EQNXTDZ($A$1,$B17,L$1,$B$1)</f>
        <v>1.3121327</v>
      </c>
      <c r="M17" s="100">
        <f>_xll.EQNXTDZ($A$1,$B17,M$1,$B$1)</f>
        <v>1.2020928</v>
      </c>
      <c r="N17" s="100">
        <f>_xll.EQNXTDZ($A$1,$B17,N$1,$B$1)</f>
        <v>1.5696308000000001</v>
      </c>
      <c r="O17" s="100">
        <f>_xll.EQNXTDZ($A$1,$B17,O$1,$B$1)</f>
        <v>1.7852568</v>
      </c>
      <c r="P17" s="100">
        <f>_xll.EQNXTDZ($A$1,$B17,P$1,$B$1)</f>
        <v>1.4220883</v>
      </c>
      <c r="Q17" s="100">
        <f>_xll.EQNXTDZ($A$1,$B17,Q$1,$B$1)</f>
        <v>1.7349733000000001</v>
      </c>
      <c r="R17" s="100">
        <f>_xll.EQNXTDZ($A$1,$B17,R$1,$B$1)</f>
        <v>1.7149637</v>
      </c>
      <c r="S17" s="100">
        <f>_xll.EQNXTDZ($A$1,$B17,S$1,$B$1)</f>
        <v>2.0485693</v>
      </c>
      <c r="T17" s="100">
        <f>_xll.EQNXTDZ($A$1,$B17,T$1,$B$1)</f>
        <v>3.8482709000000002</v>
      </c>
      <c r="U17" s="100">
        <f>_xll.EQNXTDZ($A$1,$B17,U$1,$B$1)</f>
        <v>3.0252910000000002</v>
      </c>
      <c r="V17" s="100">
        <f>_xll.EQNXTDZ($A$1,$B17,V$1,$B$1)</f>
        <v>3.3359478999999999</v>
      </c>
      <c r="W17" s="100">
        <f>_xll.EQNXTDZ($A$1,$B17,W$1,$B$1)</f>
        <v>3.3929999999999998</v>
      </c>
      <c r="X17" s="100">
        <f>_xll.EQNXTDZ($A$1,$B17,X$1,$B$1)</f>
        <v>5.2563000000000004</v>
      </c>
      <c r="Y17" s="100">
        <f>_xll.EQNXTDZ($A$1,$B17,Y$1,$B$1)</f>
        <v>7.1021999999999998</v>
      </c>
      <c r="Z17" s="100">
        <f>_xll.EQNXTDZ($A$1,$B17,Z$1,$B$1)</f>
        <v>10.94</v>
      </c>
      <c r="AA17" s="100">
        <f>_xll.EQNXTDZ($A$1,$B17,AA$1,$B$1)</f>
        <v>15.8438</v>
      </c>
      <c r="AB17" s="100">
        <f>_xll.EQNXTDZ($A$1,$B17,AB$1,$B$1)</f>
        <v>16.246400000000001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0.2433391</v>
      </c>
      <c r="D18" s="100">
        <f>_xll.EQNXTDZ($A$1,$B18,D$1,$B$1)</f>
        <v>7.94604E-2</v>
      </c>
      <c r="E18" s="100">
        <f>_xll.EQNXTDZ($A$1,$B18,E$1,$B$1)</f>
        <v>4.0738499999999997E-2</v>
      </c>
      <c r="F18" s="100">
        <f>_xll.EQNXTDZ($A$1,$B18,F$1,$B$1)</f>
        <v>9.0562799999999999E-2</v>
      </c>
      <c r="G18" s="100">
        <f>_xll.EQNXTDZ($A$1,$B18,G$1,$B$1)</f>
        <v>0.33143119999999998</v>
      </c>
      <c r="H18" s="100">
        <f>_xll.EQNXTDZ($A$1,$B18,H$1,$B$1)</f>
        <v>0.13343050000000001</v>
      </c>
      <c r="I18" s="100">
        <f>_xll.EQNXTDZ($A$1,$B18,I$1,$B$1)</f>
        <v>0.34086240000000001</v>
      </c>
      <c r="J18" s="100">
        <f>_xll.EQNXTDZ($A$1,$B18,J$1,$B$1)</f>
        <v>0.4275118</v>
      </c>
      <c r="K18" s="100">
        <f>_xll.EQNXTDZ($A$1,$B18,K$1,$B$1)</f>
        <v>0.42315849999999999</v>
      </c>
      <c r="L18" s="100">
        <f>_xll.EQNXTDZ($A$1,$B18,L$1,$B$1)</f>
        <v>0.30434729999999999</v>
      </c>
      <c r="M18" s="100">
        <f>_xll.EQNXTDZ($A$1,$B18,M$1,$B$1)</f>
        <v>0.79957809999999996</v>
      </c>
      <c r="N18" s="100">
        <f>_xll.EQNXTDZ($A$1,$B18,N$1,$B$1)</f>
        <v>1.0270155000000001</v>
      </c>
      <c r="O18" s="100">
        <f>_xll.EQNXTDZ($A$1,$B18,O$1,$B$1)</f>
        <v>0.76407499999999995</v>
      </c>
      <c r="P18" s="100">
        <f>_xll.EQNXTDZ($A$1,$B18,P$1,$B$1)</f>
        <v>0.4761725</v>
      </c>
      <c r="Q18" s="100">
        <f>_xll.EQNXTDZ($A$1,$B18,Q$1,$B$1)</f>
        <v>0.47265249999999998</v>
      </c>
      <c r="R18" s="100">
        <f>_xll.EQNXTDZ($A$1,$B18,R$1,$B$1)</f>
        <v>0.86862240000000002</v>
      </c>
      <c r="S18" s="100">
        <f>_xll.EQNXTDZ($A$1,$B18,S$1,$B$1)</f>
        <v>1.4332001999999999</v>
      </c>
      <c r="T18" s="100">
        <f>_xll.EQNXTDZ($A$1,$B18,T$1,$B$1)</f>
        <v>1.5225959</v>
      </c>
      <c r="U18" s="100">
        <f>_xll.EQNXTDZ($A$1,$B18,U$1,$B$1)</f>
        <v>2.1022729999999998</v>
      </c>
      <c r="V18" s="100">
        <f>_xll.EQNXTDZ($A$1,$B18,V$1,$B$1)</f>
        <v>1.1886794000000001</v>
      </c>
      <c r="W18" s="100">
        <f>_xll.EQNXTDZ($A$1,$B18,W$1,$B$1)</f>
        <v>1.0883</v>
      </c>
      <c r="X18" s="100">
        <f>_xll.EQNXTDZ($A$1,$B18,X$1,$B$1)</f>
        <v>1.0621</v>
      </c>
      <c r="Y18" s="100">
        <f>_xll.EQNXTDZ($A$1,$B18,Y$1,$B$1)</f>
        <v>1.7907</v>
      </c>
      <c r="Z18" s="100">
        <f>_xll.EQNXTDZ($A$1,$B18,Z$1,$B$1)</f>
        <v>2.9056000000000002</v>
      </c>
      <c r="AA18" s="100">
        <f>_xll.EQNXTDZ($A$1,$B18,AA$1,$B$1)</f>
        <v>2.2118000000000002</v>
      </c>
      <c r="AB18" s="100">
        <f>_xll.EQNXTDZ($A$1,$B18,AB$1,$B$1)</f>
        <v>3.6448999999999998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0.59685149999999998</v>
      </c>
      <c r="D19" s="100">
        <f>_xll.EQNXTDZ($A$1,$B19,D$1,$B$1)</f>
        <v>0.51204910000000003</v>
      </c>
      <c r="E19" s="100">
        <f>_xll.EQNXTDZ($A$1,$B19,E$1,$B$1)</f>
        <v>0.67300720000000003</v>
      </c>
      <c r="F19" s="100">
        <f>_xll.EQNXTDZ($A$1,$B19,F$1,$B$1)</f>
        <v>0.38333889999999998</v>
      </c>
      <c r="G19" s="100">
        <f>_xll.EQNXTDZ($A$1,$B19,G$1,$B$1)</f>
        <v>4.0996199999999997E-2</v>
      </c>
      <c r="H19" s="100">
        <f>_xll.EQNXTDZ($A$1,$B19,H$1,$B$1)</f>
        <v>2.7100699999999998E-2</v>
      </c>
      <c r="I19" s="100">
        <f>_xll.EQNXTDZ($A$1,$B19,I$1,$B$1)</f>
        <v>4.3175199999999997E-2</v>
      </c>
      <c r="J19" s="100">
        <f>_xll.EQNXTDZ($A$1,$B19,J$1,$B$1)</f>
        <v>6.7000000000000004E-2</v>
      </c>
      <c r="K19" s="100">
        <f>_xll.EQNXTDZ($A$1,$B19,K$1,$B$1)</f>
        <v>0.1528186</v>
      </c>
      <c r="L19" s="100">
        <f>_xll.EQNXTDZ($A$1,$B19,L$1,$B$1)</f>
        <v>3.9228899999999997E-2</v>
      </c>
      <c r="M19" s="100">
        <f>_xll.EQNXTDZ($A$1,$B19,M$1,$B$1)</f>
        <v>0.22767019999999999</v>
      </c>
      <c r="N19" s="100">
        <f>_xll.EQNXTDZ($A$1,$B19,N$1,$B$1)</f>
        <v>0.71363310000000002</v>
      </c>
      <c r="O19" s="100">
        <f>_xll.EQNXTDZ($A$1,$B19,O$1,$B$1)</f>
        <v>0.26440459999999999</v>
      </c>
      <c r="P19" s="100">
        <f>_xll.EQNXTDZ($A$1,$B19,P$1,$B$1)</f>
        <v>0.44517190000000001</v>
      </c>
      <c r="Q19" s="100">
        <f>_xll.EQNXTDZ($A$1,$B19,Q$1,$B$1)</f>
        <v>0.3694615</v>
      </c>
      <c r="R19" s="100">
        <f>_xll.EQNXTDZ($A$1,$B19,R$1,$B$1)</f>
        <v>0.16980509999999999</v>
      </c>
      <c r="S19" s="100">
        <f>_xll.EQNXTDZ($A$1,$B19,S$1,$B$1)</f>
        <v>0.1434849</v>
      </c>
      <c r="T19" s="100">
        <f>_xll.EQNXTDZ($A$1,$B19,T$1,$B$1)</f>
        <v>0.53420570000000001</v>
      </c>
      <c r="U19" s="100">
        <f>_xll.EQNXTDZ($A$1,$B19,U$1,$B$1)</f>
        <v>0.14014650000000001</v>
      </c>
      <c r="V19" s="100">
        <f>_xll.EQNXTDZ($A$1,$B19,V$1,$B$1)</f>
        <v>0.30428379999999999</v>
      </c>
      <c r="W19" s="100">
        <f>_xll.EQNXTDZ($A$1,$B19,W$1,$B$1)</f>
        <v>0.2792</v>
      </c>
      <c r="X19" s="100">
        <f>_xll.EQNXTDZ($A$1,$B19,X$1,$B$1)</f>
        <v>0.3921</v>
      </c>
      <c r="Y19" s="100">
        <f>_xll.EQNXTDZ($A$1,$B19,Y$1,$B$1)</f>
        <v>0.89229999999999998</v>
      </c>
      <c r="Z19" s="100">
        <f>_xll.EQNXTDZ($A$1,$B19,Z$1,$B$1)</f>
        <v>2.2707999999999999</v>
      </c>
      <c r="AA19" s="100">
        <f>_xll.EQNXTDZ($A$1,$B19,AA$1,$B$1)</f>
        <v>2.4388999999999998</v>
      </c>
      <c r="AB19" s="100">
        <f>_xll.EQNXTDZ($A$1,$B19,AB$1,$B$1)</f>
        <v>2.6230000000000002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13.850105900000001</v>
      </c>
      <c r="D21" s="100">
        <f>_xll.EQNXTDZ($A$1,$B21,D$1,$B$1)</f>
        <v>8.0080162000000001</v>
      </c>
      <c r="E21" s="100">
        <f>_xll.EQNXTDZ($A$1,$B21,E$1,$B$1)</f>
        <v>4.6080005000000002</v>
      </c>
      <c r="F21" s="100">
        <f>_xll.EQNXTDZ($A$1,$B21,F$1,$B$1)</f>
        <v>7.3773545</v>
      </c>
      <c r="G21" s="100">
        <f>_xll.EQNXTDZ($A$1,$B21,G$1,$B$1)</f>
        <v>9.9486947000000008</v>
      </c>
      <c r="H21" s="100">
        <f>_xll.EQNXTDZ($A$1,$B21,H$1,$B$1)</f>
        <v>14.1178244</v>
      </c>
      <c r="I21" s="100">
        <f>_xll.EQNXTDZ($A$1,$B21,I$1,$B$1)</f>
        <v>17.7370172</v>
      </c>
      <c r="J21" s="100">
        <f>_xll.EQNXTDZ($A$1,$B21,J$1,$B$1)</f>
        <v>17.1174605</v>
      </c>
      <c r="K21" s="100">
        <f>_xll.EQNXTDZ($A$1,$B21,K$1,$B$1)</f>
        <v>21.312026400000001</v>
      </c>
      <c r="L21" s="100">
        <f>_xll.EQNXTDZ($A$1,$B21,L$1,$B$1)</f>
        <v>18.969200600000001</v>
      </c>
      <c r="M21" s="100">
        <f>_xll.EQNXTDZ($A$1,$B21,M$1,$B$1)</f>
        <v>17.663475300000002</v>
      </c>
      <c r="N21" s="100">
        <f>_xll.EQNXTDZ($A$1,$B21,N$1,$B$1)</f>
        <v>19.745824200000001</v>
      </c>
      <c r="O21" s="100">
        <f>_xll.EQNXTDZ($A$1,$B21,O$1,$B$1)</f>
        <v>32.706242199999998</v>
      </c>
      <c r="P21" s="100">
        <f>_xll.EQNXTDZ($A$1,$B21,P$1,$B$1)</f>
        <v>11.228483199999999</v>
      </c>
      <c r="Q21" s="100">
        <f>_xll.EQNXTDZ($A$1,$B21,Q$1,$B$1)</f>
        <v>21.213394099999999</v>
      </c>
      <c r="R21" s="100">
        <f>_xll.EQNXTDZ($A$1,$B21,R$1,$B$1)</f>
        <v>20.698289500000001</v>
      </c>
      <c r="S21" s="100">
        <f>_xll.EQNXTDZ($A$1,$B21,S$1,$B$1)</f>
        <v>29.731391599999998</v>
      </c>
      <c r="T21" s="100">
        <f>_xll.EQNXTDZ($A$1,$B21,T$1,$B$1)</f>
        <v>40.439591100000001</v>
      </c>
      <c r="U21" s="100">
        <f>_xll.EQNXTDZ($A$1,$B21,U$1,$B$1)</f>
        <v>36.295187300000002</v>
      </c>
      <c r="V21" s="100">
        <f>_xll.EQNXTDZ($A$1,$B21,V$1,$B$1)</f>
        <v>36.538719999999998</v>
      </c>
      <c r="W21" s="100">
        <f>_xll.EQNXTDZ($A$1,$B21,W$1,$B$1)</f>
        <v>55.520499999999998</v>
      </c>
      <c r="X21" s="100">
        <f>_xll.EQNXTDZ($A$1,$B21,X$1,$B$1)</f>
        <v>78.314599999999999</v>
      </c>
      <c r="Y21" s="100">
        <f>_xll.EQNXTDZ($A$1,$B21,Y$1,$B$1)</f>
        <v>107.6309</v>
      </c>
      <c r="Z21" s="100">
        <f>_xll.EQNXTDZ($A$1,$B21,Z$1,$B$1)</f>
        <v>142.5702</v>
      </c>
      <c r="AA21" s="100">
        <f>_xll.EQNXTDZ($A$1,$B21,AA$1,$B$1)</f>
        <v>156.625</v>
      </c>
      <c r="AB21" s="100">
        <f>_xll.EQNXTDZ($A$1,$B21,AB$1,$B$1)</f>
        <v>174.99260000000001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1.8056158</v>
      </c>
      <c r="D22" s="100">
        <f>_xll.EQNXTDZ($A$1,$B22,D$1,$B$1)</f>
        <v>-1.1207670999999999</v>
      </c>
      <c r="E22" s="100">
        <f>_xll.EQNXTDZ($A$1,$B22,E$1,$B$1)</f>
        <v>1.2757987</v>
      </c>
      <c r="F22" s="100">
        <f>_xll.EQNXTDZ($A$1,$B22,F$1,$B$1)</f>
        <v>1.9374431000000001</v>
      </c>
      <c r="G22" s="100">
        <f>_xll.EQNXTDZ($A$1,$B22,G$1,$B$1)</f>
        <v>1.8388945000000001</v>
      </c>
      <c r="H22" s="100">
        <f>_xll.EQNXTDZ($A$1,$B22,H$1,$B$1)</f>
        <v>2.0023721999999999</v>
      </c>
      <c r="I22" s="100">
        <f>_xll.EQNXTDZ($A$1,$B22,I$1,$B$1)</f>
        <v>4.9091038999999999</v>
      </c>
      <c r="J22" s="100">
        <f>_xll.EQNXTDZ($A$1,$B22,J$1,$B$1)</f>
        <v>6.9221199999999996</v>
      </c>
      <c r="K22" s="100">
        <f>_xll.EQNXTDZ($A$1,$B22,K$1,$B$1)</f>
        <v>4.4333841999999999</v>
      </c>
      <c r="L22" s="100">
        <f>_xll.EQNXTDZ($A$1,$B22,L$1,$B$1)</f>
        <v>2.5748326000000001</v>
      </c>
      <c r="M22" s="100">
        <f>_xll.EQNXTDZ($A$1,$B22,M$1,$B$1)</f>
        <v>4.5977614000000004</v>
      </c>
      <c r="N22" s="100">
        <f>_xll.EQNXTDZ($A$1,$B22,N$1,$B$1)</f>
        <v>6.2680052000000002</v>
      </c>
      <c r="O22" s="100">
        <f>_xll.EQNXTDZ($A$1,$B22,O$1,$B$1)</f>
        <v>10.239765200000001</v>
      </c>
      <c r="P22" s="100">
        <f>_xll.EQNXTDZ($A$1,$B22,P$1,$B$1)</f>
        <v>1.7768971</v>
      </c>
      <c r="Q22" s="100">
        <f>_xll.EQNXTDZ($A$1,$B22,Q$1,$B$1)</f>
        <v>4.0692057000000004</v>
      </c>
      <c r="R22" s="100">
        <f>_xll.EQNXTDZ($A$1,$B22,R$1,$B$1)</f>
        <v>3.9326672999999999</v>
      </c>
      <c r="S22" s="100">
        <f>_xll.EQNXTDZ($A$1,$B22,S$1,$B$1)</f>
        <v>3.8562913000000001</v>
      </c>
      <c r="T22" s="100">
        <f>_xll.EQNXTDZ($A$1,$B22,T$1,$B$1)</f>
        <v>11.2545202</v>
      </c>
      <c r="U22" s="100">
        <f>_xll.EQNXTDZ($A$1,$B22,U$1,$B$1)</f>
        <v>14.216035</v>
      </c>
      <c r="V22" s="100">
        <f>_xll.EQNXTDZ($A$1,$B22,V$1,$B$1)</f>
        <v>15.3805853</v>
      </c>
      <c r="W22" s="100">
        <f>_xll.EQNXTDZ($A$1,$B22,W$1,$B$1)</f>
        <v>22.1755</v>
      </c>
      <c r="X22" s="100">
        <f>_xll.EQNXTDZ($A$1,$B22,X$1,$B$1)</f>
        <v>26.6389</v>
      </c>
      <c r="Y22" s="100">
        <f>_xll.EQNXTDZ($A$1,$B22,Y$1,$B$1)</f>
        <v>46.8202</v>
      </c>
      <c r="Z22" s="100">
        <f>_xll.EQNXTDZ($A$1,$B22,Z$1,$B$1)</f>
        <v>81.796800000000005</v>
      </c>
      <c r="AA22" s="100">
        <f>_xll.EQNXTDZ($A$1,$B22,AA$1,$B$1)</f>
        <v>92.501199999999997</v>
      </c>
      <c r="AB22" s="100">
        <f>_xll.EQNXTDZ($A$1,$B22,AB$1,$B$1)</f>
        <v>47.879800000000003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0.43856820000000002</v>
      </c>
      <c r="D23" s="100">
        <f>_xll.EQNXTDZ($A$1,$B23,D$1,$B$1)</f>
        <v>0.17192489999999999</v>
      </c>
      <c r="E23" s="100">
        <f>_xll.EQNXTDZ($A$1,$B23,E$1,$B$1)</f>
        <v>0.1385227</v>
      </c>
      <c r="F23" s="100">
        <f>_xll.EQNXTDZ($A$1,$B23,F$1,$B$1)</f>
        <v>8.2880700000000002E-2</v>
      </c>
      <c r="G23" s="100">
        <f>_xll.EQNXTDZ($A$1,$B23,G$1,$B$1)</f>
        <v>0.2605111</v>
      </c>
      <c r="H23" s="100">
        <f>_xll.EQNXTDZ($A$1,$B23,H$1,$B$1)</f>
        <v>0.39120300000000002</v>
      </c>
      <c r="I23" s="100">
        <f>_xll.EQNXTDZ($A$1,$B23,I$1,$B$1)</f>
        <v>0.21862989999999999</v>
      </c>
      <c r="J23" s="100">
        <f>_xll.EQNXTDZ($A$1,$B23,J$1,$B$1)</f>
        <v>0.58128550000000001</v>
      </c>
      <c r="K23" s="100">
        <f>_xll.EQNXTDZ($A$1,$B23,K$1,$B$1)</f>
        <v>0.32274639999999999</v>
      </c>
      <c r="L23" s="100">
        <f>_xll.EQNXTDZ($A$1,$B23,L$1,$B$1)</f>
        <v>0.1108441</v>
      </c>
      <c r="M23" s="100">
        <f>_xll.EQNXTDZ($A$1,$B23,M$1,$B$1)</f>
        <v>8.4818299999999999E-2</v>
      </c>
      <c r="N23" s="100">
        <f>_xll.EQNXTDZ($A$1,$B23,N$1,$B$1)</f>
        <v>6.6371399999999997E-2</v>
      </c>
      <c r="O23" s="100">
        <f>_xll.EQNXTDZ($A$1,$B23,O$1,$B$1)</f>
        <v>0.21071139999999999</v>
      </c>
      <c r="P23" s="100">
        <f>_xll.EQNXTDZ($A$1,$B23,P$1,$B$1)</f>
        <v>0.183779</v>
      </c>
      <c r="Q23" s="100">
        <f>_xll.EQNXTDZ($A$1,$B23,Q$1,$B$1)</f>
        <v>0.7949117</v>
      </c>
      <c r="R23" s="100">
        <f>_xll.EQNXTDZ($A$1,$B23,R$1,$B$1)</f>
        <v>0.40316770000000002</v>
      </c>
      <c r="S23" s="100">
        <f>_xll.EQNXTDZ($A$1,$B23,S$1,$B$1)</f>
        <v>0.51050839999999997</v>
      </c>
      <c r="T23" s="100">
        <f>_xll.EQNXTDZ($A$1,$B23,T$1,$B$1)</f>
        <v>15.4392464</v>
      </c>
      <c r="U23" s="100">
        <f>_xll.EQNXTDZ($A$1,$B23,U$1,$B$1)</f>
        <v>0.91122250000000005</v>
      </c>
      <c r="V23" s="100">
        <f>_xll.EQNXTDZ($A$1,$B23,V$1,$B$1)</f>
        <v>1.1966983</v>
      </c>
      <c r="W23" s="100">
        <f>_xll.EQNXTDZ($A$1,$B23,W$1,$B$1)</f>
        <v>0.87319999999999998</v>
      </c>
      <c r="X23" s="100">
        <f>_xll.EQNXTDZ($A$1,$B23,X$1,$B$1)</f>
        <v>1.3704000000000001</v>
      </c>
      <c r="Y23" s="100">
        <f>_xll.EQNXTDZ($A$1,$B23,Y$1,$B$1)</f>
        <v>0.47860000000000003</v>
      </c>
      <c r="Z23" s="100">
        <f>_xll.EQNXTDZ($A$1,$B23,Z$1,$B$1)</f>
        <v>1.4215</v>
      </c>
      <c r="AA23" s="100">
        <f>_xll.EQNXTDZ($A$1,$B23,AA$1,$B$1)</f>
        <v>1.7881</v>
      </c>
      <c r="AB23" s="100">
        <f>_xll.EQNXTDZ($A$1,$B23,AB$1,$B$1)</f>
        <v>2.4723000000000002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2.2441840000000002</v>
      </c>
      <c r="D24" s="100">
        <f>_xll.EQNXTDZ($A$1,$B24,D$1,$B$1)</f>
        <v>-0.94884219999999997</v>
      </c>
      <c r="E24" s="100">
        <f>_xll.EQNXTDZ($A$1,$B24,E$1,$B$1)</f>
        <v>1.4143214</v>
      </c>
      <c r="F24" s="100">
        <f>_xll.EQNXTDZ($A$1,$B24,F$1,$B$1)</f>
        <v>2.0203237999999999</v>
      </c>
      <c r="G24" s="100">
        <f>_xll.EQNXTDZ($A$1,$B24,G$1,$B$1)</f>
        <v>2.0994055999999999</v>
      </c>
      <c r="H24" s="100">
        <f>_xll.EQNXTDZ($A$1,$B24,H$1,$B$1)</f>
        <v>2.3935751999999999</v>
      </c>
      <c r="I24" s="100">
        <f>_xll.EQNXTDZ($A$1,$B24,I$1,$B$1)</f>
        <v>5.1277337999999997</v>
      </c>
      <c r="J24" s="100">
        <f>_xll.EQNXTDZ($A$1,$B24,J$1,$B$1)</f>
        <v>7.5034055000000004</v>
      </c>
      <c r="K24" s="100">
        <f>_xll.EQNXTDZ($A$1,$B24,K$1,$B$1)</f>
        <v>4.7561305999999997</v>
      </c>
      <c r="L24" s="100">
        <f>_xll.EQNXTDZ($A$1,$B24,L$1,$B$1)</f>
        <v>2.6856767000000001</v>
      </c>
      <c r="M24" s="100">
        <f>_xll.EQNXTDZ($A$1,$B24,M$1,$B$1)</f>
        <v>4.6825796999999998</v>
      </c>
      <c r="N24" s="100">
        <f>_xll.EQNXTDZ($A$1,$B24,N$1,$B$1)</f>
        <v>6.3343765999999997</v>
      </c>
      <c r="O24" s="100">
        <f>_xll.EQNXTDZ($A$1,$B24,O$1,$B$1)</f>
        <v>10.4504766</v>
      </c>
      <c r="P24" s="100">
        <f>_xll.EQNXTDZ($A$1,$B24,P$1,$B$1)</f>
        <v>1.9606760999999999</v>
      </c>
      <c r="Q24" s="100">
        <f>_xll.EQNXTDZ($A$1,$B24,Q$1,$B$1)</f>
        <v>4.8641173999999996</v>
      </c>
      <c r="R24" s="100">
        <f>_xll.EQNXTDZ($A$1,$B24,R$1,$B$1)</f>
        <v>4.3358350000000003</v>
      </c>
      <c r="S24" s="100">
        <f>_xll.EQNXTDZ($A$1,$B24,S$1,$B$1)</f>
        <v>4.3667996999999996</v>
      </c>
      <c r="T24" s="100">
        <f>_xll.EQNXTDZ($A$1,$B24,T$1,$B$1)</f>
        <v>26.6937666</v>
      </c>
      <c r="U24" s="100">
        <f>_xll.EQNXTDZ($A$1,$B24,U$1,$B$1)</f>
        <v>15.127257500000001</v>
      </c>
      <c r="V24" s="100">
        <f>_xll.EQNXTDZ($A$1,$B24,V$1,$B$1)</f>
        <v>16.577283600000001</v>
      </c>
      <c r="W24" s="100">
        <f>_xll.EQNXTDZ($A$1,$B24,W$1,$B$1)</f>
        <v>23.0487</v>
      </c>
      <c r="X24" s="100">
        <f>_xll.EQNXTDZ($A$1,$B24,X$1,$B$1)</f>
        <v>28.0093</v>
      </c>
      <c r="Y24" s="100">
        <f>_xll.EQNXTDZ($A$1,$B24,Y$1,$B$1)</f>
        <v>47.2988</v>
      </c>
      <c r="Z24" s="100">
        <f>_xll.EQNXTDZ($A$1,$B24,Z$1,$B$1)</f>
        <v>83.218299999999999</v>
      </c>
      <c r="AA24" s="100">
        <f>_xll.EQNXTDZ($A$1,$B24,AA$1,$B$1)</f>
        <v>94.289299999999997</v>
      </c>
      <c r="AB24" s="100">
        <f>_xll.EQNXTDZ($A$1,$B24,AB$1,$B$1)</f>
        <v>50.3521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0.79678599999999999</v>
      </c>
      <c r="D25" s="100">
        <f>_xll.EQNXTDZ($A$1,$B25,D$1,$B$1)</f>
        <v>0.76936289999999996</v>
      </c>
      <c r="E25" s="100">
        <f>_xll.EQNXTDZ($A$1,$B25,E$1,$B$1)</f>
        <v>0.55877679999999996</v>
      </c>
      <c r="F25" s="100">
        <f>_xll.EQNXTDZ($A$1,$B25,F$1,$B$1)</f>
        <v>0.62425410000000003</v>
      </c>
      <c r="G25" s="100">
        <f>_xll.EQNXTDZ($A$1,$B25,G$1,$B$1)</f>
        <v>0.48185119999999998</v>
      </c>
      <c r="H25" s="100">
        <f>_xll.EQNXTDZ($A$1,$B25,H$1,$B$1)</f>
        <v>0.58474369999999998</v>
      </c>
      <c r="I25" s="100">
        <f>_xll.EQNXTDZ($A$1,$B25,I$1,$B$1)</f>
        <v>0.78526430000000003</v>
      </c>
      <c r="J25" s="100">
        <f>_xll.EQNXTDZ($A$1,$B25,J$1,$B$1)</f>
        <v>0.20204900000000001</v>
      </c>
      <c r="K25" s="100">
        <f>_xll.EQNXTDZ($A$1,$B25,K$1,$B$1)</f>
        <v>0.2105678</v>
      </c>
      <c r="L25" s="100">
        <f>_xll.EQNXTDZ($A$1,$B25,L$1,$B$1)</f>
        <v>0.28238809999999998</v>
      </c>
      <c r="M25" s="100">
        <f>_xll.EQNXTDZ($A$1,$B25,M$1,$B$1)</f>
        <v>0.4063137</v>
      </c>
      <c r="N25" s="100">
        <f>_xll.EQNXTDZ($A$1,$B25,N$1,$B$1)</f>
        <v>0.4906141</v>
      </c>
      <c r="O25" s="100">
        <f>_xll.EQNXTDZ($A$1,$B25,O$1,$B$1)</f>
        <v>0.99046780000000001</v>
      </c>
      <c r="P25" s="100">
        <f>_xll.EQNXTDZ($A$1,$B25,P$1,$B$1)</f>
        <v>1.1226913000000001</v>
      </c>
      <c r="Q25" s="100">
        <f>_xll.EQNXTDZ($A$1,$B25,Q$1,$B$1)</f>
        <v>1.7640705000000001</v>
      </c>
      <c r="R25" s="100">
        <f>_xll.EQNXTDZ($A$1,$B25,R$1,$B$1)</f>
        <v>1.9433224</v>
      </c>
      <c r="S25" s="100">
        <f>_xll.EQNXTDZ($A$1,$B25,S$1,$B$1)</f>
        <v>1.5183591000000001</v>
      </c>
      <c r="T25" s="100">
        <f>_xll.EQNXTDZ($A$1,$B25,T$1,$B$1)</f>
        <v>0.8654328</v>
      </c>
      <c r="U25" s="100">
        <f>_xll.EQNXTDZ($A$1,$B25,U$1,$B$1)</f>
        <v>0.57979950000000002</v>
      </c>
      <c r="V25" s="100">
        <f>_xll.EQNXTDZ($A$1,$B25,V$1,$B$1)</f>
        <v>0.85341250000000002</v>
      </c>
      <c r="W25" s="100">
        <f>_xll.EQNXTDZ($A$1,$B25,W$1,$B$1)</f>
        <v>1.5138</v>
      </c>
      <c r="X25" s="100">
        <f>_xll.EQNXTDZ($A$1,$B25,X$1,$B$1)</f>
        <v>1.5129999999999999</v>
      </c>
      <c r="Y25" s="100">
        <f>_xll.EQNXTDZ($A$1,$B25,Y$1,$B$1)</f>
        <v>4.8628</v>
      </c>
      <c r="Z25" s="100">
        <f>_xll.EQNXTDZ($A$1,$B25,Z$1,$B$1)</f>
        <v>4.1782000000000004</v>
      </c>
      <c r="AA25" s="100">
        <f>_xll.EQNXTDZ($A$1,$B25,AA$1,$B$1)</f>
        <v>3.0457999999999998</v>
      </c>
      <c r="AB25" s="100">
        <f>_xll.EQNXTDZ($A$1,$B25,AB$1,$B$1)</f>
        <v>5.6390000000000002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1.447398</v>
      </c>
      <c r="D26" s="100">
        <f>_xll.EQNXTDZ($A$1,$B26,D$1,$B$1)</f>
        <v>-1.7182051</v>
      </c>
      <c r="E26" s="100">
        <f>_xll.EQNXTDZ($A$1,$B26,E$1,$B$1)</f>
        <v>0.85554459999999999</v>
      </c>
      <c r="F26" s="100">
        <f>_xll.EQNXTDZ($A$1,$B26,F$1,$B$1)</f>
        <v>1.3960697</v>
      </c>
      <c r="G26" s="100">
        <f>_xll.EQNXTDZ($A$1,$B26,G$1,$B$1)</f>
        <v>1.6175543999999999</v>
      </c>
      <c r="H26" s="100">
        <f>_xll.EQNXTDZ($A$1,$B26,H$1,$B$1)</f>
        <v>1.8088314999999999</v>
      </c>
      <c r="I26" s="100">
        <f>_xll.EQNXTDZ($A$1,$B26,I$1,$B$1)</f>
        <v>4.3424695</v>
      </c>
      <c r="J26" s="100">
        <f>_xll.EQNXTDZ($A$1,$B26,J$1,$B$1)</f>
        <v>7.3013564999999998</v>
      </c>
      <c r="K26" s="100">
        <f>_xll.EQNXTDZ($A$1,$B26,K$1,$B$1)</f>
        <v>4.5455627999999999</v>
      </c>
      <c r="L26" s="100">
        <f>_xll.EQNXTDZ($A$1,$B26,L$1,$B$1)</f>
        <v>2.4032886000000002</v>
      </c>
      <c r="M26" s="100">
        <f>_xll.EQNXTDZ($A$1,$B26,M$1,$B$1)</f>
        <v>4.2762659999999997</v>
      </c>
      <c r="N26" s="100">
        <f>_xll.EQNXTDZ($A$1,$B26,N$1,$B$1)</f>
        <v>5.8437625000000004</v>
      </c>
      <c r="O26" s="100">
        <f>_xll.EQNXTDZ($A$1,$B26,O$1,$B$1)</f>
        <v>9.4600088000000007</v>
      </c>
      <c r="P26" s="100">
        <f>_xll.EQNXTDZ($A$1,$B26,P$1,$B$1)</f>
        <v>0.83798479999999997</v>
      </c>
      <c r="Q26" s="100">
        <f>_xll.EQNXTDZ($A$1,$B26,Q$1,$B$1)</f>
        <v>3.1000469000000002</v>
      </c>
      <c r="R26" s="100">
        <f>_xll.EQNXTDZ($A$1,$B26,R$1,$B$1)</f>
        <v>2.3925125999999999</v>
      </c>
      <c r="S26" s="100">
        <f>_xll.EQNXTDZ($A$1,$B26,S$1,$B$1)</f>
        <v>2.8484406</v>
      </c>
      <c r="T26" s="100">
        <f>_xll.EQNXTDZ($A$1,$B26,T$1,$B$1)</f>
        <v>25.828333799999999</v>
      </c>
      <c r="U26" s="100">
        <f>_xll.EQNXTDZ($A$1,$B26,U$1,$B$1)</f>
        <v>14.547458000000001</v>
      </c>
      <c r="V26" s="100">
        <f>_xll.EQNXTDZ($A$1,$B26,V$1,$B$1)</f>
        <v>15.7238711</v>
      </c>
      <c r="W26" s="100">
        <f>_xll.EQNXTDZ($A$1,$B26,W$1,$B$1)</f>
        <v>21.5349</v>
      </c>
      <c r="X26" s="100">
        <f>_xll.EQNXTDZ($A$1,$B26,X$1,$B$1)</f>
        <v>26.496300000000002</v>
      </c>
      <c r="Y26" s="100">
        <f>_xll.EQNXTDZ($A$1,$B26,Y$1,$B$1)</f>
        <v>42.436</v>
      </c>
      <c r="Z26" s="100">
        <f>_xll.EQNXTDZ($A$1,$B26,Z$1,$B$1)</f>
        <v>79.040099999999995</v>
      </c>
      <c r="AA26" s="100">
        <f>_xll.EQNXTDZ($A$1,$B26,AA$1,$B$1)</f>
        <v>91.243499999999997</v>
      </c>
      <c r="AB26" s="100">
        <f>_xll.EQNXTDZ($A$1,$B26,AB$1,$B$1)</f>
        <v>44.713099999999997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0.43667400000000001</v>
      </c>
      <c r="D27" s="100">
        <f>_xll.EQNXTDZ($A$1,$B27,D$1,$B$1)</f>
        <v>0.54530469999999998</v>
      </c>
      <c r="E27" s="100">
        <f>_xll.EQNXTDZ($A$1,$B27,E$1,$B$1)</f>
        <v>0.67577509999999996</v>
      </c>
      <c r="F27" s="100">
        <f>_xll.EQNXTDZ($A$1,$B27,F$1,$B$1)</f>
        <v>0.51623969999999997</v>
      </c>
      <c r="G27" s="100">
        <f>_xll.EQNXTDZ($A$1,$B27,G$1,$B$1)</f>
        <v>0.60163630000000001</v>
      </c>
      <c r="H27" s="100">
        <f>_xll.EQNXTDZ($A$1,$B27,H$1,$B$1)</f>
        <v>0.71693209999999996</v>
      </c>
      <c r="I27" s="100">
        <f>_xll.EQNXTDZ($A$1,$B27,I$1,$B$1)</f>
        <v>1.0982281</v>
      </c>
      <c r="J27" s="100">
        <f>_xll.EQNXTDZ($A$1,$B27,J$1,$B$1)</f>
        <v>1.4642895</v>
      </c>
      <c r="K27" s="100">
        <f>_xll.EQNXTDZ($A$1,$B27,K$1,$B$1)</f>
        <v>1.1371172000000001</v>
      </c>
      <c r="L27" s="100">
        <f>_xll.EQNXTDZ($A$1,$B27,L$1,$B$1)</f>
        <v>1.2334647999999999</v>
      </c>
      <c r="M27" s="100">
        <f>_xll.EQNXTDZ($A$1,$B27,M$1,$B$1)</f>
        <v>1.1468517</v>
      </c>
      <c r="N27" s="100">
        <f>_xll.EQNXTDZ($A$1,$B27,N$1,$B$1)</f>
        <v>1.1933328999999999</v>
      </c>
      <c r="O27" s="100">
        <f>_xll.EQNXTDZ($A$1,$B27,O$1,$B$1)</f>
        <v>1.2640396</v>
      </c>
      <c r="P27" s="100">
        <f>_xll.EQNXTDZ($A$1,$B27,P$1,$B$1)</f>
        <v>1.9898880999999999</v>
      </c>
      <c r="Q27" s="100">
        <f>_xll.EQNXTDZ($A$1,$B27,Q$1,$B$1)</f>
        <v>1.8866896</v>
      </c>
      <c r="R27" s="100">
        <f>_xll.EQNXTDZ($A$1,$B27,R$1,$B$1)</f>
        <v>1.7379635</v>
      </c>
      <c r="S27" s="100">
        <f>_xll.EQNXTDZ($A$1,$B27,S$1,$B$1)</f>
        <v>1.7933402000000001</v>
      </c>
      <c r="T27" s="100">
        <f>_xll.EQNXTDZ($A$1,$B27,T$1,$B$1)</f>
        <v>1.6362344</v>
      </c>
      <c r="U27" s="100">
        <f>_xll.EQNXTDZ($A$1,$B27,U$1,$B$1)</f>
        <v>2.0471965999999999</v>
      </c>
      <c r="V27" s="100">
        <f>_xll.EQNXTDZ($A$1,$B27,V$1,$B$1)</f>
        <v>2.7113483</v>
      </c>
      <c r="W27" s="100">
        <f>_xll.EQNXTDZ($A$1,$B27,W$1,$B$1)</f>
        <v>3.0314999999999999</v>
      </c>
      <c r="X27" s="100">
        <f>_xll.EQNXTDZ($A$1,$B27,X$1,$B$1)</f>
        <v>4.0279999999999996</v>
      </c>
      <c r="Y27" s="100">
        <f>_xll.EQNXTDZ($A$1,$B27,Y$1,$B$1)</f>
        <v>5.7676999999999996</v>
      </c>
      <c r="Z27" s="100">
        <f>_xll.EQNXTDZ($A$1,$B27,Z$1,$B$1)</f>
        <v>7.4980000000000002</v>
      </c>
      <c r="AA27" s="100">
        <f>_xll.EQNXTDZ($A$1,$B27,AA$1,$B$1)</f>
        <v>11.8034</v>
      </c>
      <c r="AB27" s="100">
        <f>_xll.EQNXTDZ($A$1,$B27,AB$1,$B$1)</f>
        <v>20.075299999999999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-1.4266916999999999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-0.65604499999999999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0.08</v>
      </c>
      <c r="D30" s="100">
        <f>_xll.EQNXTDZ($A$1,$B30,D$1,$B$1)</f>
        <v>0.5303099</v>
      </c>
      <c r="E30" s="100">
        <f>_xll.EQNXTDZ($A$1,$B30,E$1,$B$1)</f>
        <v>1.2958799999999999E-2</v>
      </c>
      <c r="F30" s="100">
        <f>_xll.EQNXTDZ($A$1,$B30,F$1,$B$1)</f>
        <v>-0.65393829999999997</v>
      </c>
      <c r="G30" s="100">
        <f>_xll.EQNXTDZ($A$1,$B30,G$1,$B$1)</f>
        <v>0.14394390000000001</v>
      </c>
      <c r="H30" s="100">
        <f>_xll.EQNXTDZ($A$1,$B30,H$1,$B$1)</f>
        <v>0.1155291</v>
      </c>
      <c r="I30" s="100">
        <f>_xll.EQNXTDZ($A$1,$B30,I$1,$B$1)</f>
        <v>1.1035193000000001</v>
      </c>
      <c r="J30" s="100">
        <f>_xll.EQNXTDZ($A$1,$B30,J$1,$B$1)</f>
        <v>2.1657060000000001</v>
      </c>
      <c r="K30" s="100">
        <f>_xll.EQNXTDZ($A$1,$B30,K$1,$B$1)</f>
        <v>0.87591010000000002</v>
      </c>
      <c r="L30" s="100">
        <f>_xll.EQNXTDZ($A$1,$B30,L$1,$B$1)</f>
        <v>0.105502</v>
      </c>
      <c r="M30" s="100">
        <f>_xll.EQNXTDZ($A$1,$B30,M$1,$B$1)</f>
        <v>0.67338880000000001</v>
      </c>
      <c r="N30" s="100">
        <f>_xll.EQNXTDZ($A$1,$B30,N$1,$B$1)</f>
        <v>0.75807060000000004</v>
      </c>
      <c r="O30" s="100">
        <f>_xll.EQNXTDZ($A$1,$B30,O$1,$B$1)</f>
        <v>1.6767434999999999</v>
      </c>
      <c r="P30" s="100">
        <f>_xll.EQNXTDZ($A$1,$B30,P$1,$B$1)</f>
        <v>-0.11819350000000001</v>
      </c>
      <c r="Q30" s="100">
        <f>_xll.EQNXTDZ($A$1,$B30,Q$1,$B$1)</f>
        <v>0.3200231</v>
      </c>
      <c r="R30" s="100">
        <f>_xll.EQNXTDZ($A$1,$B30,R$1,$B$1)</f>
        <v>6.1046499999999997E-2</v>
      </c>
      <c r="S30" s="100">
        <f>_xll.EQNXTDZ($A$1,$B30,S$1,$B$1)</f>
        <v>0.1713624</v>
      </c>
      <c r="T30" s="100">
        <f>_xll.EQNXTDZ($A$1,$B30,T$1,$B$1)</f>
        <v>6.8878699000000001</v>
      </c>
      <c r="U30" s="100">
        <f>_xll.EQNXTDZ($A$1,$B30,U$1,$B$1)</f>
        <v>2.9110936999999999</v>
      </c>
      <c r="V30" s="100">
        <f>_xll.EQNXTDZ($A$1,$B30,V$1,$B$1)</f>
        <v>2.2551315000000001</v>
      </c>
      <c r="W30" s="100">
        <f>_xll.EQNXTDZ($A$1,$B30,W$1,$B$1)</f>
        <v>3.1697000000000002</v>
      </c>
      <c r="X30" s="100">
        <f>_xll.EQNXTDZ($A$1,$B30,X$1,$B$1)</f>
        <v>4.4912999999999998</v>
      </c>
      <c r="Y30" s="100">
        <f>_xll.EQNXTDZ($A$1,$B30,Y$1,$B$1)</f>
        <v>9.8303999999999991</v>
      </c>
      <c r="Z30" s="100">
        <f>_xll.EQNXTDZ($A$1,$B30,Z$1,$B$1)</f>
        <v>18.987300000000001</v>
      </c>
      <c r="AA30" s="100">
        <f>_xll.EQNXTDZ($A$1,$B30,AA$1,$B$1)</f>
        <v>22.9955</v>
      </c>
      <c r="AB30" s="100">
        <f>_xll.EQNXTDZ($A$1,$B30,AB$1,$B$1)</f>
        <v>9.6440000000000001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-8.1264699999999995E-2</v>
      </c>
      <c r="V34" s="100">
        <f>_xll.EQNXTDZ($A$1,$B34,V$1,$B$1)</f>
        <v>-0.17233409999999999</v>
      </c>
      <c r="W34" s="100">
        <f>_xll.EQNXTDZ($A$1,$B34,W$1,$B$1)</f>
        <v>4.2799999999999998E-2</v>
      </c>
      <c r="X34" s="100">
        <f>_xll.EQNXTDZ($A$1,$B34,X$1,$B$1)</f>
        <v>-7.5899999999999995E-2</v>
      </c>
      <c r="Y34" s="100">
        <f>_xll.EQNXTDZ($A$1,$B34,Y$1,$B$1)</f>
        <v>-0.2535</v>
      </c>
      <c r="Z34" s="100">
        <f>_xll.EQNXTDZ($A$1,$B34,Z$1,$B$1)</f>
        <v>-0.36749999999999999</v>
      </c>
      <c r="AA34" s="100">
        <f>_xll.EQNXTDZ($A$1,$B34,AA$1,$B$1)</f>
        <v>-0.3498</v>
      </c>
      <c r="AB34" s="100">
        <f>_xll.EQNXTDZ($A$1,$B34,AB$1,$B$1)</f>
        <v>-0.1502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0.930724</v>
      </c>
      <c r="D35" s="100">
        <f>_xll.EQNXTDZ($A$1,$B35,D$1,$B$1)</f>
        <v>-2.7938196999999998</v>
      </c>
      <c r="E35" s="100">
        <f>_xll.EQNXTDZ($A$1,$B35,E$1,$B$1)</f>
        <v>0.16681070000000001</v>
      </c>
      <c r="F35" s="100">
        <f>_xll.EQNXTDZ($A$1,$B35,F$1,$B$1)</f>
        <v>0.10707659999999999</v>
      </c>
      <c r="G35" s="100">
        <f>_xll.EQNXTDZ($A$1,$B35,G$1,$B$1)</f>
        <v>0.87197420000000003</v>
      </c>
      <c r="H35" s="100">
        <f>_xll.EQNXTDZ($A$1,$B35,H$1,$B$1)</f>
        <v>0.97637030000000002</v>
      </c>
      <c r="I35" s="100">
        <f>_xll.EQNXTDZ($A$1,$B35,I$1,$B$1)</f>
        <v>2.1407221000000001</v>
      </c>
      <c r="J35" s="100">
        <f>_xll.EQNXTDZ($A$1,$B35,J$1,$B$1)</f>
        <v>3.0153159999999999</v>
      </c>
      <c r="K35" s="100">
        <f>_xll.EQNXTDZ($A$1,$B35,K$1,$B$1)</f>
        <v>2.5325354999999998</v>
      </c>
      <c r="L35" s="100">
        <f>_xll.EQNXTDZ($A$1,$B35,L$1,$B$1)</f>
        <v>1.0643218000000001</v>
      </c>
      <c r="M35" s="100">
        <f>_xll.EQNXTDZ($A$1,$B35,M$1,$B$1)</f>
        <v>2.4560255</v>
      </c>
      <c r="N35" s="100">
        <f>_xll.EQNXTDZ($A$1,$B35,N$1,$B$1)</f>
        <v>3.8923589999999999</v>
      </c>
      <c r="O35" s="100">
        <f>_xll.EQNXTDZ($A$1,$B35,O$1,$B$1)</f>
        <v>6.5192256999999998</v>
      </c>
      <c r="P35" s="100">
        <f>_xll.EQNXTDZ($A$1,$B35,P$1,$B$1)</f>
        <v>-1.0337098</v>
      </c>
      <c r="Q35" s="100">
        <f>_xll.EQNXTDZ($A$1,$B35,Q$1,$B$1)</f>
        <v>0.89333419999999997</v>
      </c>
      <c r="R35" s="100">
        <f>_xll.EQNXTDZ($A$1,$B35,R$1,$B$1)</f>
        <v>0.59350259999999999</v>
      </c>
      <c r="S35" s="100">
        <f>_xll.EQNXTDZ($A$1,$B35,S$1,$B$1)</f>
        <v>0.88373800000000002</v>
      </c>
      <c r="T35" s="100">
        <f>_xll.EQNXTDZ($A$1,$B35,T$1,$B$1)</f>
        <v>17.304229500000002</v>
      </c>
      <c r="U35" s="100">
        <f>_xll.EQNXTDZ($A$1,$B35,U$1,$B$1)</f>
        <v>9.5891677000000008</v>
      </c>
      <c r="V35" s="100">
        <f>_xll.EQNXTDZ($A$1,$B35,V$1,$B$1)</f>
        <v>10.7573913</v>
      </c>
      <c r="W35" s="100">
        <f>_xll.EQNXTDZ($A$1,$B35,W$1,$B$1)</f>
        <v>15.3765</v>
      </c>
      <c r="X35" s="100">
        <f>_xll.EQNXTDZ($A$1,$B35,X$1,$B$1)</f>
        <v>17.9011</v>
      </c>
      <c r="Y35" s="100">
        <f>_xll.EQNXTDZ($A$1,$B35,Y$1,$B$1)</f>
        <v>26.584399999999999</v>
      </c>
      <c r="Z35" s="100">
        <f>_xll.EQNXTDZ($A$1,$B35,Z$1,$B$1)</f>
        <v>52.1873</v>
      </c>
      <c r="AA35" s="100">
        <f>_xll.EQNXTDZ($A$1,$B35,AA$1,$B$1)</f>
        <v>56.094799999999999</v>
      </c>
      <c r="AB35" s="100">
        <f>_xll.EQNXTDZ($A$1,$B35,AB$1,$B$1)</f>
        <v>14.8436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5.6527659999999997</v>
      </c>
      <c r="D41" s="55">
        <f>_xll.EQNXTDZ($A$1,$B41,D$1,$B$1)</f>
        <v>5.1527659999999997</v>
      </c>
      <c r="E41" s="55">
        <f>_xll.EQNXTDZ($A$1,$B41,E$1,$B$1)</f>
        <v>5.1527659999999997</v>
      </c>
      <c r="F41" s="55">
        <f>_xll.EQNXTDZ($A$1,$B41,F$1,$B$1)</f>
        <v>5.1527659999999997</v>
      </c>
      <c r="G41" s="55">
        <f>_xll.EQNXTDZ($A$1,$B41,G$1,$B$1)</f>
        <v>5.1527659999999997</v>
      </c>
      <c r="H41" s="55">
        <f>_xll.EQNXTDZ($A$1,$B41,H$1,$B$1)</f>
        <v>5.1533160000000002</v>
      </c>
      <c r="I41" s="55">
        <f>_xll.EQNXTDZ($A$1,$B41,I$1,$B$1)</f>
        <v>5.1533160000000002</v>
      </c>
      <c r="J41" s="55">
        <f>_xll.EQNXTDZ($A$1,$B41,J$1,$B$1)</f>
        <v>5.1533160000000002</v>
      </c>
      <c r="K41" s="55">
        <f>_xll.EQNXTDZ($A$1,$B41,K$1,$B$1)</f>
        <v>5.1533160000000002</v>
      </c>
      <c r="L41" s="55">
        <f>_xll.EQNXTDZ($A$1,$B41,L$1,$B$1)</f>
        <v>4.7070730000000003</v>
      </c>
      <c r="M41" s="55">
        <f>_xll.EQNXTDZ($A$1,$B41,M$1,$B$1)</f>
        <v>4.7070730000000003</v>
      </c>
      <c r="N41" s="55">
        <f>_xll.EQNXTDZ($A$1,$B41,N$1,$B$1)</f>
        <v>4.4836</v>
      </c>
      <c r="O41" s="55">
        <f>_xll.EQNXTDZ($A$1,$B41,O$1,$B$1)</f>
        <v>4.4836</v>
      </c>
      <c r="P41" s="55">
        <f>_xll.EQNXTDZ($A$1,$B41,P$1,$B$1)</f>
        <v>4.1836000000000002</v>
      </c>
      <c r="Q41" s="55">
        <f>_xll.EQNXTDZ($A$1,$B41,Q$1,$B$1)</f>
        <v>4.0550930000000003</v>
      </c>
      <c r="R41" s="55">
        <f>_xll.EQNXTDZ($A$1,$B41,R$1,$B$1)</f>
        <v>4.0550930000000003</v>
      </c>
      <c r="S41" s="55">
        <f>_xll.EQNXTDZ($A$1,$B41,S$1,$B$1)</f>
        <v>4.0550930000000003</v>
      </c>
      <c r="T41" s="55">
        <f>_xll.EQNXTDZ($A$1,$B41,T$1,$B$1)</f>
        <v>4.0550930000000003</v>
      </c>
      <c r="U41" s="55">
        <f>_xll.EQNXTDZ($A$1,$B41,U$1,$B$1)</f>
        <v>4.0550930000000003</v>
      </c>
      <c r="V41" s="55">
        <f>_xll.EQNXTDZ($A$1,$B41,V$1,$B$1)</f>
        <v>4.0550930000000003</v>
      </c>
      <c r="W41" s="55">
        <f>_xll.EQNXTDZ($A$1,$B41,W$1,$B$1)</f>
        <v>4.0551000000000004</v>
      </c>
      <c r="X41" s="55">
        <f>_xll.EQNXTDZ($A$1,$B41,X$1,$B$1)</f>
        <v>4.0551000000000004</v>
      </c>
      <c r="Y41" s="55">
        <f>_xll.EQNXTDZ($A$1,$B41,Y$1,$B$1)</f>
        <v>16.218599999999999</v>
      </c>
      <c r="Z41" s="55">
        <f>_xll.EQNXTDZ($A$1,$B41,Z$1,$B$1)</f>
        <v>48.654499999999999</v>
      </c>
      <c r="AA41" s="55">
        <f>_xll.EQNXTDZ($A$1,$B41,AA$1,$B$1)</f>
        <v>48.947800000000001</v>
      </c>
      <c r="AB41" s="55">
        <f>_xll.EQNXTDZ($A$1,$B41,AB$1,$B$1)</f>
        <v>53.142800000000001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6.0720000000000001</v>
      </c>
      <c r="AA42" s="55">
        <f>_xll.EQNXTDZ($A$1,$B42,AA$1,$B$1)</f>
        <v>13.3071</v>
      </c>
      <c r="AB42" s="55">
        <f>_xll.EQNXTDZ($A$1,$B42,AB$1,$B$1)</f>
        <v>10.375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11.354088900000001</v>
      </c>
      <c r="D43" s="55">
        <f>_xll.EQNXTDZ($A$1,$B43,D$1,$B$1)</f>
        <v>5.1992732000000004</v>
      </c>
      <c r="E43" s="55">
        <f>_xll.EQNXTDZ($A$1,$B43,E$1,$B$1)</f>
        <v>5.3660838999999996</v>
      </c>
      <c r="F43" s="55">
        <f>_xll.EQNXTDZ($A$1,$B43,F$1,$B$1)</f>
        <v>4.6649456000000002</v>
      </c>
      <c r="G43" s="55">
        <f>_xll.EQNXTDZ($A$1,$B43,G$1,$B$1)</f>
        <v>5.4574936999999997</v>
      </c>
      <c r="H43" s="55">
        <f>_xll.EQNXTDZ($A$1,$B43,H$1,$B$1)</f>
        <v>6.3566379</v>
      </c>
      <c r="I43" s="55">
        <f>_xll.EQNXTDZ($A$1,$B43,I$1,$B$1)</f>
        <v>7.8150919999999999</v>
      </c>
      <c r="J43" s="55">
        <f>_xll.EQNXTDZ($A$1,$B43,J$1,$B$1)</f>
        <v>10.5779733</v>
      </c>
      <c r="K43" s="55">
        <f>_xll.EQNXTDZ($A$1,$B43,K$1,$B$1)</f>
        <v>12.256906000000001</v>
      </c>
      <c r="L43" s="55">
        <f>_xll.EQNXTDZ($A$1,$B43,L$1,$B$1)</f>
        <v>11.118608800000001</v>
      </c>
      <c r="M43" s="55">
        <f>_xll.EQNXTDZ($A$1,$B43,M$1,$B$1)</f>
        <v>12.6719843</v>
      </c>
      <c r="N43" s="55">
        <f>_xll.EQNXTDZ($A$1,$B43,N$1,$B$1)</f>
        <v>14.234401200000001</v>
      </c>
      <c r="O43" s="55">
        <f>_xll.EQNXTDZ($A$1,$B43,O$1,$B$1)</f>
        <v>19.3629794</v>
      </c>
      <c r="P43" s="55">
        <f>_xll.EQNXTDZ($A$1,$B43,P$1,$B$1)</f>
        <v>16.525986799999998</v>
      </c>
      <c r="Q43" s="55">
        <f>_xll.EQNXTDZ($A$1,$B43,Q$1,$B$1)</f>
        <v>15.6607349</v>
      </c>
      <c r="R43" s="55">
        <f>_xll.EQNXTDZ($A$1,$B43,R$1,$B$1)</f>
        <v>15.686822599999999</v>
      </c>
      <c r="S43" s="55">
        <f>_xll.EQNXTDZ($A$1,$B43,S$1,$B$1)</f>
        <v>16.574515099999999</v>
      </c>
      <c r="T43" s="55">
        <f>_xll.EQNXTDZ($A$1,$B43,T$1,$B$1)</f>
        <v>32.902766700000001</v>
      </c>
      <c r="U43" s="55">
        <f>_xll.EQNXTDZ($A$1,$B43,U$1,$B$1)</f>
        <v>38.989137100000001</v>
      </c>
      <c r="V43" s="55">
        <f>_xll.EQNXTDZ($A$1,$B43,V$1,$B$1)</f>
        <v>47.619033100000003</v>
      </c>
      <c r="W43" s="55">
        <f>_xll.EQNXTDZ($A$1,$B43,W$1,$B$1)</f>
        <v>62.184600000000003</v>
      </c>
      <c r="X43" s="55">
        <f>_xll.EQNXTDZ($A$1,$B43,X$1,$B$1)</f>
        <v>78.463899999999995</v>
      </c>
      <c r="Y43" s="55">
        <f>_xll.EQNXTDZ($A$1,$B43,Y$1,$B$1)</f>
        <v>91.263099999999994</v>
      </c>
      <c r="Z43" s="55">
        <f>_xll.EQNXTDZ($A$1,$B43,Z$1,$B$1)</f>
        <v>109.3927</v>
      </c>
      <c r="AA43" s="55">
        <f>_xll.EQNXTDZ($A$1,$B43,AA$1,$B$1)</f>
        <v>174.99119999999999</v>
      </c>
      <c r="AB43" s="55">
        <f>_xll.EQNXTDZ($A$1,$B43,AB$1,$B$1)</f>
        <v>274.71539999999999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17.0068549</v>
      </c>
      <c r="D44" s="55">
        <f>_xll.EQNXTDZ($A$1,$B44,D$1,$B$1)</f>
        <v>10.3520392</v>
      </c>
      <c r="E44" s="55">
        <f>_xll.EQNXTDZ($A$1,$B44,E$1,$B$1)</f>
        <v>10.518849899999999</v>
      </c>
      <c r="F44" s="55">
        <f>_xll.EQNXTDZ($A$1,$B44,F$1,$B$1)</f>
        <v>9.8177116000000009</v>
      </c>
      <c r="G44" s="55">
        <f>_xll.EQNXTDZ($A$1,$B44,G$1,$B$1)</f>
        <v>10.6102597</v>
      </c>
      <c r="H44" s="55">
        <f>_xll.EQNXTDZ($A$1,$B44,H$1,$B$1)</f>
        <v>11.509953899999999</v>
      </c>
      <c r="I44" s="55">
        <f>_xll.EQNXTDZ($A$1,$B44,I$1,$B$1)</f>
        <v>12.968408</v>
      </c>
      <c r="J44" s="55">
        <f>_xll.EQNXTDZ($A$1,$B44,J$1,$B$1)</f>
        <v>15.7312893</v>
      </c>
      <c r="K44" s="55">
        <f>_xll.EQNXTDZ($A$1,$B44,K$1,$B$1)</f>
        <v>17.410222000000001</v>
      </c>
      <c r="L44" s="55">
        <f>_xll.EQNXTDZ($A$1,$B44,L$1,$B$1)</f>
        <v>15.8256818</v>
      </c>
      <c r="M44" s="55">
        <f>_xll.EQNXTDZ($A$1,$B44,M$1,$B$1)</f>
        <v>17.379057299999999</v>
      </c>
      <c r="N44" s="55">
        <f>_xll.EQNXTDZ($A$1,$B44,N$1,$B$1)</f>
        <v>18.7180012</v>
      </c>
      <c r="O44" s="55">
        <f>_xll.EQNXTDZ($A$1,$B44,O$1,$B$1)</f>
        <v>23.8465794</v>
      </c>
      <c r="P44" s="55">
        <f>_xll.EQNXTDZ($A$1,$B44,P$1,$B$1)</f>
        <v>20.7095868</v>
      </c>
      <c r="Q44" s="55">
        <f>_xll.EQNXTDZ($A$1,$B44,Q$1,$B$1)</f>
        <v>19.715827900000001</v>
      </c>
      <c r="R44" s="55">
        <f>_xll.EQNXTDZ($A$1,$B44,R$1,$B$1)</f>
        <v>19.741915599999999</v>
      </c>
      <c r="S44" s="55">
        <f>_xll.EQNXTDZ($A$1,$B44,S$1,$B$1)</f>
        <v>20.629608099999999</v>
      </c>
      <c r="T44" s="55">
        <f>_xll.EQNXTDZ($A$1,$B44,T$1,$B$1)</f>
        <v>36.9578597</v>
      </c>
      <c r="U44" s="55">
        <f>_xll.EQNXTDZ($A$1,$B44,U$1,$B$1)</f>
        <v>43.0442301</v>
      </c>
      <c r="V44" s="55">
        <f>_xll.EQNXTDZ($A$1,$B44,V$1,$B$1)</f>
        <v>51.674126100000002</v>
      </c>
      <c r="W44" s="55">
        <f>_xll.EQNXTDZ($A$1,$B44,W$1,$B$1)</f>
        <v>66.239699999999999</v>
      </c>
      <c r="X44" s="55">
        <f>_xll.EQNXTDZ($A$1,$B44,X$1,$B$1)</f>
        <v>82.519000000000005</v>
      </c>
      <c r="Y44" s="55">
        <f>_xll.EQNXTDZ($A$1,$B44,Y$1,$B$1)</f>
        <v>107.4817</v>
      </c>
      <c r="Z44" s="55">
        <f>_xll.EQNXTDZ($A$1,$B44,Z$1,$B$1)</f>
        <v>164.11920000000001</v>
      </c>
      <c r="AA44" s="55">
        <f>_xll.EQNXTDZ($A$1,$B44,AA$1,$B$1)</f>
        <v>237.24610000000001</v>
      </c>
      <c r="AB44" s="55">
        <f>_xll.EQNXTDZ($A$1,$B44,AB$1,$B$1)</f>
        <v>338.23320000000001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5.5656239999999997</v>
      </c>
      <c r="D47" s="55">
        <f>_xll.EQNXTDZ($A$1,$B47,D$1,$B$1)</f>
        <v>4.7035533999999997</v>
      </c>
      <c r="E47" s="55">
        <f>_xll.EQNXTDZ($A$1,$B47,E$1,$B$1)</f>
        <v>3.5709949000000001</v>
      </c>
      <c r="F47" s="55">
        <f>_xll.EQNXTDZ($A$1,$B47,F$1,$B$1)</f>
        <v>2.38632</v>
      </c>
      <c r="G47" s="55">
        <f>_xll.EQNXTDZ($A$1,$B47,G$1,$B$1)</f>
        <v>2.8306510999999999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4.47</v>
      </c>
      <c r="Q47" s="55">
        <f>_xll.EQNXTDZ($A$1,$B47,Q$1,$B$1)</f>
        <v>3.45</v>
      </c>
      <c r="R47" s="55">
        <f>_xll.EQNXTDZ($A$1,$B47,R$1,$B$1)</f>
        <v>2.4300000000000002</v>
      </c>
      <c r="S47" s="55">
        <f>_xll.EQNXTDZ($A$1,$B47,S$1,$B$1)</f>
        <v>1.41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12.3284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0.71</v>
      </c>
      <c r="F48" s="55">
        <f>_xll.EQNXTDZ($A$1,$B48,F$1,$B$1)</f>
        <v>0.22</v>
      </c>
      <c r="G48" s="55">
        <f>_xll.EQNXTDZ($A$1,$B48,G$1,$B$1)</f>
        <v>0</v>
      </c>
      <c r="H48" s="55">
        <f>_xll.EQNXTDZ($A$1,$B48,H$1,$B$1)</f>
        <v>0.23039599999999999</v>
      </c>
      <c r="I48" s="55">
        <f>_xll.EQNXTDZ($A$1,$B48,I$1,$B$1)</f>
        <v>0.13039600000000001</v>
      </c>
      <c r="J48" s="55">
        <f>_xll.EQNXTDZ($A$1,$B48,J$1,$B$1)</f>
        <v>0.13039600000000001</v>
      </c>
      <c r="K48" s="55">
        <f>_xll.EQNXTDZ($A$1,$B48,K$1,$B$1)</f>
        <v>0.13844239999999999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12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0.4044933</v>
      </c>
      <c r="G49" s="55">
        <f>_xll.EQNXTDZ($A$1,$B49,G$1,$B$1)</f>
        <v>0.3788588</v>
      </c>
      <c r="H49" s="55">
        <f>_xll.EQNXTDZ($A$1,$B49,H$1,$B$1)</f>
        <v>0.24961120000000001</v>
      </c>
      <c r="I49" s="55">
        <f>_xll.EQNXTDZ($A$1,$B49,I$1,$B$1)</f>
        <v>0.57366170000000005</v>
      </c>
      <c r="J49" s="55">
        <f>_xll.EQNXTDZ($A$1,$B49,J$1,$B$1)</f>
        <v>0.2485879</v>
      </c>
      <c r="K49" s="55">
        <f>_xll.EQNXTDZ($A$1,$B49,K$1,$B$1)</f>
        <v>9.4497999999999999E-2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-0.17311799999999999</v>
      </c>
      <c r="O49" s="55">
        <f>_xll.EQNXTDZ($A$1,$B49,O$1,$B$1)</f>
        <v>-0.30740899999999999</v>
      </c>
      <c r="P49" s="55">
        <f>_xll.EQNXTDZ($A$1,$B49,P$1,$B$1)</f>
        <v>-0.38605</v>
      </c>
      <c r="Q49" s="55">
        <f>_xll.EQNXTDZ($A$1,$B49,Q$1,$B$1)</f>
        <v>-0.35971999999999998</v>
      </c>
      <c r="R49" s="55">
        <f>_xll.EQNXTDZ($A$1,$B49,R$1,$B$1)</f>
        <v>-0.42343500000000001</v>
      </c>
      <c r="S49" s="55">
        <f>_xll.EQNXTDZ($A$1,$B49,S$1,$B$1)</f>
        <v>-0.48644690000000002</v>
      </c>
      <c r="T49" s="55">
        <f>_xll.EQNXTDZ($A$1,$B49,T$1,$B$1)</f>
        <v>1.238442</v>
      </c>
      <c r="U49" s="55">
        <f>_xll.EQNXTDZ($A$1,$B49,U$1,$B$1)</f>
        <v>1.1139140000000001</v>
      </c>
      <c r="V49" s="55">
        <f>_xll.EQNXTDZ($A$1,$B49,V$1,$B$1)</f>
        <v>1.0329778000000001</v>
      </c>
      <c r="W49" s="55">
        <f>_xll.EQNXTDZ($A$1,$B49,W$1,$B$1)</f>
        <v>0.71140000000000003</v>
      </c>
      <c r="X49" s="55">
        <f>_xll.EQNXTDZ($A$1,$B49,X$1,$B$1)</f>
        <v>1.0064</v>
      </c>
      <c r="Y49" s="55">
        <f>_xll.EQNXTDZ($A$1,$B49,Y$1,$B$1)</f>
        <v>0.46800000000000003</v>
      </c>
      <c r="Z49" s="55">
        <f>_xll.EQNXTDZ($A$1,$B49,Z$1,$B$1)</f>
        <v>-0.2447</v>
      </c>
      <c r="AA49" s="55">
        <f>_xll.EQNXTDZ($A$1,$B49,AA$1,$B$1)</f>
        <v>-0.4511</v>
      </c>
      <c r="AB49" s="55">
        <f>_xll.EQNXTDZ($A$1,$B49,AB$1,$B$1)</f>
        <v>5.1499999999999997E-2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3.2836476000000001</v>
      </c>
      <c r="W50" s="55">
        <f>_xll.EQNXTDZ($A$1,$B50,W$1,$B$1)</f>
        <v>3.0628000000000002</v>
      </c>
      <c r="X50" s="55">
        <f>_xll.EQNXTDZ($A$1,$B50,X$1,$B$1)</f>
        <v>2.7847</v>
      </c>
      <c r="Y50" s="55">
        <f>_xll.EQNXTDZ($A$1,$B50,Y$1,$B$1)</f>
        <v>2.4407999999999999</v>
      </c>
      <c r="Z50" s="55">
        <f>_xll.EQNXTDZ($A$1,$B50,Z$1,$B$1)</f>
        <v>6.0015999999999998</v>
      </c>
      <c r="AA50" s="55">
        <f>_xll.EQNXTDZ($A$1,$B50,AA$1,$B$1)</f>
        <v>5.2187000000000001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0.1176889</v>
      </c>
      <c r="N52" s="55">
        <f>_xll.EQNXTDZ($A$1,$B52,N$1,$B$1)</f>
        <v>0.16656850000000001</v>
      </c>
      <c r="O52" s="55">
        <f>_xll.EQNXTDZ($A$1,$B52,O$1,$B$1)</f>
        <v>4.7427799999999999E-2</v>
      </c>
      <c r="P52" s="55">
        <f>_xll.EQNXTDZ($A$1,$B52,P$1,$B$1)</f>
        <v>0.1944253</v>
      </c>
      <c r="Q52" s="55">
        <f>_xll.EQNXTDZ($A$1,$B52,Q$1,$B$1)</f>
        <v>0.2709357</v>
      </c>
      <c r="R52" s="55">
        <f>_xll.EQNXTDZ($A$1,$B52,R$1,$B$1)</f>
        <v>0.2621212</v>
      </c>
      <c r="S52" s="55">
        <f>_xll.EQNXTDZ($A$1,$B52,S$1,$B$1)</f>
        <v>0.25377630000000001</v>
      </c>
      <c r="T52" s="55">
        <f>_xll.EQNXTDZ($A$1,$B52,T$1,$B$1)</f>
        <v>0.53311739999999996</v>
      </c>
      <c r="U52" s="55">
        <f>_xll.EQNXTDZ($A$1,$B52,U$1,$B$1)</f>
        <v>0.36459170000000002</v>
      </c>
      <c r="V52" s="55">
        <f>_xll.EQNXTDZ($A$1,$B52,V$1,$B$1)</f>
        <v>0.37567739999999999</v>
      </c>
      <c r="W52" s="55">
        <f>_xll.EQNXTDZ($A$1,$B52,W$1,$B$1)</f>
        <v>8.4099999999999994E-2</v>
      </c>
      <c r="X52" s="55">
        <f>_xll.EQNXTDZ($A$1,$B52,X$1,$B$1)</f>
        <v>0.22090000000000001</v>
      </c>
      <c r="Y52" s="55">
        <f>_xll.EQNXTDZ($A$1,$B52,Y$1,$B$1)</f>
        <v>0.62</v>
      </c>
      <c r="Z52" s="55">
        <f>_xll.EQNXTDZ($A$1,$B52,Z$1,$B$1)</f>
        <v>0.6089</v>
      </c>
      <c r="AA52" s="55">
        <f>_xll.EQNXTDZ($A$1,$B52,AA$1,$B$1)</f>
        <v>0.98009999999999997</v>
      </c>
      <c r="AB52" s="55">
        <f>_xll.EQNXTDZ($A$1,$B52,AB$1,$B$1)</f>
        <v>0.61329999999999996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5.5656239999999997</v>
      </c>
      <c r="D53" s="55">
        <f>_xll.EQNXTDZ($A$1,$B53,D$1,$B$1)</f>
        <v>4.7035533999999997</v>
      </c>
      <c r="E53" s="55">
        <f>_xll.EQNXTDZ($A$1,$B53,E$1,$B$1)</f>
        <v>4.2809948999999996</v>
      </c>
      <c r="F53" s="55">
        <f>_xll.EQNXTDZ($A$1,$B53,F$1,$B$1)</f>
        <v>3.0108133000000001</v>
      </c>
      <c r="G53" s="55">
        <f>_xll.EQNXTDZ($A$1,$B53,G$1,$B$1)</f>
        <v>3.2095099</v>
      </c>
      <c r="H53" s="55">
        <f>_xll.EQNXTDZ($A$1,$B53,H$1,$B$1)</f>
        <v>0.48000720000000002</v>
      </c>
      <c r="I53" s="55">
        <f>_xll.EQNXTDZ($A$1,$B53,I$1,$B$1)</f>
        <v>0.70405770000000001</v>
      </c>
      <c r="J53" s="55">
        <f>_xll.EQNXTDZ($A$1,$B53,J$1,$B$1)</f>
        <v>0.37898389999999998</v>
      </c>
      <c r="K53" s="55">
        <f>_xll.EQNXTDZ($A$1,$B53,K$1,$B$1)</f>
        <v>0.23294039999999999</v>
      </c>
      <c r="L53" s="55">
        <f>_xll.EQNXTDZ($A$1,$B53,L$1,$B$1)</f>
        <v>0</v>
      </c>
      <c r="M53" s="55">
        <f>_xll.EQNXTDZ($A$1,$B53,M$1,$B$1)</f>
        <v>0.1176889</v>
      </c>
      <c r="N53" s="55">
        <f>_xll.EQNXTDZ($A$1,$B53,N$1,$B$1)</f>
        <v>-6.5494999999999998E-3</v>
      </c>
      <c r="O53" s="55">
        <f>_xll.EQNXTDZ($A$1,$B53,O$1,$B$1)</f>
        <v>-0.25998120000000002</v>
      </c>
      <c r="P53" s="55">
        <f>_xll.EQNXTDZ($A$1,$B53,P$1,$B$1)</f>
        <v>4.2783753000000004</v>
      </c>
      <c r="Q53" s="55">
        <f>_xll.EQNXTDZ($A$1,$B53,Q$1,$B$1)</f>
        <v>3.3612156999999998</v>
      </c>
      <c r="R53" s="55">
        <f>_xll.EQNXTDZ($A$1,$B53,R$1,$B$1)</f>
        <v>2.2686861999999999</v>
      </c>
      <c r="S53" s="55">
        <f>_xll.EQNXTDZ($A$1,$B53,S$1,$B$1)</f>
        <v>1.1773294000000001</v>
      </c>
      <c r="T53" s="55">
        <f>_xll.EQNXTDZ($A$1,$B53,T$1,$B$1)</f>
        <v>1.7715593999999999</v>
      </c>
      <c r="U53" s="55">
        <f>_xll.EQNXTDZ($A$1,$B53,U$1,$B$1)</f>
        <v>1.4785056999999999</v>
      </c>
      <c r="V53" s="55">
        <f>_xll.EQNXTDZ($A$1,$B53,V$1,$B$1)</f>
        <v>4.6923028000000002</v>
      </c>
      <c r="W53" s="55">
        <f>_xll.EQNXTDZ($A$1,$B53,W$1,$B$1)</f>
        <v>3.8582999999999998</v>
      </c>
      <c r="X53" s="55">
        <f>_xll.EQNXTDZ($A$1,$B53,X$1,$B$1)</f>
        <v>4.0119999999999996</v>
      </c>
      <c r="Y53" s="55">
        <f>_xll.EQNXTDZ($A$1,$B53,Y$1,$B$1)</f>
        <v>3.5287999999999999</v>
      </c>
      <c r="Z53" s="55">
        <f>_xll.EQNXTDZ($A$1,$B53,Z$1,$B$1)</f>
        <v>6.3658000000000001</v>
      </c>
      <c r="AA53" s="55">
        <f>_xll.EQNXTDZ($A$1,$B53,AA$1,$B$1)</f>
        <v>17.747699999999998</v>
      </c>
      <c r="AB53" s="55">
        <f>_xll.EQNXTDZ($A$1,$B53,AB$1,$B$1)</f>
        <v>12.9932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4.6506544999999999</v>
      </c>
      <c r="D54" s="55">
        <f>_xll.EQNXTDZ($A$1,$B54,D$1,$B$1)</f>
        <v>0.90982450000000004</v>
      </c>
      <c r="E54" s="55">
        <f>_xll.EQNXTDZ($A$1,$B54,E$1,$B$1)</f>
        <v>0.37430170000000001</v>
      </c>
      <c r="F54" s="55">
        <f>_xll.EQNXTDZ($A$1,$B54,F$1,$B$1)</f>
        <v>1.7949584999999999</v>
      </c>
      <c r="G54" s="55">
        <f>_xll.EQNXTDZ($A$1,$B54,G$1,$B$1)</f>
        <v>0.99757689999999999</v>
      </c>
      <c r="H54" s="55">
        <f>_xll.EQNXTDZ($A$1,$B54,H$1,$B$1)</f>
        <v>8.2772691999999992</v>
      </c>
      <c r="I54" s="55">
        <f>_xll.EQNXTDZ($A$1,$B54,I$1,$B$1)</f>
        <v>3.7189584999999998</v>
      </c>
      <c r="J54" s="55">
        <f>_xll.EQNXTDZ($A$1,$B54,J$1,$B$1)</f>
        <v>1.6508387</v>
      </c>
      <c r="K54" s="55">
        <f>_xll.EQNXTDZ($A$1,$B54,K$1,$B$1)</f>
        <v>1.0938097</v>
      </c>
      <c r="L54" s="55">
        <f>_xll.EQNXTDZ($A$1,$B54,L$1,$B$1)</f>
        <v>0.81910430000000001</v>
      </c>
      <c r="M54" s="55">
        <f>_xll.EQNXTDZ($A$1,$B54,M$1,$B$1)</f>
        <v>0.57172109999999998</v>
      </c>
      <c r="N54" s="55">
        <f>_xll.EQNXTDZ($A$1,$B54,N$1,$B$1)</f>
        <v>0.63609740000000004</v>
      </c>
      <c r="O54" s="55">
        <f>_xll.EQNXTDZ($A$1,$B54,O$1,$B$1)</f>
        <v>0.24710019999999999</v>
      </c>
      <c r="P54" s="55">
        <f>_xll.EQNXTDZ($A$1,$B54,P$1,$B$1)</f>
        <v>1.0612505000000001</v>
      </c>
      <c r="Q54" s="55">
        <f>_xll.EQNXTDZ($A$1,$B54,Q$1,$B$1)</f>
        <v>0.47239779999999998</v>
      </c>
      <c r="R54" s="55">
        <f>_xll.EQNXTDZ($A$1,$B54,R$1,$B$1)</f>
        <v>0.32246219999999998</v>
      </c>
      <c r="S54" s="55">
        <f>_xll.EQNXTDZ($A$1,$B54,S$1,$B$1)</f>
        <v>0.50632960000000005</v>
      </c>
      <c r="T54" s="55">
        <f>_xll.EQNXTDZ($A$1,$B54,T$1,$B$1)</f>
        <v>2.0514682</v>
      </c>
      <c r="U54" s="55">
        <f>_xll.EQNXTDZ($A$1,$B54,U$1,$B$1)</f>
        <v>0.16770309999999999</v>
      </c>
      <c r="V54" s="55">
        <f>_xll.EQNXTDZ($A$1,$B54,V$1,$B$1)</f>
        <v>1.5546134</v>
      </c>
      <c r="W54" s="55">
        <f>_xll.EQNXTDZ($A$1,$B54,W$1,$B$1)</f>
        <v>0.3276</v>
      </c>
      <c r="X54" s="55">
        <f>_xll.EQNXTDZ($A$1,$B54,X$1,$B$1)</f>
        <v>0.70609999999999995</v>
      </c>
      <c r="Y54" s="55">
        <f>_xll.EQNXTDZ($A$1,$B54,Y$1,$B$1)</f>
        <v>3.0537000000000001</v>
      </c>
      <c r="Z54" s="55">
        <f>_xll.EQNXTDZ($A$1,$B54,Z$1,$B$1)</f>
        <v>5.8384999999999998</v>
      </c>
      <c r="AA54" s="55">
        <f>_xll.EQNXTDZ($A$1,$B54,AA$1,$B$1)</f>
        <v>4.1517999999999997</v>
      </c>
      <c r="AB54" s="55">
        <f>_xll.EQNXTDZ($A$1,$B54,AB$1,$B$1)</f>
        <v>1.9735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0.76661820000000003</v>
      </c>
      <c r="D55" s="55">
        <f>_xll.EQNXTDZ($A$1,$B55,D$1,$B$1)</f>
        <v>0.254917</v>
      </c>
      <c r="E55" s="55">
        <f>_xll.EQNXTDZ($A$1,$B55,E$1,$B$1)</f>
        <v>0.35001480000000001</v>
      </c>
      <c r="F55" s="55">
        <f>_xll.EQNXTDZ($A$1,$B55,F$1,$B$1)</f>
        <v>0.4709566</v>
      </c>
      <c r="G55" s="55">
        <f>_xll.EQNXTDZ($A$1,$B55,G$1,$B$1)</f>
        <v>0.3669364</v>
      </c>
      <c r="H55" s="55">
        <f>_xll.EQNXTDZ($A$1,$B55,H$1,$B$1)</f>
        <v>0.4927164</v>
      </c>
      <c r="I55" s="55">
        <f>_xll.EQNXTDZ($A$1,$B55,I$1,$B$1)</f>
        <v>0.44321880000000002</v>
      </c>
      <c r="J55" s="55">
        <f>_xll.EQNXTDZ($A$1,$B55,J$1,$B$1)</f>
        <v>0.31240879999999999</v>
      </c>
      <c r="K55" s="55">
        <f>_xll.EQNXTDZ($A$1,$B55,K$1,$B$1)</f>
        <v>0.49760490000000002</v>
      </c>
      <c r="L55" s="55">
        <f>_xll.EQNXTDZ($A$1,$B55,L$1,$B$1)</f>
        <v>0.44441530000000001</v>
      </c>
      <c r="M55" s="55">
        <f>_xll.EQNXTDZ($A$1,$B55,M$1,$B$1)</f>
        <v>0.90792879999999998</v>
      </c>
      <c r="N55" s="55">
        <f>_xll.EQNXTDZ($A$1,$B55,N$1,$B$1)</f>
        <v>1.0172306</v>
      </c>
      <c r="O55" s="55">
        <f>_xll.EQNXTDZ($A$1,$B55,O$1,$B$1)</f>
        <v>1.3297085</v>
      </c>
      <c r="P55" s="55">
        <f>_xll.EQNXTDZ($A$1,$B55,P$1,$B$1)</f>
        <v>2.1969139000000002</v>
      </c>
      <c r="Q55" s="55">
        <f>_xll.EQNXTDZ($A$1,$B55,Q$1,$B$1)</f>
        <v>1.7671626</v>
      </c>
      <c r="R55" s="55">
        <f>_xll.EQNXTDZ($A$1,$B55,R$1,$B$1)</f>
        <v>2.4364357000000001</v>
      </c>
      <c r="S55" s="55">
        <f>_xll.EQNXTDZ($A$1,$B55,S$1,$B$1)</f>
        <v>2.0283755999999999</v>
      </c>
      <c r="T55" s="55">
        <f>_xll.EQNXTDZ($A$1,$B55,T$1,$B$1)</f>
        <v>2.2612117</v>
      </c>
      <c r="U55" s="55">
        <f>_xll.EQNXTDZ($A$1,$B55,U$1,$B$1)</f>
        <v>2.4525693</v>
      </c>
      <c r="V55" s="55">
        <f>_xll.EQNXTDZ($A$1,$B55,V$1,$B$1)</f>
        <v>8.9172808999999997</v>
      </c>
      <c r="W55" s="55">
        <f>_xll.EQNXTDZ($A$1,$B55,W$1,$B$1)</f>
        <v>16.337800000000001</v>
      </c>
      <c r="X55" s="55">
        <f>_xll.EQNXTDZ($A$1,$B55,X$1,$B$1)</f>
        <v>8.8756000000000004</v>
      </c>
      <c r="Y55" s="55">
        <f>_xll.EQNXTDZ($A$1,$B55,Y$1,$B$1)</f>
        <v>5.7666000000000004</v>
      </c>
      <c r="Z55" s="55">
        <f>_xll.EQNXTDZ($A$1,$B55,Z$1,$B$1)</f>
        <v>19.530100000000001</v>
      </c>
      <c r="AA55" s="55">
        <f>_xll.EQNXTDZ($A$1,$B55,AA$1,$B$1)</f>
        <v>20.4832</v>
      </c>
      <c r="AB55" s="55">
        <f>_xll.EQNXTDZ($A$1,$B55,AB$1,$B$1)</f>
        <v>33.080599999999997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2.3060293999999999</v>
      </c>
      <c r="N56" s="55">
        <f>_xll.EQNXTDZ($A$1,$B56,N$1,$B$1)</f>
        <v>2.6118001</v>
      </c>
      <c r="O56" s="55">
        <f>_xll.EQNXTDZ($A$1,$B56,O$1,$B$1)</f>
        <v>3.7580762999999999</v>
      </c>
      <c r="P56" s="55">
        <f>_xll.EQNXTDZ($A$1,$B56,P$1,$B$1)</f>
        <v>5.0425583999999999</v>
      </c>
      <c r="Q56" s="55">
        <f>_xll.EQNXTDZ($A$1,$B56,Q$1,$B$1)</f>
        <v>4.8171480000000004</v>
      </c>
      <c r="R56" s="55">
        <f>_xll.EQNXTDZ($A$1,$B56,R$1,$B$1)</f>
        <v>6.0168739000000002</v>
      </c>
      <c r="S56" s="55">
        <f>_xll.EQNXTDZ($A$1,$B56,S$1,$B$1)</f>
        <v>9.0230564999999991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12.8665</v>
      </c>
      <c r="Y56" s="55">
        <f>_xll.EQNXTDZ($A$1,$B56,Y$1,$B$1)</f>
        <v>27.903400000000001</v>
      </c>
      <c r="Z56" s="55">
        <f>_xll.EQNXTDZ($A$1,$B56,Z$1,$B$1)</f>
        <v>11.5039</v>
      </c>
      <c r="AA56" s="55">
        <f>_xll.EQNXTDZ($A$1,$B56,AA$1,$B$1)</f>
        <v>9.1092999999999993</v>
      </c>
      <c r="AB56" s="55">
        <f>_xll.EQNXTDZ($A$1,$B56,AB$1,$B$1)</f>
        <v>22.051100000000002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1.2517866</v>
      </c>
      <c r="D57" s="55">
        <f>_xll.EQNXTDZ($A$1,$B57,D$1,$B$1)</f>
        <v>2.3925036999999998</v>
      </c>
      <c r="E57" s="55">
        <f>_xll.EQNXTDZ($A$1,$B57,E$1,$B$1)</f>
        <v>2.4054622999999999</v>
      </c>
      <c r="F57" s="55">
        <f>_xll.EQNXTDZ($A$1,$B57,F$1,$B$1)</f>
        <v>0</v>
      </c>
      <c r="G57" s="55">
        <f>_xll.EQNXTDZ($A$1,$B57,G$1,$B$1)</f>
        <v>5.5E-2</v>
      </c>
      <c r="H57" s="55">
        <f>_xll.EQNXTDZ($A$1,$B57,H$1,$B$1)</f>
        <v>0.17</v>
      </c>
      <c r="I57" s="55">
        <f>_xll.EQNXTDZ($A$1,$B57,I$1,$B$1)</f>
        <v>1.5523108000000001</v>
      </c>
      <c r="J57" s="55">
        <f>_xll.EQNXTDZ($A$1,$B57,J$1,$B$1)</f>
        <v>4.3887555999999996</v>
      </c>
      <c r="K57" s="55">
        <f>_xll.EQNXTDZ($A$1,$B57,K$1,$B$1)</f>
        <v>5.1157421999999997</v>
      </c>
      <c r="L57" s="55">
        <f>_xll.EQNXTDZ($A$1,$B57,L$1,$B$1)</f>
        <v>1.8810194</v>
      </c>
      <c r="M57" s="55">
        <f>_xll.EQNXTDZ($A$1,$B57,M$1,$B$1)</f>
        <v>1.8845147</v>
      </c>
      <c r="N57" s="55">
        <f>_xll.EQNXTDZ($A$1,$B57,N$1,$B$1)</f>
        <v>2.1242302999999998</v>
      </c>
      <c r="O57" s="55">
        <f>_xll.EQNXTDZ($A$1,$B57,O$1,$B$1)</f>
        <v>3.7239103999999998</v>
      </c>
      <c r="P57" s="55">
        <f>_xll.EQNXTDZ($A$1,$B57,P$1,$B$1)</f>
        <v>0.13488890000000001</v>
      </c>
      <c r="Q57" s="55">
        <f>_xll.EQNXTDZ($A$1,$B57,Q$1,$B$1)</f>
        <v>1.2014623</v>
      </c>
      <c r="R57" s="55">
        <f>_xll.EQNXTDZ($A$1,$B57,R$1,$B$1)</f>
        <v>1.0874071999999999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0.1351676</v>
      </c>
      <c r="V57" s="55">
        <f>_xll.EQNXTDZ($A$1,$B57,V$1,$B$1)</f>
        <v>4.7248999999999999E-2</v>
      </c>
      <c r="W57" s="55">
        <f>_xll.EQNXTDZ($A$1,$B57,W$1,$B$1)</f>
        <v>0</v>
      </c>
      <c r="X57" s="55">
        <f>_xll.EQNXTDZ($A$1,$B57,X$1,$B$1)</f>
        <v>1.7600000000000001E-2</v>
      </c>
      <c r="Y57" s="55">
        <f>_xll.EQNXTDZ($A$1,$B57,Y$1,$B$1)</f>
        <v>1.7370000000000001</v>
      </c>
      <c r="Z57" s="55">
        <f>_xll.EQNXTDZ($A$1,$B57,Z$1,$B$1)</f>
        <v>8.2432999999999996</v>
      </c>
      <c r="AA57" s="55">
        <f>_xll.EQNXTDZ($A$1,$B57,AA$1,$B$1)</f>
        <v>0.85740000000000005</v>
      </c>
      <c r="AB57" s="55">
        <f>_xll.EQNXTDZ($A$1,$B57,AB$1,$B$1)</f>
        <v>1.5114000000000001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6.6690592999999998</v>
      </c>
      <c r="D59" s="55">
        <f>_xll.EQNXTDZ($A$1,$B59,D$1,$B$1)</f>
        <v>3.5572452000000001</v>
      </c>
      <c r="E59" s="55">
        <f>_xll.EQNXTDZ($A$1,$B59,E$1,$B$1)</f>
        <v>3.1297788</v>
      </c>
      <c r="F59" s="55">
        <f>_xll.EQNXTDZ($A$1,$B59,F$1,$B$1)</f>
        <v>2.2659151</v>
      </c>
      <c r="G59" s="55">
        <f>_xll.EQNXTDZ($A$1,$B59,G$1,$B$1)</f>
        <v>1.4195133</v>
      </c>
      <c r="H59" s="55">
        <f>_xll.EQNXTDZ($A$1,$B59,H$1,$B$1)</f>
        <v>8.9399856</v>
      </c>
      <c r="I59" s="55">
        <f>_xll.EQNXTDZ($A$1,$B59,I$1,$B$1)</f>
        <v>5.7144880999999996</v>
      </c>
      <c r="J59" s="55">
        <f>_xll.EQNXTDZ($A$1,$B59,J$1,$B$1)</f>
        <v>6.3520031000000001</v>
      </c>
      <c r="K59" s="55">
        <f>_xll.EQNXTDZ($A$1,$B59,K$1,$B$1)</f>
        <v>6.7071567999999999</v>
      </c>
      <c r="L59" s="55">
        <f>_xll.EQNXTDZ($A$1,$B59,L$1,$B$1)</f>
        <v>3.144539</v>
      </c>
      <c r="M59" s="55">
        <f>_xll.EQNXTDZ($A$1,$B59,M$1,$B$1)</f>
        <v>5.6701940000000004</v>
      </c>
      <c r="N59" s="55">
        <f>_xll.EQNXTDZ($A$1,$B59,N$1,$B$1)</f>
        <v>6.3893583999999999</v>
      </c>
      <c r="O59" s="55">
        <f>_xll.EQNXTDZ($A$1,$B59,O$1,$B$1)</f>
        <v>9.0587953999999993</v>
      </c>
      <c r="P59" s="55">
        <f>_xll.EQNXTDZ($A$1,$B59,P$1,$B$1)</f>
        <v>8.4356117000000008</v>
      </c>
      <c r="Q59" s="55">
        <f>_xll.EQNXTDZ($A$1,$B59,Q$1,$B$1)</f>
        <v>8.2581707000000009</v>
      </c>
      <c r="R59" s="55">
        <f>_xll.EQNXTDZ($A$1,$B59,R$1,$B$1)</f>
        <v>9.8631790000000006</v>
      </c>
      <c r="S59" s="55">
        <f>_xll.EQNXTDZ($A$1,$B59,S$1,$B$1)</f>
        <v>11.5577617</v>
      </c>
      <c r="T59" s="55">
        <f>_xll.EQNXTDZ($A$1,$B59,T$1,$B$1)</f>
        <v>4.3126799</v>
      </c>
      <c r="U59" s="55">
        <f>_xll.EQNXTDZ($A$1,$B59,U$1,$B$1)</f>
        <v>2.7554400000000001</v>
      </c>
      <c r="V59" s="55">
        <f>_xll.EQNXTDZ($A$1,$B59,V$1,$B$1)</f>
        <v>10.5191433</v>
      </c>
      <c r="W59" s="55">
        <f>_xll.EQNXTDZ($A$1,$B59,W$1,$B$1)</f>
        <v>16.665400000000002</v>
      </c>
      <c r="X59" s="55">
        <f>_xll.EQNXTDZ($A$1,$B59,X$1,$B$1)</f>
        <v>22.465800000000002</v>
      </c>
      <c r="Y59" s="55">
        <f>_xll.EQNXTDZ($A$1,$B59,Y$1,$B$1)</f>
        <v>38.460700000000003</v>
      </c>
      <c r="Z59" s="55">
        <f>_xll.EQNXTDZ($A$1,$B59,Z$1,$B$1)</f>
        <v>45.1158</v>
      </c>
      <c r="AA59" s="55">
        <f>_xll.EQNXTDZ($A$1,$B59,AA$1,$B$1)</f>
        <v>34.601700000000001</v>
      </c>
      <c r="AB59" s="55">
        <f>_xll.EQNXTDZ($A$1,$B59,AB$1,$B$1)</f>
        <v>58.616599999999998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29.241538200000001</v>
      </c>
      <c r="D60" s="55">
        <f>_xll.EQNXTDZ($A$1,$B60,D$1,$B$1)</f>
        <v>18.612837800000001</v>
      </c>
      <c r="E60" s="55">
        <f>_xll.EQNXTDZ($A$1,$B60,E$1,$B$1)</f>
        <v>17.929623599999999</v>
      </c>
      <c r="F60" s="55">
        <f>_xll.EQNXTDZ($A$1,$B60,F$1,$B$1)</f>
        <v>15.094440000000001</v>
      </c>
      <c r="G60" s="55">
        <f>_xll.EQNXTDZ($A$1,$B60,G$1,$B$1)</f>
        <v>15.239282899999999</v>
      </c>
      <c r="H60" s="55">
        <f>_xll.EQNXTDZ($A$1,$B60,H$1,$B$1)</f>
        <v>20.929946699999999</v>
      </c>
      <c r="I60" s="55">
        <f>_xll.EQNXTDZ($A$1,$B60,I$1,$B$1)</f>
        <v>19.386953800000001</v>
      </c>
      <c r="J60" s="55">
        <f>_xll.EQNXTDZ($A$1,$B60,J$1,$B$1)</f>
        <v>22.462276299999999</v>
      </c>
      <c r="K60" s="55">
        <f>_xll.EQNXTDZ($A$1,$B60,K$1,$B$1)</f>
        <v>24.350319200000001</v>
      </c>
      <c r="L60" s="55">
        <f>_xll.EQNXTDZ($A$1,$B60,L$1,$B$1)</f>
        <v>18.9702208</v>
      </c>
      <c r="M60" s="55">
        <f>_xll.EQNXTDZ($A$1,$B60,M$1,$B$1)</f>
        <v>23.166940199999999</v>
      </c>
      <c r="N60" s="55">
        <f>_xll.EQNXTDZ($A$1,$B60,N$1,$B$1)</f>
        <v>25.1008101</v>
      </c>
      <c r="O60" s="55">
        <f>_xll.EQNXTDZ($A$1,$B60,O$1,$B$1)</f>
        <v>32.645393599999998</v>
      </c>
      <c r="P60" s="55">
        <f>_xll.EQNXTDZ($A$1,$B60,P$1,$B$1)</f>
        <v>33.4235738</v>
      </c>
      <c r="Q60" s="55">
        <f>_xll.EQNXTDZ($A$1,$B60,Q$1,$B$1)</f>
        <v>31.335214300000001</v>
      </c>
      <c r="R60" s="55">
        <f>_xll.EQNXTDZ($A$1,$B60,R$1,$B$1)</f>
        <v>31.873780799999999</v>
      </c>
      <c r="S60" s="55">
        <f>_xll.EQNXTDZ($A$1,$B60,S$1,$B$1)</f>
        <v>33.364699199999997</v>
      </c>
      <c r="T60" s="55">
        <f>_xll.EQNXTDZ($A$1,$B60,T$1,$B$1)</f>
        <v>43.042099</v>
      </c>
      <c r="U60" s="55">
        <f>_xll.EQNXTDZ($A$1,$B60,U$1,$B$1)</f>
        <v>47.2781758</v>
      </c>
      <c r="V60" s="55">
        <f>_xll.EQNXTDZ($A$1,$B60,V$1,$B$1)</f>
        <v>66.885572199999999</v>
      </c>
      <c r="W60" s="55">
        <f>_xll.EQNXTDZ($A$1,$B60,W$1,$B$1)</f>
        <v>86.763400000000004</v>
      </c>
      <c r="X60" s="55">
        <f>_xll.EQNXTDZ($A$1,$B60,X$1,$B$1)</f>
        <v>108.99679999999999</v>
      </c>
      <c r="Y60" s="55">
        <f>_xll.EQNXTDZ($A$1,$B60,Y$1,$B$1)</f>
        <v>149.47120000000001</v>
      </c>
      <c r="Z60" s="55">
        <f>_xll.EQNXTDZ($A$1,$B60,Z$1,$B$1)</f>
        <v>215.60079999999999</v>
      </c>
      <c r="AA60" s="55">
        <f>_xll.EQNXTDZ($A$1,$B60,AA$1,$B$1)</f>
        <v>289.59550000000002</v>
      </c>
      <c r="AB60" s="55">
        <f>_xll.EQNXTDZ($A$1,$B60,AB$1,$B$1)</f>
        <v>409.84300000000002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7.9602703999999997</v>
      </c>
      <c r="D62" s="55">
        <f>_xll.EQNXTDZ($A$1,$B62,D$1,$B$1)</f>
        <v>8.7510381000000006</v>
      </c>
      <c r="E62" s="55">
        <f>_xll.EQNXTDZ($A$1,$B62,E$1,$B$1)</f>
        <v>11.0971417</v>
      </c>
      <c r="F62" s="55">
        <f>_xll.EQNXTDZ($A$1,$B62,F$1,$B$1)</f>
        <v>9.8167778999999999</v>
      </c>
      <c r="G62" s="55">
        <f>_xll.EQNXTDZ($A$1,$B62,G$1,$B$1)</f>
        <v>10.167493199999999</v>
      </c>
      <c r="H62" s="55">
        <f>_xll.EQNXTDZ($A$1,$B62,H$1,$B$1)</f>
        <v>11.3126158</v>
      </c>
      <c r="I62" s="55">
        <f>_xll.EQNXTDZ($A$1,$B62,I$1,$B$1)</f>
        <v>12.6760901</v>
      </c>
      <c r="J62" s="55">
        <f>_xll.EQNXTDZ($A$1,$B62,J$1,$B$1)</f>
        <v>12.587238299999999</v>
      </c>
      <c r="K62" s="55">
        <f>_xll.EQNXTDZ($A$1,$B62,K$1,$B$1)</f>
        <v>12.9645277</v>
      </c>
      <c r="L62" s="55">
        <f>_xll.EQNXTDZ($A$1,$B62,L$1,$B$1)</f>
        <v>13.4875323</v>
      </c>
      <c r="M62" s="55">
        <f>_xll.EQNXTDZ($A$1,$B62,M$1,$B$1)</f>
        <v>16.6660042</v>
      </c>
      <c r="N62" s="55">
        <f>_xll.EQNXTDZ($A$1,$B62,N$1,$B$1)</f>
        <v>17.754703800000001</v>
      </c>
      <c r="O62" s="55">
        <f>_xll.EQNXTDZ($A$1,$B62,O$1,$B$1)</f>
        <v>25.6870732</v>
      </c>
      <c r="P62" s="55">
        <f>_xll.EQNXTDZ($A$1,$B62,P$1,$B$1)</f>
        <v>26.770124500000001</v>
      </c>
      <c r="Q62" s="55">
        <f>_xll.EQNXTDZ($A$1,$B62,Q$1,$B$1)</f>
        <v>26.792086699999999</v>
      </c>
      <c r="R62" s="55">
        <f>_xll.EQNXTDZ($A$1,$B62,R$1,$B$1)</f>
        <v>28.234805999999999</v>
      </c>
      <c r="S62" s="55">
        <f>_xll.EQNXTDZ($A$1,$B62,S$1,$B$1)</f>
        <v>15.0760255</v>
      </c>
      <c r="T62" s="55">
        <f>_xll.EQNXTDZ($A$1,$B62,T$1,$B$1)</f>
        <v>15.1364909</v>
      </c>
      <c r="U62" s="55">
        <f>_xll.EQNXTDZ($A$1,$B62,U$1,$B$1)</f>
        <v>16.691034299999998</v>
      </c>
      <c r="V62" s="55">
        <f>_xll.EQNXTDZ($A$1,$B62,V$1,$B$1)</f>
        <v>21.7430582</v>
      </c>
      <c r="W62" s="55">
        <f>_xll.EQNXTDZ($A$1,$B62,W$1,$B$1)</f>
        <v>25.9803</v>
      </c>
      <c r="X62" s="55">
        <f>_xll.EQNXTDZ($A$1,$B62,X$1,$B$1)</f>
        <v>40.2395</v>
      </c>
      <c r="Y62" s="55">
        <f>_xll.EQNXTDZ($A$1,$B62,Y$1,$B$1)</f>
        <v>50.057099999999998</v>
      </c>
      <c r="Z62" s="55">
        <f>_xll.EQNXTDZ($A$1,$B62,Z$1,$B$1)</f>
        <v>73.694800000000001</v>
      </c>
      <c r="AA62" s="55">
        <f>_xll.EQNXTDZ($A$1,$B62,AA$1,$B$1)</f>
        <v>150.61410000000001</v>
      </c>
      <c r="AB62" s="55">
        <f>_xll.EQNXTDZ($A$1,$B62,AB$1,$B$1)</f>
        <v>234.5917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1.1331184000000001</v>
      </c>
      <c r="D63" s="55">
        <f>_xll.EQNXTDZ($A$1,$B63,D$1,$B$1)</f>
        <v>1.6723621</v>
      </c>
      <c r="E63" s="55">
        <f>_xll.EQNXTDZ($A$1,$B63,E$1,$B$1)</f>
        <v>2.2790325</v>
      </c>
      <c r="F63" s="55">
        <f>_xll.EQNXTDZ($A$1,$B63,F$1,$B$1)</f>
        <v>3.0295038000000001</v>
      </c>
      <c r="G63" s="55">
        <f>_xll.EQNXTDZ($A$1,$B63,G$1,$B$1)</f>
        <v>3.6631014999999998</v>
      </c>
      <c r="H63" s="55">
        <f>_xll.EQNXTDZ($A$1,$B63,H$1,$B$1)</f>
        <v>4.2781288000000002</v>
      </c>
      <c r="I63" s="55">
        <f>_xll.EQNXTDZ($A$1,$B63,I$1,$B$1)</f>
        <v>5.0985323999999999</v>
      </c>
      <c r="J63" s="55">
        <f>_xll.EQNXTDZ($A$1,$B63,J$1,$B$1)</f>
        <v>6.0334133999999997</v>
      </c>
      <c r="K63" s="55">
        <f>_xll.EQNXTDZ($A$1,$B63,K$1,$B$1)</f>
        <v>6.6953861999999997</v>
      </c>
      <c r="L63" s="55">
        <f>_xll.EQNXTDZ($A$1,$B63,L$1,$B$1)</f>
        <v>7.9461325</v>
      </c>
      <c r="M63" s="55">
        <f>_xll.EQNXTDZ($A$1,$B63,M$1,$B$1)</f>
        <v>8.0317468000000005</v>
      </c>
      <c r="N63" s="55">
        <f>_xll.EQNXTDZ($A$1,$B63,N$1,$B$1)</f>
        <v>8.9943898999999998</v>
      </c>
      <c r="O63" s="55">
        <f>_xll.EQNXTDZ($A$1,$B63,O$1,$B$1)</f>
        <v>9.3181586000000003</v>
      </c>
      <c r="P63" s="55">
        <f>_xll.EQNXTDZ($A$1,$B63,P$1,$B$1)</f>
        <v>11.3807429</v>
      </c>
      <c r="Q63" s="55">
        <f>_xll.EQNXTDZ($A$1,$B63,Q$1,$B$1)</f>
        <v>13.0981279</v>
      </c>
      <c r="R63" s="55">
        <f>_xll.EQNXTDZ($A$1,$B63,R$1,$B$1)</f>
        <v>14.8437225</v>
      </c>
      <c r="S63" s="55">
        <f>_xll.EQNXTDZ($A$1,$B63,S$1,$B$1)</f>
        <v>1.7743803</v>
      </c>
      <c r="T63" s="55">
        <f>_xll.EQNXTDZ($A$1,$B63,T$1,$B$1)</f>
        <v>3.0386845</v>
      </c>
      <c r="U63" s="55">
        <f>_xll.EQNXTDZ($A$1,$B63,U$1,$B$1)</f>
        <v>5.0323035999999997</v>
      </c>
      <c r="V63" s="55">
        <f>_xll.EQNXTDZ($A$1,$B63,V$1,$B$1)</f>
        <v>7.5216173</v>
      </c>
      <c r="W63" s="55">
        <f>_xll.EQNXTDZ($A$1,$B63,W$1,$B$1)</f>
        <v>9.9550999999999998</v>
      </c>
      <c r="X63" s="55">
        <f>_xll.EQNXTDZ($A$1,$B63,X$1,$B$1)</f>
        <v>13.5685</v>
      </c>
      <c r="Y63" s="55">
        <f>_xll.EQNXTDZ($A$1,$B63,Y$1,$B$1)</f>
        <v>18.9055</v>
      </c>
      <c r="Z63" s="55">
        <f>_xll.EQNXTDZ($A$1,$B63,Z$1,$B$1)</f>
        <v>25.191600000000001</v>
      </c>
      <c r="AA63" s="55">
        <f>_xll.EQNXTDZ($A$1,$B63,AA$1,$B$1)</f>
        <v>35.933300000000003</v>
      </c>
      <c r="AB63" s="55">
        <f>_xll.EQNXTDZ($A$1,$B63,AB$1,$B$1)</f>
        <v>53.413600000000002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6.8271519999999999</v>
      </c>
      <c r="D65" s="55">
        <f>_xll.EQNXTDZ($A$1,$B65,D$1,$B$1)</f>
        <v>7.0786759999999997</v>
      </c>
      <c r="E65" s="55">
        <f>_xll.EQNXTDZ($A$1,$B65,E$1,$B$1)</f>
        <v>8.8181092000000003</v>
      </c>
      <c r="F65" s="55">
        <f>_xll.EQNXTDZ($A$1,$B65,F$1,$B$1)</f>
        <v>6.7872741000000003</v>
      </c>
      <c r="G65" s="55">
        <f>_xll.EQNXTDZ($A$1,$B65,G$1,$B$1)</f>
        <v>6.5043917000000002</v>
      </c>
      <c r="H65" s="55">
        <f>_xll.EQNXTDZ($A$1,$B65,H$1,$B$1)</f>
        <v>7.0344870000000004</v>
      </c>
      <c r="I65" s="55">
        <f>_xll.EQNXTDZ($A$1,$B65,I$1,$B$1)</f>
        <v>7.5775576999999998</v>
      </c>
      <c r="J65" s="55">
        <f>_xll.EQNXTDZ($A$1,$B65,J$1,$B$1)</f>
        <v>6.5538249000000004</v>
      </c>
      <c r="K65" s="55">
        <f>_xll.EQNXTDZ($A$1,$B65,K$1,$B$1)</f>
        <v>6.2691414999999999</v>
      </c>
      <c r="L65" s="55">
        <f>_xll.EQNXTDZ($A$1,$B65,L$1,$B$1)</f>
        <v>5.5413997999999998</v>
      </c>
      <c r="M65" s="55">
        <f>_xll.EQNXTDZ($A$1,$B65,M$1,$B$1)</f>
        <v>8.6342573999999992</v>
      </c>
      <c r="N65" s="55">
        <f>_xll.EQNXTDZ($A$1,$B65,N$1,$B$1)</f>
        <v>8.7603138999999999</v>
      </c>
      <c r="O65" s="55">
        <f>_xll.EQNXTDZ($A$1,$B65,O$1,$B$1)</f>
        <v>16.3689146</v>
      </c>
      <c r="P65" s="55">
        <f>_xll.EQNXTDZ($A$1,$B65,P$1,$B$1)</f>
        <v>15.3893816</v>
      </c>
      <c r="Q65" s="55">
        <f>_xll.EQNXTDZ($A$1,$B65,Q$1,$B$1)</f>
        <v>13.693958800000001</v>
      </c>
      <c r="R65" s="55">
        <f>_xll.EQNXTDZ($A$1,$B65,R$1,$B$1)</f>
        <v>13.391083500000001</v>
      </c>
      <c r="S65" s="55">
        <f>_xll.EQNXTDZ($A$1,$B65,S$1,$B$1)</f>
        <v>13.301645199999999</v>
      </c>
      <c r="T65" s="55">
        <f>_xll.EQNXTDZ($A$1,$B65,T$1,$B$1)</f>
        <v>12.0978064</v>
      </c>
      <c r="U65" s="55">
        <f>_xll.EQNXTDZ($A$1,$B65,U$1,$B$1)</f>
        <v>11.6587307</v>
      </c>
      <c r="V65" s="55">
        <f>_xll.EQNXTDZ($A$1,$B65,V$1,$B$1)</f>
        <v>14.221440899999999</v>
      </c>
      <c r="W65" s="55">
        <f>_xll.EQNXTDZ($A$1,$B65,W$1,$B$1)</f>
        <v>16.025200000000002</v>
      </c>
      <c r="X65" s="55">
        <f>_xll.EQNXTDZ($A$1,$B65,X$1,$B$1)</f>
        <v>26.670999999999999</v>
      </c>
      <c r="Y65" s="55">
        <f>_xll.EQNXTDZ($A$1,$B65,Y$1,$B$1)</f>
        <v>31.151599999999998</v>
      </c>
      <c r="Z65" s="55">
        <f>_xll.EQNXTDZ($A$1,$B65,Z$1,$B$1)</f>
        <v>48.5032</v>
      </c>
      <c r="AA65" s="55">
        <f>_xll.EQNXTDZ($A$1,$B65,AA$1,$B$1)</f>
        <v>114.6808</v>
      </c>
      <c r="AB65" s="55">
        <f>_xll.EQNXTDZ($A$1,$B65,AB$1,$B$1)</f>
        <v>181.1781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0.19830149999999999</v>
      </c>
      <c r="D67" s="55">
        <f>_xll.EQNXTDZ($A$1,$B67,D$1,$B$1)</f>
        <v>0.75866999999999996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0.3320864</v>
      </c>
      <c r="N67" s="55">
        <f>_xll.EQNXTDZ($A$1,$B67,N$1,$B$1)</f>
        <v>2.582541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7.9762100000000002E-2</v>
      </c>
      <c r="V67" s="55">
        <f>_xll.EQNXTDZ($A$1,$B67,V$1,$B$1)</f>
        <v>0</v>
      </c>
      <c r="W67" s="55">
        <f>_xll.EQNXTDZ($A$1,$B67,W$1,$B$1)</f>
        <v>0.73640000000000005</v>
      </c>
      <c r="X67" s="55">
        <f>_xll.EQNXTDZ($A$1,$B67,X$1,$B$1)</f>
        <v>7.0082000000000004</v>
      </c>
      <c r="Y67" s="55">
        <f>_xll.EQNXTDZ($A$1,$B67,Y$1,$B$1)</f>
        <v>8.6559000000000008</v>
      </c>
      <c r="Z67" s="55">
        <f>_xll.EQNXTDZ($A$1,$B67,Z$1,$B$1)</f>
        <v>18.004300000000001</v>
      </c>
      <c r="AA67" s="55">
        <f>_xll.EQNXTDZ($A$1,$B67,AA$1,$B$1)</f>
        <v>4.5429000000000004</v>
      </c>
      <c r="AB67" s="55">
        <f>_xll.EQNXTDZ($A$1,$B67,AB$1,$B$1)</f>
        <v>5.9358000000000004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0.89568499999999995</v>
      </c>
      <c r="D71" s="55">
        <f>_xll.EQNXTDZ($A$1,$B71,D$1,$B$1)</f>
        <v>0.89568499999999995</v>
      </c>
      <c r="E71" s="55">
        <f>_xll.EQNXTDZ($A$1,$B71,E$1,$B$1)</f>
        <v>0.89568499999999995</v>
      </c>
      <c r="F71" s="55">
        <f>_xll.EQNXTDZ($A$1,$B71,F$1,$B$1)</f>
        <v>1.5E-5</v>
      </c>
      <c r="G71" s="55">
        <f>_xll.EQNXTDZ($A$1,$B71,G$1,$B$1)</f>
        <v>1.5E-5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7.5719700000000001E-2</v>
      </c>
      <c r="N72" s="55">
        <f>_xll.EQNXTDZ($A$1,$B72,N$1,$B$1)</f>
        <v>7.9759399999999994E-2</v>
      </c>
      <c r="O72" s="55">
        <f>_xll.EQNXTDZ($A$1,$B72,O$1,$B$1)</f>
        <v>5.7410000000000003E-2</v>
      </c>
      <c r="P72" s="55">
        <f>_xll.EQNXTDZ($A$1,$B72,P$1,$B$1)</f>
        <v>5.7590000000000002E-2</v>
      </c>
      <c r="Q72" s="55">
        <f>_xll.EQNXTDZ($A$1,$B72,Q$1,$B$1)</f>
        <v>7.2630100000000003E-2</v>
      </c>
      <c r="R72" s="55">
        <f>_xll.EQNXTDZ($A$1,$B72,R$1,$B$1)</f>
        <v>8.0990099999999995E-2</v>
      </c>
      <c r="S72" s="55">
        <f>_xll.EQNXTDZ($A$1,$B72,S$1,$B$1)</f>
        <v>0.91988190000000003</v>
      </c>
      <c r="T72" s="55">
        <f>_xll.EQNXTDZ($A$1,$B72,T$1,$B$1)</f>
        <v>0.3525797</v>
      </c>
      <c r="U72" s="55">
        <f>_xll.EQNXTDZ($A$1,$B72,U$1,$B$1)</f>
        <v>0.35545100000000002</v>
      </c>
      <c r="V72" s="55">
        <f>_xll.EQNXTDZ($A$1,$B72,V$1,$B$1)</f>
        <v>0.81243399999999999</v>
      </c>
      <c r="W72" s="55">
        <f>_xll.EQNXTDZ($A$1,$B72,W$1,$B$1)</f>
        <v>0.39379999999999998</v>
      </c>
      <c r="X72" s="55">
        <f>_xll.EQNXTDZ($A$1,$B72,X$1,$B$1)</f>
        <v>0.41799999999999998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7.8899999999999998E-2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7.5819999999999999E-2</v>
      </c>
      <c r="N73" s="55">
        <f>_xll.EQNXTDZ($A$1,$B73,N$1,$B$1)</f>
        <v>8.8959999999999997E-2</v>
      </c>
      <c r="O73" s="55">
        <f>_xll.EQNXTDZ($A$1,$B73,O$1,$B$1)</f>
        <v>0.15546499999999999</v>
      </c>
      <c r="P73" s="55">
        <f>_xll.EQNXTDZ($A$1,$B73,P$1,$B$1)</f>
        <v>0.40029900000000002</v>
      </c>
      <c r="Q73" s="55">
        <f>_xll.EQNXTDZ($A$1,$B73,Q$1,$B$1)</f>
        <v>0.41573900000000003</v>
      </c>
      <c r="R73" s="55">
        <f>_xll.EQNXTDZ($A$1,$B73,R$1,$B$1)</f>
        <v>0.32685930000000002</v>
      </c>
      <c r="S73" s="55">
        <f>_xll.EQNXTDZ($A$1,$B73,S$1,$B$1)</f>
        <v>0.49363430000000003</v>
      </c>
      <c r="T73" s="55">
        <f>_xll.EQNXTDZ($A$1,$B73,T$1,$B$1)</f>
        <v>1.0426599999999999</v>
      </c>
      <c r="U73" s="55">
        <f>_xll.EQNXTDZ($A$1,$B73,U$1,$B$1)</f>
        <v>1.0472398000000001</v>
      </c>
      <c r="V73" s="55">
        <f>_xll.EQNXTDZ($A$1,$B73,V$1,$B$1)</f>
        <v>2.53274</v>
      </c>
      <c r="W73" s="55">
        <f>_xll.EQNXTDZ($A$1,$B73,W$1,$B$1)</f>
        <v>4.8037999999999998</v>
      </c>
      <c r="X73" s="55">
        <f>_xll.EQNXTDZ($A$1,$B73,X$1,$B$1)</f>
        <v>3.2970999999999999</v>
      </c>
      <c r="Y73" s="55">
        <f>_xll.EQNXTDZ($A$1,$B73,Y$1,$B$1)</f>
        <v>1.8969</v>
      </c>
      <c r="Z73" s="55">
        <f>_xll.EQNXTDZ($A$1,$B73,Z$1,$B$1)</f>
        <v>2.7833999999999999</v>
      </c>
      <c r="AA73" s="55">
        <f>_xll.EQNXTDZ($A$1,$B73,AA$1,$B$1)</f>
        <v>2.9336000000000002</v>
      </c>
      <c r="AB73" s="55">
        <f>_xll.EQNXTDZ($A$1,$B73,AB$1,$B$1)</f>
        <v>4.5644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7.9211384999999996</v>
      </c>
      <c r="D74" s="55">
        <f>_xll.EQNXTDZ($A$1,$B74,D$1,$B$1)</f>
        <v>8.7330310000000004</v>
      </c>
      <c r="E74" s="55">
        <f>_xll.EQNXTDZ($A$1,$B74,E$1,$B$1)</f>
        <v>9.7137942000000006</v>
      </c>
      <c r="F74" s="55">
        <f>_xll.EQNXTDZ($A$1,$B74,F$1,$B$1)</f>
        <v>6.7872890999999997</v>
      </c>
      <c r="G74" s="55">
        <f>_xll.EQNXTDZ($A$1,$B74,G$1,$B$1)</f>
        <v>6.5044066999999997</v>
      </c>
      <c r="H74" s="55">
        <f>_xll.EQNXTDZ($A$1,$B74,H$1,$B$1)</f>
        <v>7.0344870000000004</v>
      </c>
      <c r="I74" s="55">
        <f>_xll.EQNXTDZ($A$1,$B74,I$1,$B$1)</f>
        <v>7.5775576999999998</v>
      </c>
      <c r="J74" s="55">
        <f>_xll.EQNXTDZ($A$1,$B74,J$1,$B$1)</f>
        <v>6.5538249000000004</v>
      </c>
      <c r="K74" s="55">
        <f>_xll.EQNXTDZ($A$1,$B74,K$1,$B$1)</f>
        <v>6.2691414999999999</v>
      </c>
      <c r="L74" s="55">
        <f>_xll.EQNXTDZ($A$1,$B74,L$1,$B$1)</f>
        <v>5.5413997999999998</v>
      </c>
      <c r="M74" s="55">
        <f>_xll.EQNXTDZ($A$1,$B74,M$1,$B$1)</f>
        <v>9.1178834999999996</v>
      </c>
      <c r="N74" s="55">
        <f>_xll.EQNXTDZ($A$1,$B74,N$1,$B$1)</f>
        <v>11.511574299999999</v>
      </c>
      <c r="O74" s="55">
        <f>_xll.EQNXTDZ($A$1,$B74,O$1,$B$1)</f>
        <v>16.5817896</v>
      </c>
      <c r="P74" s="55">
        <f>_xll.EQNXTDZ($A$1,$B74,P$1,$B$1)</f>
        <v>15.8472706</v>
      </c>
      <c r="Q74" s="55">
        <f>_xll.EQNXTDZ($A$1,$B74,Q$1,$B$1)</f>
        <v>14.182327900000001</v>
      </c>
      <c r="R74" s="55">
        <f>_xll.EQNXTDZ($A$1,$B74,R$1,$B$1)</f>
        <v>13.798932900000001</v>
      </c>
      <c r="S74" s="55">
        <f>_xll.EQNXTDZ($A$1,$B74,S$1,$B$1)</f>
        <v>14.7151614</v>
      </c>
      <c r="T74" s="55">
        <f>_xll.EQNXTDZ($A$1,$B74,T$1,$B$1)</f>
        <v>13.493046100000001</v>
      </c>
      <c r="U74" s="55">
        <f>_xll.EQNXTDZ($A$1,$B74,U$1,$B$1)</f>
        <v>13.1411836</v>
      </c>
      <c r="V74" s="55">
        <f>_xll.EQNXTDZ($A$1,$B74,V$1,$B$1)</f>
        <v>17.566614900000001</v>
      </c>
      <c r="W74" s="55">
        <f>_xll.EQNXTDZ($A$1,$B74,W$1,$B$1)</f>
        <v>21.959199999999999</v>
      </c>
      <c r="X74" s="55">
        <f>_xll.EQNXTDZ($A$1,$B74,X$1,$B$1)</f>
        <v>37.394300000000001</v>
      </c>
      <c r="Y74" s="55">
        <f>_xll.EQNXTDZ($A$1,$B74,Y$1,$B$1)</f>
        <v>41.7044</v>
      </c>
      <c r="Z74" s="55">
        <f>_xll.EQNXTDZ($A$1,$B74,Z$1,$B$1)</f>
        <v>69.290899999999993</v>
      </c>
      <c r="AA74" s="55">
        <f>_xll.EQNXTDZ($A$1,$B74,AA$1,$B$1)</f>
        <v>122.15730000000001</v>
      </c>
      <c r="AB74" s="55">
        <f>_xll.EQNXTDZ($A$1,$B74,AB$1,$B$1)</f>
        <v>191.75720000000001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5.9055268999999999</v>
      </c>
      <c r="D76" s="55">
        <f>_xll.EQNXTDZ($A$1,$B76,D$1,$B$1)</f>
        <v>4.5909415999999998</v>
      </c>
      <c r="E76" s="55">
        <f>_xll.EQNXTDZ($A$1,$B76,E$1,$B$1)</f>
        <v>4.3946379999999996</v>
      </c>
      <c r="F76" s="55">
        <f>_xll.EQNXTDZ($A$1,$B76,F$1,$B$1)</f>
        <v>4.1250467999999998</v>
      </c>
      <c r="G76" s="55">
        <f>_xll.EQNXTDZ($A$1,$B76,G$1,$B$1)</f>
        <v>3.8462993000000001</v>
      </c>
      <c r="H76" s="55">
        <f>_xll.EQNXTDZ($A$1,$B76,H$1,$B$1)</f>
        <v>3.5919040999999998</v>
      </c>
      <c r="I76" s="55">
        <f>_xll.EQNXTDZ($A$1,$B76,I$1,$B$1)</f>
        <v>3.7610986999999998</v>
      </c>
      <c r="J76" s="55">
        <f>_xll.EQNXTDZ($A$1,$B76,J$1,$B$1)</f>
        <v>3.3522764</v>
      </c>
      <c r="K76" s="55">
        <f>_xll.EQNXTDZ($A$1,$B76,K$1,$B$1)</f>
        <v>2.4563671999999999</v>
      </c>
      <c r="L76" s="55">
        <f>_xll.EQNXTDZ($A$1,$B76,L$1,$B$1)</f>
        <v>2.0023734000000002</v>
      </c>
      <c r="M76" s="55">
        <f>_xll.EQNXTDZ($A$1,$B76,M$1,$B$1)</f>
        <v>3.9662020999999998</v>
      </c>
      <c r="N76" s="55">
        <f>_xll.EQNXTDZ($A$1,$B76,N$1,$B$1)</f>
        <v>4.6998854000000003</v>
      </c>
      <c r="O76" s="55">
        <f>_xll.EQNXTDZ($A$1,$B76,O$1,$B$1)</f>
        <v>1.0766929000000001</v>
      </c>
      <c r="P76" s="55">
        <f>_xll.EQNXTDZ($A$1,$B76,P$1,$B$1)</f>
        <v>12.1044257</v>
      </c>
      <c r="Q76" s="55">
        <f>_xll.EQNXTDZ($A$1,$B76,Q$1,$B$1)</f>
        <v>10.588324200000001</v>
      </c>
      <c r="R76" s="55">
        <f>_xll.EQNXTDZ($A$1,$B76,R$1,$B$1)</f>
        <v>12.442960100000001</v>
      </c>
      <c r="S76" s="55">
        <f>_xll.EQNXTDZ($A$1,$B76,S$1,$B$1)</f>
        <v>7.6978796000000003</v>
      </c>
      <c r="T76" s="55">
        <f>_xll.EQNXTDZ($A$1,$B76,T$1,$B$1)</f>
        <v>6.6731553000000003</v>
      </c>
      <c r="U76" s="55">
        <f>_xll.EQNXTDZ($A$1,$B76,U$1,$B$1)</f>
        <v>2.4421184</v>
      </c>
      <c r="V76" s="55">
        <f>_xll.EQNXTDZ($A$1,$B76,V$1,$B$1)</f>
        <v>5.0893607000000003</v>
      </c>
      <c r="W76" s="55">
        <f>_xll.EQNXTDZ($A$1,$B76,W$1,$B$1)</f>
        <v>2.5143</v>
      </c>
      <c r="X76" s="55">
        <f>_xll.EQNXTDZ($A$1,$B76,X$1,$B$1)</f>
        <v>16.770199999999999</v>
      </c>
      <c r="Y76" s="55">
        <f>_xll.EQNXTDZ($A$1,$B76,Y$1,$B$1)</f>
        <v>44.598700000000001</v>
      </c>
      <c r="Z76" s="55">
        <f>_xll.EQNXTDZ($A$1,$B76,Z$1,$B$1)</f>
        <v>46.039299999999997</v>
      </c>
      <c r="AA76" s="55">
        <f>_xll.EQNXTDZ($A$1,$B76,AA$1,$B$1)</f>
        <v>60.452300000000001</v>
      </c>
      <c r="AB76" s="55">
        <f>_xll.EQNXTDZ($A$1,$B76,AB$1,$B$1)</f>
        <v>93.324200000000005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9.5254148000000001</v>
      </c>
      <c r="D77" s="55">
        <f>_xll.EQNXTDZ($A$1,$B77,D$1,$B$1)</f>
        <v>2.7841865000000001</v>
      </c>
      <c r="E77" s="55">
        <f>_xll.EQNXTDZ($A$1,$B77,E$1,$B$1)</f>
        <v>2.0123186999999998</v>
      </c>
      <c r="F77" s="55">
        <f>_xll.EQNXTDZ($A$1,$B77,F$1,$B$1)</f>
        <v>3.3543288000000002</v>
      </c>
      <c r="G77" s="55">
        <f>_xll.EQNXTDZ($A$1,$B77,G$1,$B$1)</f>
        <v>3.7637203000000001</v>
      </c>
      <c r="H77" s="55">
        <f>_xll.EQNXTDZ($A$1,$B77,H$1,$B$1)</f>
        <v>5.9017071999999997</v>
      </c>
      <c r="I77" s="55">
        <f>_xll.EQNXTDZ($A$1,$B77,I$1,$B$1)</f>
        <v>5.7754706000000002</v>
      </c>
      <c r="J77" s="55">
        <f>_xll.EQNXTDZ($A$1,$B77,J$1,$B$1)</f>
        <v>6.7266895</v>
      </c>
      <c r="K77" s="55">
        <f>_xll.EQNXTDZ($A$1,$B77,K$1,$B$1)</f>
        <v>8.1506339000000008</v>
      </c>
      <c r="L77" s="55">
        <f>_xll.EQNXTDZ($A$1,$B77,L$1,$B$1)</f>
        <v>6.6596563</v>
      </c>
      <c r="M77" s="55">
        <f>_xll.EQNXTDZ($A$1,$B77,M$1,$B$1)</f>
        <v>8.5433903999999998</v>
      </c>
      <c r="N77" s="55">
        <f>_xll.EQNXTDZ($A$1,$B77,N$1,$B$1)</f>
        <v>7.1356431999999996</v>
      </c>
      <c r="O77" s="55">
        <f>_xll.EQNXTDZ($A$1,$B77,O$1,$B$1)</f>
        <v>11.6620083</v>
      </c>
      <c r="P77" s="55">
        <f>_xll.EQNXTDZ($A$1,$B77,P$1,$B$1)</f>
        <v>4.3129913999999996</v>
      </c>
      <c r="Q77" s="55">
        <f>_xll.EQNXTDZ($A$1,$B77,Q$1,$B$1)</f>
        <v>4.6120041000000001</v>
      </c>
      <c r="R77" s="55">
        <f>_xll.EQNXTDZ($A$1,$B77,R$1,$B$1)</f>
        <v>4.0922397000000004</v>
      </c>
      <c r="S77" s="55">
        <f>_xll.EQNXTDZ($A$1,$B77,S$1,$B$1)</f>
        <v>9.6248500000000003</v>
      </c>
      <c r="T77" s="55">
        <f>_xll.EQNXTDZ($A$1,$B77,T$1,$B$1)</f>
        <v>8.9162958000000003</v>
      </c>
      <c r="U77" s="55">
        <f>_xll.EQNXTDZ($A$1,$B77,U$1,$B$1)</f>
        <v>19.258583900000001</v>
      </c>
      <c r="V77" s="55">
        <f>_xll.EQNXTDZ($A$1,$B77,V$1,$B$1)</f>
        <v>29.649725700000001</v>
      </c>
      <c r="W77" s="55">
        <f>_xll.EQNXTDZ($A$1,$B77,W$1,$B$1)</f>
        <v>13.127000000000001</v>
      </c>
      <c r="X77" s="55">
        <f>_xll.EQNXTDZ($A$1,$B77,X$1,$B$1)</f>
        <v>36.156700000000001</v>
      </c>
      <c r="Y77" s="55">
        <f>_xll.EQNXTDZ($A$1,$B77,Y$1,$B$1)</f>
        <v>39.838299999999997</v>
      </c>
      <c r="Z77" s="55">
        <f>_xll.EQNXTDZ($A$1,$B77,Z$1,$B$1)</f>
        <v>64.176000000000002</v>
      </c>
      <c r="AA77" s="55">
        <f>_xll.EQNXTDZ($A$1,$B77,AA$1,$B$1)</f>
        <v>71.239000000000004</v>
      </c>
      <c r="AB77" s="55">
        <f>_xll.EQNXTDZ($A$1,$B77,AB$1,$B$1)</f>
        <v>71.708799999999997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0.63867200000000002</v>
      </c>
      <c r="D78" s="55">
        <f>_xll.EQNXTDZ($A$1,$B78,D$1,$B$1)</f>
        <v>0.34116419999999997</v>
      </c>
      <c r="E78" s="55">
        <f>_xll.EQNXTDZ($A$1,$B78,E$1,$B$1)</f>
        <v>0.18395420000000001</v>
      </c>
      <c r="F78" s="55">
        <f>_xll.EQNXTDZ($A$1,$B78,F$1,$B$1)</f>
        <v>0.5966205</v>
      </c>
      <c r="G78" s="55">
        <f>_xll.EQNXTDZ($A$1,$B78,G$1,$B$1)</f>
        <v>0.6361928</v>
      </c>
      <c r="H78" s="55">
        <f>_xll.EQNXTDZ($A$1,$B78,H$1,$B$1)</f>
        <v>3.5011817000000001</v>
      </c>
      <c r="I78" s="55">
        <f>_xll.EQNXTDZ($A$1,$B78,I$1,$B$1)</f>
        <v>1.0375673999999999</v>
      </c>
      <c r="J78" s="55">
        <f>_xll.EQNXTDZ($A$1,$B78,J$1,$B$1)</f>
        <v>2.9115864</v>
      </c>
      <c r="K78" s="55">
        <f>_xll.EQNXTDZ($A$1,$B78,K$1,$B$1)</f>
        <v>2.5565711000000002</v>
      </c>
      <c r="L78" s="55">
        <f>_xll.EQNXTDZ($A$1,$B78,L$1,$B$1)</f>
        <v>1.1879820999999999</v>
      </c>
      <c r="M78" s="55">
        <f>_xll.EQNXTDZ($A$1,$B78,M$1,$B$1)</f>
        <v>0.57216149999999999</v>
      </c>
      <c r="N78" s="55">
        <f>_xll.EQNXTDZ($A$1,$B78,N$1,$B$1)</f>
        <v>0.37648350000000003</v>
      </c>
      <c r="O78" s="55">
        <f>_xll.EQNXTDZ($A$1,$B78,O$1,$B$1)</f>
        <v>1.3048930000000001</v>
      </c>
      <c r="P78" s="55">
        <f>_xll.EQNXTDZ($A$1,$B78,P$1,$B$1)</f>
        <v>0.39952910000000003</v>
      </c>
      <c r="Q78" s="55">
        <f>_xll.EQNXTDZ($A$1,$B78,Q$1,$B$1)</f>
        <v>0.44974730000000002</v>
      </c>
      <c r="R78" s="55">
        <f>_xll.EQNXTDZ($A$1,$B78,R$1,$B$1)</f>
        <v>0.45367970000000002</v>
      </c>
      <c r="S78" s="55">
        <f>_xll.EQNXTDZ($A$1,$B78,S$1,$B$1)</f>
        <v>0.31995600000000002</v>
      </c>
      <c r="T78" s="55">
        <f>_xll.EQNXTDZ($A$1,$B78,T$1,$B$1)</f>
        <v>10.963350800000001</v>
      </c>
      <c r="U78" s="55">
        <f>_xll.EQNXTDZ($A$1,$B78,U$1,$B$1)</f>
        <v>10.1011864</v>
      </c>
      <c r="V78" s="55">
        <f>_xll.EQNXTDZ($A$1,$B78,V$1,$B$1)</f>
        <v>7.9235727000000002</v>
      </c>
      <c r="W78" s="55">
        <f>_xll.EQNXTDZ($A$1,$B78,W$1,$B$1)</f>
        <v>42.970500000000001</v>
      </c>
      <c r="X78" s="55">
        <f>_xll.EQNXTDZ($A$1,$B78,X$1,$B$1)</f>
        <v>1.3331999999999999</v>
      </c>
      <c r="Y78" s="55">
        <f>_xll.EQNXTDZ($A$1,$B78,Y$1,$B$1)</f>
        <v>1.2517</v>
      </c>
      <c r="Z78" s="55">
        <f>_xll.EQNXTDZ($A$1,$B78,Z$1,$B$1)</f>
        <v>13.2859</v>
      </c>
      <c r="AA78" s="55">
        <f>_xll.EQNXTDZ($A$1,$B78,AA$1,$B$1)</f>
        <v>7.7664</v>
      </c>
      <c r="AB78" s="55">
        <f>_xll.EQNXTDZ($A$1,$B78,AB$1,$B$1)</f>
        <v>11.0494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0.1066153</v>
      </c>
      <c r="D79" s="55">
        <f>_xll.EQNXTDZ($A$1,$B79,D$1,$B$1)</f>
        <v>8.3724699999999999E-2</v>
      </c>
      <c r="E79" s="55">
        <f>_xll.EQNXTDZ($A$1,$B79,E$1,$B$1)</f>
        <v>6.7288000000000001E-2</v>
      </c>
      <c r="F79" s="55">
        <f>_xll.EQNXTDZ($A$1,$B79,F$1,$B$1)</f>
        <v>3.6243299999999999E-2</v>
      </c>
      <c r="G79" s="55">
        <f>_xll.EQNXTDZ($A$1,$B79,G$1,$B$1)</f>
        <v>0.27775739999999999</v>
      </c>
      <c r="H79" s="55">
        <f>_xll.EQNXTDZ($A$1,$B79,H$1,$B$1)</f>
        <v>0.26381840000000001</v>
      </c>
      <c r="I79" s="55">
        <f>_xll.EQNXTDZ($A$1,$B79,I$1,$B$1)</f>
        <v>0.2224892</v>
      </c>
      <c r="J79" s="55">
        <f>_xll.EQNXTDZ($A$1,$B79,J$1,$B$1)</f>
        <v>0.20851980000000001</v>
      </c>
      <c r="K79" s="55">
        <f>_xll.EQNXTDZ($A$1,$B79,K$1,$B$1)</f>
        <v>0.1605538</v>
      </c>
      <c r="L79" s="55">
        <f>_xll.EQNXTDZ($A$1,$B79,L$1,$B$1)</f>
        <v>0.2793061</v>
      </c>
      <c r="M79" s="55">
        <f>_xll.EQNXTDZ($A$1,$B79,M$1,$B$1)</f>
        <v>0.16281799999999999</v>
      </c>
      <c r="N79" s="55">
        <f>_xll.EQNXTDZ($A$1,$B79,N$1,$B$1)</f>
        <v>0.13415969999999999</v>
      </c>
      <c r="O79" s="55">
        <f>_xll.EQNXTDZ($A$1,$B79,O$1,$B$1)</f>
        <v>0.40493400000000002</v>
      </c>
      <c r="P79" s="55">
        <f>_xll.EQNXTDZ($A$1,$B79,P$1,$B$1)</f>
        <v>0.34946110000000002</v>
      </c>
      <c r="Q79" s="55">
        <f>_xll.EQNXTDZ($A$1,$B79,Q$1,$B$1)</f>
        <v>0.44843630000000001</v>
      </c>
      <c r="R79" s="55">
        <f>_xll.EQNXTDZ($A$1,$B79,R$1,$B$1)</f>
        <v>0.34812880000000002</v>
      </c>
      <c r="S79" s="55">
        <f>_xll.EQNXTDZ($A$1,$B79,S$1,$B$1)</f>
        <v>0.55460710000000002</v>
      </c>
      <c r="T79" s="55">
        <f>_xll.EQNXTDZ($A$1,$B79,T$1,$B$1)</f>
        <v>0.78745929999999997</v>
      </c>
      <c r="U79" s="55">
        <f>_xll.EQNXTDZ($A$1,$B79,U$1,$B$1)</f>
        <v>0.88000219999999996</v>
      </c>
      <c r="V79" s="55">
        <f>_xll.EQNXTDZ($A$1,$B79,V$1,$B$1)</f>
        <v>1.2838651000000001</v>
      </c>
      <c r="W79" s="55">
        <f>_xll.EQNXTDZ($A$1,$B79,W$1,$B$1)</f>
        <v>1.9623999999999999</v>
      </c>
      <c r="X79" s="55">
        <f>_xll.EQNXTDZ($A$1,$B79,X$1,$B$1)</f>
        <v>1.1813</v>
      </c>
      <c r="Y79" s="55">
        <f>_xll.EQNXTDZ($A$1,$B79,Y$1,$B$1)</f>
        <v>0.85299999999999998</v>
      </c>
      <c r="Z79" s="55">
        <f>_xll.EQNXTDZ($A$1,$B79,Z$1,$B$1)</f>
        <v>1.8113999999999999</v>
      </c>
      <c r="AA79" s="55">
        <f>_xll.EQNXTDZ($A$1,$B79,AA$1,$B$1)</f>
        <v>2.9458000000000002</v>
      </c>
      <c r="AB79" s="55">
        <f>_xll.EQNXTDZ($A$1,$B79,AB$1,$B$1)</f>
        <v>2.3891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4.4622944999999996</v>
      </c>
      <c r="D80" s="55">
        <f>_xll.EQNXTDZ($A$1,$B80,D$1,$B$1)</f>
        <v>1.6148526999999999</v>
      </c>
      <c r="E80" s="55">
        <f>_xll.EQNXTDZ($A$1,$B80,E$1,$B$1)</f>
        <v>1.3179217999999999</v>
      </c>
      <c r="F80" s="55">
        <f>_xll.EQNXTDZ($A$1,$B80,F$1,$B$1)</f>
        <v>0.18036150000000001</v>
      </c>
      <c r="G80" s="55">
        <f>_xll.EQNXTDZ($A$1,$B80,G$1,$B$1)</f>
        <v>0.21090639999999999</v>
      </c>
      <c r="H80" s="55">
        <f>_xll.EQNXTDZ($A$1,$B80,H$1,$B$1)</f>
        <v>0.63684830000000003</v>
      </c>
      <c r="I80" s="55">
        <f>_xll.EQNXTDZ($A$1,$B80,I$1,$B$1)</f>
        <v>1.0127702000000001</v>
      </c>
      <c r="J80" s="55">
        <f>_xll.EQNXTDZ($A$1,$B80,J$1,$B$1)</f>
        <v>2.7093793000000002</v>
      </c>
      <c r="K80" s="55">
        <f>_xll.EQNXTDZ($A$1,$B80,K$1,$B$1)</f>
        <v>4.7570516999999999</v>
      </c>
      <c r="L80" s="55">
        <f>_xll.EQNXTDZ($A$1,$B80,L$1,$B$1)</f>
        <v>3.2995030999999999</v>
      </c>
      <c r="M80" s="55">
        <f>_xll.EQNXTDZ($A$1,$B80,M$1,$B$1)</f>
        <v>0.80448470000000005</v>
      </c>
      <c r="N80" s="55">
        <f>_xll.EQNXTDZ($A$1,$B80,N$1,$B$1)</f>
        <v>1.2430639999999999</v>
      </c>
      <c r="O80" s="55">
        <f>_xll.EQNXTDZ($A$1,$B80,O$1,$B$1)</f>
        <v>1.6150758000000001</v>
      </c>
      <c r="P80" s="55">
        <f>_xll.EQNXTDZ($A$1,$B80,P$1,$B$1)</f>
        <v>0.40989589999999998</v>
      </c>
      <c r="Q80" s="55">
        <f>_xll.EQNXTDZ($A$1,$B80,Q$1,$B$1)</f>
        <v>1.0543745</v>
      </c>
      <c r="R80" s="55">
        <f>_xll.EQNXTDZ($A$1,$B80,R$1,$B$1)</f>
        <v>0.73783960000000004</v>
      </c>
      <c r="S80" s="55">
        <f>_xll.EQNXTDZ($A$1,$B80,S$1,$B$1)</f>
        <v>0.45224510000000001</v>
      </c>
      <c r="T80" s="55">
        <f>_xll.EQNXTDZ($A$1,$B80,T$1,$B$1)</f>
        <v>2.2087916999999999</v>
      </c>
      <c r="U80" s="55">
        <f>_xll.EQNXTDZ($A$1,$B80,U$1,$B$1)</f>
        <v>1.4551012999999999</v>
      </c>
      <c r="V80" s="55">
        <f>_xll.EQNXTDZ($A$1,$B80,V$1,$B$1)</f>
        <v>5.3724331000000003</v>
      </c>
      <c r="W80" s="55">
        <f>_xll.EQNXTDZ($A$1,$B80,W$1,$B$1)</f>
        <v>4.2300000000000004</v>
      </c>
      <c r="X80" s="55">
        <f>_xll.EQNXTDZ($A$1,$B80,X$1,$B$1)</f>
        <v>16.161100000000001</v>
      </c>
      <c r="Y80" s="55">
        <f>_xll.EQNXTDZ($A$1,$B80,Y$1,$B$1)</f>
        <v>21.225100000000001</v>
      </c>
      <c r="Z80" s="55">
        <f>_xll.EQNXTDZ($A$1,$B80,Z$1,$B$1)</f>
        <v>20.997299999999999</v>
      </c>
      <c r="AA80" s="55">
        <f>_xll.EQNXTDZ($A$1,$B80,AA$1,$B$1)</f>
        <v>25.034700000000001</v>
      </c>
      <c r="AB80" s="55">
        <f>_xll.EQNXTDZ($A$1,$B80,AB$1,$B$1)</f>
        <v>39.6143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20.638523500000002</v>
      </c>
      <c r="D82" s="55">
        <f>_xll.EQNXTDZ($A$1,$B82,D$1,$B$1)</f>
        <v>9.4148697000000006</v>
      </c>
      <c r="E82" s="55">
        <f>_xll.EQNXTDZ($A$1,$B82,E$1,$B$1)</f>
        <v>7.9761207000000001</v>
      </c>
      <c r="F82" s="55">
        <f>_xll.EQNXTDZ($A$1,$B82,F$1,$B$1)</f>
        <v>8.2926009000000001</v>
      </c>
      <c r="G82" s="55">
        <f>_xll.EQNXTDZ($A$1,$B82,G$1,$B$1)</f>
        <v>8.7348762000000004</v>
      </c>
      <c r="H82" s="55">
        <f>_xll.EQNXTDZ($A$1,$B82,H$1,$B$1)</f>
        <v>13.8954597</v>
      </c>
      <c r="I82" s="55">
        <f>_xll.EQNXTDZ($A$1,$B82,I$1,$B$1)</f>
        <v>11.809396100000001</v>
      </c>
      <c r="J82" s="55">
        <f>_xll.EQNXTDZ($A$1,$B82,J$1,$B$1)</f>
        <v>15.908451400000001</v>
      </c>
      <c r="K82" s="55">
        <f>_xll.EQNXTDZ($A$1,$B82,K$1,$B$1)</f>
        <v>18.081177700000001</v>
      </c>
      <c r="L82" s="55">
        <f>_xll.EQNXTDZ($A$1,$B82,L$1,$B$1)</f>
        <v>13.428820999999999</v>
      </c>
      <c r="M82" s="55">
        <f>_xll.EQNXTDZ($A$1,$B82,M$1,$B$1)</f>
        <v>14.0490567</v>
      </c>
      <c r="N82" s="55">
        <f>_xll.EQNXTDZ($A$1,$B82,N$1,$B$1)</f>
        <v>13.589235800000001</v>
      </c>
      <c r="O82" s="55">
        <f>_xll.EQNXTDZ($A$1,$B82,O$1,$B$1)</f>
        <v>16.063604000000002</v>
      </c>
      <c r="P82" s="55">
        <f>_xll.EQNXTDZ($A$1,$B82,P$1,$B$1)</f>
        <v>17.576303200000002</v>
      </c>
      <c r="Q82" s="55">
        <f>_xll.EQNXTDZ($A$1,$B82,Q$1,$B$1)</f>
        <v>17.1528864</v>
      </c>
      <c r="R82" s="55">
        <f>_xll.EQNXTDZ($A$1,$B82,R$1,$B$1)</f>
        <v>18.074847900000002</v>
      </c>
      <c r="S82" s="55">
        <f>_xll.EQNXTDZ($A$1,$B82,S$1,$B$1)</f>
        <v>18.649537800000001</v>
      </c>
      <c r="T82" s="55">
        <f>_xll.EQNXTDZ($A$1,$B82,T$1,$B$1)</f>
        <v>29.5490529</v>
      </c>
      <c r="U82" s="55">
        <f>_xll.EQNXTDZ($A$1,$B82,U$1,$B$1)</f>
        <v>34.136992200000002</v>
      </c>
      <c r="V82" s="55">
        <f>_xll.EQNXTDZ($A$1,$B82,V$1,$B$1)</f>
        <v>49.318957300000001</v>
      </c>
      <c r="W82" s="55">
        <f>_xll.EQNXTDZ($A$1,$B82,W$1,$B$1)</f>
        <v>64.804199999999994</v>
      </c>
      <c r="X82" s="55">
        <f>_xll.EQNXTDZ($A$1,$B82,X$1,$B$1)</f>
        <v>71.602500000000006</v>
      </c>
      <c r="Y82" s="55">
        <f>_xll.EQNXTDZ($A$1,$B82,Y$1,$B$1)</f>
        <v>107.7668</v>
      </c>
      <c r="Z82" s="55">
        <f>_xll.EQNXTDZ($A$1,$B82,Z$1,$B$1)</f>
        <v>146.3099</v>
      </c>
      <c r="AA82" s="55">
        <f>_xll.EQNXTDZ($A$1,$B82,AA$1,$B$1)</f>
        <v>167.43819999999999</v>
      </c>
      <c r="AB82" s="55">
        <f>_xll.EQNXTDZ($A$1,$B82,AB$1,$B$1)</f>
        <v>218.08580000000001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0.68187620000000004</v>
      </c>
      <c r="D83" s="55">
        <f>_xll.EQNXTDZ($A$1,$B83,D$1,$B$1)</f>
        <v>0.46493709999999999</v>
      </c>
      <c r="E83" s="55">
        <f>_xll.EQNXTDZ($A$1,$B83,E$1,$B$1)</f>
        <v>0.2397087</v>
      </c>
      <c r="F83" s="55">
        <f>_xll.EQNXTDZ($A$1,$B83,F$1,$B$1)</f>
        <v>1.455E-2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29.241538200000001</v>
      </c>
      <c r="D84" s="55">
        <f>_xll.EQNXTDZ($A$1,$B84,D$1,$B$1)</f>
        <v>18.612837800000001</v>
      </c>
      <c r="E84" s="55">
        <f>_xll.EQNXTDZ($A$1,$B84,E$1,$B$1)</f>
        <v>17.929623599999999</v>
      </c>
      <c r="F84" s="55">
        <f>_xll.EQNXTDZ($A$1,$B84,F$1,$B$1)</f>
        <v>15.094440000000001</v>
      </c>
      <c r="G84" s="55">
        <f>_xll.EQNXTDZ($A$1,$B84,G$1,$B$1)</f>
        <v>15.239282899999999</v>
      </c>
      <c r="H84" s="55">
        <f>_xll.EQNXTDZ($A$1,$B84,H$1,$B$1)</f>
        <v>20.929946699999999</v>
      </c>
      <c r="I84" s="55">
        <f>_xll.EQNXTDZ($A$1,$B84,I$1,$B$1)</f>
        <v>19.386953800000001</v>
      </c>
      <c r="J84" s="55">
        <f>_xll.EQNXTDZ($A$1,$B84,J$1,$B$1)</f>
        <v>22.462276299999999</v>
      </c>
      <c r="K84" s="55">
        <f>_xll.EQNXTDZ($A$1,$B84,K$1,$B$1)</f>
        <v>24.350319200000001</v>
      </c>
      <c r="L84" s="55">
        <f>_xll.EQNXTDZ($A$1,$B84,L$1,$B$1)</f>
        <v>18.9702208</v>
      </c>
      <c r="M84" s="55">
        <f>_xll.EQNXTDZ($A$1,$B84,M$1,$B$1)</f>
        <v>23.166940199999999</v>
      </c>
      <c r="N84" s="55">
        <f>_xll.EQNXTDZ($A$1,$B84,N$1,$B$1)</f>
        <v>25.1008101</v>
      </c>
      <c r="O84" s="55">
        <f>_xll.EQNXTDZ($A$1,$B84,O$1,$B$1)</f>
        <v>32.645393599999998</v>
      </c>
      <c r="P84" s="55">
        <f>_xll.EQNXTDZ($A$1,$B84,P$1,$B$1)</f>
        <v>33.4235738</v>
      </c>
      <c r="Q84" s="55">
        <f>_xll.EQNXTDZ($A$1,$B84,Q$1,$B$1)</f>
        <v>31.335214300000001</v>
      </c>
      <c r="R84" s="55">
        <f>_xll.EQNXTDZ($A$1,$B84,R$1,$B$1)</f>
        <v>31.873780799999999</v>
      </c>
      <c r="S84" s="55">
        <f>_xll.EQNXTDZ($A$1,$B84,S$1,$B$1)</f>
        <v>33.364699199999997</v>
      </c>
      <c r="T84" s="55">
        <f>_xll.EQNXTDZ($A$1,$B84,T$1,$B$1)</f>
        <v>43.042099</v>
      </c>
      <c r="U84" s="55">
        <f>_xll.EQNXTDZ($A$1,$B84,U$1,$B$1)</f>
        <v>47.2781758</v>
      </c>
      <c r="V84" s="55">
        <f>_xll.EQNXTDZ($A$1,$B84,V$1,$B$1)</f>
        <v>66.885572199999999</v>
      </c>
      <c r="W84" s="55">
        <f>_xll.EQNXTDZ($A$1,$B84,W$1,$B$1)</f>
        <v>86.763400000000004</v>
      </c>
      <c r="X84" s="55">
        <f>_xll.EQNXTDZ($A$1,$B84,X$1,$B$1)</f>
        <v>108.99679999999999</v>
      </c>
      <c r="Y84" s="55">
        <f>_xll.EQNXTDZ($A$1,$B84,Y$1,$B$1)</f>
        <v>149.47120000000001</v>
      </c>
      <c r="Z84" s="55">
        <f>_xll.EQNXTDZ($A$1,$B84,Z$1,$B$1)</f>
        <v>215.60079999999999</v>
      </c>
      <c r="AA84" s="55">
        <f>_xll.EQNXTDZ($A$1,$B84,AA$1,$B$1)</f>
        <v>289.59550000000002</v>
      </c>
      <c r="AB84" s="55">
        <f>_xll.EQNXTDZ($A$1,$B84,AB$1,$B$1)</f>
        <v>409.84300000000002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0.70221990000000001</v>
      </c>
      <c r="D85" s="55">
        <f>_xll.EQNXTDZ($A$1,$B85,D$1,$B$1)</f>
        <v>1.2798737</v>
      </c>
      <c r="E85" s="55">
        <f>_xll.EQNXTDZ($A$1,$B85,E$1,$B$1)</f>
        <v>0.64844239999999997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2.4468437999999999</v>
      </c>
      <c r="K85" s="55">
        <f>_xll.EQNXTDZ($A$1,$B85,K$1,$B$1)</f>
        <v>1.6795585</v>
      </c>
      <c r="L85" s="55">
        <f>_xll.EQNXTDZ($A$1,$B85,L$1,$B$1)</f>
        <v>1.4466540000000001</v>
      </c>
      <c r="M85" s="55">
        <f>_xll.EQNXTDZ($A$1,$B85,M$1,$B$1)</f>
        <v>1.7146888</v>
      </c>
      <c r="N85" s="55">
        <f>_xll.EQNXTDZ($A$1,$B85,N$1,$B$1)</f>
        <v>2.0061726000000002</v>
      </c>
      <c r="O85" s="55">
        <f>_xll.EQNXTDZ($A$1,$B85,O$1,$B$1)</f>
        <v>5.6695193000000002</v>
      </c>
      <c r="P85" s="55">
        <f>_xll.EQNXTDZ($A$1,$B85,P$1,$B$1)</f>
        <v>5.6301978000000004</v>
      </c>
      <c r="Q85" s="55">
        <f>_xll.EQNXTDZ($A$1,$B85,Q$1,$B$1)</f>
        <v>6.6903046000000002</v>
      </c>
      <c r="R85" s="55">
        <f>_xll.EQNXTDZ($A$1,$B85,R$1,$B$1)</f>
        <v>5.9250157999999997</v>
      </c>
      <c r="S85" s="55">
        <f>_xll.EQNXTDZ($A$1,$B85,S$1,$B$1)</f>
        <v>6.5259833</v>
      </c>
      <c r="T85" s="55">
        <f>_xll.EQNXTDZ($A$1,$B85,T$1,$B$1)</f>
        <v>10.4152805</v>
      </c>
      <c r="U85" s="55">
        <f>_xll.EQNXTDZ($A$1,$B85,U$1,$B$1)</f>
        <v>10.254697999999999</v>
      </c>
      <c r="V85" s="55">
        <f>_xll.EQNXTDZ($A$1,$B85,V$1,$B$1)</f>
        <v>22.986949299999999</v>
      </c>
      <c r="W85" s="55">
        <f>_xll.EQNXTDZ($A$1,$B85,W$1,$B$1)</f>
        <v>32.744100000000003</v>
      </c>
      <c r="X85" s="55">
        <f>_xll.EQNXTDZ($A$1,$B85,X$1,$B$1)</f>
        <v>25.219200000000001</v>
      </c>
      <c r="Y85" s="55">
        <f>_xll.EQNXTDZ($A$1,$B85,Y$1,$B$1)</f>
        <v>14.1629</v>
      </c>
      <c r="Z85" s="55">
        <f>_xll.EQNXTDZ($A$1,$B85,Z$1,$B$1)</f>
        <v>34.584800000000001</v>
      </c>
      <c r="AA85" s="55">
        <f>_xll.EQNXTDZ($A$1,$B85,AA$1,$B$1)</f>
        <v>34.584800000000001</v>
      </c>
      <c r="AB85" s="55">
        <f>_xll.EQNXTDZ($A$1,$B85,AB$1,$B$1)</f>
        <v>60.805199999999999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1.02</v>
      </c>
      <c r="Q88" s="55">
        <f>_xll.EQNXTDZ($A$1,$B88,Q$1,$B$1)</f>
        <v>1.02</v>
      </c>
      <c r="R88" s="55">
        <f>_xll.EQNXTDZ($A$1,$B88,R$1,$B$1)</f>
        <v>1.02</v>
      </c>
      <c r="S88" s="55">
        <f>_xll.EQNXTDZ($A$1,$B88,S$1,$B$1)</f>
        <v>1.02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2.1905000000000001</v>
      </c>
      <c r="Z93" s="55">
        <f>_xll.EQNXTDZ($A$1,$B93,Z$1,$B$1)</f>
        <v>2.1905000000000001</v>
      </c>
      <c r="AA93" s="55">
        <f>_xll.EQNXTDZ($A$1,$B93,AA$1,$B$1)</f>
        <v>2.1905000000000001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0.70221990000000001</v>
      </c>
      <c r="D95" s="55">
        <f>_xll.EQNXTDZ($A$1,$B95,D$1,$B$1)</f>
        <v>1.2798737</v>
      </c>
      <c r="E95" s="55">
        <f>_xll.EQNXTDZ($A$1,$B95,E$1,$B$1)</f>
        <v>0.64844239999999997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2.4468437999999999</v>
      </c>
      <c r="K95" s="55">
        <f>_xll.EQNXTDZ($A$1,$B95,K$1,$B$1)</f>
        <v>1.6531585</v>
      </c>
      <c r="L95" s="55">
        <f>_xll.EQNXTDZ($A$1,$B95,L$1,$B$1)</f>
        <v>1.1056307999999999</v>
      </c>
      <c r="M95" s="55">
        <f>_xll.EQNXTDZ($A$1,$B95,M$1,$B$1)</f>
        <v>1.7146888</v>
      </c>
      <c r="N95" s="55">
        <f>_xll.EQNXTDZ($A$1,$B95,N$1,$B$1)</f>
        <v>2.0061726000000002</v>
      </c>
      <c r="O95" s="55">
        <f>_xll.EQNXTDZ($A$1,$B95,O$1,$B$1)</f>
        <v>5.6695193000000002</v>
      </c>
      <c r="P95" s="55">
        <f>_xll.EQNXTDZ($A$1,$B95,P$1,$B$1)</f>
        <v>5.6301978000000004</v>
      </c>
      <c r="Q95" s="55">
        <f>_xll.EQNXTDZ($A$1,$B95,Q$1,$B$1)</f>
        <v>6.6903046000000002</v>
      </c>
      <c r="R95" s="55">
        <f>_xll.EQNXTDZ($A$1,$B95,R$1,$B$1)</f>
        <v>5.9250157999999997</v>
      </c>
      <c r="S95" s="55">
        <f>_xll.EQNXTDZ($A$1,$B95,S$1,$B$1)</f>
        <v>6.5259833</v>
      </c>
      <c r="T95" s="55">
        <f>_xll.EQNXTDZ($A$1,$B95,T$1,$B$1)</f>
        <v>10.4152805</v>
      </c>
      <c r="U95" s="55">
        <f>_xll.EQNXTDZ($A$1,$B95,U$1,$B$1)</f>
        <v>10.254697999999999</v>
      </c>
      <c r="V95" s="55">
        <f>_xll.EQNXTDZ($A$1,$B95,V$1,$B$1)</f>
        <v>22.986949299999999</v>
      </c>
      <c r="W95" s="55">
        <f>_xll.EQNXTDZ($A$1,$B95,W$1,$B$1)</f>
        <v>32.744100000000003</v>
      </c>
      <c r="X95" s="55">
        <f>_xll.EQNXTDZ($A$1,$B95,X$1,$B$1)</f>
        <v>25.219200000000001</v>
      </c>
      <c r="Y95" s="55">
        <f>_xll.EQNXTDZ($A$1,$B95,Y$1,$B$1)</f>
        <v>11.9724</v>
      </c>
      <c r="Z95" s="55">
        <f>_xll.EQNXTDZ($A$1,$B95,Z$1,$B$1)</f>
        <v>32.394300000000001</v>
      </c>
      <c r="AA95" s="55">
        <f>_xll.EQNXTDZ($A$1,$B95,AA$1,$B$1)</f>
        <v>32.394300000000001</v>
      </c>
      <c r="AB95" s="55">
        <f>_xll.EQNXTDZ($A$1,$B95,AB$1,$B$1)</f>
        <v>60.805199999999999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0.34102320000000003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2.64E-2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5.6527659999999997</v>
      </c>
      <c r="D104" s="55">
        <f>_xll.EQNXTDZ($A$1,$B104,D$1,$B$1)</f>
        <v>5.1527659999999997</v>
      </c>
      <c r="E104" s="55">
        <f>_xll.EQNXTDZ($A$1,$B104,E$1,$B$1)</f>
        <v>5.1527659999999997</v>
      </c>
      <c r="F104" s="55">
        <f>_xll.EQNXTDZ($A$1,$B104,F$1,$B$1)</f>
        <v>5.1527659999999997</v>
      </c>
      <c r="G104" s="55">
        <f>_xll.EQNXTDZ($A$1,$B104,G$1,$B$1)</f>
        <v>5.1527659999999997</v>
      </c>
      <c r="H104" s="55">
        <f>_xll.EQNXTDZ($A$1,$B104,H$1,$B$1)</f>
        <v>5.1533160000000002</v>
      </c>
      <c r="I104" s="55">
        <f>_xll.EQNXTDZ($A$1,$B104,I$1,$B$1)</f>
        <v>5.1527159999999999</v>
      </c>
      <c r="J104" s="55">
        <f>_xll.EQNXTDZ($A$1,$B104,J$1,$B$1)</f>
        <v>5.1527159999999999</v>
      </c>
      <c r="K104" s="55">
        <f>_xll.EQNXTDZ($A$1,$B104,K$1,$B$1)</f>
        <v>5.1527159999999999</v>
      </c>
      <c r="L104" s="55">
        <f>_xll.EQNXTDZ($A$1,$B104,L$1,$B$1)</f>
        <v>4.7064729999999999</v>
      </c>
      <c r="M104" s="55">
        <f>_xll.EQNXTDZ($A$1,$B104,M$1,$B$1)</f>
        <v>4.7064729999999999</v>
      </c>
      <c r="N104" s="55">
        <f>_xll.EQNXTDZ($A$1,$B104,N$1,$B$1)</f>
        <v>4.4829999999999997</v>
      </c>
      <c r="O104" s="55">
        <f>_xll.EQNXTDZ($A$1,$B104,O$1,$B$1)</f>
        <v>4.4829999999999997</v>
      </c>
      <c r="P104" s="55">
        <f>_xll.EQNXTDZ($A$1,$B104,P$1,$B$1)</f>
        <v>4.1829999999999998</v>
      </c>
      <c r="Q104" s="55">
        <f>_xll.EQNXTDZ($A$1,$B104,Q$1,$B$1)</f>
        <v>4.0544929999999999</v>
      </c>
      <c r="R104" s="55">
        <f>_xll.EQNXTDZ($A$1,$B104,R$1,$B$1)</f>
        <v>4.0544929999999999</v>
      </c>
      <c r="S104" s="55">
        <f>_xll.EQNXTDZ($A$1,$B104,S$1,$B$1)</f>
        <v>4.0544929999999999</v>
      </c>
      <c r="T104" s="55">
        <f>_xll.EQNXTDZ($A$1,$B104,T$1,$B$1)</f>
        <v>4.0544929999999999</v>
      </c>
      <c r="U104" s="55">
        <f>_xll.EQNXTDZ($A$1,$B104,U$1,$B$1)</f>
        <v>4.0544929999999999</v>
      </c>
      <c r="V104" s="55">
        <f>_xll.EQNXTDZ($A$1,$B104,V$1,$B$1)</f>
        <v>4.0544929999999999</v>
      </c>
      <c r="W104" s="55">
        <f>_xll.EQNXTDZ($A$1,$B104,W$1,$B$1)</f>
        <v>4.0545</v>
      </c>
      <c r="X104" s="55">
        <f>_xll.EQNXTDZ($A$1,$B104,X$1,$B$1)</f>
        <v>4.0545</v>
      </c>
      <c r="Y104" s="55">
        <f>_xll.EQNXTDZ($A$1,$B104,Y$1,$B$1)</f>
        <v>16.218</v>
      </c>
      <c r="Z104" s="55">
        <f>_xll.EQNXTDZ($A$1,$B104,Z$1,$B$1)</f>
        <v>48.6539</v>
      </c>
      <c r="AA104" s="55">
        <f>_xll.EQNXTDZ($A$1,$B104,AA$1,$B$1)</f>
        <v>48.947200000000002</v>
      </c>
      <c r="AB104" s="55">
        <f>_xll.EQNXTDZ($A$1,$B104,AB$1,$B$1)</f>
        <v>53.142200000000003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0.16788576583894599</v>
      </c>
      <c r="D106" s="55">
        <f>_xll.EQNXTDZ($A$1,$B106,D$1,$B$1)</f>
        <v>0.110867958572889</v>
      </c>
      <c r="E106" s="55">
        <f>_xll.EQNXTDZ($A$1,$B106,E$1,$B$1)</f>
        <v>6.3353119184507797E-2</v>
      </c>
      <c r="F106" s="55">
        <f>_xll.EQNXTDZ($A$1,$B106,F$1,$B$1)</f>
        <v>0.213816777247714</v>
      </c>
      <c r="G106" s="55">
        <f>_xll.EQNXTDZ($A$1,$B106,G$1,$B$1)</f>
        <v>1.5236425163874101</v>
      </c>
      <c r="H106" s="55">
        <f>_xll.EQNXTDZ($A$1,$B106,H$1,$B$1)</f>
        <v>1.0366154126565099</v>
      </c>
      <c r="I106" s="55">
        <f>_xll.EQNXTDZ($A$1,$B106,I$1,$B$1)</f>
        <v>0.58443252447708405</v>
      </c>
      <c r="J106" s="55">
        <f>_xll.EQNXTDZ($A$1,$B106,J$1,$B$1)</f>
        <v>0.94871295978800396</v>
      </c>
      <c r="K106" s="55">
        <f>_xll.EQNXTDZ($A$1,$B106,K$1,$B$1)</f>
        <v>0.616900998059145</v>
      </c>
      <c r="L106" s="55">
        <f>_xll.EQNXTDZ($A$1,$B106,L$1,$B$1)</f>
        <v>1.0437426385647699</v>
      </c>
      <c r="M106" s="55">
        <f>_xll.EQNXTDZ($A$1,$B106,M$1,$B$1)</f>
        <v>0.93525042196129604</v>
      </c>
      <c r="N106" s="55">
        <f>_xll.EQNXTDZ($A$1,$B106,N$1,$B$1)</f>
        <v>1.0469102945239901</v>
      </c>
      <c r="O106" s="55">
        <f>_xll.EQNXTDZ($A$1,$B106,O$1,$B$1)</f>
        <v>0.95663209968606799</v>
      </c>
      <c r="P106" s="55">
        <f>_xll.EQNXTDZ($A$1,$B106,P$1,$B$1)</f>
        <v>0.73252044057087096</v>
      </c>
      <c r="Q106" s="55">
        <f>_xll.EQNXTDZ($A$1,$B106,Q$1,$B$1)</f>
        <v>1.87208467190221</v>
      </c>
      <c r="R106" s="55">
        <f>_xll.EQNXTDZ($A$1,$B106,R$1,$B$1)</f>
        <v>1.97661731855664</v>
      </c>
      <c r="S106" s="55">
        <f>_xll.EQNXTDZ($A$1,$B106,S$1,$B$1)</f>
        <v>2.99185105348838</v>
      </c>
      <c r="T106" s="55">
        <f>_xll.EQNXTDZ($A$1,$B106,T$1,$B$1)</f>
        <v>8.0783146100145498</v>
      </c>
      <c r="U106" s="55">
        <f>_xll.EQNXTDZ($A$1,$B106,U$1,$B$1)</f>
        <v>3.56915635205721</v>
      </c>
      <c r="V106" s="55">
        <f>_xll.EQNXTDZ($A$1,$B106,V$1,$B$1)</f>
        <v>2.6172757363099799</v>
      </c>
      <c r="W106" s="55">
        <f>_xll.EQNXTDZ($A$1,$B106,W$1,$B$1)</f>
        <v>5.9916212468748196</v>
      </c>
      <c r="X106" s="55">
        <f>_xll.EQNXTDZ($A$1,$B106,X$1,$B$1)</f>
        <v>16.200184489468398</v>
      </c>
      <c r="Y106" s="55">
        <f>_xll.EQNXTDZ($A$1,$B106,Y$1,$B$1)</f>
        <v>25.581989526704199</v>
      </c>
      <c r="Z106" s="55">
        <f>_xll.EQNXTDZ($A$1,$B106,Z$1,$B$1)</f>
        <v>94.079381988994101</v>
      </c>
      <c r="AA106" s="55">
        <f>_xll.EQNXTDZ($A$1,$B106,AA$1,$B$1)</f>
        <v>107.76365573284799</v>
      </c>
      <c r="AB106" s="55">
        <f>_xll.EQNXTDZ($A$1,$B106,AB$1,$B$1)</f>
        <v>126.45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0.61294142811011298</v>
      </c>
      <c r="D107" s="55">
        <f>_xll.EQNXTDZ($A$1,$B107,D$1,$B$1)</f>
        <v>0.25895587466667602</v>
      </c>
      <c r="E107" s="55">
        <f>_xll.EQNXTDZ($A$1,$B107,E$1,$B$1)</f>
        <v>0.19085127154333001</v>
      </c>
      <c r="F107" s="55">
        <f>_xll.EQNXTDZ($A$1,$B107,F$1,$B$1)</f>
        <v>0.30187761291418003</v>
      </c>
      <c r="G107" s="55">
        <f>_xll.EQNXTDZ($A$1,$B107,G$1,$B$1)</f>
        <v>2.0003747382508301</v>
      </c>
      <c r="H107" s="55">
        <f>_xll.EQNXTDZ($A$1,$B107,H$1,$B$1)</f>
        <v>3.0092731612641201</v>
      </c>
      <c r="I107" s="55">
        <f>_xll.EQNXTDZ($A$1,$B107,I$1,$B$1)</f>
        <v>1.5394807961835399</v>
      </c>
      <c r="J107" s="55">
        <f>_xll.EQNXTDZ($A$1,$B107,J$1,$B$1)</f>
        <v>2.19360175176358</v>
      </c>
      <c r="K107" s="55">
        <f>_xll.EQNXTDZ($A$1,$B107,K$1,$B$1)</f>
        <v>1.3430861267115699</v>
      </c>
      <c r="L107" s="55">
        <f>_xll.EQNXTDZ($A$1,$B107,L$1,$B$1)</f>
        <v>1.3478376106504</v>
      </c>
      <c r="M107" s="55">
        <f>_xll.EQNXTDZ($A$1,$B107,M$1,$B$1)</f>
        <v>1.34466995469118</v>
      </c>
      <c r="N107" s="55">
        <f>_xll.EQNXTDZ($A$1,$B107,N$1,$B$1)</f>
        <v>1.1870790707197101</v>
      </c>
      <c r="O107" s="55">
        <f>_xll.EQNXTDZ($A$1,$B107,O$1,$B$1)</f>
        <v>1.2654785557105399</v>
      </c>
      <c r="P107" s="55">
        <f>_xll.EQNXTDZ($A$1,$B107,P$1,$B$1)</f>
        <v>1.1245178655250101</v>
      </c>
      <c r="Q107" s="55">
        <f>_xll.EQNXTDZ($A$1,$B107,Q$1,$B$1)</f>
        <v>3.0092731612641201</v>
      </c>
      <c r="R107" s="55">
        <f>_xll.EQNXTDZ($A$1,$B107,R$1,$B$1)</f>
        <v>2.6766692855454499</v>
      </c>
      <c r="S107" s="55">
        <f>_xll.EQNXTDZ($A$1,$B107,S$1,$B$1)</f>
        <v>2.99185105348838</v>
      </c>
      <c r="T107" s="55">
        <f>_xll.EQNXTDZ($A$1,$B107,T$1,$B$1)</f>
        <v>10.0652268104387</v>
      </c>
      <c r="U107" s="55">
        <f>_xll.EQNXTDZ($A$1,$B107,U$1,$B$1)</f>
        <v>9.8902138186914694</v>
      </c>
      <c r="V107" s="55">
        <f>_xll.EQNXTDZ($A$1,$B107,V$1,$B$1)</f>
        <v>5.3850151306831604</v>
      </c>
      <c r="W107" s="55">
        <f>_xll.EQNXTDZ($A$1,$B107,W$1,$B$1)</f>
        <v>7.5849521943651901</v>
      </c>
      <c r="X107" s="55">
        <f>_xll.EQNXTDZ($A$1,$B107,X$1,$B$1)</f>
        <v>16.788576583894599</v>
      </c>
      <c r="Y107" s="55">
        <f>_xll.EQNXTDZ($A$1,$B107,Y$1,$B$1)</f>
        <v>30.029378493456701</v>
      </c>
      <c r="Z107" s="55">
        <f>_xll.EQNXTDZ($A$1,$B107,Z$1,$B$1)</f>
        <v>133.04155028746601</v>
      </c>
      <c r="AA107" s="55">
        <f>_xll.EQNXTDZ($A$1,$B107,AA$1,$B$1)</f>
        <v>212.67642110239299</v>
      </c>
      <c r="AB107" s="55">
        <f>_xll.EQNXTDZ($A$1,$B107,AB$1,$B$1)</f>
        <v>215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0.166301937859333</v>
      </c>
      <c r="D108" s="55">
        <f>_xll.EQNXTDZ($A$1,$B108,D$1,$B$1)</f>
        <v>6.4936947164120504E-2</v>
      </c>
      <c r="E108" s="55">
        <f>_xll.EQNXTDZ($A$1,$B108,E$1,$B$1)</f>
        <v>5.7017807266057E-2</v>
      </c>
      <c r="F108" s="55">
        <f>_xll.EQNXTDZ($A$1,$B108,F$1,$B$1)</f>
        <v>5.54339792864443E-2</v>
      </c>
      <c r="G108" s="55">
        <f>_xll.EQNXTDZ($A$1,$B108,G$1,$B$1)</f>
        <v>0.159016329153115</v>
      </c>
      <c r="H108" s="55">
        <f>_xll.EQNXTDZ($A$1,$B108,H$1,$B$1)</f>
        <v>0.91070108827729901</v>
      </c>
      <c r="I108" s="55">
        <f>_xll.EQNXTDZ($A$1,$B108,I$1,$B$1)</f>
        <v>0.54800448094599197</v>
      </c>
      <c r="J108" s="55">
        <f>_xll.EQNXTDZ($A$1,$B108,J$1,$B$1)</f>
        <v>0.57017807266056997</v>
      </c>
      <c r="K108" s="55">
        <f>_xll.EQNXTDZ($A$1,$B108,K$1,$B$1)</f>
        <v>0.36428043531092003</v>
      </c>
      <c r="L108" s="55">
        <f>_xll.EQNXTDZ($A$1,$B108,L$1,$B$1)</f>
        <v>0.594727406344567</v>
      </c>
      <c r="M108" s="55">
        <f>_xll.EQNXTDZ($A$1,$B108,M$1,$B$1)</f>
        <v>0.64936947164120495</v>
      </c>
      <c r="N108" s="55">
        <f>_xll.EQNXTDZ($A$1,$B108,N$1,$B$1)</f>
        <v>0.74835872036699802</v>
      </c>
      <c r="O108" s="55">
        <f>_xll.EQNXTDZ($A$1,$B108,O$1,$B$1)</f>
        <v>0.79270590379615402</v>
      </c>
      <c r="P108" s="55">
        <f>_xll.EQNXTDZ($A$1,$B108,P$1,$B$1)</f>
        <v>0.61769291204895105</v>
      </c>
      <c r="Q108" s="55">
        <f>_xll.EQNXTDZ($A$1,$B108,Q$1,$B$1)</f>
        <v>0.69688431102958603</v>
      </c>
      <c r="R108" s="55">
        <f>_xll.EQNXTDZ($A$1,$B108,R$1,$B$1)</f>
        <v>1.18945481268913</v>
      </c>
      <c r="S108" s="55">
        <f>_xll.EQNXTDZ($A$1,$B108,S$1,$B$1)</f>
        <v>1.59966625940882</v>
      </c>
      <c r="T108" s="55">
        <f>_xll.EQNXTDZ($A$1,$B108,T$1,$B$1)</f>
        <v>2.8833588368849101</v>
      </c>
      <c r="U108" s="55">
        <f>_xll.EQNXTDZ($A$1,$B108,U$1,$B$1)</f>
        <v>2.8350520835067199</v>
      </c>
      <c r="V108" s="55">
        <f>_xll.EQNXTDZ($A$1,$B108,V$1,$B$1)</f>
        <v>2.2173591714577698</v>
      </c>
      <c r="W108" s="55">
        <f>_xll.EQNXTDZ($A$1,$B108,W$1,$B$1)</f>
        <v>2.5499630471764401</v>
      </c>
      <c r="X108" s="55">
        <f>_xll.EQNXTDZ($A$1,$B108,X$1,$B$1)</f>
        <v>5.8760018043631002</v>
      </c>
      <c r="Y108" s="55">
        <f>_xll.EQNXTDZ($A$1,$B108,Y$1,$B$1)</f>
        <v>15.0083539348099</v>
      </c>
      <c r="Z108" s="55">
        <f>_xll.EQNXTDZ($A$1,$B108,Z$1,$B$1)</f>
        <v>25.962108241811301</v>
      </c>
      <c r="AA108" s="55">
        <f>_xll.EQNXTDZ($A$1,$B108,AA$1,$B$1)</f>
        <v>94.126896828382399</v>
      </c>
      <c r="AB108" s="55">
        <f>_xll.EQNXTDZ($A$1,$B108,AB$1,$B$1)</f>
        <v>90.325709677312005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5.9919319599999996</v>
      </c>
      <c r="D109" s="55">
        <f>_xll.EQNXTDZ($A$1,$B109,D$1,$B$1)</f>
        <v>3.6069361999999998</v>
      </c>
      <c r="E109" s="55">
        <f>_xll.EQNXTDZ($A$1,$B109,E$1,$B$1)</f>
        <v>2.0611063999999999</v>
      </c>
      <c r="F109" s="55">
        <f>_xll.EQNXTDZ($A$1,$B109,F$1,$B$1)</f>
        <v>6.9562340999999996</v>
      </c>
      <c r="G109" s="55">
        <f>_xll.EQNXTDZ($A$1,$B109,G$1,$B$1)</f>
        <v>49.56960892</v>
      </c>
      <c r="H109" s="55">
        <f>_xll.EQNXTDZ($A$1,$B109,H$1,$B$1)</f>
        <v>33.728453219999999</v>
      </c>
      <c r="I109" s="55">
        <f>_xll.EQNXTDZ($A$1,$B109,I$1,$B$1)</f>
        <v>19.013522040000002</v>
      </c>
      <c r="J109" s="55">
        <f>_xll.EQNXTDZ($A$1,$B109,J$1,$B$1)</f>
        <v>30.86476884</v>
      </c>
      <c r="K109" s="55">
        <f>_xll.EQNXTDZ($A$1,$B109,K$1,$B$1)</f>
        <v>20.069828820000001</v>
      </c>
      <c r="L109" s="55">
        <f>_xll.EQNXTDZ($A$1,$B109,L$1,$B$1)</f>
        <v>31.01565707</v>
      </c>
      <c r="M109" s="55">
        <f>_xll.EQNXTDZ($A$1,$B109,M$1,$B$1)</f>
        <v>27.791723064999999</v>
      </c>
      <c r="N109" s="55">
        <f>_xll.EQNXTDZ($A$1,$B109,N$1,$B$1)</f>
        <v>29.632629999999999</v>
      </c>
      <c r="O109" s="55">
        <f>_xll.EQNXTDZ($A$1,$B109,O$1,$B$1)</f>
        <v>27.07732</v>
      </c>
      <c r="P109" s="55">
        <f>_xll.EQNXTDZ($A$1,$B109,P$1,$B$1)</f>
        <v>19.346374999999998</v>
      </c>
      <c r="Q109" s="55">
        <f>_xll.EQNXTDZ($A$1,$B109,Q$1,$B$1)</f>
        <v>47.92410726</v>
      </c>
      <c r="R109" s="55">
        <f>_xll.EQNXTDZ($A$1,$B109,R$1,$B$1)</f>
        <v>50.60007264</v>
      </c>
      <c r="S109" s="55">
        <f>_xll.EQNXTDZ($A$1,$B109,S$1,$B$1)</f>
        <v>76.589372769999997</v>
      </c>
      <c r="T109" s="55">
        <f>_xll.EQNXTDZ($A$1,$B109,T$1,$B$1)</f>
        <v>206.79941546500001</v>
      </c>
      <c r="U109" s="55">
        <f>_xll.EQNXTDZ($A$1,$B109,U$1,$B$1)</f>
        <v>91.367999755</v>
      </c>
      <c r="V109" s="55">
        <f>_xll.EQNXTDZ($A$1,$B109,V$1,$B$1)</f>
        <v>67.000496824999999</v>
      </c>
      <c r="W109" s="55">
        <f>_xll.EQNXTDZ($A$1,$B109,W$1,$B$1)</f>
        <v>153.38173499999999</v>
      </c>
      <c r="X109" s="55">
        <f>_xll.EQNXTDZ($A$1,$B109,X$1,$B$1)</f>
        <v>414.71453250000002</v>
      </c>
      <c r="Y109" s="55">
        <f>_xll.EQNXTDZ($A$1,$B109,Y$1,$B$1)</f>
        <v>654.88283999999999</v>
      </c>
      <c r="Z109" s="55">
        <f>_xll.EQNXTDZ($A$1,$B109,Z$1,$B$1)</f>
        <v>2408.36805</v>
      </c>
      <c r="AA109" s="55">
        <f>_xll.EQNXTDZ($A$1,$B109,AA$1,$B$1)</f>
        <v>2775.3062399999999</v>
      </c>
      <c r="AB109" s="55">
        <f>_xll.EQNXTDZ($A$1,$B109,AB$1,$B$1)</f>
        <v>3359.9155949999999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1.5838279796126901E-2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1.5838279796126901E-2</v>
      </c>
      <c r="J110" s="55">
        <f>_xll.EQNXTDZ($A$1,$B110,J$1,$B$1)</f>
        <v>2.3757419694190401E-2</v>
      </c>
      <c r="K110" s="55">
        <f>_xll.EQNXTDZ($A$1,$B110,K$1,$B$1)</f>
        <v>1.9797849745158701E-2</v>
      </c>
      <c r="L110" s="55">
        <f>_xll.EQNXTDZ($A$1,$B110,L$1,$B$1)</f>
        <v>1.5838279796126901E-2</v>
      </c>
      <c r="M110" s="55">
        <f>_xll.EQNXTDZ($A$1,$B110,M$1,$B$1)</f>
        <v>2.3757419694190401E-2</v>
      </c>
      <c r="N110" s="55">
        <f>_xll.EQNXTDZ($A$1,$B110,N$1,$B$1)</f>
        <v>3.1676559592253899E-2</v>
      </c>
      <c r="O110" s="55">
        <f>_xll.EQNXTDZ($A$1,$B110,O$1,$B$1)</f>
        <v>3.9595699490317403E-2</v>
      </c>
      <c r="P110" s="55">
        <f>_xll.EQNXTDZ($A$1,$B110,P$1,$B$1)</f>
        <v>0</v>
      </c>
      <c r="Q110" s="55">
        <f>_xll.EQNXTDZ($A$1,$B110,Q$1,$B$1)</f>
        <v>2.3757419694190401E-2</v>
      </c>
      <c r="R110" s="55">
        <f>_xll.EQNXTDZ($A$1,$B110,R$1,$B$1)</f>
        <v>1.5838279796126901E-2</v>
      </c>
      <c r="S110" s="55">
        <f>_xll.EQNXTDZ($A$1,$B110,S$1,$B$1)</f>
        <v>3.1676559592253899E-2</v>
      </c>
      <c r="T110" s="55">
        <f>_xll.EQNXTDZ($A$1,$B110,T$1,$B$1)</f>
        <v>6.3353119184507797E-2</v>
      </c>
      <c r="U110" s="55">
        <f>_xll.EQNXTDZ($A$1,$B110,U$1,$B$1)</f>
        <v>7.9191398980634695E-2</v>
      </c>
      <c r="V110" s="55">
        <f>_xll.EQNXTDZ($A$1,$B110,V$1,$B$1)</f>
        <v>6.3353119184507797E-2</v>
      </c>
      <c r="W110" s="55">
        <f>_xll.EQNXTDZ($A$1,$B110,W$1,$B$1)</f>
        <v>6.3353119184507797E-2</v>
      </c>
      <c r="X110" s="55">
        <f>_xll.EQNXTDZ($A$1,$B110,X$1,$B$1)</f>
        <v>6.3353119184507797E-2</v>
      </c>
      <c r="Y110" s="55">
        <f>_xll.EQNXTDZ($A$1,$B110,Y$1,$B$1)</f>
        <v>6.3353119184507797E-2</v>
      </c>
      <c r="Z110" s="55">
        <f>_xll.EQNXTDZ($A$1,$B110,Z$1,$B$1)</f>
        <v>0.19005935755352299</v>
      </c>
      <c r="AA110" s="55">
        <f>_xll.EQNXTDZ($A$1,$B110,AA$1,$B$1)</f>
        <v>0.19005935755352299</v>
      </c>
      <c r="AB110" s="55">
        <f>_xll.EQNXTDZ($A$1,$B110,AB$1,$B$1)</f>
        <v>0.2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31.45</v>
      </c>
      <c r="D112" s="56">
        <f>_xll.EQNXTDZ($A$1,$B112,D$5)</f>
        <v>34.03</v>
      </c>
      <c r="E112" s="56">
        <f>_xll.EQNXTDZ($A$1,$B112,E$5)</f>
        <v>34.03</v>
      </c>
      <c r="F112" s="56">
        <f>_xll.EQNXTDZ($A$1,$B112,F$5)</f>
        <v>33.409999999999997</v>
      </c>
      <c r="G112" s="56">
        <f>_xll.EQNXTDZ($A$1,$B112,G$5)</f>
        <v>33.340000000000003</v>
      </c>
      <c r="H112" s="56">
        <f>_xll.EQNXTDZ($A$1,$B112,H$5)</f>
        <v>31.72</v>
      </c>
      <c r="I112" s="56">
        <f>_xll.EQNXTDZ($A$1,$B112,I$5)</f>
        <v>31.43</v>
      </c>
      <c r="J112" s="56">
        <f>_xll.EQNXTDZ($A$1,$B112,J$5)</f>
        <v>30.49</v>
      </c>
      <c r="K112" s="56">
        <f>_xll.EQNXTDZ($A$1,$B112,K$5)</f>
        <v>30.38</v>
      </c>
      <c r="L112" s="56">
        <f>_xll.EQNXTDZ($A$1,$B112,L$5)</f>
        <v>32.590000000000003</v>
      </c>
      <c r="M112" s="56">
        <f>_xll.EQNXTDZ($A$1,$B112,M$5)</f>
        <v>31.33</v>
      </c>
      <c r="N112" s="56">
        <f>_xll.EQNXTDZ($A$1,$B112,N$5)</f>
        <v>33.85</v>
      </c>
      <c r="O112" s="56">
        <f>_xll.EQNXTDZ($A$1,$B112,O$5)</f>
        <v>35.549999999999997</v>
      </c>
      <c r="P112" s="56">
        <f>_xll.EQNXTDZ($A$1,$B112,P$5)</f>
        <v>39.83</v>
      </c>
      <c r="Q112" s="56">
        <f>_xll.EQNXTDZ($A$1,$B112,Q$5)</f>
        <v>39.1</v>
      </c>
      <c r="R112" s="56">
        <f>_xll.EQNXTDZ($A$1,$B112,R$5)</f>
        <v>38.46</v>
      </c>
      <c r="S112" s="56">
        <f>_xll.EQNXTDZ($A$1,$B112,S$5)</f>
        <v>37.47</v>
      </c>
      <c r="T112" s="56">
        <f>_xll.EQNXTDZ($A$1,$B112,T$5)</f>
        <v>36.299999999999997</v>
      </c>
      <c r="U112" s="56">
        <f>_xll.EQNXTDZ($A$1,$B112,U$5)</f>
        <v>38.26</v>
      </c>
      <c r="V112" s="56">
        <f>_xll.EQNXTDZ($A$1,$B112,V$5)</f>
        <v>40.869999999999997</v>
      </c>
      <c r="W112" s="56">
        <f>_xll.EQNXTDZ($A$1,$B112,W$5)</f>
        <v>40.36</v>
      </c>
      <c r="X112" s="56">
        <f>_xll.EQNXTDZ($A$1,$B112,X$5)</f>
        <v>40.14</v>
      </c>
      <c r="Y112" s="56">
        <f>_xll.EQNXTDZ($A$1,$B112,Y$5)</f>
        <v>40.14</v>
      </c>
      <c r="Z112" s="56">
        <f>_xll.EQNXTDZ($A$1,$B112,Z$5)</f>
        <v>40.06</v>
      </c>
      <c r="AA112" s="56">
        <f>_xll.EQNXTDZ($A$1,$B112,AA$5)</f>
        <v>38.57</v>
      </c>
      <c r="AB112" s="56">
        <f>_xll.EQNXTDZ($A$1,$B112,AB$5)</f>
        <v>37.04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132406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200.432328427855</v>
      </c>
      <c r="ES6" cm="1">
        <f t="array" ref="ES6">_xll.EQNXTDZ($A$1,$B6,ES$1)</f>
        <v>196.42178112597901</v>
      </c>
      <c r="ET6" cm="1">
        <f t="array" ref="ET6">_xll.EQNXTDZ($A$1,$B6,ET$1)</f>
        <v>169.83052200122199</v>
      </c>
      <c r="EU6" cm="1">
        <f t="array" ref="EU6">_xll.EQNXTDZ($A$1,$B6,EU$1)</f>
        <v>174.867465295046</v>
      </c>
      <c r="EV6" cm="1">
        <f t="array" ref="EV6">_xll.EQNXTDZ($A$1,$B6,EV$1)</f>
        <v>165.41131703588499</v>
      </c>
      <c r="EW6" cm="1">
        <f t="array" ref="EW6">_xll.EQNXTDZ($A$1,$B6,EW$1)</f>
        <v>147.77251184090599</v>
      </c>
      <c r="EX6" cm="1">
        <f t="array" ref="EX6">_xll.EQNXTDZ($A$1,$B6,EX$1)</f>
        <v>144.18012586908401</v>
      </c>
      <c r="EY6" cm="1">
        <f t="array" ref="EY6">_xll.EQNXTDZ($A$1,$B6,EY$1)</f>
        <v>130.38080197732299</v>
      </c>
      <c r="EZ6" cm="1">
        <f t="array" ref="EZ6">_xll.EQNXTDZ($A$1,$B6,EZ$1)</f>
        <v>105.300625840713</v>
      </c>
      <c r="FA6" cm="1">
        <f t="array" ref="FA6">_xll.EQNXTDZ($A$1,$B6,FA$1)</f>
        <v>107.39143249097999</v>
      </c>
      <c r="FB6" cm="1">
        <f t="array" ref="FB6">_xll.EQNXTDZ($A$1,$B6,FB$1)</f>
        <v>111.95319245519801</v>
      </c>
      <c r="FC6" cm="1">
        <f t="array" ref="FC6">_xll.EQNXTDZ($A$1,$B6,FC$1)</f>
        <v>140.58000000000001</v>
      </c>
      <c r="FD6" cm="1">
        <f t="array" ref="FD6">_xll.EQNXTDZ($A$1,$B6,FD$1)</f>
        <v>159.79</v>
      </c>
      <c r="FE6" cm="1">
        <f t="array" ref="FE6">_xll.EQNXTDZ($A$1,$B6,FE$1)</f>
        <v>128.05000000000001</v>
      </c>
      <c r="FF6" cm="1">
        <f t="array" ref="FF6">_xll.EQNXTDZ($A$1,$B6,FF$1)</f>
        <v>152</v>
      </c>
      <c r="FG6" cm="1">
        <f t="array" ref="FG6">_xll.EQNXTDZ($A$1,$B6,FG$1)</f>
        <v>174.85</v>
      </c>
      <c r="FH6" cm="1">
        <f t="array" ref="FH6">_xll.EQNXTDZ($A$1,$B6,FH$1)</f>
        <v>171.99</v>
      </c>
      <c r="FI6" cm="1">
        <f t="array" ref="FI6">_xll.EQNXTDZ($A$1,$B6,FI$1)</f>
        <v>157</v>
      </c>
      <c r="FJ6" cm="1">
        <f t="array" ref="FJ6">_xll.EQNXTDZ($A$1,$B6,FJ$1)</f>
        <v>153.80000000000001</v>
      </c>
      <c r="FK6" cm="1">
        <f t="array" ref="FK6">_xll.EQNXTDZ($A$1,$B6,FK$1)</f>
        <v>158</v>
      </c>
      <c r="FL6" cm="1">
        <f t="array" ref="FL6">_xll.EQNXTDZ($A$1,$B6,FL$1)</f>
        <v>135.19999999999999</v>
      </c>
      <c r="FM6" cm="1">
        <f t="array" ref="FM6">_xll.EQNXTDZ($A$1,$B6,FM$1)</f>
        <v>132.94999999999999</v>
      </c>
      <c r="FN6" cm="1">
        <f t="array" ref="FN6">_xll.EQNXTDZ($A$1,$B6,FN$1)</f>
        <v>150.9</v>
      </c>
      <c r="FO6" cm="1">
        <f t="array" ref="FO6">_xll.EQNXTDZ($A$1,$B6,FO$1)</f>
        <v>177.51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200.90751175746101</v>
      </c>
      <c r="ES7" s="116" cm="1">
        <f t="array" ref="ES7">_xll.EQNXTDZ($A$1,$B7,ES$1)</f>
        <v>197.39115511837599</v>
      </c>
      <c r="ET7" s="116" cm="1">
        <f t="array" ref="ET7">_xll.EQNXTDZ($A$1,$B7,ET$1)</f>
        <v>183.420765227956</v>
      </c>
      <c r="EU7" s="116" cm="1">
        <f t="array" ref="EU7">_xll.EQNXTDZ($A$1,$B7,EU$1)</f>
        <v>191.023698501654</v>
      </c>
      <c r="EV7" s="116" cm="1">
        <f t="array" ref="EV7">_xll.EQNXTDZ($A$1,$B7,EV$1)</f>
        <v>166.31416536213601</v>
      </c>
      <c r="EW7" s="116" cm="1">
        <f t="array" ref="EW7">_xll.EQNXTDZ($A$1,$B7,EW$1)</f>
        <v>170.11563199898501</v>
      </c>
      <c r="EX7" s="116" cm="1">
        <f t="array" ref="EX7">_xll.EQNXTDZ($A$1,$B7,EX$1)</f>
        <v>153.57925212869301</v>
      </c>
      <c r="EY7" s="116" cm="1">
        <f t="array" ref="EY7">_xll.EQNXTDZ($A$1,$B7,EY$1)</f>
        <v>133.916165949592</v>
      </c>
      <c r="EZ7" s="116" cm="1">
        <f t="array" ref="EZ7">_xll.EQNXTDZ($A$1,$B7,EZ$1)</f>
        <v>119.366052397053</v>
      </c>
      <c r="FA7" s="116" cm="1">
        <f t="array" ref="FA7">_xll.EQNXTDZ($A$1,$B7,FA$1)</f>
        <v>129.72504898246601</v>
      </c>
      <c r="FB7" s="116" cm="1">
        <f t="array" ref="FB7">_xll.EQNXTDZ($A$1,$B7,FB$1)</f>
        <v>152.69999999999999</v>
      </c>
      <c r="FC7" s="116" cm="1">
        <f t="array" ref="FC7">_xll.EQNXTDZ($A$1,$B7,FC$1)</f>
        <v>189.45</v>
      </c>
      <c r="FD7" s="116" cm="1">
        <f t="array" ref="FD7">_xll.EQNXTDZ($A$1,$B7,FD$1)</f>
        <v>166.14</v>
      </c>
      <c r="FE7" s="116" cm="1">
        <f t="array" ref="FE7">_xll.EQNXTDZ($A$1,$B7,FE$1)</f>
        <v>153.74</v>
      </c>
      <c r="FF7" s="116" cm="1">
        <f t="array" ref="FF7">_xll.EQNXTDZ($A$1,$B7,FF$1)</f>
        <v>196.5</v>
      </c>
      <c r="FG7" s="116" cm="1">
        <f t="array" ref="FG7">_xll.EQNXTDZ($A$1,$B7,FG$1)</f>
        <v>215</v>
      </c>
      <c r="FH7" s="116" cm="1">
        <f t="array" ref="FH7">_xll.EQNXTDZ($A$1,$B7,FH$1)</f>
        <v>172.5</v>
      </c>
      <c r="FI7" s="116" cm="1">
        <f t="array" ref="FI7">_xll.EQNXTDZ($A$1,$B7,FI$1)</f>
        <v>164.4</v>
      </c>
      <c r="FJ7" s="116" cm="1">
        <f t="array" ref="FJ7">_xll.EQNXTDZ($A$1,$B7,FJ$1)</f>
        <v>169.4</v>
      </c>
      <c r="FK7" s="116" cm="1">
        <f t="array" ref="FK7">_xll.EQNXTDZ($A$1,$B7,FK$1)</f>
        <v>162.55000000000001</v>
      </c>
      <c r="FL7" s="116" cm="1">
        <f t="array" ref="FL7">_xll.EQNXTDZ($A$1,$B7,FL$1)</f>
        <v>149.85</v>
      </c>
      <c r="FM7" s="116" cm="1">
        <f t="array" ref="FM7">_xll.EQNXTDZ($A$1,$B7,FM$1)</f>
        <v>162.27000000000001</v>
      </c>
      <c r="FN7" s="116" cm="1">
        <f t="array" ref="FN7">_xll.EQNXTDZ($A$1,$B7,FN$1)</f>
        <v>188.3</v>
      </c>
      <c r="FO7" s="116" cm="1">
        <f t="array" ref="FO7">_xll.EQNXTDZ($A$1,$B7,FO$1)</f>
        <v>181.75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200.90751175746101</v>
      </c>
      <c r="JM7" s="116">
        <f>MAX(EU7:EW7)</f>
        <v>191.023698501654</v>
      </c>
      <c r="JN7" s="116">
        <f>MAX(EX7:EZ7)</f>
        <v>153.57925212869301</v>
      </c>
      <c r="JO7" s="116">
        <f>MAX(FA7:FC7)</f>
        <v>189.45</v>
      </c>
      <c r="JP7" s="116">
        <f>MAX(FD7:FF7)</f>
        <v>196.5</v>
      </c>
      <c r="JQ7" s="116">
        <f>MAX(FG7:FI7)</f>
        <v>215</v>
      </c>
      <c r="JR7" s="116">
        <f>MAX(FJ7:FL7)</f>
        <v>169.4</v>
      </c>
      <c r="JS7" s="116">
        <f>MAX(FM7:FO7)</f>
        <v>188.3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193.874798479291</v>
      </c>
      <c r="ES8" s="116" cm="1">
        <f t="array" ref="ES8">_xll.EQNXTDZ($A$1,$B8,ES$1)</f>
        <v>166.31416536213601</v>
      </c>
      <c r="ET8" s="116" cm="1">
        <f t="array" ref="ET8">_xll.EQNXTDZ($A$1,$B8,ET$1)</f>
        <v>157.76086542922701</v>
      </c>
      <c r="EU8" s="116" cm="1">
        <f t="array" ref="EU8">_xll.EQNXTDZ($A$1,$B8,EU$1)</f>
        <v>155.860132110802</v>
      </c>
      <c r="EV8" s="116" cm="1">
        <f t="array" ref="EV8">_xll.EQNXTDZ($A$1,$B8,EV$1)</f>
        <v>132.661681959432</v>
      </c>
      <c r="EW8" s="116" cm="1">
        <f t="array" ref="EW8">_xll.EQNXTDZ($A$1,$B8,EW$1)</f>
        <v>142.697553880713</v>
      </c>
      <c r="EX8" s="116" cm="1">
        <f t="array" ref="EX8">_xll.EQNXTDZ($A$1,$B8,EX$1)</f>
        <v>112.143265787041</v>
      </c>
      <c r="EY8" s="116" cm="1">
        <f t="array" ref="EY8">_xll.EQNXTDZ($A$1,$B8,EY$1)</f>
        <v>95.131702587142101</v>
      </c>
      <c r="EZ8" s="116" cm="1">
        <f t="array" ref="EZ8">_xll.EQNXTDZ($A$1,$B8,EZ$1)</f>
        <v>98.657562892819399</v>
      </c>
      <c r="FA8" s="116" cm="1">
        <f t="array" ref="FA8">_xll.EQNXTDZ($A$1,$B8,FA$1)</f>
        <v>97.127472571487701</v>
      </c>
      <c r="FB8" s="116" cm="1">
        <f t="array" ref="FB8">_xll.EQNXTDZ($A$1,$B8,FB$1)</f>
        <v>102.76</v>
      </c>
      <c r="FC8" s="116" cm="1">
        <f t="array" ref="FC8">_xll.EQNXTDZ($A$1,$B8,FC$1)</f>
        <v>139.75</v>
      </c>
      <c r="FD8" s="116" cm="1">
        <f t="array" ref="FD8">_xll.EQNXTDZ($A$1,$B8,FD$1)</f>
        <v>126.25</v>
      </c>
      <c r="FE8" s="116" cm="1">
        <f t="array" ref="FE8">_xll.EQNXTDZ($A$1,$B8,FE$1)</f>
        <v>123.25</v>
      </c>
      <c r="FF8" s="116" cm="1">
        <f t="array" ref="FF8">_xll.EQNXTDZ($A$1,$B8,FF$1)</f>
        <v>149.71</v>
      </c>
      <c r="FG8" s="116" cm="1">
        <f t="array" ref="FG8">_xll.EQNXTDZ($A$1,$B8,FG$1)</f>
        <v>160.5</v>
      </c>
      <c r="FH8" s="116" cm="1">
        <f t="array" ref="FH8">_xll.EQNXTDZ($A$1,$B8,FH$1)</f>
        <v>148</v>
      </c>
      <c r="FI8" s="116" cm="1">
        <f t="array" ref="FI8">_xll.EQNXTDZ($A$1,$B8,FI$1)</f>
        <v>136.91999999999999</v>
      </c>
      <c r="FJ8" s="116" cm="1">
        <f t="array" ref="FJ8">_xll.EQNXTDZ($A$1,$B8,FJ$1)</f>
        <v>122.63</v>
      </c>
      <c r="FK8" s="116" cm="1">
        <f t="array" ref="FK8">_xll.EQNXTDZ($A$1,$B8,FK$1)</f>
        <v>140.16999999999999</v>
      </c>
      <c r="FL8" s="116" cm="1">
        <f t="array" ref="FL8">_xll.EQNXTDZ($A$1,$B8,FL$1)</f>
        <v>117.05</v>
      </c>
      <c r="FM8" s="116" cm="1">
        <f t="array" ref="FM8">_xll.EQNXTDZ($A$1,$B8,FM$1)</f>
        <v>128.5</v>
      </c>
      <c r="FN8" s="116" cm="1">
        <f t="array" ref="FN8">_xll.EQNXTDZ($A$1,$B8,FN$1)</f>
        <v>144.16</v>
      </c>
      <c r="FO8" s="116" cm="1">
        <f t="array" ref="FO8">_xll.EQNXTDZ($A$1,$B8,FO$1)</f>
        <v>155.52000000000001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157.76086542922701</v>
      </c>
      <c r="JM8" s="116">
        <f>MIN(EU8:EW8)</f>
        <v>132.661681959432</v>
      </c>
      <c r="JN8" s="116">
        <f>MIN(EX8:EZ8)</f>
        <v>95.131702587142101</v>
      </c>
      <c r="JO8" s="116">
        <f>MIN(FA8:FC8)</f>
        <v>97.127472571487701</v>
      </c>
      <c r="JP8" s="116">
        <f>MIN(FD8:FF8)</f>
        <v>123.25</v>
      </c>
      <c r="JQ8" s="116">
        <f>MIN(FG8:FI8)</f>
        <v>136.91999999999999</v>
      </c>
      <c r="JR8" s="116">
        <f>MIN(FJ8:FL8)</f>
        <v>117.05</v>
      </c>
      <c r="JS8" s="116">
        <f>MIN(FM8:FO8)</f>
        <v>128.5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194.21693047660699</v>
      </c>
      <c r="ES9" s="116" cm="1">
        <f t="array" ref="ES9">_xll.EQNXTDZ($A$1,$B9,ES$1)</f>
        <v>168.83263700904899</v>
      </c>
      <c r="ET9" s="116" cm="1">
        <f t="array" ref="ET9">_xll.EQNXTDZ($A$1,$B9,ET$1)</f>
        <v>174.734413962757</v>
      </c>
      <c r="EU9" s="116" cm="1">
        <f t="array" ref="EU9">_xll.EQNXTDZ($A$1,$B9,EU$1)</f>
        <v>163.92874504751401</v>
      </c>
      <c r="EV9" s="116" cm="1">
        <f t="array" ref="EV9">_xll.EQNXTDZ($A$1,$B9,EV$1)</f>
        <v>148.77990049967099</v>
      </c>
      <c r="EW9" s="116" cm="1">
        <f t="array" ref="EW9">_xll.EQNXTDZ($A$1,$B9,EW$1)</f>
        <v>145.60567585790201</v>
      </c>
      <c r="EX9" s="116" cm="1">
        <f t="array" ref="EX9">_xll.EQNXTDZ($A$1,$B9,EX$1)</f>
        <v>129.94363331408499</v>
      </c>
      <c r="EY9" s="116" cm="1">
        <f t="array" ref="EY9">_xll.EQNXTDZ($A$1,$B9,EY$1)</f>
        <v>105.300625840713</v>
      </c>
      <c r="EZ9" s="116" cm="1">
        <f t="array" ref="EZ9">_xll.EQNXTDZ($A$1,$B9,EZ$1)</f>
        <v>107.638527822375</v>
      </c>
      <c r="FA9" s="116" cm="1">
        <f t="array" ref="FA9">_xll.EQNXTDZ($A$1,$B9,FA$1)</f>
        <v>107.80009015444099</v>
      </c>
      <c r="FB9" s="116" cm="1">
        <f t="array" ref="FB9">_xll.EQNXTDZ($A$1,$B9,FB$1)</f>
        <v>140.58000000000001</v>
      </c>
      <c r="FC9" s="116" cm="1">
        <f t="array" ref="FC9">_xll.EQNXTDZ($A$1,$B9,FC$1)</f>
        <v>158.36000000000001</v>
      </c>
      <c r="FD9" s="116" cm="1">
        <f t="array" ref="FD9">_xll.EQNXTDZ($A$1,$B9,FD$1)</f>
        <v>127.44</v>
      </c>
      <c r="FE9" s="116" cm="1">
        <f t="array" ref="FE9">_xll.EQNXTDZ($A$1,$B9,FE$1)</f>
        <v>149.76</v>
      </c>
      <c r="FF9" s="116" cm="1">
        <f t="array" ref="FF9">_xll.EQNXTDZ($A$1,$B9,FF$1)</f>
        <v>174.35</v>
      </c>
      <c r="FG9" s="116" cm="1">
        <f t="array" ref="FG9">_xll.EQNXTDZ($A$1,$B9,FG$1)</f>
        <v>171.55</v>
      </c>
      <c r="FH9" s="116" cm="1">
        <f t="array" ref="FH9">_xll.EQNXTDZ($A$1,$B9,FH$1)</f>
        <v>155.54</v>
      </c>
      <c r="FI9" s="116" cm="1">
        <f t="array" ref="FI9">_xll.EQNXTDZ($A$1,$B9,FI$1)</f>
        <v>157.69</v>
      </c>
      <c r="FJ9" s="116" cm="1">
        <f t="array" ref="FJ9">_xll.EQNXTDZ($A$1,$B9,FJ$1)</f>
        <v>155.41999999999999</v>
      </c>
      <c r="FK9" s="116" cm="1">
        <f t="array" ref="FK9">_xll.EQNXTDZ($A$1,$B9,FK$1)</f>
        <v>143.38</v>
      </c>
      <c r="FL9" s="116" cm="1">
        <f t="array" ref="FL9">_xll.EQNXTDZ($A$1,$B9,FL$1)</f>
        <v>126.56</v>
      </c>
      <c r="FM9" s="116" cm="1">
        <f t="array" ref="FM9">_xll.EQNXTDZ($A$1,$B9,FM$1)</f>
        <v>148.74</v>
      </c>
      <c r="FN9" s="116" cm="1">
        <f t="array" ref="FN9">_xll.EQNXTDZ($A$1,$B9,FN$1)</f>
        <v>177.38</v>
      </c>
      <c r="FO9" s="116" cm="1">
        <f t="array" ref="FO9">_xll.EQNXTDZ($A$1,$B9,FO$1)</f>
        <v>169.42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174.734413962757</v>
      </c>
      <c r="JM9" s="116">
        <f>EW9</f>
        <v>145.60567585790201</v>
      </c>
      <c r="JN9" s="116">
        <f>EZ9</f>
        <v>107.638527822375</v>
      </c>
      <c r="JO9" s="116">
        <f>FC9</f>
        <v>158.36000000000001</v>
      </c>
      <c r="JP9" s="116">
        <f>FF9</f>
        <v>174.35</v>
      </c>
      <c r="JQ9" s="116">
        <f>FI9</f>
        <v>157.69</v>
      </c>
      <c r="JR9" s="116">
        <f>FL9</f>
        <v>126.56</v>
      </c>
      <c r="JS9" s="116">
        <f>FO9</f>
        <v>169.42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0.91862022817536304</v>
      </c>
      <c r="D13" cm="1">
        <f t="array" ref="D13">_xll.EQNXTDZ($A$1,$B13,D$1)</f>
        <v>0.95029678776761695</v>
      </c>
      <c r="E13" cm="1">
        <f t="array" ref="E13">_xll.EQNXTDZ($A$1,$B13,E$1)</f>
        <v>0.96375932559432498</v>
      </c>
      <c r="F13" cm="1">
        <f t="array" ref="F13">_xll.EQNXTDZ($A$1,$B13,F$1)</f>
        <v>0.92574745408362002</v>
      </c>
      <c r="G13" cm="1">
        <f t="array" ref="G13">_xll.EQNXTDZ($A$1,$B13,G$1)</f>
        <v>0.90040620640981694</v>
      </c>
      <c r="H13" cm="1">
        <f t="array" ref="H13">_xll.EQNXTDZ($A$1,$B13,H$1)</f>
        <v>0.81250375354131199</v>
      </c>
      <c r="I13" cm="1">
        <f t="array" ref="I13">_xll.EQNXTDZ($A$1,$B13,I$1)</f>
        <v>1.0215690468501899</v>
      </c>
      <c r="J13" cm="1">
        <f t="array" ref="J13">_xll.EQNXTDZ($A$1,$B13,J$1)</f>
        <v>0.96771889554335699</v>
      </c>
      <c r="K13" cm="1">
        <f t="array" ref="K13">_xll.EQNXTDZ($A$1,$B13,K$1)</f>
        <v>0.95108870175742299</v>
      </c>
      <c r="L13" cm="1">
        <f t="array" ref="L13">_xll.EQNXTDZ($A$1,$B13,L$1)</f>
        <v>0.85685093697046799</v>
      </c>
      <c r="M13" cm="1">
        <f t="array" ref="M13">_xll.EQNXTDZ($A$1,$B13,M$1)</f>
        <v>0.95029678776761695</v>
      </c>
      <c r="N13" cm="1">
        <f t="array" ref="N13">_xll.EQNXTDZ($A$1,$B13,N$1)</f>
        <v>0.98355717533948395</v>
      </c>
      <c r="O13" cm="1">
        <f t="array" ref="O13">_xll.EQNXTDZ($A$1,$B13,O$1)</f>
        <v>0.93445850797148999</v>
      </c>
      <c r="P13" cm="1">
        <f t="array" ref="P13">_xll.EQNXTDZ($A$1,$B13,P$1)</f>
        <v>0.96613506756374401</v>
      </c>
      <c r="Q13" cm="1">
        <f t="array" ref="Q13">_xll.EQNXTDZ($A$1,$B13,Q$1)</f>
        <v>0.82517437737821397</v>
      </c>
      <c r="R13" cm="1">
        <f t="array" ref="R13">_xll.EQNXTDZ($A$1,$B13,R$1)</f>
        <v>0.83150968929666502</v>
      </c>
      <c r="S13" cm="1">
        <f t="array" ref="S13">_xll.EQNXTDZ($A$1,$B13,S$1)</f>
        <v>0.84338839914375996</v>
      </c>
      <c r="T13" cm="1">
        <f t="array" ref="T13">_xll.EQNXTDZ($A$1,$B13,T$1)</f>
        <v>0.744399150417967</v>
      </c>
      <c r="U13" cm="1">
        <f t="array" ref="U13">_xll.EQNXTDZ($A$1,$B13,U$1)</f>
        <v>0.70084388097861705</v>
      </c>
      <c r="V13" cm="1">
        <f t="array" ref="V13">_xll.EQNXTDZ($A$1,$B13,V$1)</f>
        <v>0.71272259082571299</v>
      </c>
      <c r="W13" cm="1">
        <f t="array" ref="W13">_xll.EQNXTDZ($A$1,$B13,W$1)</f>
        <v>0.76736465612235105</v>
      </c>
      <c r="X13" cm="1">
        <f t="array" ref="X13">_xll.EQNXTDZ($A$1,$B13,X$1)</f>
        <v>0.71589024678493796</v>
      </c>
      <c r="Y13" cm="1">
        <f t="array" ref="Y13">_xll.EQNXTDZ($A$1,$B13,Y$1)</f>
        <v>0.73252044057087096</v>
      </c>
      <c r="Z13" cm="1">
        <f t="array" ref="Z13">_xll.EQNXTDZ($A$1,$B13,Z$1)</f>
        <v>0.77686762400002696</v>
      </c>
      <c r="AA13" cm="1">
        <f t="array" ref="AA13">_xll.EQNXTDZ($A$1,$B13,AA$1)</f>
        <v>1.26389472773093</v>
      </c>
      <c r="AB13" cm="1">
        <f t="array" ref="AB13">_xll.EQNXTDZ($A$1,$B13,AB$1)</f>
        <v>1.1134310696677201</v>
      </c>
      <c r="AC13" cm="1">
        <f t="array" ref="AC13">_xll.EQNXTDZ($A$1,$B13,AC$1)</f>
        <v>1.26706238369016</v>
      </c>
      <c r="AD13" cm="1">
        <f t="array" ref="AD13">_xll.EQNXTDZ($A$1,$B13,AD$1)</f>
        <v>1.3288316748950499</v>
      </c>
      <c r="AE13" cm="1">
        <f t="array" ref="AE13">_xll.EQNXTDZ($A$1,$B13,AE$1)</f>
        <v>1.77388733716622</v>
      </c>
      <c r="AF13" cm="1">
        <f t="array" ref="AF13">_xll.EQNXTDZ($A$1,$B13,AF$1)</f>
        <v>1.77388733716622</v>
      </c>
      <c r="AG13" cm="1">
        <f t="array" ref="AG13">_xll.EQNXTDZ($A$1,$B13,AG$1)</f>
        <v>2.3757419694190398</v>
      </c>
      <c r="AH13" cm="1">
        <f t="array" ref="AH13">_xll.EQNXTDZ($A$1,$B13,AH$1)</f>
        <v>2.40425087305207</v>
      </c>
      <c r="AI13" cm="1">
        <f t="array" ref="AI13">_xll.EQNXTDZ($A$1,$B13,AI$1)</f>
        <v>1.77388733716622</v>
      </c>
      <c r="AJ13" cm="1">
        <f t="array" ref="AJ13">_xll.EQNXTDZ($A$1,$B13,AJ$1)</f>
        <v>1.9972070822916099</v>
      </c>
      <c r="AK13" cm="1">
        <f t="array" ref="AK13">_xll.EQNXTDZ($A$1,$B13,AK$1)</f>
        <v>1.87208467190221</v>
      </c>
      <c r="AL13" cm="1">
        <f t="array" ref="AL13">_xll.EQNXTDZ($A$1,$B13,AL$1)</f>
        <v>1.7121180459613199</v>
      </c>
      <c r="AM13" cm="1">
        <f t="array" ref="AM13">_xll.EQNXTDZ($A$1,$B13,AM$1)</f>
        <v>1.7707196812069901</v>
      </c>
      <c r="AN13" cm="1">
        <f t="array" ref="AN13">_xll.EQNXTDZ($A$1,$B13,AN$1)</f>
        <v>1.6455972708175901</v>
      </c>
      <c r="AO13" cm="1">
        <f t="array" ref="AO13">_xll.EQNXTDZ($A$1,$B13,AO$1)</f>
        <v>1.7342916376759001</v>
      </c>
      <c r="AP13" cm="1">
        <f t="array" ref="AP13">_xll.EQNXTDZ($A$1,$B13,AP$1)</f>
        <v>1.39218479407956</v>
      </c>
      <c r="AQ13" cm="1">
        <f t="array" ref="AQ13">_xll.EQNXTDZ($A$1,$B13,AQ$1)</f>
        <v>1.2829006634862801</v>
      </c>
      <c r="AR13" cm="1">
        <f t="array" ref="AR13">_xll.EQNXTDZ($A$1,$B13,AR$1)</f>
        <v>1.48879830083593</v>
      </c>
      <c r="AS13" cm="1">
        <f t="array" ref="AS13">_xll.EQNXTDZ($A$1,$B13,AS$1)</f>
        <v>2.2807122906422799</v>
      </c>
      <c r="AT13" cm="1">
        <f t="array" ref="AT13">_xll.EQNXTDZ($A$1,$B13,AT$1)</f>
        <v>2.4549333683996801</v>
      </c>
      <c r="AU13" cm="1">
        <f t="array" ref="AU13">_xll.EQNXTDZ($A$1,$B13,AU$1)</f>
        <v>2.3757419694190398</v>
      </c>
      <c r="AV13" cm="1">
        <f t="array" ref="AV13">_xll.EQNXTDZ($A$1,$B13,AV$1)</f>
        <v>1.6091692272864999</v>
      </c>
      <c r="AW13" cm="1">
        <f t="array" ref="AW13">_xll.EQNXTDZ($A$1,$B13,AW$1)</f>
        <v>1.8293213164526601</v>
      </c>
      <c r="AX13" cm="1">
        <f t="array" ref="AX13">_xll.EQNXTDZ($A$1,$B13,AX$1)</f>
        <v>2.171428160049</v>
      </c>
      <c r="AY13" cm="1">
        <f t="array" ref="AY13">_xll.EQNXTDZ($A$1,$B13,AY$1)</f>
        <v>1.94969224290323</v>
      </c>
      <c r="AZ13" cm="1">
        <f t="array" ref="AZ13">_xll.EQNXTDZ($A$1,$B13,AZ$1)</f>
        <v>1.9964151683018001</v>
      </c>
      <c r="BA13" cm="1">
        <f t="array" ref="BA13">_xll.EQNXTDZ($A$1,$B13,BA$1)</f>
        <v>2.0447219216799901</v>
      </c>
      <c r="BB13" cm="1">
        <f t="array" ref="BB13">_xll.EQNXTDZ($A$1,$B13,BB$1)</f>
        <v>1.72478866979822</v>
      </c>
      <c r="BC13" cm="1">
        <f t="array" ref="BC13">_xll.EQNXTDZ($A$1,$B13,BC$1)</f>
        <v>1.75171374545164</v>
      </c>
      <c r="BD13" cm="1">
        <f t="array" ref="BD13">_xll.EQNXTDZ($A$1,$B13,BD$1)</f>
        <v>1.78339030504389</v>
      </c>
      <c r="BE13" cm="1">
        <f t="array" ref="BE13">_xll.EQNXTDZ($A$1,$B13,BE$1)</f>
        <v>1.8150668646361501</v>
      </c>
      <c r="BF13" cm="1">
        <f t="array" ref="BF13">_xll.EQNXTDZ($A$1,$B13,BF$1)</f>
        <v>2.1223294926810099</v>
      </c>
      <c r="BG13" cm="1">
        <f t="array" ref="BG13">_xll.EQNXTDZ($A$1,$B13,BG$1)</f>
        <v>2.0866933631397302</v>
      </c>
      <c r="BH13" cm="1">
        <f t="array" ref="BH13">_xll.EQNXTDZ($A$1,$B13,BH$1)</f>
        <v>2.09065293308876</v>
      </c>
      <c r="BI13" cm="1">
        <f t="array" ref="BI13">_xll.EQNXTDZ($A$1,$B13,BI$1)</f>
        <v>3.1343955716535201</v>
      </c>
      <c r="BJ13" cm="1">
        <f t="array" ref="BJ13">_xll.EQNXTDZ($A$1,$B13,BJ$1)</f>
        <v>3.2230899385118299</v>
      </c>
      <c r="BK13" cm="1">
        <f t="array" ref="BK13">_xll.EQNXTDZ($A$1,$B13,BK$1)</f>
        <v>3.73862594587577</v>
      </c>
      <c r="BL13" cm="1">
        <f t="array" ref="BL13">_xll.EQNXTDZ($A$1,$B13,BL$1)</f>
        <v>4.69446613157203</v>
      </c>
      <c r="BM13" cm="1">
        <f t="array" ref="BM13">_xll.EQNXTDZ($A$1,$B13,BM$1)</f>
        <v>3.8463262484894298</v>
      </c>
      <c r="BN13" cm="1">
        <f t="array" ref="BN13">_xll.EQNXTDZ($A$1,$B13,BN$1)</f>
        <v>4.4347183429155503</v>
      </c>
      <c r="BO13" cm="1">
        <f t="array" ref="BO13">_xll.EQNXTDZ($A$1,$B13,BO$1)</f>
        <v>3.6428043531092</v>
      </c>
      <c r="BP13" cm="1">
        <f t="array" ref="BP13">_xll.EQNXTDZ($A$1,$B13,BP$1)</f>
        <v>4.35552694393491</v>
      </c>
      <c r="BQ13" cm="1">
        <f t="array" ref="BQ13">_xll.EQNXTDZ($A$1,$B13,BQ$1)</f>
        <v>5.8110648571989802</v>
      </c>
      <c r="BR13" cm="1">
        <f t="array" ref="BR13">_xll.EQNXTDZ($A$1,$B13,BR$1)</f>
        <v>7.2222555870338896</v>
      </c>
      <c r="BS13" cm="1">
        <f t="array" ref="BS13">_xll.EQNXTDZ($A$1,$B13,BS$1)</f>
        <v>8.8615175459330295</v>
      </c>
      <c r="BT13" cm="1">
        <f t="array" ref="BT13">_xll.EQNXTDZ($A$1,$B13,BT$1)</f>
        <v>8.3174726349360704</v>
      </c>
      <c r="BU13" cm="1">
        <f t="array" ref="BU13">_xll.EQNXTDZ($A$1,$B13,BU$1)</f>
        <v>7.9199318120532798</v>
      </c>
      <c r="BV13" cm="1">
        <f t="array" ref="BV13">_xll.EQNXTDZ($A$1,$B13,BV$1)</f>
        <v>8.4893179707240396</v>
      </c>
      <c r="BW13" cm="1">
        <f t="array" ref="BW13">_xll.EQNXTDZ($A$1,$B13,BW$1)</f>
        <v>6.7312689133539498</v>
      </c>
      <c r="BX13" cm="1">
        <f t="array" ref="BX13">_xll.EQNXTDZ($A$1,$B13,BX$1)</f>
        <v>5.3691768508870403</v>
      </c>
      <c r="BY13" cm="1">
        <f t="array" ref="BY13">_xll.EQNXTDZ($A$1,$B13,BY$1)</f>
        <v>4.8781901772070997</v>
      </c>
      <c r="BZ13" cm="1">
        <f t="array" ref="BZ13">_xll.EQNXTDZ($A$1,$B13,BZ$1)</f>
        <v>4.4347183429155503</v>
      </c>
      <c r="CA13" cm="1">
        <f t="array" ref="CA13">_xll.EQNXTDZ($A$1,$B13,CA$1)</f>
        <v>3.9635295189807702</v>
      </c>
      <c r="CB13" cm="1">
        <f t="array" ref="CB13">_xll.EQNXTDZ($A$1,$B13,CB$1)</f>
        <v>3.3893918763711701</v>
      </c>
      <c r="CC13" cm="1">
        <f t="array" ref="CC13">_xll.EQNXTDZ($A$1,$B13,CC$1)</f>
        <v>3.2175465405831898</v>
      </c>
      <c r="CD13" cm="1">
        <f t="array" ref="CD13">_xll.EQNXTDZ($A$1,$B13,CD$1)</f>
        <v>3.6269660733130702</v>
      </c>
      <c r="CE13" cm="1">
        <f t="array" ref="CE13">_xll.EQNXTDZ($A$1,$B13,CE$1)</f>
        <v>3.73783403188596</v>
      </c>
      <c r="CF13" cm="1">
        <f t="array" ref="CF13">_xll.EQNXTDZ($A$1,$B13,CF$1)</f>
        <v>3.4923406950459901</v>
      </c>
      <c r="CG13" cm="1">
        <f t="array" ref="CG13">_xll.EQNXTDZ($A$1,$B13,CG$1)</f>
        <v>3.5636129541285602</v>
      </c>
      <c r="CH13" cm="1">
        <f t="array" ref="CH13">_xll.EQNXTDZ($A$1,$B13,CH$1)</f>
        <v>3.5857865458431402</v>
      </c>
      <c r="CI13" cm="1">
        <f t="array" ref="CI13">_xll.EQNXTDZ($A$1,$B13,CI$1)</f>
        <v>4.2446589853620198</v>
      </c>
      <c r="CJ13" cm="1">
        <f t="array" ref="CJ13">_xll.EQNXTDZ($A$1,$B13,CJ$1)</f>
        <v>3.80118715107047</v>
      </c>
      <c r="CK13" cm="1">
        <f t="array" ref="CK13">_xll.EQNXTDZ($A$1,$B13,CK$1)</f>
        <v>3.1676559592253901</v>
      </c>
      <c r="CL13" cm="1">
        <f t="array" ref="CL13">_xll.EQNXTDZ($A$1,$B13,CL$1)</f>
        <v>2.96175832187574</v>
      </c>
      <c r="CM13" cm="1">
        <f t="array" ref="CM13">_xll.EQNXTDZ($A$1,$B13,CM$1)</f>
        <v>3.2468473582060202</v>
      </c>
      <c r="CN13" cm="1">
        <f t="array" ref="CN13">_xll.EQNXTDZ($A$1,$B13,CN$1)</f>
        <v>3.3434608649623998</v>
      </c>
      <c r="CO13" cm="1">
        <f t="array" ref="CO13">_xll.EQNXTDZ($A$1,$B13,CO$1)</f>
        <v>4.3080121045465303</v>
      </c>
      <c r="CP13" cm="1">
        <f t="array" ref="CP13">_xll.EQNXTDZ($A$1,$B13,CP$1)</f>
        <v>4.7039690994496999</v>
      </c>
      <c r="CQ13" cm="1">
        <f t="array" ref="CQ13">_xll.EQNXTDZ($A$1,$B13,CQ$1)</f>
        <v>4.5891415709277803</v>
      </c>
      <c r="CR13" cm="1">
        <f t="array" ref="CR13">_xll.EQNXTDZ($A$1,$B13,CR$1)</f>
        <v>4.04113708998179</v>
      </c>
      <c r="CS13" cm="1">
        <f t="array" ref="CS13">_xll.EQNXTDZ($A$1,$B13,CS$1)</f>
        <v>2.6449927259532</v>
      </c>
      <c r="CT13" cm="1">
        <f t="array" ref="CT13">_xll.EQNXTDZ($A$1,$B13,CT$1)</f>
        <v>3.1676559592253901</v>
      </c>
      <c r="CU13" cm="1">
        <f t="array" ref="CU13">_xll.EQNXTDZ($A$1,$B13,CU$1)</f>
        <v>3.1977486908380302</v>
      </c>
      <c r="CV13" cm="1">
        <f t="array" ref="CV13">_xll.EQNXTDZ($A$1,$B13,CV$1)</f>
        <v>4.0070847884201202</v>
      </c>
      <c r="CW13" cm="1">
        <f t="array" ref="CW13">_xll.EQNXTDZ($A$1,$B13,CW$1)</f>
        <v>5.5418141006648201</v>
      </c>
      <c r="CX13" cm="1">
        <f t="array" ref="CX13">_xll.EQNXTDZ($A$1,$B13,CX$1)</f>
        <v>6.0375522582835899</v>
      </c>
      <c r="CY13" cm="1">
        <f t="array" ref="CY13">_xll.EQNXTDZ($A$1,$B13,CY$1)</f>
        <v>6.4873594044936</v>
      </c>
      <c r="CZ13" cm="1">
        <f t="array" ref="CZ13">_xll.EQNXTDZ($A$1,$B13,CZ$1)</f>
        <v>5.8569958686077497</v>
      </c>
      <c r="DA13" cm="1">
        <f t="array" ref="DA13">_xll.EQNXTDZ($A$1,$B13,DA$1)</f>
        <v>5.6225893276250698</v>
      </c>
      <c r="DB13" cm="1">
        <f t="array" ref="DB13">_xll.EQNXTDZ($A$1,$B13,DB$1)</f>
        <v>5.4800448094599199</v>
      </c>
      <c r="DC13" cm="1">
        <f t="array" ref="DC13">_xll.EQNXTDZ($A$1,$B13,DC$1)</f>
        <v>6.6742511060879002</v>
      </c>
      <c r="DD13" cm="1">
        <f t="array" ref="DD13">_xll.EQNXTDZ($A$1,$B13,DD$1)</f>
        <v>6.4929028024222397</v>
      </c>
      <c r="DE13" cm="1">
        <f t="array" ref="DE13">_xll.EQNXTDZ($A$1,$B13,DE$1)</f>
        <v>5.9393549235476097</v>
      </c>
      <c r="DF13" cm="1">
        <f t="array" ref="DF13">_xll.EQNXTDZ($A$1,$B13,DF$1)</f>
        <v>6.74869102112969</v>
      </c>
      <c r="DG13" cm="1">
        <f t="array" ref="DG13">_xll.EQNXTDZ($A$1,$B13,DG$1)</f>
        <v>8.3942882919472801</v>
      </c>
      <c r="DH13" cm="1">
        <f t="array" ref="DH13">_xll.EQNXTDZ($A$1,$B13,DH$1)</f>
        <v>8.25174377378214</v>
      </c>
      <c r="DI13" cm="1">
        <f t="array" ref="DI13">_xll.EQNXTDZ($A$1,$B13,DI$1)</f>
        <v>13.541729225688499</v>
      </c>
      <c r="DJ13" cm="1">
        <f t="array" ref="DJ13">_xll.EQNXTDZ($A$1,$B13,DJ$1)</f>
        <v>10.6290695711808</v>
      </c>
      <c r="DK13" cm="1">
        <f t="array" ref="DK13">_xll.EQNXTDZ($A$1,$B13,DK$1)</f>
        <v>13.6842737438537</v>
      </c>
      <c r="DL13" cm="1">
        <f t="array" ref="DL13">_xll.EQNXTDZ($A$1,$B13,DL$1)</f>
        <v>12.702300396493801</v>
      </c>
      <c r="DM13" cm="1">
        <f t="array" ref="DM13">_xll.EQNXTDZ($A$1,$B13,DM$1)</f>
        <v>10.7858685411625</v>
      </c>
      <c r="DN13" cm="1">
        <f t="array" ref="DN13">_xll.EQNXTDZ($A$1,$B13,DN$1)</f>
        <v>11.3085317744346</v>
      </c>
      <c r="DO13" cm="1">
        <f t="array" ref="DO13">_xll.EQNXTDZ($A$1,$B13,DO$1)</f>
        <v>13.063413175845501</v>
      </c>
      <c r="DP13" cm="1">
        <f t="array" ref="DP13">_xll.EQNXTDZ($A$1,$B13,DP$1)</f>
        <v>10.975927898716</v>
      </c>
      <c r="DQ13" cm="1">
        <f t="array" ref="DQ13">_xll.EQNXTDZ($A$1,$B13,DQ$1)</f>
        <v>16.155045392049502</v>
      </c>
      <c r="DR13" cm="1">
        <f t="array" ref="DR13">_xll.EQNXTDZ($A$1,$B13,DR$1)</f>
        <v>21.4925456833443</v>
      </c>
      <c r="DS13" cm="1">
        <f t="array" ref="DS13">_xll.EQNXTDZ($A$1,$B13,DS$1)</f>
        <v>18.4515959624879</v>
      </c>
      <c r="DT13" cm="1">
        <f t="array" ref="DT13">_xll.EQNXTDZ($A$1,$B13,DT$1)</f>
        <v>17.048324372551001</v>
      </c>
      <c r="DU13" cm="1">
        <f t="array" ref="DU13">_xll.EQNXTDZ($A$1,$B13,DU$1)</f>
        <v>17.7325380597437</v>
      </c>
      <c r="DV13" cm="1">
        <f t="array" ref="DV13">_xll.EQNXTDZ($A$1,$B13,DV$1)</f>
        <v>17.738873371662201</v>
      </c>
      <c r="DW13" cm="1">
        <f t="array" ref="DW13">_xll.EQNXTDZ($A$1,$B13,DW$1)</f>
        <v>19.072456530496101</v>
      </c>
      <c r="DX13" cm="1">
        <f t="array" ref="DX13">_xll.EQNXTDZ($A$1,$B13,DX$1)</f>
        <v>28.318844275475001</v>
      </c>
      <c r="DY13" cm="1">
        <f t="array" ref="DY13">_xll.EQNXTDZ($A$1,$B13,DY$1)</f>
        <v>27.558606845260901</v>
      </c>
      <c r="DZ13" cm="1">
        <f t="array" ref="DZ13">_xll.EQNXTDZ($A$1,$B13,DZ$1)</f>
        <v>24.638028050855102</v>
      </c>
      <c r="EA13" cm="1">
        <f t="array" ref="EA13">_xll.EQNXTDZ($A$1,$B13,EA$1)</f>
        <v>26.285209149652299</v>
      </c>
      <c r="EB13" cm="1">
        <f t="array" ref="EB13">_xll.EQNXTDZ($A$1,$B13,EB$1)</f>
        <v>24.831255064367799</v>
      </c>
      <c r="EC13" cm="1">
        <f t="array" ref="EC13">_xll.EQNXTDZ($A$1,$B13,EC$1)</f>
        <v>25.962108241811301</v>
      </c>
      <c r="ED13" cm="1">
        <f t="array" ref="ED13">_xll.EQNXTDZ($A$1,$B13,ED$1)</f>
        <v>30.8941485703252</v>
      </c>
      <c r="EE13" cm="1">
        <f t="array" ref="EE13">_xll.EQNXTDZ($A$1,$B13,EE$1)</f>
        <v>31.499170858537301</v>
      </c>
      <c r="EF13" cm="1">
        <f t="array" ref="EF13">_xll.EQNXTDZ($A$1,$B13,EF$1)</f>
        <v>48.256070882839602</v>
      </c>
      <c r="EG13" cm="1">
        <f t="array" ref="EG13">_xll.EQNXTDZ($A$1,$B13,EG$1)</f>
        <v>52.583088923141503</v>
      </c>
      <c r="EH13" cm="1">
        <f t="array" ref="EH13">_xll.EQNXTDZ($A$1,$B13,EH$1)</f>
        <v>78.241102192867103</v>
      </c>
      <c r="EI13" cm="1">
        <f t="array" ref="EI13">_xll.EQNXTDZ($A$1,$B13,EI$1)</f>
        <v>81.963097944956999</v>
      </c>
      <c r="EJ13" cm="1">
        <f t="array" ref="EJ13">_xll.EQNXTDZ($A$1,$B13,EJ$1)</f>
        <v>99.781162715599805</v>
      </c>
      <c r="EK13" cm="1">
        <f t="array" ref="EK13">_xll.EQNXTDZ($A$1,$B13,EK$1)</f>
        <v>117.83680168318401</v>
      </c>
      <c r="EL13" cm="1">
        <f t="array" ref="EL13">_xll.EQNXTDZ($A$1,$B13,EL$1)</f>
        <v>109.284130593276</v>
      </c>
      <c r="EM13" cm="1">
        <f t="array" ref="EM13">_xll.EQNXTDZ($A$1,$B13,EM$1)</f>
        <v>115.175970677435</v>
      </c>
      <c r="EN13" cm="1">
        <f t="array" ref="EN13">_xll.EQNXTDZ($A$1,$B13,EN$1)</f>
        <v>107.38353701774101</v>
      </c>
      <c r="EO13" cm="1">
        <f t="array" ref="EO13">_xll.EQNXTDZ($A$1,$B13,EO$1)</f>
        <v>95.837431046364102</v>
      </c>
      <c r="EP13" cm="1">
        <f t="array" ref="EP13">_xll.EQNXTDZ($A$1,$B13,EP$1)</f>
        <v>109.71176414777101</v>
      </c>
      <c r="EQ13" cm="1">
        <f t="array" ref="EQ13">_xll.EQNXTDZ($A$1,$B13,EQ$1)</f>
        <v>122.493255943246</v>
      </c>
      <c r="ER13" cm="1">
        <f t="array" ref="ER13">_xll.EQNXTDZ($A$1,$B13,ER$1)</f>
        <v>166.349452698721</v>
      </c>
      <c r="ES13" cm="1">
        <f t="array" ref="ES13">_xll.EQNXTDZ($A$1,$B13,ES$1)</f>
        <v>195.19096020746801</v>
      </c>
      <c r="ET13" cm="1">
        <f t="array" ref="ET13">_xll.EQNXTDZ($A$1,$B13,ET$1)</f>
        <v>169.62797661651999</v>
      </c>
      <c r="EU13" cm="1">
        <f t="array" ref="EU13">_xll.EQNXTDZ($A$1,$B13,EU$1)</f>
        <v>173.95182700086201</v>
      </c>
      <c r="EV13" cm="1">
        <f t="array" ref="EV13">_xll.EQNXTDZ($A$1,$B13,EV$1)</f>
        <v>165.826789465449</v>
      </c>
      <c r="EW13" cm="1">
        <f t="array" ref="EW13">_xll.EQNXTDZ($A$1,$B13,EW$1)</f>
        <v>146.10813111927101</v>
      </c>
      <c r="EX13" cm="1">
        <f t="array" ref="EX13">_xll.EQNXTDZ($A$1,$B13,EX$1)</f>
        <v>145.347893689057</v>
      </c>
      <c r="EY13" cm="1">
        <f t="array" ref="EY13">_xll.EQNXTDZ($A$1,$B13,EY$1)</f>
        <v>130.00060056660999</v>
      </c>
      <c r="EZ13" cm="1">
        <f t="array" ref="EZ13">_xll.EQNXTDZ($A$1,$B13,EZ$1)</f>
        <v>104.72270601199099</v>
      </c>
      <c r="FA13" cm="1">
        <f t="array" ref="FA13">_xll.EQNXTDZ($A$1,$B13,FA$1)</f>
        <v>107.573596375294</v>
      </c>
      <c r="FB13" cm="1">
        <f t="array" ref="FB13">_xll.EQNXTDZ($A$1,$B13,FB$1)</f>
        <v>112.515139671686</v>
      </c>
      <c r="FC13" cm="1">
        <f t="array" ref="FC13">_xll.EQNXTDZ($A$1,$B13,FC$1)</f>
        <v>140.55000000000001</v>
      </c>
      <c r="FD13" cm="1">
        <f t="array" ref="FD13">_xll.EQNXTDZ($A$1,$B13,FD$1)</f>
        <v>160.69999999999999</v>
      </c>
      <c r="FE13" cm="1">
        <f t="array" ref="FE13">_xll.EQNXTDZ($A$1,$B13,FE$1)</f>
        <v>127.15</v>
      </c>
      <c r="FF13" cm="1">
        <f t="array" ref="FF13">_xll.EQNXTDZ($A$1,$B13,FF$1)</f>
        <v>152.19999999999999</v>
      </c>
      <c r="FG13" cm="1">
        <f t="array" ref="FG13">_xll.EQNXTDZ($A$1,$B13,FG$1)</f>
        <v>174.35</v>
      </c>
      <c r="FH13" cm="1">
        <f t="array" ref="FH13">_xll.EQNXTDZ($A$1,$B13,FH$1)</f>
        <v>171.05</v>
      </c>
      <c r="FI13" cm="1">
        <f t="array" ref="FI13">_xll.EQNXTDZ($A$1,$B13,FI$1)</f>
        <v>157.19999999999999</v>
      </c>
      <c r="FJ13" cm="1">
        <f t="array" ref="FJ13">_xll.EQNXTDZ($A$1,$B13,FJ$1)</f>
        <v>156</v>
      </c>
      <c r="FK13" cm="1">
        <f t="array" ref="FK13">_xll.EQNXTDZ($A$1,$B13,FK$1)</f>
        <v>155.6</v>
      </c>
      <c r="FL13" cm="1">
        <f t="array" ref="FL13">_xll.EQNXTDZ($A$1,$B13,FL$1)</f>
        <v>133.25</v>
      </c>
      <c r="FM13" cm="1">
        <f t="array" ref="FM13">_xll.EQNXTDZ($A$1,$B13,FM$1)</f>
        <v>134.6</v>
      </c>
      <c r="FN13" cm="1">
        <f t="array" ref="FN13">_xll.EQNXTDZ($A$1,$B13,FN$1)</f>
        <v>149.35</v>
      </c>
      <c r="FO13" cm="1">
        <f t="array" ref="FO13">_xll.EQNXTDZ($A$1,$B13,FO$1)</f>
        <v>177.85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1.0841302520448901</v>
      </c>
      <c r="D14" s="116" cm="1">
        <f t="array" ref="D14">_xll.EQNXTDZ($A$1,$B14,D$1)</f>
        <v>1.01206607897251</v>
      </c>
      <c r="E14" s="116" cm="1">
        <f t="array" ref="E14">_xll.EQNXTDZ($A$1,$B14,E$1)</f>
        <v>1.0136499069521201</v>
      </c>
      <c r="F14" s="116" cm="1">
        <f t="array" ref="F14">_xll.EQNXTDZ($A$1,$B14,F$1)</f>
        <v>1.1324370054230799</v>
      </c>
      <c r="G14" s="116" cm="1">
        <f t="array" ref="G14">_xll.EQNXTDZ($A$1,$B14,G$1)</f>
        <v>0.94554530382877899</v>
      </c>
      <c r="H14" s="116" cm="1">
        <f t="array" ref="H14">_xll.EQNXTDZ($A$1,$B14,H$1)</f>
        <v>1.0738353701774099</v>
      </c>
      <c r="I14" s="116" cm="1">
        <f t="array" ref="I14">_xll.EQNXTDZ($A$1,$B14,I$1)</f>
        <v>1.03740732664632</v>
      </c>
      <c r="J14" s="116" cm="1">
        <f t="array" ref="J14">_xll.EQNXTDZ($A$1,$B14,J$1)</f>
        <v>1.2654785557105399</v>
      </c>
      <c r="K14" s="116" cm="1">
        <f t="array" ref="K14">_xll.EQNXTDZ($A$1,$B14,K$1)</f>
        <v>0.99781162715599803</v>
      </c>
      <c r="L14" s="116" cm="1">
        <f t="array" ref="L14">_xll.EQNXTDZ($A$1,$B14,L$1)</f>
        <v>1.0286962727584501</v>
      </c>
      <c r="M14" s="116" cm="1">
        <f t="array" ref="M14">_xll.EQNXTDZ($A$1,$B14,M$1)</f>
        <v>1.09284130593276</v>
      </c>
      <c r="N14" s="116" cm="1">
        <f t="array" ref="N14">_xll.EQNXTDZ($A$1,$B14,N$1)</f>
        <v>1.1245178655250101</v>
      </c>
      <c r="O14" s="116" cm="1">
        <f t="array" ref="O14">_xll.EQNXTDZ($A$1,$B14,O$1)</f>
        <v>1.07541919815702</v>
      </c>
      <c r="P14" s="116" cm="1">
        <f t="array" ref="P14">_xll.EQNXTDZ($A$1,$B14,P$1)</f>
        <v>1.0516617784628299</v>
      </c>
      <c r="Q14" s="116" cm="1">
        <f t="array" ref="Q14">_xll.EQNXTDZ($A$1,$B14,Q$1)</f>
        <v>1.01285799296232</v>
      </c>
      <c r="R14" s="116" cm="1">
        <f t="array" ref="R14">_xll.EQNXTDZ($A$1,$B14,R$1)</f>
        <v>0.88694366858310902</v>
      </c>
      <c r="S14" s="116" cm="1">
        <f t="array" ref="S14">_xll.EQNXTDZ($A$1,$B14,S$1)</f>
        <v>0.84734796909279197</v>
      </c>
      <c r="T14" s="116" cm="1">
        <f t="array" ref="T14">_xll.EQNXTDZ($A$1,$B14,T$1)</f>
        <v>0.744399150417967</v>
      </c>
      <c r="U14" s="116" cm="1">
        <f t="array" ref="U14">_xll.EQNXTDZ($A$1,$B14,U$1)</f>
        <v>0.73648001051990297</v>
      </c>
      <c r="V14" s="116" cm="1">
        <f t="array" ref="V14">_xll.EQNXTDZ($A$1,$B14,V$1)</f>
        <v>0.76736465612235105</v>
      </c>
      <c r="W14" s="116" cm="1">
        <f t="array" ref="W14">_xll.EQNXTDZ($A$1,$B14,W$1)</f>
        <v>0.78795441985731596</v>
      </c>
      <c r="X14" s="116" cm="1">
        <f t="array" ref="X14">_xll.EQNXTDZ($A$1,$B14,X$1)</f>
        <v>0.83230160328647096</v>
      </c>
      <c r="Y14" s="116" cm="1">
        <f t="array" ref="Y14">_xll.EQNXTDZ($A$1,$B14,Y$1)</f>
        <v>0.89486280848117306</v>
      </c>
      <c r="Z14" s="116" cm="1">
        <f t="array" ref="Z14">_xll.EQNXTDZ($A$1,$B14,Z$1)</f>
        <v>1.31457722307854</v>
      </c>
      <c r="AA14" s="116" cm="1">
        <f t="array" ref="AA14">_xll.EQNXTDZ($A$1,$B14,AA$1)</f>
        <v>1.3288316748950499</v>
      </c>
      <c r="AB14" s="116" cm="1">
        <f t="array" ref="AB14">_xll.EQNXTDZ($A$1,$B14,AB$1)</f>
        <v>1.32962358888486</v>
      </c>
      <c r="AC14" s="116" cm="1">
        <f t="array" ref="AC14">_xll.EQNXTDZ($A$1,$B14,AC$1)</f>
        <v>1.36288397645672</v>
      </c>
      <c r="AD14" s="116" cm="1">
        <f t="array" ref="AD14">_xll.EQNXTDZ($A$1,$B14,AD$1)</f>
        <v>1.71053421798171</v>
      </c>
      <c r="AE14" s="116" cm="1">
        <f t="array" ref="AE14">_xll.EQNXTDZ($A$1,$B14,AE$1)</f>
        <v>2.13183246055869</v>
      </c>
      <c r="AF14" s="116" cm="1">
        <f t="array" ref="AF14">_xll.EQNXTDZ($A$1,$B14,AF$1)</f>
        <v>3.0092731612641201</v>
      </c>
      <c r="AG14" s="116" cm="1">
        <f t="array" ref="AG14">_xll.EQNXTDZ($A$1,$B14,AG$1)</f>
        <v>2.6449927259532</v>
      </c>
      <c r="AH14" s="116" cm="1">
        <f t="array" ref="AH14">_xll.EQNXTDZ($A$1,$B14,AH$1)</f>
        <v>2.9775966016718698</v>
      </c>
      <c r="AI14" s="116" cm="1">
        <f t="array" ref="AI14">_xll.EQNXTDZ($A$1,$B14,AI$1)</f>
        <v>2.2807122906422799</v>
      </c>
      <c r="AJ14" s="116" cm="1">
        <f t="array" ref="AJ14">_xll.EQNXTDZ($A$1,$B14,AJ$1)</f>
        <v>2.10173972894605</v>
      </c>
      <c r="AK14" s="116" cm="1">
        <f t="array" ref="AK14">_xll.EQNXTDZ($A$1,$B14,AK$1)</f>
        <v>2.4517657124404502</v>
      </c>
      <c r="AL14" s="116" cm="1">
        <f t="array" ref="AL14">_xll.EQNXTDZ($A$1,$B14,AL$1)</f>
        <v>1.9401892750255501</v>
      </c>
      <c r="AM14" s="116" cm="1">
        <f t="array" ref="AM14">_xll.EQNXTDZ($A$1,$B14,AM$1)</f>
        <v>1.7976447568604099</v>
      </c>
      <c r="AN14" s="116" cm="1">
        <f t="array" ref="AN14">_xll.EQNXTDZ($A$1,$B14,AN$1)</f>
        <v>1.88475529573911</v>
      </c>
      <c r="AO14" s="116" cm="1">
        <f t="array" ref="AO14">_xll.EQNXTDZ($A$1,$B14,AO$1)</f>
        <v>1.8372404563507301</v>
      </c>
      <c r="AP14" s="116" cm="1">
        <f t="array" ref="AP14">_xll.EQNXTDZ($A$1,$B14,AP$1)</f>
        <v>1.4729600210398099</v>
      </c>
      <c r="AQ14" s="116" cm="1">
        <f t="array" ref="AQ14">_xll.EQNXTDZ($A$1,$B14,AQ$1)</f>
        <v>1.88317146775949</v>
      </c>
      <c r="AR14" s="116" cm="1">
        <f t="array" ref="AR14">_xll.EQNXTDZ($A$1,$B14,AR$1)</f>
        <v>2.6766692855454499</v>
      </c>
      <c r="AS14" s="116" cm="1">
        <f t="array" ref="AS14">_xll.EQNXTDZ($A$1,$B14,AS$1)</f>
        <v>2.6133161663609501</v>
      </c>
      <c r="AT14" s="116" cm="1">
        <f t="array" ref="AT14">_xll.EQNXTDZ($A$1,$B14,AT$1)</f>
        <v>2.5958940585852099</v>
      </c>
      <c r="AU14" s="116" cm="1">
        <f t="array" ref="AU14">_xll.EQNXTDZ($A$1,$B14,AU$1)</f>
        <v>2.3757419694190398</v>
      </c>
      <c r="AV14" s="116" cm="1">
        <f t="array" ref="AV14">_xll.EQNXTDZ($A$1,$B14,AV$1)</f>
        <v>2.1381677724771402</v>
      </c>
      <c r="AW14" s="116" cm="1">
        <f t="array" ref="AW14">_xll.EQNXTDZ($A$1,$B14,AW$1)</f>
        <v>2.4913614119307699</v>
      </c>
      <c r="AX14" s="116" cm="1">
        <f t="array" ref="AX14">_xll.EQNXTDZ($A$1,$B14,AX$1)</f>
        <v>2.2807122906422799</v>
      </c>
      <c r="AY14" s="116" cm="1">
        <f t="array" ref="AY14">_xll.EQNXTDZ($A$1,$B14,AY$1)</f>
        <v>2.18251495590629</v>
      </c>
      <c r="AZ14" s="116" cm="1">
        <f t="array" ref="AZ14">_xll.EQNXTDZ($A$1,$B14,AZ$1)</f>
        <v>2.1571737082324902</v>
      </c>
      <c r="BA14" s="116" cm="1">
        <f t="array" ref="BA14">_xll.EQNXTDZ($A$1,$B14,BA$1)</f>
        <v>2.0732308253130198</v>
      </c>
      <c r="BB14" s="116" cm="1">
        <f t="array" ref="BB14">_xll.EQNXTDZ($A$1,$B14,BB$1)</f>
        <v>1.97186583461781</v>
      </c>
      <c r="BC14" s="116" cm="1">
        <f t="array" ref="BC14">_xll.EQNXTDZ($A$1,$B14,BC$1)</f>
        <v>1.995623254312</v>
      </c>
      <c r="BD14" s="116" cm="1">
        <f t="array" ref="BD14">_xll.EQNXTDZ($A$1,$B14,BD$1)</f>
        <v>2.0748146532926302</v>
      </c>
      <c r="BE14" s="116" cm="1">
        <f t="array" ref="BE14">_xll.EQNXTDZ($A$1,$B14,BE$1)</f>
        <v>2.3741581414394299</v>
      </c>
      <c r="BF14" s="116" cm="1">
        <f t="array" ref="BF14">_xll.EQNXTDZ($A$1,$B14,BF$1)</f>
        <v>2.24903573105003</v>
      </c>
      <c r="BG14" s="116" cm="1">
        <f t="array" ref="BG14">_xll.EQNXTDZ($A$1,$B14,BG$1)</f>
        <v>2.2173591714577698</v>
      </c>
      <c r="BH14" s="116" cm="1">
        <f t="array" ref="BH14">_xll.EQNXTDZ($A$1,$B14,BH$1)</f>
        <v>2.99185105348838</v>
      </c>
      <c r="BI14" s="116" cm="1">
        <f t="array" ref="BI14">_xll.EQNXTDZ($A$1,$B14,BI$1)</f>
        <v>3.5319363945363098</v>
      </c>
      <c r="BJ14" s="116" cm="1">
        <f t="array" ref="BJ14">_xll.EQNXTDZ($A$1,$B14,BJ$1)</f>
        <v>4.00787670240992</v>
      </c>
      <c r="BK14" s="116" cm="1">
        <f t="array" ref="BK14">_xll.EQNXTDZ($A$1,$B14,BK$1)</f>
        <v>5.1411056218228097</v>
      </c>
      <c r="BL14" s="116" cm="1">
        <f t="array" ref="BL14">_xll.EQNXTDZ($A$1,$B14,BL$1)</f>
        <v>5.08250398657714</v>
      </c>
      <c r="BM14" s="116" cm="1">
        <f t="array" ref="BM14">_xll.EQNXTDZ($A$1,$B14,BM$1)</f>
        <v>4.4450132247830298</v>
      </c>
      <c r="BN14" s="116" cm="1">
        <f t="array" ref="BN14">_xll.EQNXTDZ($A$1,$B14,BN$1)</f>
        <v>4.6168585605710097</v>
      </c>
      <c r="BO14" s="116" cm="1">
        <f t="array" ref="BO14">_xll.EQNXTDZ($A$1,$B14,BO$1)</f>
        <v>5.3216620114986499</v>
      </c>
      <c r="BP14" s="116" cm="1">
        <f t="array" ref="BP14">_xll.EQNXTDZ($A$1,$B14,BP$1)</f>
        <v>6.0502228821204902</v>
      </c>
      <c r="BQ14" s="116" cm="1">
        <f t="array" ref="BQ14">_xll.EQNXTDZ($A$1,$B14,BQ$1)</f>
        <v>7.5706977425486803</v>
      </c>
      <c r="BR14" s="116" cm="1">
        <f t="array" ref="BR14">_xll.EQNXTDZ($A$1,$B14,BR$1)</f>
        <v>8.9668421065772694</v>
      </c>
      <c r="BS14" s="116" cm="1">
        <f t="array" ref="BS14">_xll.EQNXTDZ($A$1,$B14,BS$1)</f>
        <v>10.0652268104387</v>
      </c>
      <c r="BT14" s="116" cm="1">
        <f t="array" ref="BT14">_xll.EQNXTDZ($A$1,$B14,BT$1)</f>
        <v>9.3216195740105103</v>
      </c>
      <c r="BU14" s="116" cm="1">
        <f t="array" ref="BU14">_xll.EQNXTDZ($A$1,$B14,BU$1)</f>
        <v>9.4079381988994104</v>
      </c>
      <c r="BV14" s="116" cm="1">
        <f t="array" ref="BV14">_xll.EQNXTDZ($A$1,$B14,BV$1)</f>
        <v>9.8902138186914694</v>
      </c>
      <c r="BW14" s="116" cm="1">
        <f t="array" ref="BW14">_xll.EQNXTDZ($A$1,$B14,BW$1)</f>
        <v>7.0361557994293999</v>
      </c>
      <c r="BX14" s="116" cm="1">
        <f t="array" ref="BX14">_xll.EQNXTDZ($A$1,$B14,BX$1)</f>
        <v>5.5909127680328101</v>
      </c>
      <c r="BY14" s="116" cm="1">
        <f t="array" ref="BY14">_xll.EQNXTDZ($A$1,$B14,BY$1)</f>
        <v>5.1474409337412599</v>
      </c>
      <c r="BZ14" s="116" cm="1">
        <f t="array" ref="BZ14">_xll.EQNXTDZ($A$1,$B14,BZ$1)</f>
        <v>4.9724279419940496</v>
      </c>
      <c r="CA14" s="116" cm="1">
        <f t="array" ref="CA14">_xll.EQNXTDZ($A$1,$B14,CA$1)</f>
        <v>4.0973629832580398</v>
      </c>
      <c r="CB14" s="116" cm="1">
        <f t="array" ref="CB14">_xll.EQNXTDZ($A$1,$B14,CB$1)</f>
        <v>3.8803785500511001</v>
      </c>
      <c r="CC14" s="116" cm="1">
        <f t="array" ref="CC14">_xll.EQNXTDZ($A$1,$B14,CC$1)</f>
        <v>4.08548427341095</v>
      </c>
      <c r="CD14" s="116" cm="1">
        <f t="array" ref="CD14">_xll.EQNXTDZ($A$1,$B14,CD$1)</f>
        <v>3.9421478412559998</v>
      </c>
      <c r="CE14" s="116" cm="1">
        <f t="array" ref="CE14">_xll.EQNXTDZ($A$1,$B14,CE$1)</f>
        <v>3.8487019904588502</v>
      </c>
      <c r="CF14" s="116" cm="1">
        <f t="array" ref="CF14">_xll.EQNXTDZ($A$1,$B14,CF$1)</f>
        <v>3.8795866360612998</v>
      </c>
      <c r="CG14" s="116" cm="1">
        <f t="array" ref="CG14">_xll.EQNXTDZ($A$1,$B14,CG$1)</f>
        <v>4.3381048361591699</v>
      </c>
      <c r="CH14" s="116" cm="1">
        <f t="array" ref="CH14">_xll.EQNXTDZ($A$1,$B14,CH$1)</f>
        <v>4.51390974189618</v>
      </c>
      <c r="CI14" s="116" cm="1">
        <f t="array" ref="CI14">_xll.EQNXTDZ($A$1,$B14,CI$1)</f>
        <v>4.3713652237310399</v>
      </c>
      <c r="CJ14" s="116" cm="1">
        <f t="array" ref="CJ14">_xll.EQNXTDZ($A$1,$B14,CJ$1)</f>
        <v>3.93739635731716</v>
      </c>
      <c r="CK14" s="116" cm="1">
        <f t="array" ref="CK14">_xll.EQNXTDZ($A$1,$B14,CK$1)</f>
        <v>3.4052301561672902</v>
      </c>
      <c r="CL14" s="116" cm="1">
        <f t="array" ref="CL14">_xll.EQNXTDZ($A$1,$B14,CL$1)</f>
        <v>3.5944975997310098</v>
      </c>
      <c r="CM14" s="116" cm="1">
        <f t="array" ref="CM14">_xll.EQNXTDZ($A$1,$B14,CM$1)</f>
        <v>3.8019790650602698</v>
      </c>
      <c r="CN14" s="116" cm="1">
        <f t="array" ref="CN14">_xll.EQNXTDZ($A$1,$B14,CN$1)</f>
        <v>5.1442732777820304</v>
      </c>
      <c r="CO14" s="116" cm="1">
        <f t="array" ref="CO14">_xll.EQNXTDZ($A$1,$B14,CO$1)</f>
        <v>5.2266323327218904</v>
      </c>
      <c r="CP14" s="116" cm="1">
        <f t="array" ref="CP14">_xll.EQNXTDZ($A$1,$B14,CP$1)</f>
        <v>5.3850151306831604</v>
      </c>
      <c r="CQ14" s="116" cm="1">
        <f t="array" ref="CQ14">_xll.EQNXTDZ($A$1,$B14,CQ$1)</f>
        <v>4.7198073792458297</v>
      </c>
      <c r="CR14" s="116" cm="1">
        <f t="array" ref="CR14">_xll.EQNXTDZ($A$1,$B14,CR$1)</f>
        <v>4.4347183429155503</v>
      </c>
      <c r="CS14" s="116" cm="1">
        <f t="array" ref="CS14">_xll.EQNXTDZ($A$1,$B14,CS$1)</f>
        <v>3.6428043531092</v>
      </c>
      <c r="CT14" s="116" cm="1">
        <f t="array" ref="CT14">_xll.EQNXTDZ($A$1,$B14,CT$1)</f>
        <v>3.7148685261815801</v>
      </c>
      <c r="CU14" s="116" cm="1">
        <f t="array" ref="CU14">_xll.EQNXTDZ($A$1,$B14,CU$1)</f>
        <v>4.7483162828788599</v>
      </c>
      <c r="CV14" s="116" cm="1">
        <f t="array" ref="CV14">_xll.EQNXTDZ($A$1,$B14,CV$1)</f>
        <v>6.0185463225282403</v>
      </c>
      <c r="CW14" s="116" cm="1">
        <f t="array" ref="CW14">_xll.EQNXTDZ($A$1,$B14,CW$1)</f>
        <v>7.5849521943651901</v>
      </c>
      <c r="CX14" s="116" cm="1">
        <f t="array" ref="CX14">_xll.EQNXTDZ($A$1,$B14,CX$1)</f>
        <v>7.2380938668300203</v>
      </c>
      <c r="CY14" s="116" cm="1">
        <f t="array" ref="CY14">_xll.EQNXTDZ($A$1,$B14,CY$1)</f>
        <v>6.4873594044936</v>
      </c>
      <c r="CZ14" s="116" cm="1">
        <f t="array" ref="CZ14">_xll.EQNXTDZ($A$1,$B14,CZ$1)</f>
        <v>6.0177544085384298</v>
      </c>
      <c r="DA14" s="116" cm="1">
        <f t="array" ref="DA14">_xll.EQNXTDZ($A$1,$B14,DA$1)</f>
        <v>6.0177544085384298</v>
      </c>
      <c r="DB14" s="116" cm="1">
        <f t="array" ref="DB14">_xll.EQNXTDZ($A$1,$B14,DB$1)</f>
        <v>7.2064173072377598</v>
      </c>
      <c r="DC14" s="116" cm="1">
        <f t="array" ref="DC14">_xll.EQNXTDZ($A$1,$B14,DC$1)</f>
        <v>7.0274447455415299</v>
      </c>
      <c r="DD14" s="116" cm="1">
        <f t="array" ref="DD14">_xll.EQNXTDZ($A$1,$B14,DD$1)</f>
        <v>6.7787837527423296</v>
      </c>
      <c r="DE14" s="116" cm="1">
        <f t="array" ref="DE14">_xll.EQNXTDZ($A$1,$B14,DE$1)</f>
        <v>7.4091472886281897</v>
      </c>
      <c r="DF14" s="116" cm="1">
        <f t="array" ref="DF14">_xll.EQNXTDZ($A$1,$B14,DF$1)</f>
        <v>8.9834723003632106</v>
      </c>
      <c r="DG14" s="116" cm="1">
        <f t="array" ref="DG14">_xll.EQNXTDZ($A$1,$B14,DG$1)</f>
        <v>9.3430012517352896</v>
      </c>
      <c r="DH14" s="116" cm="1">
        <f t="array" ref="DH14">_xll.EQNXTDZ($A$1,$B14,DH$1)</f>
        <v>13.6193367966896</v>
      </c>
      <c r="DI14" s="116" cm="1">
        <f t="array" ref="DI14">_xll.EQNXTDZ($A$1,$B14,DI$1)</f>
        <v>13.8664139615091</v>
      </c>
      <c r="DJ14" s="116" cm="1">
        <f t="array" ref="DJ14">_xll.EQNXTDZ($A$1,$B14,DJ$1)</f>
        <v>14.094485190573399</v>
      </c>
      <c r="DK14" s="116" cm="1">
        <f t="array" ref="DK14">_xll.EQNXTDZ($A$1,$B14,DK$1)</f>
        <v>15.0305275265245</v>
      </c>
      <c r="DL14" s="116" cm="1">
        <f t="array" ref="DL14">_xll.EQNXTDZ($A$1,$B14,DL$1)</f>
        <v>13.4609539987283</v>
      </c>
      <c r="DM14" s="116" cm="1">
        <f t="array" ref="DM14">_xll.EQNXTDZ($A$1,$B14,DM$1)</f>
        <v>12.6508259871564</v>
      </c>
      <c r="DN14" s="116" cm="1">
        <f t="array" ref="DN14">_xll.EQNXTDZ($A$1,$B14,DN$1)</f>
        <v>13.541729225688499</v>
      </c>
      <c r="DO14" s="116" cm="1">
        <f t="array" ref="DO14">_xll.EQNXTDZ($A$1,$B14,DO$1)</f>
        <v>13.3833464277273</v>
      </c>
      <c r="DP14" s="116" cm="1">
        <f t="array" ref="DP14">_xll.EQNXTDZ($A$1,$B14,DP$1)</f>
        <v>16.788576583894599</v>
      </c>
      <c r="DQ14" s="116" cm="1">
        <f t="array" ref="DQ14">_xll.EQNXTDZ($A$1,$B14,DQ$1)</f>
        <v>21.983532357024199</v>
      </c>
      <c r="DR14" s="116" cm="1">
        <f t="array" ref="DR14">_xll.EQNXTDZ($A$1,$B14,DR$1)</f>
        <v>23.120720846386099</v>
      </c>
      <c r="DS14" s="116" cm="1">
        <f t="array" ref="DS14">_xll.EQNXTDZ($A$1,$B14,DS$1)</f>
        <v>21.698443320693901</v>
      </c>
      <c r="DT14" s="116" cm="1">
        <f t="array" ref="DT14">_xll.EQNXTDZ($A$1,$B14,DT$1)</f>
        <v>19.7028200663819</v>
      </c>
      <c r="DU14" s="116" cm="1">
        <f t="array" ref="DU14">_xll.EQNXTDZ($A$1,$B14,DU$1)</f>
        <v>18.879229516983301</v>
      </c>
      <c r="DV14" s="116" cm="1">
        <f t="array" ref="DV14">_xll.EQNXTDZ($A$1,$B14,DV$1)</f>
        <v>20.779823092518601</v>
      </c>
      <c r="DW14" s="116" cm="1">
        <f t="array" ref="DW14">_xll.EQNXTDZ($A$1,$B14,DW$1)</f>
        <v>29.136099512955099</v>
      </c>
      <c r="DX14" s="116" cm="1">
        <f t="array" ref="DX14">_xll.EQNXTDZ($A$1,$B14,DX$1)</f>
        <v>30.029378493456701</v>
      </c>
      <c r="DY14" s="116" cm="1">
        <f t="array" ref="DY14">_xll.EQNXTDZ($A$1,$B14,DY$1)</f>
        <v>28.889022348135601</v>
      </c>
      <c r="DZ14" s="116" cm="1">
        <f t="array" ref="DZ14">_xll.EQNXTDZ($A$1,$B14,DZ$1)</f>
        <v>27.368547487707399</v>
      </c>
      <c r="EA14" s="116" cm="1">
        <f t="array" ref="EA14">_xll.EQNXTDZ($A$1,$B14,EA$1)</f>
        <v>26.8268783186798</v>
      </c>
      <c r="EB14" s="116" cm="1">
        <f t="array" ref="EB14">_xll.EQNXTDZ($A$1,$B14,EB$1)</f>
        <v>26.291544461570702</v>
      </c>
      <c r="EC14" s="116" cm="1">
        <f t="array" ref="EC14">_xll.EQNXTDZ($A$1,$B14,EC$1)</f>
        <v>32.234067041077601</v>
      </c>
      <c r="ED14" s="116" cm="1">
        <f t="array" ref="ED14">_xll.EQNXTDZ($A$1,$B14,ED$1)</f>
        <v>32.816915737575002</v>
      </c>
      <c r="EE14" s="116" cm="1">
        <f t="array" ref="EE14">_xll.EQNXTDZ($A$1,$B14,EE$1)</f>
        <v>52.266323327218899</v>
      </c>
      <c r="EF14" s="116" cm="1">
        <f t="array" ref="EF14">_xll.EQNXTDZ($A$1,$B14,EF$1)</f>
        <v>57.420099572878598</v>
      </c>
      <c r="EG14" s="116" cm="1">
        <f t="array" ref="EG14">_xll.EQNXTDZ($A$1,$B14,EG$1)</f>
        <v>86.698743603998906</v>
      </c>
      <c r="EH14" s="116" cm="1">
        <f t="array" ref="EH14">_xll.EQNXTDZ($A$1,$B14,EH$1)</f>
        <v>82.359054939860101</v>
      </c>
      <c r="EI14" s="116" cm="1">
        <f t="array" ref="EI14">_xll.EQNXTDZ($A$1,$B14,EI$1)</f>
        <v>108.745629080208</v>
      </c>
      <c r="EJ14" s="116" cm="1">
        <f t="array" ref="EJ14">_xll.EQNXTDZ($A$1,$B14,EJ$1)</f>
        <v>129.24036313639601</v>
      </c>
      <c r="EK14" s="116" cm="1">
        <f t="array" ref="EK14">_xll.EQNXTDZ($A$1,$B14,EK$1)</f>
        <v>124.346334679393</v>
      </c>
      <c r="EL14" s="116" cm="1">
        <f t="array" ref="EL14">_xll.EQNXTDZ($A$1,$B14,EL$1)</f>
        <v>133.04155028746601</v>
      </c>
      <c r="EM14" s="116" cm="1">
        <f t="array" ref="EM14">_xll.EQNXTDZ($A$1,$B14,EM$1)</f>
        <v>116.696445537863</v>
      </c>
      <c r="EN14" s="116" cm="1">
        <f t="array" ref="EN14">_xll.EQNXTDZ($A$1,$B14,EN$1)</f>
        <v>111.612357723307</v>
      </c>
      <c r="EO14" s="116" cm="1">
        <f t="array" ref="EO14">_xll.EQNXTDZ($A$1,$B14,EO$1)</f>
        <v>123.53858240979</v>
      </c>
      <c r="EP14" s="116" cm="1">
        <f t="array" ref="EP14">_xll.EQNXTDZ($A$1,$B14,EP$1)</f>
        <v>120.212543652604</v>
      </c>
      <c r="EQ14" s="116" cm="1">
        <f t="array" ref="EQ14">_xll.EQNXTDZ($A$1,$B14,EQ$1)</f>
        <v>184.35757682691801</v>
      </c>
      <c r="ER14" s="116" cm="1">
        <f t="array" ref="ER14">_xll.EQNXTDZ($A$1,$B14,ER$1)</f>
        <v>212.67642110239299</v>
      </c>
      <c r="ES14" s="116" cm="1">
        <f t="array" ref="ES14">_xll.EQNXTDZ($A$1,$B14,ES$1)</f>
        <v>195.61859376196401</v>
      </c>
      <c r="ET14" s="116" cm="1">
        <f t="array" ref="ET14">_xll.EQNXTDZ($A$1,$B14,ET$1)</f>
        <v>183.40728003915001</v>
      </c>
      <c r="EU14" s="116" cm="1">
        <f t="array" ref="EU14">_xll.EQNXTDZ($A$1,$B14,EU$1)</f>
        <v>191.009654341291</v>
      </c>
      <c r="EV14" s="116" cm="1">
        <f t="array" ref="EV14">_xll.EQNXTDZ($A$1,$B14,EV$1)</f>
        <v>166.39696753811</v>
      </c>
      <c r="EW14" s="116" cm="1">
        <f t="array" ref="EW14">_xll.EQNXTDZ($A$1,$B14,EW$1)</f>
        <v>170.008095331627</v>
      </c>
      <c r="EX14" s="116" cm="1">
        <f t="array" ref="EX14">_xll.EQNXTDZ($A$1,$B14,EX$1)</f>
        <v>153.66299058202401</v>
      </c>
      <c r="EY14" s="116" cm="1">
        <f t="array" ref="EY14">_xll.EQNXTDZ($A$1,$B14,EY$1)</f>
        <v>133.89681739645701</v>
      </c>
      <c r="EZ14" s="116" cm="1">
        <f t="array" ref="EZ14">_xll.EQNXTDZ($A$1,$B14,EZ$1)</f>
        <v>120.497632688934</v>
      </c>
      <c r="FA14" s="116" cm="1">
        <f t="array" ref="FA14">_xll.EQNXTDZ($A$1,$B14,FA$1)</f>
        <v>129.71551153028</v>
      </c>
      <c r="FB14" s="116" cm="1">
        <f t="array" ref="FB14">_xll.EQNXTDZ($A$1,$B14,FB$1)</f>
        <v>152.65</v>
      </c>
      <c r="FC14" s="116" cm="1">
        <f t="array" ref="FC14">_xll.EQNXTDZ($A$1,$B14,FC$1)</f>
        <v>189.75</v>
      </c>
      <c r="FD14" s="116" cm="1">
        <f t="array" ref="FD14">_xll.EQNXTDZ($A$1,$B14,FD$1)</f>
        <v>165.9</v>
      </c>
      <c r="FE14" s="116" cm="1">
        <f t="array" ref="FE14">_xll.EQNXTDZ($A$1,$B14,FE$1)</f>
        <v>153.80000000000001</v>
      </c>
      <c r="FF14" s="116" cm="1">
        <f t="array" ref="FF14">_xll.EQNXTDZ($A$1,$B14,FF$1)</f>
        <v>196.4</v>
      </c>
      <c r="FG14" s="116" cm="1">
        <f t="array" ref="FG14">_xll.EQNXTDZ($A$1,$B14,FG$1)</f>
        <v>215</v>
      </c>
      <c r="FH14" s="116" cm="1">
        <f t="array" ref="FH14">_xll.EQNXTDZ($A$1,$B14,FH$1)</f>
        <v>172.4</v>
      </c>
      <c r="FI14" s="116" cm="1">
        <f t="array" ref="FI14">_xll.EQNXTDZ($A$1,$B14,FI$1)</f>
        <v>164.6</v>
      </c>
      <c r="FJ14" s="116" cm="1">
        <f t="array" ref="FJ14">_xll.EQNXTDZ($A$1,$B14,FJ$1)</f>
        <v>169.45</v>
      </c>
      <c r="FK14" s="116" cm="1">
        <f t="array" ref="FK14">_xll.EQNXTDZ($A$1,$B14,FK$1)</f>
        <v>162.44999999999999</v>
      </c>
      <c r="FL14" s="116" cm="1">
        <f t="array" ref="FL14">_xll.EQNXTDZ($A$1,$B14,FL$1)</f>
        <v>149.5</v>
      </c>
      <c r="FM14" s="116" cm="1">
        <f t="array" ref="FM14">_xll.EQNXTDZ($A$1,$B14,FM$1)</f>
        <v>162.30000000000001</v>
      </c>
      <c r="FN14" s="116" cm="1">
        <f t="array" ref="FN14">_xll.EQNXTDZ($A$1,$B14,FN$1)</f>
        <v>188.5</v>
      </c>
      <c r="FO14" s="116" cm="1">
        <f t="array" ref="FO14">_xll.EQNXTDZ($A$1,$B14,FO$1)</f>
        <v>181.55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1.1324370054230799</v>
      </c>
      <c r="HQ14" s="116">
        <f>+MAX(G14:I14)</f>
        <v>1.0738353701774099</v>
      </c>
      <c r="HR14" s="116">
        <f>+MAX(J14:L14)</f>
        <v>1.2654785557105399</v>
      </c>
      <c r="HS14" s="116">
        <f>+MAX(M14:O14)</f>
        <v>1.1245178655250101</v>
      </c>
      <c r="HT14" s="116">
        <f>+MAX(P14:R14)</f>
        <v>1.0516617784628299</v>
      </c>
      <c r="HU14" s="116">
        <f>+MAX(S14:U14)</f>
        <v>0.84734796909279197</v>
      </c>
      <c r="HV14" s="116">
        <f>+MAX(V14:X14)</f>
        <v>0.83230160328647096</v>
      </c>
      <c r="HW14" s="116">
        <f>+MAX(Y14:AA14)</f>
        <v>1.3288316748950499</v>
      </c>
      <c r="HX14" s="116">
        <f>+MAX(AB14:AD14)</f>
        <v>1.71053421798171</v>
      </c>
      <c r="HY14" s="116">
        <f>+MAX(AE14:AG14)</f>
        <v>3.0092731612641201</v>
      </c>
      <c r="HZ14" s="116">
        <f>+MAX(AH14:AJ14)</f>
        <v>2.9775966016718698</v>
      </c>
      <c r="IA14" s="116">
        <f>+MAX(AK14:AM14)</f>
        <v>2.4517657124404502</v>
      </c>
      <c r="IB14" s="116">
        <f>+MAX(AN14:AP14)</f>
        <v>1.88475529573911</v>
      </c>
      <c r="IC14" s="116">
        <f>+MAX(AQ14:AS14)</f>
        <v>2.6766692855454499</v>
      </c>
      <c r="ID14" s="116">
        <f>+MAX(AT14:AV14)</f>
        <v>2.5958940585852099</v>
      </c>
      <c r="IE14" s="116">
        <f>+MAX(AW14:AY14)</f>
        <v>2.4913614119307699</v>
      </c>
      <c r="IF14" s="116">
        <f>+MAX(AZ14:BB14)</f>
        <v>2.1571737082324902</v>
      </c>
      <c r="IG14" s="116">
        <f>+MAX(BC14:BE14)</f>
        <v>2.3741581414394299</v>
      </c>
      <c r="IH14" s="116">
        <f>+MAX(BF14:BH14)</f>
        <v>2.99185105348838</v>
      </c>
      <c r="II14" s="116">
        <f>+MAX(BI14:BK14)</f>
        <v>5.1411056218228097</v>
      </c>
      <c r="IJ14" s="116">
        <f>+MAX(BL14:BN14)</f>
        <v>5.08250398657714</v>
      </c>
      <c r="IK14" s="116">
        <f>+MAX(BO14:BQ14)</f>
        <v>7.5706977425486803</v>
      </c>
      <c r="IL14" s="116">
        <f>+MAX(BR14:BT14)</f>
        <v>10.0652268104387</v>
      </c>
      <c r="IM14" s="116">
        <f>+MAX(BU14:BW14)</f>
        <v>9.8902138186914694</v>
      </c>
      <c r="IN14" s="116">
        <f>+MAX(BX14:BZ14)</f>
        <v>5.5909127680328101</v>
      </c>
      <c r="IO14" s="116">
        <f>+MAX(CA14:CC14)</f>
        <v>4.0973629832580398</v>
      </c>
      <c r="IP14" s="116">
        <f>+MAX(CD14:CF14)</f>
        <v>3.9421478412559998</v>
      </c>
      <c r="IQ14" s="116">
        <f>+MAX(CG14:CI14)</f>
        <v>4.51390974189618</v>
      </c>
      <c r="IR14" s="116">
        <f>+MAX(CJ14:CL14)</f>
        <v>3.93739635731716</v>
      </c>
      <c r="IS14" s="116">
        <f>+MAX(CM14:CO14)</f>
        <v>5.2266323327218904</v>
      </c>
      <c r="IT14" s="116">
        <f>+MAX(CP14:CR14)</f>
        <v>5.3850151306831604</v>
      </c>
      <c r="IU14" s="116">
        <f>+MAX(CS14:CU14)</f>
        <v>4.7483162828788599</v>
      </c>
      <c r="IV14" s="116">
        <f>+MAX(CV14:CX14)</f>
        <v>7.5849521943651901</v>
      </c>
      <c r="IW14" s="116">
        <f>+MAX(CY14:DA14)</f>
        <v>6.4873594044936</v>
      </c>
      <c r="IX14" s="116">
        <f>+MAX(DB14:DD14)</f>
        <v>7.2064173072377598</v>
      </c>
      <c r="IY14" s="116">
        <f>+MAX(DE14:DG14)</f>
        <v>9.3430012517352896</v>
      </c>
      <c r="IZ14" s="116">
        <f>+MAX(DH14:DJ14)</f>
        <v>14.094485190573399</v>
      </c>
      <c r="JA14" s="116">
        <f>+MAX(DK14:DM14)</f>
        <v>15.0305275265245</v>
      </c>
      <c r="JB14" s="116">
        <f>+MAX(DN14:DP14)</f>
        <v>16.788576583894599</v>
      </c>
      <c r="JC14" s="116">
        <f>+MAX(DQ14:DS14)</f>
        <v>23.120720846386099</v>
      </c>
      <c r="JD14" s="116">
        <f>+MAX(DT14:DV14)</f>
        <v>20.779823092518601</v>
      </c>
      <c r="JE14" s="116">
        <f>+MAX(DW14:DY14)</f>
        <v>30.029378493456701</v>
      </c>
      <c r="JF14" s="116">
        <f>+MAX(DZ14:EB14)</f>
        <v>27.368547487707399</v>
      </c>
      <c r="JG14" s="116">
        <f>+MAX(EC14:EE14)</f>
        <v>52.266323327218899</v>
      </c>
      <c r="JH14" s="116">
        <f>+MAX(EF14:EH14)</f>
        <v>86.698743603998906</v>
      </c>
      <c r="JI14" s="116">
        <f>+MAX(EI14:EK14)</f>
        <v>129.24036313639601</v>
      </c>
      <c r="JJ14" s="116">
        <f>+MAX(EL14:EN14)</f>
        <v>133.04155028746601</v>
      </c>
      <c r="JK14" s="116">
        <f>MAX(EO14:EQ14)</f>
        <v>184.35757682691801</v>
      </c>
      <c r="JL14" s="116">
        <f>MAX(ER14:ET14)</f>
        <v>212.67642110239299</v>
      </c>
      <c r="JM14" s="116">
        <f>MAX(EU14:EW14)</f>
        <v>191.009654341291</v>
      </c>
      <c r="JN14" s="116">
        <f>MAX(EX14:EZ14)</f>
        <v>153.66299058202401</v>
      </c>
      <c r="JO14" s="116">
        <f>MAX(FA14:FC14)</f>
        <v>189.75</v>
      </c>
      <c r="JP14" s="116">
        <f>MAX(FD14:FF14)</f>
        <v>196.4</v>
      </c>
      <c r="JQ14" s="116">
        <f>MAX(FG14:FI14)</f>
        <v>215</v>
      </c>
      <c r="JR14" s="116">
        <f>MAX(FJ14:FL14)</f>
        <v>169.45</v>
      </c>
      <c r="JS14" s="116">
        <f>MAX(FM14:FO14)</f>
        <v>188.5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0.90278194837923598</v>
      </c>
      <c r="D15" s="116" cm="1">
        <f t="array" ref="D15">_xll.EQNXTDZ($A$1,$B15,D$1)</f>
        <v>0.87110538878698196</v>
      </c>
      <c r="E15" s="116" cm="1">
        <f t="array" ref="E15">_xll.EQNXTDZ($A$1,$B15,E$1)</f>
        <v>0.85209945303163004</v>
      </c>
      <c r="F15" s="116" cm="1">
        <f t="array" ref="F15">_xll.EQNXTDZ($A$1,$B15,F$1)</f>
        <v>0.79270590379615402</v>
      </c>
      <c r="G15" s="116" cm="1">
        <f t="array" ref="G15">_xll.EQNXTDZ($A$1,$B15,G$1)</f>
        <v>0.79349781778595996</v>
      </c>
      <c r="H15" s="116" cm="1">
        <f t="array" ref="H15">_xll.EQNXTDZ($A$1,$B15,H$1)</f>
        <v>0.80933609758208702</v>
      </c>
      <c r="I15" s="116" cm="1">
        <f t="array" ref="I15">_xll.EQNXTDZ($A$1,$B15,I$1)</f>
        <v>0.87506495873601398</v>
      </c>
      <c r="J15" s="116" cm="1">
        <f t="array" ref="J15">_xll.EQNXTDZ($A$1,$B15,J$1)</f>
        <v>0.86397816287872498</v>
      </c>
      <c r="K15" s="116" cm="1">
        <f t="array" ref="K15">_xll.EQNXTDZ($A$1,$B15,K$1)</f>
        <v>0.84893179707240396</v>
      </c>
      <c r="L15" s="116" cm="1">
        <f t="array" ref="L15">_xll.EQNXTDZ($A$1,$B15,L$1)</f>
        <v>0.85685093697046799</v>
      </c>
      <c r="M15" s="116" cm="1">
        <f t="array" ref="M15">_xll.EQNXTDZ($A$1,$B15,M$1)</f>
        <v>0.94316956185935996</v>
      </c>
      <c r="N15" s="116" cm="1">
        <f t="array" ref="N15">_xll.EQNXTDZ($A$1,$B15,N$1)</f>
        <v>0.89565472247097899</v>
      </c>
      <c r="O15" s="116" cm="1">
        <f t="array" ref="O15">_xll.EQNXTDZ($A$1,$B15,O$1)</f>
        <v>0.91070108827729901</v>
      </c>
      <c r="P15" s="116" cm="1">
        <f t="array" ref="P15">_xll.EQNXTDZ($A$1,$B15,P$1)</f>
        <v>0.84101265717434104</v>
      </c>
      <c r="Q15" s="116" cm="1">
        <f t="array" ref="Q15">_xll.EQNXTDZ($A$1,$B15,Q$1)</f>
        <v>0.76419700016312497</v>
      </c>
      <c r="R15" s="116" cm="1">
        <f t="array" ref="R15">_xll.EQNXTDZ($A$1,$B15,R$1)</f>
        <v>0.78399484990828405</v>
      </c>
      <c r="S15" s="116" cm="1">
        <f t="array" ref="S15">_xll.EQNXTDZ($A$1,$B15,S$1)</f>
        <v>0.74519106440777305</v>
      </c>
      <c r="T15" s="116" cm="1">
        <f t="array" ref="T15">_xll.EQNXTDZ($A$1,$B15,T$1)</f>
        <v>0.63749076179411002</v>
      </c>
      <c r="U15" s="116" cm="1">
        <f t="array" ref="U15">_xll.EQNXTDZ($A$1,$B15,U$1)</f>
        <v>0.62086056800817602</v>
      </c>
      <c r="V15" s="116" cm="1">
        <f t="array" ref="V15">_xll.EQNXTDZ($A$1,$B15,V$1)</f>
        <v>0.61769291204895105</v>
      </c>
      <c r="W15" s="116" cm="1">
        <f t="array" ref="W15">_xll.EQNXTDZ($A$1,$B15,W$1)</f>
        <v>0.666791579416945</v>
      </c>
      <c r="X15" s="116" cm="1">
        <f t="array" ref="X15">_xll.EQNXTDZ($A$1,$B15,X$1)</f>
        <v>0.66520775143733202</v>
      </c>
      <c r="Y15" s="116" cm="1">
        <f t="array" ref="Y15">_xll.EQNXTDZ($A$1,$B15,Y$1)</f>
        <v>0.69688431102958603</v>
      </c>
      <c r="Z15" s="116" cm="1">
        <f t="array" ref="Z15">_xll.EQNXTDZ($A$1,$B15,Z$1)</f>
        <v>0.77607571001022002</v>
      </c>
      <c r="AA15" s="116" cm="1">
        <f t="array" ref="AA15">_xll.EQNXTDZ($A$1,$B15,AA$1)</f>
        <v>1.04532646654438</v>
      </c>
      <c r="AB15" s="116" cm="1">
        <f t="array" ref="AB15">_xll.EQNXTDZ($A$1,$B15,AB$1)</f>
        <v>1.0730434561876001</v>
      </c>
      <c r="AC15" s="116" cm="1">
        <f t="array" ref="AC15">_xll.EQNXTDZ($A$1,$B15,AC$1)</f>
        <v>1.2132122323833201</v>
      </c>
      <c r="AD15" s="116" cm="1">
        <f t="array" ref="AD15">_xll.EQNXTDZ($A$1,$B15,AD$1)</f>
        <v>1.26706238369016</v>
      </c>
      <c r="AE15" s="116" cm="1">
        <f t="array" ref="AE15">_xll.EQNXTDZ($A$1,$B15,AE$1)</f>
        <v>1.59570668945979</v>
      </c>
      <c r="AF15" s="116" cm="1">
        <f t="array" ref="AF15">_xll.EQNXTDZ($A$1,$B15,AF$1)</f>
        <v>1.7263724977778401</v>
      </c>
      <c r="AG15" s="116" cm="1">
        <f t="array" ref="AG15">_xll.EQNXTDZ($A$1,$B15,AG$1)</f>
        <v>1.8705008439225901</v>
      </c>
      <c r="AH15" s="116" cm="1">
        <f t="array" ref="AH15">_xll.EQNXTDZ($A$1,$B15,AH$1)</f>
        <v>1.7263724977778401</v>
      </c>
      <c r="AI15" s="116" cm="1">
        <f t="array" ref="AI15">_xll.EQNXTDZ($A$1,$B15,AI$1)</f>
        <v>1.6313428190010799</v>
      </c>
      <c r="AJ15" s="116" cm="1">
        <f t="array" ref="AJ15">_xll.EQNXTDZ($A$1,$B15,AJ$1)</f>
        <v>1.6962797661652</v>
      </c>
      <c r="AK15" s="116" cm="1">
        <f t="array" ref="AK15">_xll.EQNXTDZ($A$1,$B15,AK$1)</f>
        <v>1.6725223464710099</v>
      </c>
      <c r="AL15" s="116" cm="1">
        <f t="array" ref="AL15">_xll.EQNXTDZ($A$1,$B15,AL$1)</f>
        <v>1.5901632915311501</v>
      </c>
      <c r="AM15" s="116" cm="1">
        <f t="array" ref="AM15">_xll.EQNXTDZ($A$1,$B15,AM$1)</f>
        <v>1.3462537826707901</v>
      </c>
      <c r="AN15" s="116" cm="1">
        <f t="array" ref="AN15">_xll.EQNXTDZ($A$1,$B15,AN$1)</f>
        <v>1.4428672894271599</v>
      </c>
      <c r="AO15" s="116" cm="1">
        <f t="array" ref="AO15">_xll.EQNXTDZ($A$1,$B15,AO$1)</f>
        <v>1.18945481268913</v>
      </c>
      <c r="AP15" s="116" cm="1">
        <f t="array" ref="AP15">_xll.EQNXTDZ($A$1,$B15,AP$1)</f>
        <v>1.2353858240979001</v>
      </c>
      <c r="AQ15" s="116" cm="1">
        <f t="array" ref="AQ15">_xll.EQNXTDZ($A$1,$B15,AQ$1)</f>
        <v>1.19262246864836</v>
      </c>
      <c r="AR15" s="116" cm="1">
        <f t="array" ref="AR15">_xll.EQNXTDZ($A$1,$B15,AR$1)</f>
        <v>1.48879830083593</v>
      </c>
      <c r="AS15" s="116" cm="1">
        <f t="array" ref="AS15">_xll.EQNXTDZ($A$1,$B15,AS$1)</f>
        <v>2.1381677724771402</v>
      </c>
      <c r="AT15" s="116" cm="1">
        <f t="array" ref="AT15">_xll.EQNXTDZ($A$1,$B15,AT$1)</f>
        <v>1.8309051444322799</v>
      </c>
      <c r="AU15" s="116" cm="1">
        <f t="array" ref="AU15">_xll.EQNXTDZ($A$1,$B15,AU$1)</f>
        <v>1.496717440734</v>
      </c>
      <c r="AV15" s="116" cm="1">
        <f t="array" ref="AV15">_xll.EQNXTDZ($A$1,$B15,AV$1)</f>
        <v>1.6044177433476601</v>
      </c>
      <c r="AW15" s="116" cm="1">
        <f t="array" ref="AW15">_xll.EQNXTDZ($A$1,$B15,AW$1)</f>
        <v>1.8293213164526601</v>
      </c>
      <c r="AX15" s="116" cm="1">
        <f t="array" ref="AX15">_xll.EQNXTDZ($A$1,$B15,AX$1)</f>
        <v>1.8293213164526601</v>
      </c>
      <c r="AY15" s="116" cm="1">
        <f t="array" ref="AY15">_xll.EQNXTDZ($A$1,$B15,AY$1)</f>
        <v>1.7754711651458299</v>
      </c>
      <c r="AZ15" s="116" cm="1">
        <f t="array" ref="AZ15">_xll.EQNXTDZ($A$1,$B15,AZ$1)</f>
        <v>1.8562463921060799</v>
      </c>
      <c r="BA15" s="116" cm="1">
        <f t="array" ref="BA15">_xll.EQNXTDZ($A$1,$B15,BA$1)</f>
        <v>1.59966625940882</v>
      </c>
      <c r="BB15" s="116" cm="1">
        <f t="array" ref="BB15">_xll.EQNXTDZ($A$1,$B15,BB$1)</f>
        <v>1.66301937859333</v>
      </c>
      <c r="BC15" s="116" cm="1">
        <f t="array" ref="BC15">_xll.EQNXTDZ($A$1,$B15,BC$1)</f>
        <v>1.7422107775739599</v>
      </c>
      <c r="BD15" s="116" cm="1">
        <f t="array" ref="BD15">_xll.EQNXTDZ($A$1,$B15,BD$1)</f>
        <v>1.6155045392049501</v>
      </c>
      <c r="BE15" s="116" cm="1">
        <f t="array" ref="BE15">_xll.EQNXTDZ($A$1,$B15,BE$1)</f>
        <v>1.64797301278701</v>
      </c>
      <c r="BF15" s="116" cm="1">
        <f t="array" ref="BF15">_xll.EQNXTDZ($A$1,$B15,BF$1)</f>
        <v>1.9037612314944601</v>
      </c>
      <c r="BG15" s="116" cm="1">
        <f t="array" ref="BG15">_xll.EQNXTDZ($A$1,$B15,BG$1)</f>
        <v>1.9481084149236101</v>
      </c>
      <c r="BH15" s="116" cm="1">
        <f t="array" ref="BH15">_xll.EQNXTDZ($A$1,$B15,BH$1)</f>
        <v>2.0177968460265698</v>
      </c>
      <c r="BI15" s="116" cm="1">
        <f t="array" ref="BI15">_xll.EQNXTDZ($A$1,$B15,BI$1)</f>
        <v>2.8833588368849101</v>
      </c>
      <c r="BJ15" s="116" cm="1">
        <f t="array" ref="BJ15">_xll.EQNXTDZ($A$1,$B15,BJ$1)</f>
        <v>3.0726262804486302</v>
      </c>
      <c r="BK15" s="116" cm="1">
        <f t="array" ref="BK15">_xll.EQNXTDZ($A$1,$B15,BK$1)</f>
        <v>3.73862594587577</v>
      </c>
      <c r="BL15" s="116" cm="1">
        <f t="array" ref="BL15">_xll.EQNXTDZ($A$1,$B15,BL$1)</f>
        <v>3.6586426329053299</v>
      </c>
      <c r="BM15" s="116" cm="1">
        <f t="array" ref="BM15">_xll.EQNXTDZ($A$1,$B15,BM$1)</f>
        <v>3.1716155291744199</v>
      </c>
      <c r="BN15" s="116" cm="1">
        <f t="array" ref="BN15">_xll.EQNXTDZ($A$1,$B15,BN$1)</f>
        <v>3.6269660733130702</v>
      </c>
      <c r="BO15" s="116" cm="1">
        <f t="array" ref="BO15">_xll.EQNXTDZ($A$1,$B15,BO$1)</f>
        <v>3.4369067157595499</v>
      </c>
      <c r="BP15" s="116" cm="1">
        <f t="array" ref="BP15">_xll.EQNXTDZ($A$1,$B15,BP$1)</f>
        <v>4.35552694393491</v>
      </c>
      <c r="BQ15" s="116" cm="1">
        <f t="array" ref="BQ15">_xll.EQNXTDZ($A$1,$B15,BQ$1)</f>
        <v>5.1252673420266799</v>
      </c>
      <c r="BR15" s="116" cm="1">
        <f t="array" ref="BR15">_xll.EQNXTDZ($A$1,$B15,BR$1)</f>
        <v>7.2064173072377598</v>
      </c>
      <c r="BS15" s="116" cm="1">
        <f t="array" ref="BS15">_xll.EQNXTDZ($A$1,$B15,BS$1)</f>
        <v>7.3766788150461302</v>
      </c>
      <c r="BT15" s="116" cm="1">
        <f t="array" ref="BT15">_xll.EQNXTDZ($A$1,$B15,BT$1)</f>
        <v>7.9349781778596</v>
      </c>
      <c r="BU15" s="116" cm="1">
        <f t="array" ref="BU15">_xll.EQNXTDZ($A$1,$B15,BU$1)</f>
        <v>7.9199318120532798</v>
      </c>
      <c r="BV15" s="116" cm="1">
        <f t="array" ref="BV15">_xll.EQNXTDZ($A$1,$B15,BV$1)</f>
        <v>6.4034165215741297</v>
      </c>
      <c r="BW15" s="116" cm="1">
        <f t="array" ref="BW15">_xll.EQNXTDZ($A$1,$B15,BW$1)</f>
        <v>5.1474409337412599</v>
      </c>
      <c r="BX15" s="116" cm="1">
        <f t="array" ref="BX15">_xll.EQNXTDZ($A$1,$B15,BX$1)</f>
        <v>4.1654675863813901</v>
      </c>
      <c r="BY15" s="116" cm="1">
        <f t="array" ref="BY15">_xll.EQNXTDZ($A$1,$B15,BY$1)</f>
        <v>4.35552694393491</v>
      </c>
      <c r="BZ15" s="116" cm="1">
        <f t="array" ref="BZ15">_xll.EQNXTDZ($A$1,$B15,BZ$1)</f>
        <v>3.87483515212246</v>
      </c>
      <c r="CA15" s="116" cm="1">
        <f t="array" ref="CA15">_xll.EQNXTDZ($A$1,$B15,CA$1)</f>
        <v>2.8350520835067199</v>
      </c>
      <c r="CB15" s="116" cm="1">
        <f t="array" ref="CB15">_xll.EQNXTDZ($A$1,$B15,CB$1)</f>
        <v>3.0092731612641201</v>
      </c>
      <c r="CC15" s="116" cm="1">
        <f t="array" ref="CC15">_xll.EQNXTDZ($A$1,$B15,CC$1)</f>
        <v>3.1066785820103</v>
      </c>
      <c r="CD15" s="116" cm="1">
        <f t="array" ref="CD15">_xll.EQNXTDZ($A$1,$B15,CD$1)</f>
        <v>3.19141337891958</v>
      </c>
      <c r="CE15" s="116" cm="1">
        <f t="array" ref="CE15">_xll.EQNXTDZ($A$1,$B15,CE$1)</f>
        <v>3.2626856380021501</v>
      </c>
      <c r="CF15" s="116" cm="1">
        <f t="array" ref="CF15">_xll.EQNXTDZ($A$1,$B15,CF$1)</f>
        <v>3.4844215551479301</v>
      </c>
      <c r="CG15" s="116" cm="1">
        <f t="array" ref="CG15">_xll.EQNXTDZ($A$1,$B15,CG$1)</f>
        <v>3.19933251881764</v>
      </c>
      <c r="CH15" s="116" cm="1">
        <f t="array" ref="CH15">_xll.EQNXTDZ($A$1,$B15,CH$1)</f>
        <v>3.5406474484241799</v>
      </c>
      <c r="CI15" s="116" cm="1">
        <f t="array" ref="CI15">_xll.EQNXTDZ($A$1,$B15,CI$1)</f>
        <v>3.5636129541285602</v>
      </c>
      <c r="CJ15" s="116" cm="1">
        <f t="array" ref="CJ15">_xll.EQNXTDZ($A$1,$B15,CJ$1)</f>
        <v>3.1201411198370099</v>
      </c>
      <c r="CK15" s="116" cm="1">
        <f t="array" ref="CK15">_xll.EQNXTDZ($A$1,$B15,CK$1)</f>
        <v>3.03303058095831</v>
      </c>
      <c r="CL15" s="116" cm="1">
        <f t="array" ref="CL15">_xll.EQNXTDZ($A$1,$B15,CL$1)</f>
        <v>2.9308736762732899</v>
      </c>
      <c r="CM15" s="116" cm="1">
        <f t="array" ref="CM15">_xll.EQNXTDZ($A$1,$B15,CM$1)</f>
        <v>2.96255023586555</v>
      </c>
      <c r="CN15" s="116" cm="1">
        <f t="array" ref="CN15">_xll.EQNXTDZ($A$1,$B15,CN$1)</f>
        <v>3.3434608649623998</v>
      </c>
      <c r="CO15" s="116" cm="1">
        <f t="array" ref="CO15">_xll.EQNXTDZ($A$1,$B15,CO$1)</f>
        <v>3.95956994903174</v>
      </c>
      <c r="CP15" s="116" cm="1">
        <f t="array" ref="CP15">_xll.EQNXTDZ($A$1,$B15,CP$1)</f>
        <v>4.2802951149033097</v>
      </c>
      <c r="CQ15" s="116" cm="1">
        <f t="array" ref="CQ15">_xll.EQNXTDZ($A$1,$B15,CQ$1)</f>
        <v>4.0387613480123701</v>
      </c>
      <c r="CR15" s="116" cm="1">
        <f t="array" ref="CR15">_xll.EQNXTDZ($A$1,$B15,CR$1)</f>
        <v>2.2173591714577698</v>
      </c>
      <c r="CS15" s="116" cm="1">
        <f t="array" ref="CS15">_xll.EQNXTDZ($A$1,$B15,CS$1)</f>
        <v>2.5499630471764401</v>
      </c>
      <c r="CT15" s="116" cm="1">
        <f t="array" ref="CT15">_xll.EQNXTDZ($A$1,$B15,CT$1)</f>
        <v>2.8873184068339399</v>
      </c>
      <c r="CU15" s="116" cm="1">
        <f t="array" ref="CU15">_xll.EQNXTDZ($A$1,$B15,CU$1)</f>
        <v>3.1977486908380302</v>
      </c>
      <c r="CV15" s="116" cm="1">
        <f t="array" ref="CV15">_xll.EQNXTDZ($A$1,$B15,CV$1)</f>
        <v>4.0070847884201202</v>
      </c>
      <c r="CW15" s="116" cm="1">
        <f t="array" ref="CW15">_xll.EQNXTDZ($A$1,$B15,CW$1)</f>
        <v>5.0682495347606196</v>
      </c>
      <c r="CX15" s="116" cm="1">
        <f t="array" ref="CX15">_xll.EQNXTDZ($A$1,$B15,CX$1)</f>
        <v>5.9781587090481203</v>
      </c>
      <c r="CY15" s="116" cm="1">
        <f t="array" ref="CY15">_xll.EQNXTDZ($A$1,$B15,CY$1)</f>
        <v>5.5521089825322996</v>
      </c>
      <c r="CZ15" s="116" cm="1">
        <f t="array" ref="CZ15">_xll.EQNXTDZ($A$1,$B15,CZ$1)</f>
        <v>5.5275596488483103</v>
      </c>
      <c r="DA15" s="116" cm="1">
        <f t="array" ref="DA15">_xll.EQNXTDZ($A$1,$B15,DA$1)</f>
        <v>5.1490247617208702</v>
      </c>
      <c r="DB15" s="116" cm="1">
        <f t="array" ref="DB15">_xll.EQNXTDZ($A$1,$B15,DB$1)</f>
        <v>5.4642065296637998</v>
      </c>
      <c r="DC15" s="116" cm="1">
        <f t="array" ref="DC15">_xll.EQNXTDZ($A$1,$B15,DC$1)</f>
        <v>5.8680826644650299</v>
      </c>
      <c r="DD15" s="116" cm="1">
        <f t="array" ref="DD15">_xll.EQNXTDZ($A$1,$B15,DD$1)</f>
        <v>5.7104917804935704</v>
      </c>
      <c r="DE15" s="116" cm="1">
        <f t="array" ref="DE15">_xll.EQNXTDZ($A$1,$B15,DE$1)</f>
        <v>5.8760018043631002</v>
      </c>
      <c r="DF15" s="116" cm="1">
        <f t="array" ref="DF15">_xll.EQNXTDZ($A$1,$B15,DF$1)</f>
        <v>6.4936947164120502</v>
      </c>
      <c r="DG15" s="116" cm="1">
        <f t="array" ref="DG15">_xll.EQNXTDZ($A$1,$B15,DG$1)</f>
        <v>7.9223075540226997</v>
      </c>
      <c r="DH15" s="116" cm="1">
        <f t="array" ref="DH15">_xll.EQNXTDZ($A$1,$B15,DH$1)</f>
        <v>8.2058127623733697</v>
      </c>
      <c r="DI15" s="116" cm="1">
        <f t="array" ref="DI15">_xll.EQNXTDZ($A$1,$B15,DI$1)</f>
        <v>10.168175629113501</v>
      </c>
      <c r="DJ15" s="116" cm="1">
        <f t="array" ref="DJ15">_xll.EQNXTDZ($A$1,$B15,DJ$1)</f>
        <v>10.4548484934234</v>
      </c>
      <c r="DK15" s="116" cm="1">
        <f t="array" ref="DK15">_xll.EQNXTDZ($A$1,$B15,DK$1)</f>
        <v>12.2358630564979</v>
      </c>
      <c r="DL15" s="116" cm="1">
        <f t="array" ref="DL15">_xll.EQNXTDZ($A$1,$B15,DL$1)</f>
        <v>10.572843677904499</v>
      </c>
      <c r="DM15" s="116" cm="1">
        <f t="array" ref="DM15">_xll.EQNXTDZ($A$1,$B15,DM$1)</f>
        <v>10.3352694809626</v>
      </c>
      <c r="DN15" s="116" cm="1">
        <f t="array" ref="DN15">_xll.EQNXTDZ($A$1,$B15,DN$1)</f>
        <v>10.7898281111115</v>
      </c>
      <c r="DO15" s="116" cm="1">
        <f t="array" ref="DO15">_xll.EQNXTDZ($A$1,$B15,DO$1)</f>
        <v>10.4532646654438</v>
      </c>
      <c r="DP15" s="116" cm="1">
        <f t="array" ref="DP15">_xll.EQNXTDZ($A$1,$B15,DP$1)</f>
        <v>10.6132312913847</v>
      </c>
      <c r="DQ15" s="116" cm="1">
        <f t="array" ref="DQ15">_xll.EQNXTDZ($A$1,$B15,DQ$1)</f>
        <v>16.155045392049502</v>
      </c>
      <c r="DR15" s="116" cm="1">
        <f t="array" ref="DR15">_xll.EQNXTDZ($A$1,$B15,DR$1)</f>
        <v>16.631777613912899</v>
      </c>
      <c r="DS15" s="116" cm="1">
        <f t="array" ref="DS15">_xll.EQNXTDZ($A$1,$B15,DS$1)</f>
        <v>16.345104749602999</v>
      </c>
      <c r="DT15" s="116" cm="1">
        <f t="array" ref="DT15">_xll.EQNXTDZ($A$1,$B15,DT$1)</f>
        <v>15.0083539348099</v>
      </c>
      <c r="DU15" s="116" cm="1">
        <f t="array" ref="DU15">_xll.EQNXTDZ($A$1,$B15,DU$1)</f>
        <v>15.5215142002044</v>
      </c>
      <c r="DV15" s="116" cm="1">
        <f t="array" ref="DV15">_xll.EQNXTDZ($A$1,$B15,DV$1)</f>
        <v>15.7749266769424</v>
      </c>
      <c r="DW15" s="116" cm="1">
        <f t="array" ref="DW15">_xll.EQNXTDZ($A$1,$B15,DW$1)</f>
        <v>18.252033637056702</v>
      </c>
      <c r="DX15" s="116" cm="1">
        <f t="array" ref="DX15">_xll.EQNXTDZ($A$1,$B15,DX$1)</f>
        <v>25.417271416824502</v>
      </c>
      <c r="DY15" s="116" cm="1">
        <f t="array" ref="DY15">_xll.EQNXTDZ($A$1,$B15,DY$1)</f>
        <v>20.906529330887601</v>
      </c>
      <c r="DZ15" s="116" cm="1">
        <f t="array" ref="DZ15">_xll.EQNXTDZ($A$1,$B15,DZ$1)</f>
        <v>23.668725327332101</v>
      </c>
      <c r="EA15" s="116" cm="1">
        <f t="array" ref="EA15">_xll.EQNXTDZ($A$1,$B15,EA$1)</f>
        <v>24.1470413771751</v>
      </c>
      <c r="EB15" s="116" cm="1">
        <f t="array" ref="EB15">_xll.EQNXTDZ($A$1,$B15,EB$1)</f>
        <v>22.997182263976299</v>
      </c>
      <c r="EC15" s="116" cm="1">
        <f t="array" ref="EC15">_xll.EQNXTDZ($A$1,$B15,EC$1)</f>
        <v>25.962108241811301</v>
      </c>
      <c r="ED15" s="116" cm="1">
        <f t="array" ref="ED15">_xll.EQNXTDZ($A$1,$B15,ED$1)</f>
        <v>29.459200420796101</v>
      </c>
      <c r="EE15" s="116" cm="1">
        <f t="array" ref="EE15">_xll.EQNXTDZ($A$1,$B15,EE$1)</f>
        <v>31.049363712327299</v>
      </c>
      <c r="EF15" s="116" cm="1">
        <f t="array" ref="EF15">_xll.EQNXTDZ($A$1,$B15,EF$1)</f>
        <v>45.867658289583602</v>
      </c>
      <c r="EG15" s="116" cm="1">
        <f t="array" ref="EG15">_xll.EQNXTDZ($A$1,$B15,EG$1)</f>
        <v>50.162999770293297</v>
      </c>
      <c r="EH15" s="116" cm="1">
        <f t="array" ref="EH15">_xll.EQNXTDZ($A$1,$B15,EH$1)</f>
        <v>64.034165215741297</v>
      </c>
      <c r="EI15" s="116" cm="1">
        <f t="array" ref="EI15">_xll.EQNXTDZ($A$1,$B15,EI$1)</f>
        <v>79.888283291664294</v>
      </c>
      <c r="EJ15" s="116" cm="1">
        <f t="array" ref="EJ15">_xll.EQNXTDZ($A$1,$B15,EJ$1)</f>
        <v>95.663209968606793</v>
      </c>
      <c r="EK15" s="116" cm="1">
        <f t="array" ref="EK15">_xll.EQNXTDZ($A$1,$B15,EK$1)</f>
        <v>101.01654853969799</v>
      </c>
      <c r="EL15" s="116" cm="1">
        <f t="array" ref="EL15">_xll.EQNXTDZ($A$1,$B15,EL$1)</f>
        <v>106.718329266303</v>
      </c>
      <c r="EM15" s="116" cm="1">
        <f t="array" ref="EM15">_xll.EQNXTDZ($A$1,$B15,EM$1)</f>
        <v>95.504827170645498</v>
      </c>
      <c r="EN15" s="116" cm="1">
        <f t="array" ref="EN15">_xll.EQNXTDZ($A$1,$B15,EN$1)</f>
        <v>81.773038587403406</v>
      </c>
      <c r="EO15" s="116" cm="1">
        <f t="array" ref="EO15">_xll.EQNXTDZ($A$1,$B15,EO$1)</f>
        <v>94.126896828382399</v>
      </c>
      <c r="EP15" s="116" cm="1">
        <f t="array" ref="EP15">_xll.EQNXTDZ($A$1,$B15,EP$1)</f>
        <v>96.930272352296896</v>
      </c>
      <c r="EQ15" s="116" cm="1">
        <f t="array" ref="EQ15">_xll.EQNXTDZ($A$1,$B15,EQ$1)</f>
        <v>100.778974342756</v>
      </c>
      <c r="ER15" s="116" cm="1">
        <f t="array" ref="ER15">_xll.EQNXTDZ($A$1,$B15,ER$1)</f>
        <v>159.64986034495999</v>
      </c>
      <c r="ES15" s="116" cm="1">
        <f t="array" ref="ES15">_xll.EQNXTDZ($A$1,$B15,ES$1)</f>
        <v>166.68205657444</v>
      </c>
      <c r="ET15" s="116" cm="1">
        <f t="array" ref="ET15">_xll.EQNXTDZ($A$1,$B15,ET$1)</f>
        <v>157.749266769424</v>
      </c>
      <c r="EU15" s="116" cm="1">
        <f t="array" ref="EU15">_xll.EQNXTDZ($A$1,$B15,EU$1)</f>
        <v>155.326009960617</v>
      </c>
      <c r="EV15" s="116" cm="1">
        <f t="array" ref="EV15">_xll.EQNXTDZ($A$1,$B15,EV$1)</f>
        <v>132.85149092991301</v>
      </c>
      <c r="EW15" s="116" cm="1">
        <f t="array" ref="EW15">_xll.EQNXTDZ($A$1,$B15,EW$1)</f>
        <v>142.592033004531</v>
      </c>
      <c r="EX15" s="116" cm="1">
        <f t="array" ref="EX15">_xll.EQNXTDZ($A$1,$B15,EX$1)</f>
        <v>112.27756547474399</v>
      </c>
      <c r="EY15" s="116" cm="1">
        <f t="array" ref="EY15">_xll.EQNXTDZ($A$1,$B15,EY$1)</f>
        <v>94.649560061654597</v>
      </c>
      <c r="EZ15" s="116" cm="1">
        <f t="array" ref="EZ15">_xll.EQNXTDZ($A$1,$B15,EZ$1)</f>
        <v>98.830865927832093</v>
      </c>
      <c r="FA15" s="116" cm="1">
        <f t="array" ref="FA15">_xll.EQNXTDZ($A$1,$B15,FA$1)</f>
        <v>90.325709677312005</v>
      </c>
      <c r="FB15" s="116" cm="1">
        <f t="array" ref="FB15">_xll.EQNXTDZ($A$1,$B15,FB$1)</f>
        <v>101.35</v>
      </c>
      <c r="FC15" s="116" cm="1">
        <f t="array" ref="FC15">_xll.EQNXTDZ($A$1,$B15,FC$1)</f>
        <v>139.75</v>
      </c>
      <c r="FD15" s="116" cm="1">
        <f t="array" ref="FD15">_xll.EQNXTDZ($A$1,$B15,FD$1)</f>
        <v>126.6</v>
      </c>
      <c r="FE15" s="116" cm="1">
        <f t="array" ref="FE15">_xll.EQNXTDZ($A$1,$B15,FE$1)</f>
        <v>123.35</v>
      </c>
      <c r="FF15" s="116" cm="1">
        <f t="array" ref="FF15">_xll.EQNXTDZ($A$1,$B15,FF$1)</f>
        <v>149.94999999999999</v>
      </c>
      <c r="FG15" s="116" cm="1">
        <f t="array" ref="FG15">_xll.EQNXTDZ($A$1,$B15,FG$1)</f>
        <v>160.65</v>
      </c>
      <c r="FH15" s="116" cm="1">
        <f t="array" ref="FH15">_xll.EQNXTDZ($A$1,$B15,FH$1)</f>
        <v>147.9</v>
      </c>
      <c r="FI15" s="116" cm="1">
        <f t="array" ref="FI15">_xll.EQNXTDZ($A$1,$B15,FI$1)</f>
        <v>137.15</v>
      </c>
      <c r="FJ15" s="116" cm="1">
        <f t="array" ref="FJ15">_xll.EQNXTDZ($A$1,$B15,FJ$1)</f>
        <v>122.05</v>
      </c>
      <c r="FK15" s="116" cm="1">
        <f t="array" ref="FK15">_xll.EQNXTDZ($A$1,$B15,FK$1)</f>
        <v>140.44999999999999</v>
      </c>
      <c r="FL15" s="116" cm="1">
        <f t="array" ref="FL15">_xll.EQNXTDZ($A$1,$B15,FL$1)</f>
        <v>117.7</v>
      </c>
      <c r="FM15" s="116" cm="1">
        <f t="array" ref="FM15">_xll.EQNXTDZ($A$1,$B15,FM$1)</f>
        <v>128.69999999999999</v>
      </c>
      <c r="FN15" s="116" cm="1">
        <f t="array" ref="FN15">_xll.EQNXTDZ($A$1,$B15,FN$1)</f>
        <v>144.30000000000001</v>
      </c>
      <c r="FO15" s="116" cm="1">
        <f t="array" ref="FO15">_xll.EQNXTDZ($A$1,$B15,FO$1)</f>
        <v>155.5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0.79270590379615402</v>
      </c>
      <c r="HQ15" s="116">
        <f>+MIN(G15:I15)</f>
        <v>0.79349781778595996</v>
      </c>
      <c r="HR15" s="116">
        <f>+MIN(J15:L15)</f>
        <v>0.84893179707240396</v>
      </c>
      <c r="HS15" s="116">
        <f>+MIN(M15:O15)</f>
        <v>0.89565472247097899</v>
      </c>
      <c r="HT15" s="116">
        <f>+MIN(P15:R15)</f>
        <v>0.76419700016312497</v>
      </c>
      <c r="HU15" s="116">
        <f>+MIN(S15:U15)</f>
        <v>0.62086056800817602</v>
      </c>
      <c r="HV15" s="116">
        <f>+MIN(V15:X15)</f>
        <v>0.61769291204895105</v>
      </c>
      <c r="HW15" s="116">
        <f>+MIN(Y15:AA15)</f>
        <v>0.69688431102958603</v>
      </c>
      <c r="HX15" s="116">
        <f>+MIN(AB15:AD15)</f>
        <v>1.0730434561876001</v>
      </c>
      <c r="HY15" s="116">
        <f>+MIN(AE15:AG15)</f>
        <v>1.59570668945979</v>
      </c>
      <c r="HZ15" s="116">
        <f>+MIN(AH15:AJ15)</f>
        <v>1.6313428190010799</v>
      </c>
      <c r="IA15" s="116">
        <f>+MIN(AK15:AM15)</f>
        <v>1.3462537826707901</v>
      </c>
      <c r="IB15" s="116">
        <f>+MIN(AN15:AP15)</f>
        <v>1.18945481268913</v>
      </c>
      <c r="IC15" s="116">
        <f>+MIN(AQ15:AS15)</f>
        <v>1.19262246864836</v>
      </c>
      <c r="ID15" s="116">
        <f>+MIN(AT15:AV15)</f>
        <v>1.496717440734</v>
      </c>
      <c r="IE15" s="116">
        <f>+MIN(AW15:AY15)</f>
        <v>1.7754711651458299</v>
      </c>
      <c r="IF15" s="116">
        <f>+MIN(AZ15:BB15)</f>
        <v>1.59966625940882</v>
      </c>
      <c r="IG15" s="116">
        <f>+MIN(BC15:BE15)</f>
        <v>1.6155045392049501</v>
      </c>
      <c r="IH15" s="116">
        <f>+MIN(BF15:BH15)</f>
        <v>1.9037612314944601</v>
      </c>
      <c r="II15" s="116">
        <f>+MIN(BI15:BK15)</f>
        <v>2.8833588368849101</v>
      </c>
      <c r="IJ15" s="116">
        <f>+MIN(BL15:BN15)</f>
        <v>3.1716155291744199</v>
      </c>
      <c r="IK15" s="116">
        <f>+MIN(BO15:BQ15)</f>
        <v>3.4369067157595499</v>
      </c>
      <c r="IL15" s="116">
        <f>+MIN(BR15:BT15)</f>
        <v>7.2064173072377598</v>
      </c>
      <c r="IM15" s="116">
        <f>+MIN(BU15:BW15)</f>
        <v>5.1474409337412599</v>
      </c>
      <c r="IN15" s="116">
        <f>+MIN(BX15:BZ15)</f>
        <v>3.87483515212246</v>
      </c>
      <c r="IO15" s="116">
        <f>+MIN(CA15:CC15)</f>
        <v>2.8350520835067199</v>
      </c>
      <c r="IP15" s="116">
        <f>+MIN(CD15:CF15)</f>
        <v>3.19141337891958</v>
      </c>
      <c r="IQ15" s="116">
        <f>+MIN(CG15:CI15)</f>
        <v>3.19933251881764</v>
      </c>
      <c r="IR15" s="116">
        <f>+MIN(CJ15:CL15)</f>
        <v>2.9308736762732899</v>
      </c>
      <c r="IS15" s="116">
        <f>+MIN(CM15:CO15)</f>
        <v>2.96255023586555</v>
      </c>
      <c r="IT15" s="116">
        <f>+MIN(CP15:CR15)</f>
        <v>2.2173591714577698</v>
      </c>
      <c r="IU15" s="116">
        <f>+MIN(CS15:CU15)</f>
        <v>2.5499630471764401</v>
      </c>
      <c r="IV15" s="116">
        <f>+MIN(CV15:CX15)</f>
        <v>4.0070847884201202</v>
      </c>
      <c r="IW15" s="116">
        <f>+MIN(CY15:DA15)</f>
        <v>5.1490247617208702</v>
      </c>
      <c r="IX15" s="116">
        <f>+MIN(DB15:DD15)</f>
        <v>5.4642065296637998</v>
      </c>
      <c r="IY15" s="116">
        <f>+MIN(DE15:DG15)</f>
        <v>5.8760018043631002</v>
      </c>
      <c r="IZ15" s="116">
        <f>+MIN(DH15:DJ15)</f>
        <v>8.2058127623733697</v>
      </c>
      <c r="JA15" s="116">
        <f>+MIN(DK15:DM15)</f>
        <v>10.3352694809626</v>
      </c>
      <c r="JB15" s="116">
        <f>+MIN(DN15:DP15)</f>
        <v>10.4532646654438</v>
      </c>
      <c r="JC15" s="116">
        <f>+MIN(DQ15:DS15)</f>
        <v>16.155045392049502</v>
      </c>
      <c r="JD15" s="116">
        <f>+MIN(DT15:DV15)</f>
        <v>15.0083539348099</v>
      </c>
      <c r="JE15" s="116">
        <f>+MIN(DW15:DY15)</f>
        <v>18.252033637056702</v>
      </c>
      <c r="JF15" s="116">
        <f>+MIN(DZ15:EB15)</f>
        <v>22.997182263976299</v>
      </c>
      <c r="JG15" s="116">
        <f>+MIN(EC15:EE15)</f>
        <v>25.962108241811301</v>
      </c>
      <c r="JH15" s="116">
        <f>+MIN(EF15:EH15)</f>
        <v>45.867658289583602</v>
      </c>
      <c r="JI15" s="116">
        <f>+MIN(EI15:EK15)</f>
        <v>79.888283291664294</v>
      </c>
      <c r="JJ15" s="116">
        <f>+MIN(EL15:EN15)</f>
        <v>81.773038587403406</v>
      </c>
      <c r="JK15" s="116">
        <f>MIN(EO15:EQ15)</f>
        <v>94.126896828382399</v>
      </c>
      <c r="JL15" s="116">
        <f>MIN(ER15:ET15)</f>
        <v>157.749266769424</v>
      </c>
      <c r="JM15" s="116">
        <f>MIN(EU15:EW15)</f>
        <v>132.85149092991301</v>
      </c>
      <c r="JN15" s="116">
        <f>MIN(EX15:EZ15)</f>
        <v>94.649560061654597</v>
      </c>
      <c r="JO15" s="116">
        <f>MIN(FA15:FC15)</f>
        <v>90.325709677312005</v>
      </c>
      <c r="JP15" s="116">
        <f>MIN(FD15:FF15)</f>
        <v>123.35</v>
      </c>
      <c r="JQ15" s="116">
        <f>MIN(FG15:FI15)</f>
        <v>137.15</v>
      </c>
      <c r="JR15" s="116">
        <f>MIN(FJ15:FL15)</f>
        <v>117.7</v>
      </c>
      <c r="JS15" s="116">
        <f>MIN(FM15:FO15)</f>
        <v>128.69999999999999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0.97009463751277603</v>
      </c>
      <c r="D16" s="116" cm="1">
        <f t="array" ref="D16">_xll.EQNXTDZ($A$1,$B16,D$1)</f>
        <v>0.95663209968606799</v>
      </c>
      <c r="E16" s="116" cm="1">
        <f t="array" ref="E16">_xll.EQNXTDZ($A$1,$B16,E$1)</f>
        <v>0.88377601262388406</v>
      </c>
      <c r="F16" s="116" cm="1">
        <f t="array" ref="F16">_xll.EQNXTDZ($A$1,$B16,F$1)</f>
        <v>0.87902452868504599</v>
      </c>
      <c r="G16" s="116" cm="1">
        <f t="array" ref="G16">_xll.EQNXTDZ($A$1,$B16,G$1)</f>
        <v>0.85289136702143598</v>
      </c>
      <c r="H16" s="116" cm="1">
        <f t="array" ref="H16">_xll.EQNXTDZ($A$1,$B16,H$1)</f>
        <v>0.96059166963509901</v>
      </c>
      <c r="I16" s="116" cm="1">
        <f t="array" ref="I16">_xll.EQNXTDZ($A$1,$B16,I$1)</f>
        <v>0.97247037948219495</v>
      </c>
      <c r="J16" s="116" cm="1">
        <f t="array" ref="J16">_xll.EQNXTDZ($A$1,$B16,J$1)</f>
        <v>0.89961429242001101</v>
      </c>
      <c r="K16" s="116" cm="1">
        <f t="array" ref="K16">_xll.EQNXTDZ($A$1,$B16,K$1)</f>
        <v>0.85922667893988702</v>
      </c>
      <c r="L16" s="116" cm="1">
        <f t="array" ref="L16">_xll.EQNXTDZ($A$1,$B16,L$1)</f>
        <v>0.95663209968606799</v>
      </c>
      <c r="M16" s="116" cm="1">
        <f t="array" ref="M16">_xll.EQNXTDZ($A$1,$B16,M$1)</f>
        <v>1.00177119710503</v>
      </c>
      <c r="N16" s="116" cm="1">
        <f t="array" ref="N16">_xll.EQNXTDZ($A$1,$B16,N$1)</f>
        <v>0.94633721781858504</v>
      </c>
      <c r="O16" s="116" cm="1">
        <f t="array" ref="O16">_xll.EQNXTDZ($A$1,$B16,O$1)</f>
        <v>1.0247367028094101</v>
      </c>
      <c r="P16" s="116" cm="1">
        <f t="array" ref="P16">_xll.EQNXTDZ($A$1,$B16,P$1)</f>
        <v>0.99781162715599803</v>
      </c>
      <c r="Q16" s="116" cm="1">
        <f t="array" ref="Q16">_xll.EQNXTDZ($A$1,$B16,Q$1)</f>
        <v>0.82675820535782696</v>
      </c>
      <c r="R16" s="116" cm="1">
        <f t="array" ref="R16">_xll.EQNXTDZ($A$1,$B16,R$1)</f>
        <v>0.88694366858310902</v>
      </c>
      <c r="S16" s="116" cm="1">
        <f t="array" ref="S16">_xll.EQNXTDZ($A$1,$B16,S$1)</f>
        <v>0.75231829031603004</v>
      </c>
      <c r="T16" s="116" cm="1">
        <f t="array" ref="T16">_xll.EQNXTDZ($A$1,$B16,T$1)</f>
        <v>0.70242770895823003</v>
      </c>
      <c r="U16" s="116" cm="1">
        <f t="array" ref="U16">_xll.EQNXTDZ($A$1,$B16,U$1)</f>
        <v>0.71984981673396997</v>
      </c>
      <c r="V16" s="116" cm="1">
        <f t="array" ref="V16">_xll.EQNXTDZ($A$1,$B16,V$1)</f>
        <v>0.76578082814273796</v>
      </c>
      <c r="W16" s="116" cm="1">
        <f t="array" ref="W16">_xll.EQNXTDZ($A$1,$B16,W$1)</f>
        <v>0.72856087062184005</v>
      </c>
      <c r="X16" s="116" cm="1">
        <f t="array" ref="X16">_xll.EQNXTDZ($A$1,$B16,X$1)</f>
        <v>0.73252044057087096</v>
      </c>
      <c r="Y16" s="116" cm="1">
        <f t="array" ref="Y16">_xll.EQNXTDZ($A$1,$B16,Y$1)</f>
        <v>0.84418031313356601</v>
      </c>
      <c r="Z16" s="116" cm="1">
        <f t="array" ref="Z16">_xll.EQNXTDZ($A$1,$B16,Z$1)</f>
        <v>1.2322181681386799</v>
      </c>
      <c r="AA16" s="116" cm="1">
        <f t="array" ref="AA16">_xll.EQNXTDZ($A$1,$B16,AA$1)</f>
        <v>1.1292693494638499</v>
      </c>
      <c r="AB16" s="116" cm="1">
        <f t="array" ref="AB16">_xll.EQNXTDZ($A$1,$B16,AB$1)</f>
        <v>1.26706238369016</v>
      </c>
      <c r="AC16" s="116" cm="1">
        <f t="array" ref="AC16">_xll.EQNXTDZ($A$1,$B16,AC$1)</f>
        <v>1.29319554535377</v>
      </c>
      <c r="AD16" s="116" cm="1">
        <f t="array" ref="AD16">_xll.EQNXTDZ($A$1,$B16,AD$1)</f>
        <v>1.71053421798171</v>
      </c>
      <c r="AE16" s="116" cm="1">
        <f t="array" ref="AE16">_xll.EQNXTDZ($A$1,$B16,AE$1)</f>
        <v>1.7532975734312499</v>
      </c>
      <c r="AF16" s="116" cm="1">
        <f t="array" ref="AF16">_xll.EQNXTDZ($A$1,$B16,AF$1)</f>
        <v>2.3979155611336198</v>
      </c>
      <c r="AG16" s="116" cm="1">
        <f t="array" ref="AG16">_xll.EQNXTDZ($A$1,$B16,AG$1)</f>
        <v>2.3519845497248499</v>
      </c>
      <c r="AH16" s="116" cm="1">
        <f t="array" ref="AH16">_xll.EQNXTDZ($A$1,$B16,AH$1)</f>
        <v>1.8150668646361501</v>
      </c>
      <c r="AI16" s="116" cm="1">
        <f t="array" ref="AI16">_xll.EQNXTDZ($A$1,$B16,AI$1)</f>
        <v>2.02729981390425</v>
      </c>
      <c r="AJ16" s="116" cm="1">
        <f t="array" ref="AJ16">_xll.EQNXTDZ($A$1,$B16,AJ$1)</f>
        <v>1.87208467190221</v>
      </c>
      <c r="AK16" s="116" cm="1">
        <f t="array" ref="AK16">_xll.EQNXTDZ($A$1,$B16,AK$1)</f>
        <v>1.8293213164526601</v>
      </c>
      <c r="AL16" s="116" cm="1">
        <f t="array" ref="AL16">_xll.EQNXTDZ($A$1,$B16,AL$1)</f>
        <v>1.6677708625321701</v>
      </c>
      <c r="AM16" s="116" cm="1">
        <f t="array" ref="AM16">_xll.EQNXTDZ($A$1,$B16,AM$1)</f>
        <v>1.59966625940882</v>
      </c>
      <c r="AN16" s="116" cm="1">
        <f t="array" ref="AN16">_xll.EQNXTDZ($A$1,$B16,AN$1)</f>
        <v>1.62975899102146</v>
      </c>
      <c r="AO16" s="116" cm="1">
        <f t="array" ref="AO16">_xll.EQNXTDZ($A$1,$B16,AO$1)</f>
        <v>1.3177448790377599</v>
      </c>
      <c r="AP16" s="116" cm="1">
        <f t="array" ref="AP16">_xll.EQNXTDZ($A$1,$B16,AP$1)</f>
        <v>1.2575594158124801</v>
      </c>
      <c r="AQ16" s="116" cm="1">
        <f t="array" ref="AQ16">_xll.EQNXTDZ($A$1,$B16,AQ$1)</f>
        <v>1.4729600210398099</v>
      </c>
      <c r="AR16" s="116" cm="1">
        <f t="array" ref="AR16">_xll.EQNXTDZ($A$1,$B16,AR$1)</f>
        <v>2.3804934533578801</v>
      </c>
      <c r="AS16" s="116" cm="1">
        <f t="array" ref="AS16">_xll.EQNXTDZ($A$1,$B16,AS$1)</f>
        <v>2.41533766890936</v>
      </c>
      <c r="AT16" s="116" cm="1">
        <f t="array" ref="AT16">_xll.EQNXTDZ($A$1,$B16,AT$1)</f>
        <v>2.3393139258879501</v>
      </c>
      <c r="AU16" s="116" cm="1">
        <f t="array" ref="AU16">_xll.EQNXTDZ($A$1,$B16,AU$1)</f>
        <v>1.6455972708175901</v>
      </c>
      <c r="AV16" s="116" cm="1">
        <f t="array" ref="AV16">_xll.EQNXTDZ($A$1,$B16,AV$1)</f>
        <v>1.97661731855664</v>
      </c>
      <c r="AW16" s="116" cm="1">
        <f t="array" ref="AW16">_xll.EQNXTDZ($A$1,$B16,AW$1)</f>
        <v>2.2189429994373899</v>
      </c>
      <c r="AX16" s="116" cm="1">
        <f t="array" ref="AX16">_xll.EQNXTDZ($A$1,$B16,AX$1)</f>
        <v>1.9568194688114799</v>
      </c>
      <c r="AY16" s="116" cm="1">
        <f t="array" ref="AY16">_xll.EQNXTDZ($A$1,$B16,AY$1)</f>
        <v>2.02729981390425</v>
      </c>
      <c r="AZ16" s="116" cm="1">
        <f t="array" ref="AZ16">_xll.EQNXTDZ($A$1,$B16,AZ$1)</f>
        <v>2.0597682874863099</v>
      </c>
      <c r="BA16" s="116" cm="1">
        <f t="array" ref="BA16">_xll.EQNXTDZ($A$1,$B16,BA$1)</f>
        <v>1.7081584760122901</v>
      </c>
      <c r="BB16" s="116" cm="1">
        <f t="array" ref="BB16">_xll.EQNXTDZ($A$1,$B16,BB$1)</f>
        <v>1.7754711651458299</v>
      </c>
      <c r="BC16" s="116" cm="1">
        <f t="array" ref="BC16">_xll.EQNXTDZ($A$1,$B16,BC$1)</f>
        <v>1.8792118978104599</v>
      </c>
      <c r="BD16" s="116" cm="1">
        <f t="array" ref="BD16">_xll.EQNXTDZ($A$1,$B16,BD$1)</f>
        <v>1.69232019621616</v>
      </c>
      <c r="BE16" s="116" cm="1">
        <f t="array" ref="BE16">_xll.EQNXTDZ($A$1,$B16,BE$1)</f>
        <v>2.1056992988950798</v>
      </c>
      <c r="BF16" s="116" cm="1">
        <f t="array" ref="BF16">_xll.EQNXTDZ($A$1,$B16,BF$1)</f>
        <v>2.0866933631397302</v>
      </c>
      <c r="BG16" s="116" cm="1">
        <f t="array" ref="BG16">_xll.EQNXTDZ($A$1,$B16,BG$1)</f>
        <v>2.1223294926810099</v>
      </c>
      <c r="BH16" s="116" cm="1">
        <f t="array" ref="BH16">_xll.EQNXTDZ($A$1,$B16,BH$1)</f>
        <v>2.99185105348838</v>
      </c>
      <c r="BI16" s="116" cm="1">
        <f t="array" ref="BI16">_xll.EQNXTDZ($A$1,$B16,BI$1)</f>
        <v>3.2452635302264099</v>
      </c>
      <c r="BJ16" s="116" cm="1">
        <f t="array" ref="BJ16">_xll.EQNXTDZ($A$1,$B16,BJ$1)</f>
        <v>3.8391990225811701</v>
      </c>
      <c r="BK16" s="116" cm="1">
        <f t="array" ref="BK16">_xll.EQNXTDZ($A$1,$B16,BK$1)</f>
        <v>4.6105232486525596</v>
      </c>
      <c r="BL16" s="116" cm="1">
        <f t="array" ref="BL16">_xll.EQNXTDZ($A$1,$B16,BL$1)</f>
        <v>3.82256882879524</v>
      </c>
      <c r="BM16" s="116" cm="1">
        <f t="array" ref="BM16">_xll.EQNXTDZ($A$1,$B16,BM$1)</f>
        <v>4.4450132247830298</v>
      </c>
      <c r="BN16" s="116" cm="1">
        <f t="array" ref="BN16">_xll.EQNXTDZ($A$1,$B16,BN$1)</f>
        <v>3.7338744619369302</v>
      </c>
      <c r="BO16" s="116" cm="1">
        <f t="array" ref="BO16">_xll.EQNXTDZ($A$1,$B16,BO$1)</f>
        <v>4.46956255846702</v>
      </c>
      <c r="BP16" s="116" cm="1">
        <f t="array" ref="BP16">_xll.EQNXTDZ($A$1,$B16,BP$1)</f>
        <v>5.6859424468095696</v>
      </c>
      <c r="BQ16" s="116" cm="1">
        <f t="array" ref="BQ16">_xll.EQNXTDZ($A$1,$B16,BQ$1)</f>
        <v>7.2087930492071797</v>
      </c>
      <c r="BR16" s="116" cm="1">
        <f t="array" ref="BR16">_xll.EQNXTDZ($A$1,$B16,BR$1)</f>
        <v>8.5352489821328099</v>
      </c>
      <c r="BS16" s="116" cm="1">
        <f t="array" ref="BS16">_xll.EQNXTDZ($A$1,$B16,BS$1)</f>
        <v>8.4560575831521803</v>
      </c>
      <c r="BT16" s="116" cm="1">
        <f t="array" ref="BT16">_xll.EQNXTDZ($A$1,$B16,BT$1)</f>
        <v>8.0783146100145498</v>
      </c>
      <c r="BU16" s="116" cm="1">
        <f t="array" ref="BU16">_xll.EQNXTDZ($A$1,$B16,BU$1)</f>
        <v>8.57722042359255</v>
      </c>
      <c r="BV16" s="116" cm="1">
        <f t="array" ref="BV16">_xll.EQNXTDZ($A$1,$B16,BV$1)</f>
        <v>6.7003842677515104</v>
      </c>
      <c r="BW16" s="116" cm="1">
        <f t="array" ref="BW16">_xll.EQNXTDZ($A$1,$B16,BW$1)</f>
        <v>5.3612577109889701</v>
      </c>
      <c r="BX16" s="116" cm="1">
        <f t="array" ref="BX16">_xll.EQNXTDZ($A$1,$B16,BX$1)</f>
        <v>4.9375837264425799</v>
      </c>
      <c r="BY16" s="116" cm="1">
        <f t="array" ref="BY16">_xll.EQNXTDZ($A$1,$B16,BY$1)</f>
        <v>4.4418455688238003</v>
      </c>
      <c r="BZ16" s="116" cm="1">
        <f t="array" ref="BZ16">_xll.EQNXTDZ($A$1,$B16,BZ$1)</f>
        <v>4.0561834557881102</v>
      </c>
      <c r="CA16" s="116" cm="1">
        <f t="array" ref="CA16">_xll.EQNXTDZ($A$1,$B16,CA$1)</f>
        <v>3.3545476608196898</v>
      </c>
      <c r="CB16" s="116" cm="1">
        <f t="array" ref="CB16">_xll.EQNXTDZ($A$1,$B16,CB$1)</f>
        <v>3.2468473582060202</v>
      </c>
      <c r="CC16" s="116" cm="1">
        <f t="array" ref="CC16">_xll.EQNXTDZ($A$1,$B16,CC$1)</f>
        <v>3.6467639230582298</v>
      </c>
      <c r="CD16" s="116" cm="1">
        <f t="array" ref="CD16">_xll.EQNXTDZ($A$1,$B16,CD$1)</f>
        <v>3.4123573820755499</v>
      </c>
      <c r="CE16" s="116" cm="1">
        <f t="array" ref="CE16">_xll.EQNXTDZ($A$1,$B16,CE$1)</f>
        <v>3.5430231903935998</v>
      </c>
      <c r="CF16" s="116" cm="1">
        <f t="array" ref="CF16">_xll.EQNXTDZ($A$1,$B16,CF$1)</f>
        <v>3.56915635205721</v>
      </c>
      <c r="CG16" s="116" cm="1">
        <f t="array" ref="CG16">_xll.EQNXTDZ($A$1,$B16,CG$1)</f>
        <v>3.5857865458431402</v>
      </c>
      <c r="CH16" s="116" cm="1">
        <f t="array" ref="CH16">_xll.EQNXTDZ($A$1,$B16,CH$1)</f>
        <v>4.3460239760572303</v>
      </c>
      <c r="CI16" s="116" cm="1">
        <f t="array" ref="CI16">_xll.EQNXTDZ($A$1,$B16,CI$1)</f>
        <v>3.73466637592673</v>
      </c>
      <c r="CJ16" s="116" cm="1">
        <f t="array" ref="CJ16">_xll.EQNXTDZ($A$1,$B16,CJ$1)</f>
        <v>3.1708236151846099</v>
      </c>
      <c r="CK16" s="116" cm="1">
        <f t="array" ref="CK16">_xll.EQNXTDZ($A$1,$B16,CK$1)</f>
        <v>3.2444716162366101</v>
      </c>
      <c r="CL16" s="116" cm="1">
        <f t="array" ref="CL16">_xll.EQNXTDZ($A$1,$B16,CL$1)</f>
        <v>3.1842861530113198</v>
      </c>
      <c r="CM16" s="116" cm="1">
        <f t="array" ref="CM16">_xll.EQNXTDZ($A$1,$B16,CM$1)</f>
        <v>3.5968733417004302</v>
      </c>
      <c r="CN16" s="116" cm="1">
        <f t="array" ref="CN16">_xll.EQNXTDZ($A$1,$B16,CN$1)</f>
        <v>4.33335335222033</v>
      </c>
      <c r="CO16" s="116" cm="1">
        <f t="array" ref="CO16">_xll.EQNXTDZ($A$1,$B16,CO$1)</f>
        <v>4.6984257015210602</v>
      </c>
      <c r="CP16" s="116" cm="1">
        <f t="array" ref="CP16">_xll.EQNXTDZ($A$1,$B16,CP$1)</f>
        <v>4.4014579553436803</v>
      </c>
      <c r="CQ16" s="116" cm="1">
        <f t="array" ref="CQ16">_xll.EQNXTDZ($A$1,$B16,CQ$1)</f>
        <v>4.0403451759919804</v>
      </c>
      <c r="CR16" s="116" cm="1">
        <f t="array" ref="CR16">_xll.EQNXTDZ($A$1,$B16,CR$1)</f>
        <v>2.6172757363099799</v>
      </c>
      <c r="CS16" s="116" cm="1">
        <f t="array" ref="CS16">_xll.EQNXTDZ($A$1,$B16,CS$1)</f>
        <v>3.37196976859543</v>
      </c>
      <c r="CT16" s="116" cm="1">
        <f t="array" ref="CT16">_xll.EQNXTDZ($A$1,$B16,CT$1)</f>
        <v>3.1977486908380302</v>
      </c>
      <c r="CU16" s="116" cm="1">
        <f t="array" ref="CU16">_xll.EQNXTDZ($A$1,$B16,CU$1)</f>
        <v>4.1425020806769997</v>
      </c>
      <c r="CV16" s="116" cm="1">
        <f t="array" ref="CV16">_xll.EQNXTDZ($A$1,$B16,CV$1)</f>
        <v>5.2139617088849901</v>
      </c>
      <c r="CW16" s="116" cm="1">
        <f t="array" ref="CW16">_xll.EQNXTDZ($A$1,$B16,CW$1)</f>
        <v>6.3661965640532303</v>
      </c>
      <c r="CX16" s="116" cm="1">
        <f t="array" ref="CX16">_xll.EQNXTDZ($A$1,$B16,CX$1)</f>
        <v>6.3614450801143896</v>
      </c>
      <c r="CY16" s="116" cm="1">
        <f t="array" ref="CY16">_xll.EQNXTDZ($A$1,$B16,CY$1)</f>
        <v>5.6788152209013196</v>
      </c>
      <c r="CZ16" s="116" cm="1">
        <f t="array" ref="CZ16">_xll.EQNXTDZ($A$1,$B16,CZ$1)</f>
        <v>5.6653526830746097</v>
      </c>
      <c r="DA16" s="116" cm="1">
        <f t="array" ref="DA16">_xll.EQNXTDZ($A$1,$B16,DA$1)</f>
        <v>5.4364895400205704</v>
      </c>
      <c r="DB16" s="116" cm="1">
        <f t="array" ref="DB16">_xll.EQNXTDZ($A$1,$B16,DB$1)</f>
        <v>6.6520775143733202</v>
      </c>
      <c r="DC16" s="116" cm="1">
        <f t="array" ref="DC16">_xll.EQNXTDZ($A$1,$B16,DC$1)</f>
        <v>6.3194736386546504</v>
      </c>
      <c r="DD16" s="116" cm="1">
        <f t="array" ref="DD16">_xll.EQNXTDZ($A$1,$B16,DD$1)</f>
        <v>5.9916212468748196</v>
      </c>
      <c r="DE16" s="116" cm="1">
        <f t="array" ref="DE16">_xll.EQNXTDZ($A$1,$B16,DE$1)</f>
        <v>6.8563913237433596</v>
      </c>
      <c r="DF16" s="116" cm="1">
        <f t="array" ref="DF16">_xll.EQNXTDZ($A$1,$B16,DF$1)</f>
        <v>8.2612467416598196</v>
      </c>
      <c r="DG16" s="116" cm="1">
        <f t="array" ref="DG16">_xll.EQNXTDZ($A$1,$B16,DG$1)</f>
        <v>8.4703120349686891</v>
      </c>
      <c r="DH16" s="116" cm="1">
        <f t="array" ref="DH16">_xll.EQNXTDZ($A$1,$B16,DH$1)</f>
        <v>13.2796056950626</v>
      </c>
      <c r="DI16" s="116" cm="1">
        <f t="array" ref="DI16">_xll.EQNXTDZ($A$1,$B16,DI$1)</f>
        <v>10.6171908613337</v>
      </c>
      <c r="DJ16" s="116" cm="1">
        <f t="array" ref="DJ16">_xll.EQNXTDZ($A$1,$B16,DJ$1)</f>
        <v>13.478376106503999</v>
      </c>
      <c r="DK16" s="116" cm="1">
        <f t="array" ref="DK16">_xll.EQNXTDZ($A$1,$B16,DK$1)</f>
        <v>13.061829347865901</v>
      </c>
      <c r="DL16" s="116" cm="1">
        <f t="array" ref="DL16">_xll.EQNXTDZ($A$1,$B16,DL$1)</f>
        <v>10.8706033380717</v>
      </c>
      <c r="DM16" s="116" cm="1">
        <f t="array" ref="DM16">_xll.EQNXTDZ($A$1,$B16,DM$1)</f>
        <v>11.1897446759637</v>
      </c>
      <c r="DN16" s="116" cm="1">
        <f t="array" ref="DN16">_xll.EQNXTDZ($A$1,$B16,DN$1)</f>
        <v>12.9287877975784</v>
      </c>
      <c r="DO16" s="116" cm="1">
        <f t="array" ref="DO16">_xll.EQNXTDZ($A$1,$B16,DO$1)</f>
        <v>11.1089694490034</v>
      </c>
      <c r="DP16" s="116" cm="1">
        <f t="array" ref="DP16">_xll.EQNXTDZ($A$1,$B16,DP$1)</f>
        <v>16.200184489468398</v>
      </c>
      <c r="DQ16" s="116" cm="1">
        <f t="array" ref="DQ16">_xll.EQNXTDZ($A$1,$B16,DQ$1)</f>
        <v>21.511551619099599</v>
      </c>
      <c r="DR16" s="116" cm="1">
        <f t="array" ref="DR16">_xll.EQNXTDZ($A$1,$B16,DR$1)</f>
        <v>17.994661590369599</v>
      </c>
      <c r="DS16" s="116" cm="1">
        <f t="array" ref="DS16">_xll.EQNXTDZ($A$1,$B16,DS$1)</f>
        <v>17.083168588102499</v>
      </c>
      <c r="DT16" s="116" cm="1">
        <f t="array" ref="DT16">_xll.EQNXTDZ($A$1,$B16,DT$1)</f>
        <v>17.624837757130098</v>
      </c>
      <c r="DU16" s="116" cm="1">
        <f t="array" ref="DU16">_xll.EQNXTDZ($A$1,$B16,DU$1)</f>
        <v>17.691358532273799</v>
      </c>
      <c r="DV16" s="116" cm="1">
        <f t="array" ref="DV16">_xll.EQNXTDZ($A$1,$B16,DV$1)</f>
        <v>18.838049989513401</v>
      </c>
      <c r="DW16" s="116" cm="1">
        <f t="array" ref="DW16">_xll.EQNXTDZ($A$1,$B16,DW$1)</f>
        <v>27.248176561256798</v>
      </c>
      <c r="DX16" s="116" cm="1">
        <f t="array" ref="DX16">_xll.EQNXTDZ($A$1,$B16,DX$1)</f>
        <v>27.4097270151773</v>
      </c>
      <c r="DY16" s="116" cm="1">
        <f t="array" ref="DY16">_xll.EQNXTDZ($A$1,$B16,DY$1)</f>
        <v>24.3117594870549</v>
      </c>
      <c r="DZ16" s="116" cm="1">
        <f t="array" ref="DZ16">_xll.EQNXTDZ($A$1,$B16,DZ$1)</f>
        <v>25.800557787890799</v>
      </c>
      <c r="EA16" s="116" cm="1">
        <f t="array" ref="EA16">_xll.EQNXTDZ($A$1,$B16,EA$1)</f>
        <v>24.679207578324998</v>
      </c>
      <c r="EB16" s="116" cm="1">
        <f t="array" ref="EB16">_xll.EQNXTDZ($A$1,$B16,EB$1)</f>
        <v>25.581989526704199</v>
      </c>
      <c r="EC16" s="116" cm="1">
        <f t="array" ref="EC16">_xll.EQNXTDZ($A$1,$B16,EC$1)</f>
        <v>30.3936589287676</v>
      </c>
      <c r="ED16" s="116" cm="1">
        <f t="array" ref="ED16">_xll.EQNXTDZ($A$1,$B16,ED$1)</f>
        <v>31.499170858537301</v>
      </c>
      <c r="EE16" s="116" cm="1">
        <f t="array" ref="EE16">_xll.EQNXTDZ($A$1,$B16,EE$1)</f>
        <v>47.150558953069897</v>
      </c>
      <c r="EF16" s="116" cm="1">
        <f t="array" ref="EF16">_xll.EQNXTDZ($A$1,$B16,EF$1)</f>
        <v>51.962228355133298</v>
      </c>
      <c r="EG16" s="116" cm="1">
        <f t="array" ref="EG16">_xll.EQNXTDZ($A$1,$B16,EG$1)</f>
        <v>77.465026482856899</v>
      </c>
      <c r="EH16" s="116" cm="1">
        <f t="array" ref="EH16">_xll.EQNXTDZ($A$1,$B16,EH$1)</f>
        <v>79.6982239341108</v>
      </c>
      <c r="EI16" s="116" cm="1">
        <f t="array" ref="EI16">_xll.EQNXTDZ($A$1,$B16,EI$1)</f>
        <v>99.448558839881102</v>
      </c>
      <c r="EJ16" s="116" cm="1">
        <f t="array" ref="EJ16">_xll.EQNXTDZ($A$1,$B16,EJ$1)</f>
        <v>117.124079092359</v>
      </c>
      <c r="EK16" s="116" cm="1">
        <f t="array" ref="EK16">_xll.EQNXTDZ($A$1,$B16,EK$1)</f>
        <v>107.09844798141</v>
      </c>
      <c r="EL16" s="116" cm="1">
        <f t="array" ref="EL16">_xll.EQNXTDZ($A$1,$B16,EL$1)</f>
        <v>115.08094099865799</v>
      </c>
      <c r="EM16" s="116" cm="1">
        <f t="array" ref="EM16">_xll.EQNXTDZ($A$1,$B16,EM$1)</f>
        <v>106.765844105692</v>
      </c>
      <c r="EN16" s="116" cm="1">
        <f t="array" ref="EN16">_xll.EQNXTDZ($A$1,$B16,EN$1)</f>
        <v>94.079381988994101</v>
      </c>
      <c r="EO16" s="116" cm="1">
        <f t="array" ref="EO16">_xll.EQNXTDZ($A$1,$B16,EO$1)</f>
        <v>108.80898219939201</v>
      </c>
      <c r="EP16" s="116" cm="1">
        <f t="array" ref="EP16">_xll.EQNXTDZ($A$1,$B16,EP$1)</f>
        <v>115.698633910707</v>
      </c>
      <c r="EQ16" s="116" cm="1">
        <f t="array" ref="EQ16">_xll.EQNXTDZ($A$1,$B16,EQ$1)</f>
        <v>163.97371072930201</v>
      </c>
      <c r="ER16" s="116" cm="1">
        <f t="array" ref="ER16">_xll.EQNXTDZ($A$1,$B16,ER$1)</f>
        <v>194.24066341970101</v>
      </c>
      <c r="ES16" s="116" cm="1">
        <f t="array" ref="ES16">_xll.EQNXTDZ($A$1,$B16,ES$1)</f>
        <v>168.86773918630499</v>
      </c>
      <c r="ET16" s="116" cm="1">
        <f t="array" ref="ET16">_xll.EQNXTDZ($A$1,$B16,ET$1)</f>
        <v>174.71206443107599</v>
      </c>
      <c r="EU16" s="116" cm="1">
        <f t="array" ref="EU16">_xll.EQNXTDZ($A$1,$B16,EU$1)</f>
        <v>163.78365137174899</v>
      </c>
      <c r="EV16" s="116" cm="1">
        <f t="array" ref="EV16">_xll.EQNXTDZ($A$1,$B16,EV$1)</f>
        <v>148.626417606855</v>
      </c>
      <c r="EW16" s="116" cm="1">
        <f t="array" ref="EW16">_xll.EQNXTDZ($A$1,$B16,EW$1)</f>
        <v>145.20534917089199</v>
      </c>
      <c r="EX16" s="116" cm="1">
        <f t="array" ref="EX16">_xll.EQNXTDZ($A$1,$B16,EX$1)</f>
        <v>130.00060056660999</v>
      </c>
      <c r="EY16" s="116" cm="1">
        <f t="array" ref="EY16">_xll.EQNXTDZ($A$1,$B16,EY$1)</f>
        <v>105.19785440587501</v>
      </c>
      <c r="EZ16" s="116" cm="1">
        <f t="array" ref="EZ16">_xll.EQNXTDZ($A$1,$B16,EZ$1)</f>
        <v>107.76365573284799</v>
      </c>
      <c r="FA16" s="116" cm="1">
        <f t="array" ref="FA16">_xll.EQNXTDZ($A$1,$B16,FA$1)</f>
        <v>107.76365573284799</v>
      </c>
      <c r="FB16" s="116" cm="1">
        <f t="array" ref="FB16">_xll.EQNXTDZ($A$1,$B16,FB$1)</f>
        <v>140.55000000000001</v>
      </c>
      <c r="FC16" s="116" cm="1">
        <f t="array" ref="FC16">_xll.EQNXTDZ($A$1,$B16,FC$1)</f>
        <v>158.25</v>
      </c>
      <c r="FD16" s="116" cm="1">
        <f t="array" ref="FD16">_xll.EQNXTDZ($A$1,$B16,FD$1)</f>
        <v>127.55</v>
      </c>
      <c r="FE16" s="116" cm="1">
        <f t="array" ref="FE16">_xll.EQNXTDZ($A$1,$B16,FE$1)</f>
        <v>149.69999999999999</v>
      </c>
      <c r="FF16" s="116" cm="1">
        <f t="array" ref="FF16">_xll.EQNXTDZ($A$1,$B16,FF$1)</f>
        <v>174.3</v>
      </c>
      <c r="FG16" s="116" cm="1">
        <f t="array" ref="FG16">_xll.EQNXTDZ($A$1,$B16,FG$1)</f>
        <v>171.55</v>
      </c>
      <c r="FH16" s="116" cm="1">
        <f t="array" ref="FH16">_xll.EQNXTDZ($A$1,$B16,FH$1)</f>
        <v>155.19999999999999</v>
      </c>
      <c r="FI16" s="116" cm="1">
        <f t="array" ref="FI16">_xll.EQNXTDZ($A$1,$B16,FI$1)</f>
        <v>157.6</v>
      </c>
      <c r="FJ16" s="116" cm="1">
        <f t="array" ref="FJ16">_xll.EQNXTDZ($A$1,$B16,FJ$1)</f>
        <v>155.55000000000001</v>
      </c>
      <c r="FK16" s="116" cm="1">
        <f t="array" ref="FK16">_xll.EQNXTDZ($A$1,$B16,FK$1)</f>
        <v>143.25</v>
      </c>
      <c r="FL16" s="116" cm="1">
        <f t="array" ref="FL16">_xll.EQNXTDZ($A$1,$B16,FL$1)</f>
        <v>126.45</v>
      </c>
      <c r="FM16" s="116" cm="1">
        <f t="array" ref="FM16">_xll.EQNXTDZ($A$1,$B16,FM$1)</f>
        <v>148.85</v>
      </c>
      <c r="FN16" s="116" cm="1">
        <f t="array" ref="FN16">_xll.EQNXTDZ($A$1,$B16,FN$1)</f>
        <v>177.05</v>
      </c>
      <c r="FO16" s="116" cm="1">
        <f t="array" ref="FO16">_xll.EQNXTDZ($A$1,$B16,FO$1)</f>
        <v>169.35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0.87902452868504599</v>
      </c>
      <c r="HQ16" s="116">
        <f>+I16</f>
        <v>0.97247037948219495</v>
      </c>
      <c r="HR16" s="116">
        <f>+L16</f>
        <v>0.95663209968606799</v>
      </c>
      <c r="HS16" s="116">
        <f>+O16</f>
        <v>1.0247367028094101</v>
      </c>
      <c r="HT16" s="116">
        <f>+R16</f>
        <v>0.88694366858310902</v>
      </c>
      <c r="HU16" s="116">
        <f>+U16</f>
        <v>0.71984981673396997</v>
      </c>
      <c r="HV16" s="116">
        <f>+X16</f>
        <v>0.73252044057087096</v>
      </c>
      <c r="HW16" s="116">
        <f>+AA16</f>
        <v>1.1292693494638499</v>
      </c>
      <c r="HX16" s="116">
        <f>+AD16</f>
        <v>1.71053421798171</v>
      </c>
      <c r="HY16" s="116">
        <f>+AG16</f>
        <v>2.3519845497248499</v>
      </c>
      <c r="HZ16" s="116">
        <f>+AJ16</f>
        <v>1.87208467190221</v>
      </c>
      <c r="IA16" s="116">
        <f>+AM16</f>
        <v>1.59966625940882</v>
      </c>
      <c r="IB16" s="116">
        <f>+AP16</f>
        <v>1.2575594158124801</v>
      </c>
      <c r="IC16" s="116">
        <f>+AS16</f>
        <v>2.41533766890936</v>
      </c>
      <c r="ID16" s="116">
        <f>+AV16</f>
        <v>1.97661731855664</v>
      </c>
      <c r="IE16" s="116">
        <f>+AY16</f>
        <v>2.02729981390425</v>
      </c>
      <c r="IF16" s="116">
        <f>+BB16</f>
        <v>1.7754711651458299</v>
      </c>
      <c r="IG16" s="116">
        <f>+BE16</f>
        <v>2.1056992988950798</v>
      </c>
      <c r="IH16" s="116">
        <f>+BH16</f>
        <v>2.99185105348838</v>
      </c>
      <c r="II16" s="116">
        <f>+BK16</f>
        <v>4.6105232486525596</v>
      </c>
      <c r="IJ16" s="116">
        <f>+BN16</f>
        <v>3.7338744619369302</v>
      </c>
      <c r="IK16" s="116">
        <f>+BQ16</f>
        <v>7.2087930492071797</v>
      </c>
      <c r="IL16" s="116">
        <f>+BT16</f>
        <v>8.0783146100145498</v>
      </c>
      <c r="IM16" s="116">
        <f>+BW16</f>
        <v>5.3612577109889701</v>
      </c>
      <c r="IN16" s="116">
        <f>+BZ16</f>
        <v>4.0561834557881102</v>
      </c>
      <c r="IO16" s="116">
        <f>+CC16</f>
        <v>3.6467639230582298</v>
      </c>
      <c r="IP16" s="116">
        <f>+CF16</f>
        <v>3.56915635205721</v>
      </c>
      <c r="IQ16" s="116">
        <f>+CI16</f>
        <v>3.73466637592673</v>
      </c>
      <c r="IR16" s="116">
        <f>+CL16</f>
        <v>3.1842861530113198</v>
      </c>
      <c r="IS16" s="116">
        <f>+CO16</f>
        <v>4.6984257015210602</v>
      </c>
      <c r="IT16" s="116">
        <f>+CR16</f>
        <v>2.6172757363099799</v>
      </c>
      <c r="IU16" s="116">
        <f>+CU16</f>
        <v>4.1425020806769997</v>
      </c>
      <c r="IV16" s="116">
        <f>+CX16</f>
        <v>6.3614450801143896</v>
      </c>
      <c r="IW16" s="116">
        <f>+DA16</f>
        <v>5.4364895400205704</v>
      </c>
      <c r="IX16" s="116">
        <f>+DD16</f>
        <v>5.9916212468748196</v>
      </c>
      <c r="IY16" s="116">
        <f>+DG16</f>
        <v>8.4703120349686891</v>
      </c>
      <c r="IZ16" s="116">
        <f>+DJ16</f>
        <v>13.478376106503999</v>
      </c>
      <c r="JA16" s="116">
        <f>+DM16</f>
        <v>11.1897446759637</v>
      </c>
      <c r="JB16" s="116">
        <f>+DP16</f>
        <v>16.200184489468398</v>
      </c>
      <c r="JC16" s="116">
        <f>+DS16</f>
        <v>17.083168588102499</v>
      </c>
      <c r="JD16" s="116">
        <f>+DV16</f>
        <v>18.838049989513401</v>
      </c>
      <c r="JE16" s="116">
        <f>+DY16</f>
        <v>24.3117594870549</v>
      </c>
      <c r="JF16" s="116">
        <f>+EB16</f>
        <v>25.581989526704199</v>
      </c>
      <c r="JG16" s="116">
        <f>+EE16</f>
        <v>47.150558953069897</v>
      </c>
      <c r="JH16" s="116">
        <f>+EH16</f>
        <v>79.6982239341108</v>
      </c>
      <c r="JI16" s="116">
        <f>+EK16</f>
        <v>107.09844798141</v>
      </c>
      <c r="JJ16" s="116">
        <f>+EN16</f>
        <v>94.079381988994101</v>
      </c>
      <c r="JK16" s="116">
        <f>EQ16</f>
        <v>163.97371072930201</v>
      </c>
      <c r="JL16" s="116">
        <f>ET16</f>
        <v>174.71206443107599</v>
      </c>
      <c r="JM16" s="116">
        <f>EW16</f>
        <v>145.20534917089199</v>
      </c>
      <c r="JN16" s="116">
        <f>EZ16</f>
        <v>107.76365573284799</v>
      </c>
      <c r="JO16" s="116">
        <f>FC16</f>
        <v>158.25</v>
      </c>
      <c r="JP16" s="116">
        <f>FF16</f>
        <v>174.3</v>
      </c>
      <c r="JQ16" s="116">
        <f>FI16</f>
        <v>157.6</v>
      </c>
      <c r="JR16" s="116">
        <f>FL16</f>
        <v>126.45</v>
      </c>
      <c r="JS16" s="116">
        <f>FO16</f>
        <v>169.35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1.1324370054230799</v>
      </c>
      <c r="HQ19" s="116">
        <f t="shared" ref="HQ19:JI21" si="1">+IF(HQ14=0,HQ7,HQ14)</f>
        <v>1.0738353701774099</v>
      </c>
      <c r="HR19" s="116">
        <f t="shared" si="1"/>
        <v>1.2654785557105399</v>
      </c>
      <c r="HS19" s="116">
        <f t="shared" si="1"/>
        <v>1.1245178655250101</v>
      </c>
      <c r="HT19" s="116">
        <f t="shared" si="1"/>
        <v>1.0516617784628299</v>
      </c>
      <c r="HU19" s="116">
        <f t="shared" si="1"/>
        <v>0.84734796909279197</v>
      </c>
      <c r="HV19" s="116">
        <f t="shared" si="1"/>
        <v>0.83230160328647096</v>
      </c>
      <c r="HW19" s="116">
        <f t="shared" si="1"/>
        <v>1.3288316748950499</v>
      </c>
      <c r="HX19" s="116">
        <f t="shared" si="1"/>
        <v>1.71053421798171</v>
      </c>
      <c r="HY19" s="116">
        <f t="shared" si="1"/>
        <v>3.0092731612641201</v>
      </c>
      <c r="HZ19" s="116">
        <f t="shared" si="1"/>
        <v>2.9775966016718698</v>
      </c>
      <c r="IA19" s="116">
        <f t="shared" si="1"/>
        <v>2.4517657124404502</v>
      </c>
      <c r="IB19" s="116">
        <f t="shared" si="1"/>
        <v>1.88475529573911</v>
      </c>
      <c r="IC19" s="116">
        <f t="shared" si="1"/>
        <v>2.6766692855454499</v>
      </c>
      <c r="ID19" s="116">
        <f t="shared" si="1"/>
        <v>2.5958940585852099</v>
      </c>
      <c r="IE19" s="116">
        <f t="shared" si="1"/>
        <v>2.4913614119307699</v>
      </c>
      <c r="IF19" s="116">
        <f t="shared" si="1"/>
        <v>2.1571737082324902</v>
      </c>
      <c r="IG19" s="116">
        <f t="shared" si="1"/>
        <v>2.3741581414394299</v>
      </c>
      <c r="IH19" s="116">
        <f t="shared" si="1"/>
        <v>2.99185105348838</v>
      </c>
      <c r="II19" s="116">
        <f t="shared" si="1"/>
        <v>5.1411056218228097</v>
      </c>
      <c r="IJ19" s="116">
        <f t="shared" si="1"/>
        <v>5.08250398657714</v>
      </c>
      <c r="IK19" s="116">
        <f t="shared" si="1"/>
        <v>7.5706977425486803</v>
      </c>
      <c r="IL19" s="116">
        <f t="shared" si="1"/>
        <v>10.0652268104387</v>
      </c>
      <c r="IM19" s="116">
        <f t="shared" si="1"/>
        <v>9.8902138186914694</v>
      </c>
      <c r="IN19" s="116">
        <f t="shared" si="1"/>
        <v>5.5909127680328101</v>
      </c>
      <c r="IO19" s="116">
        <f t="shared" si="1"/>
        <v>4.0973629832580398</v>
      </c>
      <c r="IP19" s="116">
        <f t="shared" si="1"/>
        <v>3.9421478412559998</v>
      </c>
      <c r="IQ19" s="116">
        <f t="shared" si="1"/>
        <v>4.51390974189618</v>
      </c>
      <c r="IR19" s="116">
        <f t="shared" si="1"/>
        <v>3.93739635731716</v>
      </c>
      <c r="IS19" s="116">
        <f t="shared" si="1"/>
        <v>5.2266323327218904</v>
      </c>
      <c r="IT19" s="116">
        <f t="shared" si="1"/>
        <v>5.3850151306831604</v>
      </c>
      <c r="IU19" s="116">
        <f t="shared" si="1"/>
        <v>4.7483162828788599</v>
      </c>
      <c r="IV19" s="116">
        <f t="shared" si="1"/>
        <v>7.5849521943651901</v>
      </c>
      <c r="IW19" s="116">
        <f t="shared" si="1"/>
        <v>6.4873594044936</v>
      </c>
      <c r="IX19" s="116">
        <f t="shared" si="1"/>
        <v>7.2064173072377598</v>
      </c>
      <c r="IY19" s="116">
        <f t="shared" si="1"/>
        <v>9.3430012517352896</v>
      </c>
      <c r="IZ19" s="116">
        <f t="shared" si="1"/>
        <v>14.094485190573399</v>
      </c>
      <c r="JA19" s="116">
        <f t="shared" si="1"/>
        <v>15.0305275265245</v>
      </c>
      <c r="JB19" s="116">
        <f t="shared" si="1"/>
        <v>16.788576583894599</v>
      </c>
      <c r="JC19" s="116">
        <f t="shared" si="1"/>
        <v>23.120720846386099</v>
      </c>
      <c r="JD19" s="116">
        <f t="shared" si="1"/>
        <v>20.779823092518601</v>
      </c>
      <c r="JE19" s="116">
        <f t="shared" si="1"/>
        <v>30.029378493456701</v>
      </c>
      <c r="JF19" s="116">
        <f t="shared" si="1"/>
        <v>27.368547487707399</v>
      </c>
      <c r="JG19" s="116">
        <f t="shared" si="1"/>
        <v>52.266323327218899</v>
      </c>
      <c r="JH19" s="116">
        <f t="shared" si="1"/>
        <v>86.698743603998906</v>
      </c>
      <c r="JI19" s="116">
        <f t="shared" si="1"/>
        <v>129.24036313639601</v>
      </c>
      <c r="JJ19" s="116">
        <f t="shared" ref="JJ19:JJ21" si="2">+IF(JJ14=0,JJ7,JJ14)</f>
        <v>133.04155028746601</v>
      </c>
      <c r="JK19" s="116">
        <f t="shared" ref="JK19" si="3">+IF(JK14=0,JK7,JK14)</f>
        <v>184.35757682691801</v>
      </c>
      <c r="JL19" s="116">
        <f t="shared" ref="JL19:JM19" si="4">+IF(JL14=0,JL7,JL14)</f>
        <v>212.67642110239299</v>
      </c>
      <c r="JM19" s="116">
        <f t="shared" si="4"/>
        <v>191.009654341291</v>
      </c>
      <c r="JN19" s="116">
        <f t="shared" ref="JN19:JO19" si="5">+IF(JN14=0,JN7,JN14)</f>
        <v>153.66299058202401</v>
      </c>
      <c r="JO19" s="116">
        <f t="shared" si="5"/>
        <v>189.75</v>
      </c>
      <c r="JP19" s="116">
        <f t="shared" ref="JP19" si="6">+IF(JP14=0,JP7,JP14)</f>
        <v>196.4</v>
      </c>
      <c r="JQ19" s="116">
        <f t="shared" ref="JQ19:KH19" si="7">+IF(JQ14=0,JQ7,JQ14)</f>
        <v>215</v>
      </c>
      <c r="JR19" s="116">
        <f t="shared" si="7"/>
        <v>169.45</v>
      </c>
      <c r="JS19" s="116">
        <f t="shared" si="7"/>
        <v>188.5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0.79270590379615402</v>
      </c>
      <c r="HQ20" s="116">
        <f t="shared" si="8"/>
        <v>0.79349781778595996</v>
      </c>
      <c r="HR20" s="116">
        <f t="shared" si="8"/>
        <v>0.84893179707240396</v>
      </c>
      <c r="HS20" s="116">
        <f t="shared" si="8"/>
        <v>0.89565472247097899</v>
      </c>
      <c r="HT20" s="116">
        <f t="shared" si="8"/>
        <v>0.76419700016312497</v>
      </c>
      <c r="HU20" s="116">
        <f t="shared" si="8"/>
        <v>0.62086056800817602</v>
      </c>
      <c r="HV20" s="116">
        <f t="shared" si="8"/>
        <v>0.61769291204895105</v>
      </c>
      <c r="HW20" s="116">
        <f t="shared" si="8"/>
        <v>0.69688431102958603</v>
      </c>
      <c r="HX20" s="116">
        <f t="shared" si="8"/>
        <v>1.0730434561876001</v>
      </c>
      <c r="HY20" s="116">
        <f t="shared" si="8"/>
        <v>1.59570668945979</v>
      </c>
      <c r="HZ20" s="116">
        <f t="shared" si="8"/>
        <v>1.6313428190010799</v>
      </c>
      <c r="IA20" s="116">
        <f t="shared" si="8"/>
        <v>1.3462537826707901</v>
      </c>
      <c r="IB20" s="116">
        <f t="shared" si="8"/>
        <v>1.18945481268913</v>
      </c>
      <c r="IC20" s="116">
        <f t="shared" si="8"/>
        <v>1.19262246864836</v>
      </c>
      <c r="ID20" s="116">
        <f t="shared" si="8"/>
        <v>1.496717440734</v>
      </c>
      <c r="IE20" s="116">
        <f t="shared" si="8"/>
        <v>1.7754711651458299</v>
      </c>
      <c r="IF20" s="116">
        <f t="shared" si="1"/>
        <v>1.59966625940882</v>
      </c>
      <c r="IG20" s="116">
        <f t="shared" si="1"/>
        <v>1.6155045392049501</v>
      </c>
      <c r="IH20" s="116">
        <f t="shared" si="1"/>
        <v>1.9037612314944601</v>
      </c>
      <c r="II20" s="116">
        <f t="shared" si="1"/>
        <v>2.8833588368849101</v>
      </c>
      <c r="IJ20" s="116">
        <f t="shared" si="1"/>
        <v>3.1716155291744199</v>
      </c>
      <c r="IK20" s="116">
        <f t="shared" si="1"/>
        <v>3.4369067157595499</v>
      </c>
      <c r="IL20" s="116">
        <f t="shared" si="1"/>
        <v>7.2064173072377598</v>
      </c>
      <c r="IM20" s="116">
        <f t="shared" si="1"/>
        <v>5.1474409337412599</v>
      </c>
      <c r="IN20" s="116">
        <f t="shared" si="1"/>
        <v>3.87483515212246</v>
      </c>
      <c r="IO20" s="116">
        <f t="shared" si="1"/>
        <v>2.8350520835067199</v>
      </c>
      <c r="IP20" s="116">
        <f t="shared" si="1"/>
        <v>3.19141337891958</v>
      </c>
      <c r="IQ20" s="116">
        <f t="shared" si="1"/>
        <v>3.19933251881764</v>
      </c>
      <c r="IR20" s="116">
        <f t="shared" si="1"/>
        <v>2.9308736762732899</v>
      </c>
      <c r="IS20" s="116">
        <f t="shared" si="1"/>
        <v>2.96255023586555</v>
      </c>
      <c r="IT20" s="116">
        <f t="shared" si="1"/>
        <v>2.2173591714577698</v>
      </c>
      <c r="IU20" s="116">
        <f t="shared" si="1"/>
        <v>2.5499630471764401</v>
      </c>
      <c r="IV20" s="116">
        <f t="shared" si="1"/>
        <v>4.0070847884201202</v>
      </c>
      <c r="IW20" s="116">
        <f t="shared" si="1"/>
        <v>5.1490247617208702</v>
      </c>
      <c r="IX20" s="116">
        <f t="shared" si="1"/>
        <v>5.4642065296637998</v>
      </c>
      <c r="IY20" s="116">
        <f t="shared" si="1"/>
        <v>5.8760018043631002</v>
      </c>
      <c r="IZ20" s="116">
        <f t="shared" si="1"/>
        <v>8.2058127623733697</v>
      </c>
      <c r="JA20" s="116">
        <f t="shared" si="1"/>
        <v>10.3352694809626</v>
      </c>
      <c r="JB20" s="116">
        <f t="shared" si="1"/>
        <v>10.4532646654438</v>
      </c>
      <c r="JC20" s="116">
        <f t="shared" si="1"/>
        <v>16.155045392049502</v>
      </c>
      <c r="JD20" s="116">
        <f t="shared" si="1"/>
        <v>15.0083539348099</v>
      </c>
      <c r="JE20" s="116">
        <f t="shared" si="1"/>
        <v>18.252033637056702</v>
      </c>
      <c r="JF20" s="116">
        <f t="shared" si="1"/>
        <v>22.997182263976299</v>
      </c>
      <c r="JG20" s="116">
        <f t="shared" si="1"/>
        <v>25.962108241811301</v>
      </c>
      <c r="JH20" s="116">
        <f t="shared" si="1"/>
        <v>45.867658289583602</v>
      </c>
      <c r="JI20" s="116">
        <f t="shared" si="1"/>
        <v>79.888283291664294</v>
      </c>
      <c r="JJ20" s="116">
        <f t="shared" si="2"/>
        <v>81.773038587403406</v>
      </c>
      <c r="JK20" s="116">
        <f t="shared" ref="JK20" si="9">+IF(JK15=0,JK8,JK15)</f>
        <v>94.126896828382399</v>
      </c>
      <c r="JL20" s="116">
        <f t="shared" ref="JL20:JM20" si="10">+IF(JL15=0,JL8,JL15)</f>
        <v>157.749266769424</v>
      </c>
      <c r="JM20" s="116">
        <f t="shared" si="10"/>
        <v>132.85149092991301</v>
      </c>
      <c r="JN20" s="116">
        <f t="shared" ref="JN20:JO20" si="11">+IF(JN15=0,JN8,JN15)</f>
        <v>94.649560061654597</v>
      </c>
      <c r="JO20" s="116">
        <f t="shared" si="11"/>
        <v>90.325709677312005</v>
      </c>
      <c r="JP20" s="116">
        <f t="shared" ref="JP20" si="12">+IF(JP15=0,JP8,JP15)</f>
        <v>123.35</v>
      </c>
      <c r="JQ20" s="116">
        <f t="shared" ref="JQ20:KH20" si="13">+IF(JQ15=0,JQ8,JQ15)</f>
        <v>137.15</v>
      </c>
      <c r="JR20" s="116">
        <f t="shared" si="13"/>
        <v>117.7</v>
      </c>
      <c r="JS20" s="116">
        <f t="shared" si="13"/>
        <v>128.69999999999999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0.87902452868504599</v>
      </c>
      <c r="HQ21" s="116">
        <f t="shared" si="1"/>
        <v>0.97247037948219495</v>
      </c>
      <c r="HR21" s="116">
        <f t="shared" si="1"/>
        <v>0.95663209968606799</v>
      </c>
      <c r="HS21" s="116">
        <f t="shared" si="1"/>
        <v>1.0247367028094101</v>
      </c>
      <c r="HT21" s="116">
        <f t="shared" si="1"/>
        <v>0.88694366858310902</v>
      </c>
      <c r="HU21" s="116">
        <f t="shared" si="1"/>
        <v>0.71984981673396997</v>
      </c>
      <c r="HV21" s="116">
        <f t="shared" si="1"/>
        <v>0.73252044057087096</v>
      </c>
      <c r="HW21" s="116">
        <f t="shared" si="1"/>
        <v>1.1292693494638499</v>
      </c>
      <c r="HX21" s="116">
        <f t="shared" si="1"/>
        <v>1.71053421798171</v>
      </c>
      <c r="HY21" s="116">
        <f t="shared" si="1"/>
        <v>2.3519845497248499</v>
      </c>
      <c r="HZ21" s="116">
        <f t="shared" si="1"/>
        <v>1.87208467190221</v>
      </c>
      <c r="IA21" s="116">
        <f t="shared" si="1"/>
        <v>1.59966625940882</v>
      </c>
      <c r="IB21" s="116">
        <f t="shared" si="1"/>
        <v>1.2575594158124801</v>
      </c>
      <c r="IC21" s="116">
        <f t="shared" si="1"/>
        <v>2.41533766890936</v>
      </c>
      <c r="ID21" s="116">
        <f t="shared" si="1"/>
        <v>1.97661731855664</v>
      </c>
      <c r="IE21" s="116">
        <f t="shared" si="1"/>
        <v>2.02729981390425</v>
      </c>
      <c r="IF21" s="116">
        <f t="shared" si="1"/>
        <v>1.7754711651458299</v>
      </c>
      <c r="IG21" s="116">
        <f t="shared" si="1"/>
        <v>2.1056992988950798</v>
      </c>
      <c r="IH21" s="116">
        <f t="shared" si="1"/>
        <v>2.99185105348838</v>
      </c>
      <c r="II21" s="116">
        <f t="shared" si="1"/>
        <v>4.6105232486525596</v>
      </c>
      <c r="IJ21" s="116">
        <f t="shared" si="1"/>
        <v>3.7338744619369302</v>
      </c>
      <c r="IK21" s="116">
        <f t="shared" si="1"/>
        <v>7.2087930492071797</v>
      </c>
      <c r="IL21" s="116">
        <f t="shared" si="1"/>
        <v>8.0783146100145498</v>
      </c>
      <c r="IM21" s="116">
        <f t="shared" si="1"/>
        <v>5.3612577109889701</v>
      </c>
      <c r="IN21" s="116">
        <f t="shared" si="1"/>
        <v>4.0561834557881102</v>
      </c>
      <c r="IO21" s="116">
        <f t="shared" si="1"/>
        <v>3.6467639230582298</v>
      </c>
      <c r="IP21" s="116">
        <f t="shared" si="1"/>
        <v>3.56915635205721</v>
      </c>
      <c r="IQ21" s="116">
        <f t="shared" si="1"/>
        <v>3.73466637592673</v>
      </c>
      <c r="IR21" s="116">
        <f t="shared" si="1"/>
        <v>3.1842861530113198</v>
      </c>
      <c r="IS21" s="116">
        <f t="shared" si="1"/>
        <v>4.6984257015210602</v>
      </c>
      <c r="IT21" s="116">
        <f t="shared" si="1"/>
        <v>2.6172757363099799</v>
      </c>
      <c r="IU21" s="116">
        <f t="shared" si="1"/>
        <v>4.1425020806769997</v>
      </c>
      <c r="IV21" s="116">
        <f t="shared" si="1"/>
        <v>6.3614450801143896</v>
      </c>
      <c r="IW21" s="116">
        <f t="shared" si="1"/>
        <v>5.4364895400205704</v>
      </c>
      <c r="IX21" s="116">
        <f t="shared" si="1"/>
        <v>5.9916212468748196</v>
      </c>
      <c r="IY21" s="116">
        <f t="shared" si="1"/>
        <v>8.4703120349686891</v>
      </c>
      <c r="IZ21" s="116">
        <f t="shared" si="1"/>
        <v>13.478376106503999</v>
      </c>
      <c r="JA21" s="116">
        <f t="shared" si="1"/>
        <v>11.1897446759637</v>
      </c>
      <c r="JB21" s="116">
        <f t="shared" si="1"/>
        <v>16.200184489468398</v>
      </c>
      <c r="JC21" s="116">
        <f t="shared" si="1"/>
        <v>17.083168588102499</v>
      </c>
      <c r="JD21" s="116">
        <f t="shared" si="1"/>
        <v>18.838049989513401</v>
      </c>
      <c r="JE21" s="116">
        <f t="shared" si="1"/>
        <v>24.3117594870549</v>
      </c>
      <c r="JF21" s="116">
        <f t="shared" si="1"/>
        <v>25.581989526704199</v>
      </c>
      <c r="JG21" s="116">
        <f t="shared" si="1"/>
        <v>47.150558953069897</v>
      </c>
      <c r="JH21" s="116">
        <f t="shared" si="1"/>
        <v>79.6982239341108</v>
      </c>
      <c r="JI21" s="116">
        <f t="shared" si="1"/>
        <v>107.09844798141</v>
      </c>
      <c r="JJ21" s="116">
        <f t="shared" si="2"/>
        <v>94.079381988994101</v>
      </c>
      <c r="JK21" s="116">
        <f t="shared" ref="JK21" si="14">+IF(JK16=0,JK9,JK16)</f>
        <v>163.97371072930201</v>
      </c>
      <c r="JL21" s="116">
        <f t="shared" ref="JL21:JM21" si="15">+IF(JL16=0,JL9,JL16)</f>
        <v>174.71206443107599</v>
      </c>
      <c r="JM21" s="116">
        <f t="shared" si="15"/>
        <v>145.20534917089199</v>
      </c>
      <c r="JN21" s="116">
        <f t="shared" ref="JN21:JO21" si="16">+IF(JN16=0,JN9,JN16)</f>
        <v>107.76365573284799</v>
      </c>
      <c r="JO21" s="116">
        <f t="shared" si="16"/>
        <v>158.25</v>
      </c>
      <c r="JP21" s="116">
        <f t="shared" ref="JP21" si="17">+IF(JP16=0,JP9,JP16)</f>
        <v>174.3</v>
      </c>
      <c r="JQ21" s="116">
        <f t="shared" ref="JQ21:KH21" si="18">+IF(JQ16=0,JQ9,JQ16)</f>
        <v>157.6</v>
      </c>
      <c r="JR21" s="116">
        <f t="shared" si="18"/>
        <v>126.45</v>
      </c>
      <c r="JS21" s="116">
        <f t="shared" si="18"/>
        <v>169.35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132406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4483000</v>
      </c>
      <c r="D6" cm="1">
        <f t="array" ref="D6">_xll.EQNXTDZ($A$1,$B6,D$1)</f>
        <v>4483000</v>
      </c>
      <c r="E6" cm="1">
        <f t="array" ref="E6">_xll.EQNXTDZ($A$1,$B6,E$1)</f>
        <v>4483000</v>
      </c>
      <c r="F6" cm="1">
        <f t="array" ref="F6">_xll.EQNXTDZ($A$1,$B6,F$1)</f>
        <v>4483000</v>
      </c>
      <c r="G6" cm="1">
        <f t="array" ref="G6">_xll.EQNXTDZ($A$1,$B6,G$1)</f>
        <v>4183000</v>
      </c>
      <c r="H6" cm="1">
        <f t="array" ref="H6">_xll.EQNXTDZ($A$1,$B6,H$1)</f>
        <v>4183000</v>
      </c>
      <c r="I6" cm="1">
        <f t="array" ref="I6">_xll.EQNXTDZ($A$1,$B6,I$1)</f>
        <v>4183000</v>
      </c>
      <c r="J6" cm="1">
        <f t="array" ref="J6">_xll.EQNXTDZ($A$1,$B6,J$1)</f>
        <v>4183000</v>
      </c>
      <c r="K6" cm="1">
        <f t="array" ref="K6">_xll.EQNXTDZ($A$1,$B6,K$1)</f>
        <v>4183000</v>
      </c>
      <c r="L6" cm="1">
        <f t="array" ref="L6">_xll.EQNXTDZ($A$1,$B6,L$1)</f>
        <v>4054493</v>
      </c>
      <c r="M6" cm="1">
        <f t="array" ref="M6">_xll.EQNXTDZ($A$1,$B6,M$1)</f>
        <v>4054493</v>
      </c>
      <c r="N6" cm="1">
        <f t="array" ref="N6">_xll.EQNXTDZ($A$1,$B6,N$1)</f>
        <v>4054493</v>
      </c>
      <c r="O6" cm="1">
        <f t="array" ref="O6">_xll.EQNXTDZ($A$1,$B6,O$1)</f>
        <v>4054493</v>
      </c>
      <c r="P6" cm="1">
        <f t="array" ref="P6">_xll.EQNXTDZ($A$1,$B6,P$1)</f>
        <v>4054493</v>
      </c>
      <c r="Q6" cm="1">
        <f t="array" ref="Q6">_xll.EQNXTDZ($A$1,$B6,Q$1)</f>
        <v>4054493</v>
      </c>
      <c r="R6" cm="1">
        <f t="array" ref="R6">_xll.EQNXTDZ($A$1,$B6,R$1)</f>
        <v>4054493</v>
      </c>
      <c r="S6" cm="1">
        <f t="array" ref="S6">_xll.EQNXTDZ($A$1,$B6,S$1)</f>
        <v>4054493</v>
      </c>
      <c r="T6" cm="1">
        <f t="array" ref="T6">_xll.EQNXTDZ($A$1,$B6,T$1)</f>
        <v>4054493</v>
      </c>
      <c r="U6" cm="1">
        <f t="array" ref="U6">_xll.EQNXTDZ($A$1,$B6,U$1)</f>
        <v>4054493</v>
      </c>
      <c r="V6" cm="1">
        <f t="array" ref="V6">_xll.EQNXTDZ($A$1,$B6,V$1)</f>
        <v>4054493</v>
      </c>
      <c r="W6" cm="1">
        <f t="array" ref="W6">_xll.EQNXTDZ($A$1,$B6,W$1)</f>
        <v>4054493</v>
      </c>
      <c r="X6" cm="1">
        <f t="array" ref="X6">_xll.EQNXTDZ($A$1,$B6,X$1)</f>
        <v>4054493</v>
      </c>
      <c r="Y6" cm="1">
        <f t="array" ref="Y6">_xll.EQNXTDZ($A$1,$B6,Y$1)</f>
        <v>4054493</v>
      </c>
      <c r="Z6" cm="1">
        <f t="array" ref="Z6">_xll.EQNXTDZ($A$1,$B6,Z$1)</f>
        <v>4054493</v>
      </c>
      <c r="AA6" cm="1">
        <f t="array" ref="AA6">_xll.EQNXTDZ($A$1,$B6,AA$1)</f>
        <v>4054493</v>
      </c>
      <c r="AB6" cm="1">
        <f t="array" ref="AB6">_xll.EQNXTDZ($A$1,$B6,AB$1)</f>
        <v>4054493</v>
      </c>
      <c r="AC6" cm="1">
        <f t="array" ref="AC6">_xll.EQNXTDZ($A$1,$B6,AC$1)</f>
        <v>4054493</v>
      </c>
      <c r="AD6" cm="1">
        <f t="array" ref="AD6">_xll.EQNXTDZ($A$1,$B6,AD$1)</f>
        <v>4054493</v>
      </c>
      <c r="AE6" cm="1">
        <f t="array" ref="AE6">_xll.EQNXTDZ($A$1,$B6,AE$1)</f>
        <v>4054493</v>
      </c>
      <c r="AF6" cm="1">
        <f t="array" ref="AF6">_xll.EQNXTDZ($A$1,$B6,AF$1)</f>
        <v>4054493</v>
      </c>
      <c r="AG6" cm="1">
        <f t="array" ref="AG6">_xll.EQNXTDZ($A$1,$B6,AG$1)</f>
        <v>4054493</v>
      </c>
      <c r="AH6" cm="1">
        <f t="array" ref="AH6">_xll.EQNXTDZ($A$1,$B6,AH$1)</f>
        <v>4054493</v>
      </c>
      <c r="AI6" cm="1">
        <f t="array" ref="AI6">_xll.EQNXTDZ($A$1,$B6,AI$1)</f>
        <v>4054493</v>
      </c>
      <c r="AJ6" cm="1">
        <f t="array" ref="AJ6">_xll.EQNXTDZ($A$1,$B6,AJ$1)</f>
        <v>4054493</v>
      </c>
      <c r="AK6" cm="1">
        <f t="array" ref="AK6">_xll.EQNXTDZ($A$1,$B6,AK$1)</f>
        <v>4054493</v>
      </c>
      <c r="AL6" cm="1">
        <f t="array" ref="AL6">_xll.EQNXTDZ($A$1,$B6,AL$1)</f>
        <v>4054493</v>
      </c>
      <c r="AM6" cm="1">
        <f t="array" ref="AM6">_xll.EQNXTDZ($A$1,$B6,AM$1)</f>
        <v>4054493</v>
      </c>
      <c r="AN6" cm="1">
        <f t="array" ref="AN6">_xll.EQNXTDZ($A$1,$B6,AN$1)</f>
        <v>4054493</v>
      </c>
      <c r="AO6" cm="1">
        <f t="array" ref="AO6">_xll.EQNXTDZ($A$1,$B6,AO$1)</f>
        <v>4054493</v>
      </c>
      <c r="AP6" cm="1">
        <f t="array" ref="AP6">_xll.EQNXTDZ($A$1,$B6,AP$1)</f>
        <v>4054493</v>
      </c>
      <c r="AQ6" cm="1">
        <f t="array" ref="AQ6">_xll.EQNXTDZ($A$1,$B6,AQ$1)</f>
        <v>16217972</v>
      </c>
      <c r="AR6" cm="1">
        <f t="array" ref="AR6">_xll.EQNXTDZ($A$1,$B6,AR$1)</f>
        <v>16217972</v>
      </c>
      <c r="AS6" cm="1">
        <f t="array" ref="AS6">_xll.EQNXTDZ($A$1,$B6,AS$1)</f>
        <v>16217972</v>
      </c>
      <c r="AT6" cm="1">
        <f t="array" ref="AT6">_xll.EQNXTDZ($A$1,$B6,AT$1)</f>
        <v>16217972</v>
      </c>
      <c r="AU6" cm="1">
        <f t="array" ref="AU6">_xll.EQNXTDZ($A$1,$B6,AU$1)</f>
        <v>16217972</v>
      </c>
      <c r="AV6" cm="1">
        <f t="array" ref="AV6">_xll.EQNXTDZ($A$1,$B6,AV$1)</f>
        <v>81089860</v>
      </c>
      <c r="AW6" cm="1">
        <f t="array" ref="AW6">_xll.EQNXTDZ($A$1,$B6,AW$1)</f>
        <v>243269580</v>
      </c>
      <c r="AX6" cm="1">
        <f t="array" ref="AX6">_xll.EQNXTDZ($A$1,$B6,AX$1)</f>
        <v>243269580</v>
      </c>
      <c r="AY6" cm="1">
        <f t="array" ref="AY6">_xll.EQNXTDZ($A$1,$B6,AY$1)</f>
        <v>243269580</v>
      </c>
    </row>
    <row r="7" spans="1:51" x14ac:dyDescent="0.25">
      <c r="B7" t="s">
        <v>429</v>
      </c>
      <c r="C7" s="100">
        <f>+C6/10^7</f>
        <v>0.44829999999999998</v>
      </c>
      <c r="D7" s="100">
        <f t="shared" ref="D7:X7" si="0">+D6/10^7</f>
        <v>0.44829999999999998</v>
      </c>
      <c r="E7" s="100">
        <f t="shared" si="0"/>
        <v>0.44829999999999998</v>
      </c>
      <c r="F7" s="100">
        <f t="shared" si="0"/>
        <v>0.44829999999999998</v>
      </c>
      <c r="G7" s="100">
        <f t="shared" si="0"/>
        <v>0.41830000000000001</v>
      </c>
      <c r="H7" s="100">
        <f t="shared" si="0"/>
        <v>0.41830000000000001</v>
      </c>
      <c r="I7" s="100">
        <f t="shared" si="0"/>
        <v>0.41830000000000001</v>
      </c>
      <c r="J7" s="100">
        <f t="shared" si="0"/>
        <v>0.41830000000000001</v>
      </c>
      <c r="K7" s="100">
        <f t="shared" si="0"/>
        <v>0.41830000000000001</v>
      </c>
      <c r="L7" s="100">
        <f t="shared" si="0"/>
        <v>0.40544930000000001</v>
      </c>
      <c r="M7" s="100">
        <f t="shared" si="0"/>
        <v>0.40544930000000001</v>
      </c>
      <c r="N7" s="100">
        <f t="shared" si="0"/>
        <v>0.40544930000000001</v>
      </c>
      <c r="O7" s="100">
        <f t="shared" si="0"/>
        <v>0.40544930000000001</v>
      </c>
      <c r="P7" s="100">
        <f t="shared" si="0"/>
        <v>0.40544930000000001</v>
      </c>
      <c r="Q7" s="100">
        <f t="shared" si="0"/>
        <v>0.40544930000000001</v>
      </c>
      <c r="R7" s="100">
        <f t="shared" si="0"/>
        <v>0.40544930000000001</v>
      </c>
      <c r="S7" s="100">
        <f t="shared" si="0"/>
        <v>0.40544930000000001</v>
      </c>
      <c r="T7" s="100">
        <f t="shared" si="0"/>
        <v>0.40544930000000001</v>
      </c>
      <c r="U7" s="100">
        <f t="shared" si="0"/>
        <v>0.40544930000000001</v>
      </c>
      <c r="V7" s="100">
        <f t="shared" si="0"/>
        <v>0.40544930000000001</v>
      </c>
      <c r="W7" s="100">
        <f t="shared" si="0"/>
        <v>0.40544930000000001</v>
      </c>
      <c r="X7" s="100">
        <f t="shared" si="0"/>
        <v>0.40544930000000001</v>
      </c>
      <c r="Y7" s="100">
        <f t="shared" ref="Y7:AS7" si="1">+Y6/10^7</f>
        <v>0.40544930000000001</v>
      </c>
      <c r="Z7" s="100">
        <f t="shared" si="1"/>
        <v>0.40544930000000001</v>
      </c>
      <c r="AA7" s="100">
        <f t="shared" si="1"/>
        <v>0.40544930000000001</v>
      </c>
      <c r="AB7" s="100">
        <f t="shared" si="1"/>
        <v>0.40544930000000001</v>
      </c>
      <c r="AC7" s="100">
        <f t="shared" si="1"/>
        <v>0.40544930000000001</v>
      </c>
      <c r="AD7" s="100">
        <f t="shared" si="1"/>
        <v>0.40544930000000001</v>
      </c>
      <c r="AE7" s="100">
        <f t="shared" si="1"/>
        <v>0.40544930000000001</v>
      </c>
      <c r="AF7" s="100">
        <f t="shared" si="1"/>
        <v>0.40544930000000001</v>
      </c>
      <c r="AG7" s="100">
        <f t="shared" si="1"/>
        <v>0.40544930000000001</v>
      </c>
      <c r="AH7" s="100">
        <f t="shared" si="1"/>
        <v>0.40544930000000001</v>
      </c>
      <c r="AI7" s="100">
        <f t="shared" si="1"/>
        <v>0.40544930000000001</v>
      </c>
      <c r="AJ7" s="100">
        <f t="shared" si="1"/>
        <v>0.40544930000000001</v>
      </c>
      <c r="AK7" s="100">
        <f t="shared" si="1"/>
        <v>0.40544930000000001</v>
      </c>
      <c r="AL7" s="100">
        <f t="shared" si="1"/>
        <v>0.40544930000000001</v>
      </c>
      <c r="AM7" s="100">
        <f t="shared" si="1"/>
        <v>0.40544930000000001</v>
      </c>
      <c r="AN7" s="100">
        <f t="shared" si="1"/>
        <v>0.40544930000000001</v>
      </c>
      <c r="AO7" s="100">
        <f t="shared" si="1"/>
        <v>0.40544930000000001</v>
      </c>
      <c r="AP7" s="100">
        <f t="shared" si="1"/>
        <v>0.40544930000000001</v>
      </c>
      <c r="AQ7" s="100">
        <f t="shared" si="1"/>
        <v>1.6217972</v>
      </c>
      <c r="AR7" s="100">
        <f t="shared" si="1"/>
        <v>1.6217972</v>
      </c>
      <c r="AS7" s="100">
        <f t="shared" si="1"/>
        <v>1.6217972</v>
      </c>
      <c r="AT7" s="100">
        <f t="shared" ref="AT7:AX7" si="2">+AT6/10^7</f>
        <v>1.6217972</v>
      </c>
      <c r="AU7" s="100">
        <f t="shared" si="2"/>
        <v>1.6217972</v>
      </c>
      <c r="AV7" s="100">
        <f t="shared" si="2"/>
        <v>8.1089859999999998</v>
      </c>
      <c r="AW7" s="100">
        <f t="shared" si="2"/>
        <v>24.326958000000001</v>
      </c>
      <c r="AX7" s="100">
        <f t="shared" si="2"/>
        <v>24.326958000000001</v>
      </c>
      <c r="AY7" s="100">
        <f t="shared" ref="AY7" si="3">+AY6/10^7</f>
        <v>24.326958000000001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132406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2.43513551865452</v>
      </c>
      <c r="C4" s="116">
        <v>2.40504278704188</v>
      </c>
      <c r="D4" s="116">
        <v>2.3131807642243398</v>
      </c>
      <c r="E4" s="116">
        <v>2.40425087305207</v>
      </c>
      <c r="F4" s="116">
        <v>151.85</v>
      </c>
      <c r="G4">
        <v>2168</v>
      </c>
      <c r="H4" s="116"/>
      <c r="I4" s="116"/>
      <c r="L4" s="170">
        <v>45504</v>
      </c>
      <c r="M4" s="116">
        <v>194.21693047660699</v>
      </c>
      <c r="N4" s="116">
        <v>200.90751175746101</v>
      </c>
      <c r="O4" s="116">
        <v>193.874798479291</v>
      </c>
      <c r="P4" s="116">
        <v>200.432328427855</v>
      </c>
      <c r="Q4" s="116">
        <v>204.36</v>
      </c>
      <c r="R4">
        <v>517685</v>
      </c>
    </row>
    <row r="5" spans="1:18" x14ac:dyDescent="0.25">
      <c r="A5" s="170">
        <v>42006</v>
      </c>
      <c r="B5" s="116">
        <v>2.49769672384922</v>
      </c>
      <c r="C5" s="116">
        <v>2.34248158184718</v>
      </c>
      <c r="D5" s="116">
        <v>2.33139478598989</v>
      </c>
      <c r="E5" s="116">
        <v>2.3994993891132301</v>
      </c>
      <c r="F5" s="116">
        <v>147.9</v>
      </c>
      <c r="G5">
        <v>6209</v>
      </c>
      <c r="H5" s="116"/>
      <c r="I5" s="116"/>
      <c r="L5" s="170">
        <v>45505</v>
      </c>
      <c r="M5" s="116">
        <v>189.027928517308</v>
      </c>
      <c r="N5" s="116">
        <v>197.39115511837599</v>
      </c>
      <c r="O5" s="116">
        <v>185.92022954168399</v>
      </c>
      <c r="P5" s="116">
        <v>196.42178112597901</v>
      </c>
      <c r="Q5" s="116">
        <v>198.9</v>
      </c>
      <c r="R5">
        <v>563044</v>
      </c>
    </row>
    <row r="6" spans="1:18" x14ac:dyDescent="0.25">
      <c r="A6" s="170">
        <v>42009</v>
      </c>
      <c r="B6" s="116">
        <v>2.4493899704710298</v>
      </c>
      <c r="C6" s="116">
        <v>2.3488168937656302</v>
      </c>
      <c r="D6" s="116">
        <v>2.2854637745811202</v>
      </c>
      <c r="E6" s="116">
        <v>2.3583198616433001</v>
      </c>
      <c r="F6" s="116">
        <v>148.30000000000001</v>
      </c>
      <c r="G6">
        <v>13146</v>
      </c>
      <c r="H6" s="116"/>
      <c r="I6" s="116"/>
      <c r="L6" s="170">
        <v>45506</v>
      </c>
      <c r="M6" s="116">
        <v>188.17259852401699</v>
      </c>
      <c r="N6" s="116">
        <v>189.968791509928</v>
      </c>
      <c r="O6" s="116">
        <v>183.420765227956</v>
      </c>
      <c r="P6" s="116">
        <v>185.32149854638101</v>
      </c>
      <c r="Q6" s="116">
        <v>198</v>
      </c>
      <c r="R6">
        <v>416358</v>
      </c>
    </row>
    <row r="7" spans="1:18" x14ac:dyDescent="0.25">
      <c r="A7" s="170">
        <v>42010</v>
      </c>
      <c r="B7" s="116">
        <v>2.4850261000123202</v>
      </c>
      <c r="C7" s="116">
        <v>2.4335516906749102</v>
      </c>
      <c r="D7" s="116">
        <v>2.2886314305403399</v>
      </c>
      <c r="E7" s="116">
        <v>2.2886314305403399</v>
      </c>
      <c r="F7" s="116">
        <v>153.65</v>
      </c>
      <c r="G7">
        <v>11149</v>
      </c>
      <c r="H7" s="116"/>
      <c r="I7" s="116"/>
      <c r="L7" s="170">
        <v>45509</v>
      </c>
      <c r="M7" s="116">
        <v>176.39755561637801</v>
      </c>
      <c r="N7" s="116">
        <v>181.99521523913799</v>
      </c>
      <c r="O7" s="116">
        <v>172.97623564321401</v>
      </c>
      <c r="P7" s="116">
        <v>172.97623564321401</v>
      </c>
      <c r="Q7" s="116">
        <v>185.61</v>
      </c>
      <c r="R7">
        <v>1489699</v>
      </c>
    </row>
    <row r="8" spans="1:18" x14ac:dyDescent="0.25">
      <c r="A8" s="170">
        <v>42011</v>
      </c>
      <c r="B8" s="116">
        <v>2.5016562937982498</v>
      </c>
      <c r="C8" s="116">
        <v>2.36069560361272</v>
      </c>
      <c r="D8" s="116">
        <v>2.3377300979083402</v>
      </c>
      <c r="E8" s="116">
        <v>2.4390950886035498</v>
      </c>
      <c r="F8" s="116">
        <v>149.05000000000001</v>
      </c>
      <c r="G8">
        <v>8179</v>
      </c>
      <c r="H8" s="116"/>
      <c r="I8" s="116"/>
      <c r="L8" s="170">
        <v>45510</v>
      </c>
      <c r="M8" s="116">
        <v>174.69639929638799</v>
      </c>
      <c r="N8" s="116">
        <v>185.32149854638101</v>
      </c>
      <c r="O8" s="116">
        <v>171.16103532411901</v>
      </c>
      <c r="P8" s="116">
        <v>177.69955793949899</v>
      </c>
      <c r="Q8" s="116">
        <v>183.82</v>
      </c>
      <c r="R8">
        <v>646183</v>
      </c>
    </row>
    <row r="9" spans="1:18" x14ac:dyDescent="0.25">
      <c r="A9" s="170">
        <v>42012</v>
      </c>
      <c r="B9" s="116">
        <v>2.5198703155638</v>
      </c>
      <c r="C9" s="116">
        <v>2.4874018419817401</v>
      </c>
      <c r="D9" s="116">
        <v>2.2965505704384102</v>
      </c>
      <c r="E9" s="116">
        <v>2.3757419694190398</v>
      </c>
      <c r="F9" s="116">
        <v>157.05000000000001</v>
      </c>
      <c r="G9">
        <v>18947</v>
      </c>
      <c r="H9" s="116"/>
      <c r="I9" s="116"/>
      <c r="L9" s="170">
        <v>45511</v>
      </c>
      <c r="M9" s="116">
        <v>182.06174090528299</v>
      </c>
      <c r="N9" s="116">
        <v>183.89594855756201</v>
      </c>
      <c r="O9" s="116">
        <v>175.81783195425899</v>
      </c>
      <c r="P9" s="116">
        <v>179.619298591107</v>
      </c>
      <c r="Q9" s="116">
        <v>191.57</v>
      </c>
      <c r="R9">
        <v>562517</v>
      </c>
    </row>
    <row r="10" spans="1:18" x14ac:dyDescent="0.25">
      <c r="A10" s="170">
        <v>42013</v>
      </c>
      <c r="B10" s="116">
        <v>2.7716989643222201</v>
      </c>
      <c r="C10" s="116">
        <v>2.7455658026586098</v>
      </c>
      <c r="D10" s="116">
        <v>2.5341247673803098</v>
      </c>
      <c r="E10" s="116">
        <v>2.6133161663609501</v>
      </c>
      <c r="F10" s="116">
        <v>173.35</v>
      </c>
      <c r="G10">
        <v>48059</v>
      </c>
      <c r="H10" s="116"/>
      <c r="I10" s="116"/>
      <c r="L10" s="170">
        <v>45512</v>
      </c>
      <c r="M10" s="116">
        <v>179.67632059066</v>
      </c>
      <c r="N10" s="116">
        <v>182.793523232876</v>
      </c>
      <c r="O10" s="116">
        <v>178.81148693077699</v>
      </c>
      <c r="P10" s="116">
        <v>182.06174090528299</v>
      </c>
      <c r="Q10" s="116">
        <v>189.06</v>
      </c>
      <c r="R10">
        <v>357226</v>
      </c>
    </row>
    <row r="11" spans="1:18" x14ac:dyDescent="0.25">
      <c r="A11" s="170">
        <v>42016</v>
      </c>
      <c r="B11" s="116">
        <v>2.9775966016718698</v>
      </c>
      <c r="C11" s="116">
        <v>2.7867453301285399</v>
      </c>
      <c r="D11" s="116">
        <v>2.6932994793313898</v>
      </c>
      <c r="E11" s="116">
        <v>2.7716989643222201</v>
      </c>
      <c r="F11" s="116">
        <v>175.95</v>
      </c>
      <c r="G11">
        <v>52390</v>
      </c>
      <c r="H11" s="116"/>
      <c r="I11" s="116"/>
      <c r="L11" s="170">
        <v>45513</v>
      </c>
      <c r="M11" s="116">
        <v>177.33841860899801</v>
      </c>
      <c r="N11" s="116">
        <v>182.26131790371701</v>
      </c>
      <c r="O11" s="116">
        <v>175.72279528833701</v>
      </c>
      <c r="P11" s="116">
        <v>182.26131790371701</v>
      </c>
      <c r="Q11" s="116">
        <v>186.6</v>
      </c>
      <c r="R11">
        <v>521211</v>
      </c>
    </row>
    <row r="12" spans="1:18" x14ac:dyDescent="0.25">
      <c r="A12" s="170">
        <v>42017</v>
      </c>
      <c r="B12" s="116">
        <v>2.3757419694190398</v>
      </c>
      <c r="C12" s="116">
        <v>2.2656659248359601</v>
      </c>
      <c r="D12" s="116">
        <v>2.2300297952946702</v>
      </c>
      <c r="E12" s="116">
        <v>2.3757419694190398</v>
      </c>
      <c r="F12" s="116">
        <v>143.05000000000001</v>
      </c>
      <c r="G12">
        <v>67021</v>
      </c>
      <c r="H12" s="116"/>
      <c r="I12" s="116"/>
      <c r="L12" s="170">
        <v>45516</v>
      </c>
      <c r="M12" s="116">
        <v>182.66997556717899</v>
      </c>
      <c r="N12" s="116">
        <v>186.84208520112</v>
      </c>
      <c r="O12" s="116">
        <v>171.23706465685601</v>
      </c>
      <c r="P12" s="116">
        <v>174.40178563203199</v>
      </c>
      <c r="Q12" s="116">
        <v>192.21</v>
      </c>
      <c r="R12">
        <v>1060631</v>
      </c>
    </row>
    <row r="13" spans="1:18" x14ac:dyDescent="0.25">
      <c r="A13" s="170">
        <v>42018</v>
      </c>
      <c r="B13" s="116">
        <v>2.4549333683996801</v>
      </c>
      <c r="C13" s="116">
        <v>2.3345624419491098</v>
      </c>
      <c r="D13" s="116">
        <v>2.2886314305403399</v>
      </c>
      <c r="E13" s="116">
        <v>2.2886314305403399</v>
      </c>
      <c r="F13" s="116">
        <v>147.4</v>
      </c>
      <c r="G13">
        <v>13704</v>
      </c>
      <c r="H13" s="116"/>
      <c r="I13" s="116"/>
      <c r="L13" s="170">
        <v>45517</v>
      </c>
      <c r="M13" s="116">
        <v>175.17158262599401</v>
      </c>
      <c r="N13" s="116">
        <v>184.75127855085299</v>
      </c>
      <c r="O13" s="116">
        <v>173.91709863583401</v>
      </c>
      <c r="P13" s="116">
        <v>184.75127855085299</v>
      </c>
      <c r="Q13" s="116">
        <v>184.32</v>
      </c>
      <c r="R13">
        <v>655173</v>
      </c>
    </row>
    <row r="14" spans="1:18" x14ac:dyDescent="0.25">
      <c r="A14" s="170">
        <v>42019</v>
      </c>
      <c r="B14" s="116">
        <v>2.41217001295013</v>
      </c>
      <c r="C14" s="116">
        <v>2.3218918181122099</v>
      </c>
      <c r="D14" s="116">
        <v>2.2965505704384102</v>
      </c>
      <c r="E14" s="116">
        <v>2.2965505704384102</v>
      </c>
      <c r="F14" s="116">
        <v>146.6</v>
      </c>
      <c r="G14">
        <v>2176</v>
      </c>
      <c r="H14" s="116"/>
      <c r="I14" s="116"/>
      <c r="L14" s="170">
        <v>45518</v>
      </c>
      <c r="M14" s="116">
        <v>169.29831667206301</v>
      </c>
      <c r="N14" s="116">
        <v>174.867465295046</v>
      </c>
      <c r="O14" s="116">
        <v>167.79673735050801</v>
      </c>
      <c r="P14" s="116">
        <v>174.03114263494001</v>
      </c>
      <c r="Q14" s="116">
        <v>178.14</v>
      </c>
      <c r="R14">
        <v>962410</v>
      </c>
    </row>
    <row r="15" spans="1:18" x14ac:dyDescent="0.25">
      <c r="A15" s="170">
        <v>42020</v>
      </c>
      <c r="B15" s="116">
        <v>2.37495005542924</v>
      </c>
      <c r="C15" s="116">
        <v>2.2086481175699002</v>
      </c>
      <c r="D15" s="116">
        <v>2.0779823092518601</v>
      </c>
      <c r="E15" s="116">
        <v>2.37495005542924</v>
      </c>
      <c r="F15" s="116">
        <v>139.44999999999999</v>
      </c>
      <c r="G15">
        <v>8101</v>
      </c>
      <c r="H15" s="116"/>
      <c r="I15" s="116"/>
      <c r="L15" s="170">
        <v>45520</v>
      </c>
      <c r="M15" s="116">
        <v>170.21066866490699</v>
      </c>
      <c r="N15" s="116">
        <v>174.867465295046</v>
      </c>
      <c r="O15" s="116">
        <v>168.21489868056099</v>
      </c>
      <c r="P15" s="116">
        <v>173.936105969018</v>
      </c>
      <c r="Q15" s="116">
        <v>179.1</v>
      </c>
      <c r="R15">
        <v>571193</v>
      </c>
    </row>
    <row r="16" spans="1:18" x14ac:dyDescent="0.25">
      <c r="A16" s="170">
        <v>42023</v>
      </c>
      <c r="B16" s="116">
        <v>2.29813439841802</v>
      </c>
      <c r="C16" s="116">
        <v>2.1144103527829499</v>
      </c>
      <c r="D16" s="116">
        <v>2.0621440294557298</v>
      </c>
      <c r="E16" s="116">
        <v>2.1144103527829499</v>
      </c>
      <c r="F16" s="116">
        <v>133.5</v>
      </c>
      <c r="G16">
        <v>18140</v>
      </c>
      <c r="H16" s="116"/>
      <c r="I16" s="116"/>
      <c r="L16" s="170">
        <v>45523</v>
      </c>
      <c r="M16" s="116">
        <v>172.52005964679199</v>
      </c>
      <c r="N16" s="116">
        <v>174.47781496476901</v>
      </c>
      <c r="O16" s="116">
        <v>170.21066866490699</v>
      </c>
      <c r="P16" s="116">
        <v>170.21066866490699</v>
      </c>
      <c r="Q16" s="116">
        <v>181.53</v>
      </c>
      <c r="R16">
        <v>479015</v>
      </c>
    </row>
    <row r="17" spans="1:18" x14ac:dyDescent="0.25">
      <c r="A17" s="170">
        <v>42024</v>
      </c>
      <c r="B17" s="116">
        <v>2.18251495590629</v>
      </c>
      <c r="C17" s="116">
        <v>2.0336351258227001</v>
      </c>
      <c r="D17" s="116">
        <v>2.0082938781488999</v>
      </c>
      <c r="E17" s="116">
        <v>2.1381677724771402</v>
      </c>
      <c r="F17" s="116">
        <v>128.4</v>
      </c>
      <c r="G17">
        <v>20480</v>
      </c>
      <c r="H17" s="116"/>
      <c r="I17" s="116"/>
      <c r="L17" s="170">
        <v>45524</v>
      </c>
      <c r="M17" s="116">
        <v>173.96461696879501</v>
      </c>
      <c r="N17" s="116">
        <v>179.486247258818</v>
      </c>
      <c r="O17" s="116">
        <v>172.10189831673901</v>
      </c>
      <c r="P17" s="116">
        <v>174.89597629482299</v>
      </c>
      <c r="Q17" s="116">
        <v>183.05</v>
      </c>
      <c r="R17">
        <v>501545</v>
      </c>
    </row>
    <row r="18" spans="1:18" x14ac:dyDescent="0.25">
      <c r="A18" s="170">
        <v>42025</v>
      </c>
      <c r="B18" s="116">
        <v>2.0589763734964999</v>
      </c>
      <c r="C18" s="116">
        <v>2.0320512978430898</v>
      </c>
      <c r="D18" s="116">
        <v>1.94969224290323</v>
      </c>
      <c r="E18" s="116">
        <v>1.97978497451587</v>
      </c>
      <c r="F18" s="116">
        <v>128.30000000000001</v>
      </c>
      <c r="G18">
        <v>4624</v>
      </c>
      <c r="H18" s="116"/>
      <c r="I18" s="116"/>
      <c r="L18" s="170">
        <v>45525</v>
      </c>
      <c r="M18" s="116">
        <v>176.616139947997</v>
      </c>
      <c r="N18" s="116">
        <v>181.52003190953201</v>
      </c>
      <c r="O18" s="116">
        <v>171.35110865596101</v>
      </c>
      <c r="P18" s="116">
        <v>173.698514304215</v>
      </c>
      <c r="Q18" s="116">
        <v>185.84</v>
      </c>
      <c r="R18">
        <v>1432559</v>
      </c>
    </row>
    <row r="19" spans="1:18" x14ac:dyDescent="0.25">
      <c r="A19" s="170">
        <v>42026</v>
      </c>
      <c r="B19" s="116">
        <v>2.1524222242936499</v>
      </c>
      <c r="C19" s="116">
        <v>2.0510572335984398</v>
      </c>
      <c r="D19" s="116">
        <v>2.0114615341081201</v>
      </c>
      <c r="E19" s="116">
        <v>2.0114615341081201</v>
      </c>
      <c r="F19" s="116">
        <v>129.5</v>
      </c>
      <c r="G19">
        <v>10837</v>
      </c>
      <c r="H19" s="116"/>
      <c r="I19" s="116"/>
      <c r="L19" s="170">
        <v>45526</v>
      </c>
      <c r="M19" s="116">
        <v>181.548542909308</v>
      </c>
      <c r="N19" s="116">
        <v>185.226461880459</v>
      </c>
      <c r="O19" s="116">
        <v>178.20325226888099</v>
      </c>
      <c r="P19" s="116">
        <v>179.14411526150101</v>
      </c>
      <c r="Q19" s="116">
        <v>191.03</v>
      </c>
      <c r="R19">
        <v>1197650</v>
      </c>
    </row>
    <row r="20" spans="1:18" x14ac:dyDescent="0.25">
      <c r="A20" s="170">
        <v>42027</v>
      </c>
      <c r="B20" s="116">
        <v>2.0589763734964999</v>
      </c>
      <c r="C20" s="116">
        <v>1.96553052269935</v>
      </c>
      <c r="D20" s="116">
        <v>1.7786388211050601</v>
      </c>
      <c r="E20" s="116">
        <v>2.0589763734964999</v>
      </c>
      <c r="F20" s="116">
        <v>124.1</v>
      </c>
      <c r="G20">
        <v>10747</v>
      </c>
      <c r="H20" s="116"/>
      <c r="I20" s="116"/>
      <c r="L20" s="170">
        <v>45527</v>
      </c>
      <c r="M20" s="116">
        <v>178.01317893703899</v>
      </c>
      <c r="N20" s="116">
        <v>183.420765227956</v>
      </c>
      <c r="O20" s="116">
        <v>177.26238927626099</v>
      </c>
      <c r="P20" s="116">
        <v>182.37536190282299</v>
      </c>
      <c r="Q20" s="116">
        <v>187.31</v>
      </c>
      <c r="R20">
        <v>354569</v>
      </c>
    </row>
    <row r="21" spans="1:18" x14ac:dyDescent="0.25">
      <c r="A21" s="170">
        <v>42031</v>
      </c>
      <c r="B21" s="116">
        <v>2.05422488955766</v>
      </c>
      <c r="C21" s="116">
        <v>2.0209645019857998</v>
      </c>
      <c r="D21" s="116">
        <v>1.8705008439225901</v>
      </c>
      <c r="E21" s="116">
        <v>1.8705008439225901</v>
      </c>
      <c r="F21" s="116">
        <v>127.6</v>
      </c>
      <c r="G21">
        <v>5227</v>
      </c>
      <c r="H21" s="116"/>
      <c r="I21" s="116"/>
      <c r="L21" s="170">
        <v>45530</v>
      </c>
      <c r="M21" s="116">
        <v>175.941379619956</v>
      </c>
      <c r="N21" s="116">
        <v>179.410217926081</v>
      </c>
      <c r="O21" s="116">
        <v>174.867465295046</v>
      </c>
      <c r="P21" s="116">
        <v>179.410217926081</v>
      </c>
      <c r="Q21" s="116">
        <v>185.13</v>
      </c>
      <c r="R21">
        <v>494457</v>
      </c>
    </row>
    <row r="22" spans="1:18" x14ac:dyDescent="0.25">
      <c r="A22" s="170">
        <v>42032</v>
      </c>
      <c r="B22" s="116">
        <v>2.0589763734964999</v>
      </c>
      <c r="C22" s="116">
        <v>1.96077903876052</v>
      </c>
      <c r="D22" s="116">
        <v>1.9481084149236101</v>
      </c>
      <c r="E22" s="116">
        <v>2.0114615341081201</v>
      </c>
      <c r="F22" s="116">
        <v>123.8</v>
      </c>
      <c r="G22">
        <v>5919</v>
      </c>
      <c r="H22" s="116"/>
      <c r="I22" s="116"/>
      <c r="L22" s="170">
        <v>45531</v>
      </c>
      <c r="M22" s="116">
        <v>175.73229895492901</v>
      </c>
      <c r="N22" s="116">
        <v>177.46196627469601</v>
      </c>
      <c r="O22" s="116">
        <v>173.91709863583401</v>
      </c>
      <c r="P22" s="116">
        <v>176.57812528162799</v>
      </c>
      <c r="Q22" s="116">
        <v>184.91</v>
      </c>
      <c r="R22">
        <v>427490</v>
      </c>
    </row>
    <row r="23" spans="1:18" x14ac:dyDescent="0.25">
      <c r="A23" s="170">
        <v>42033</v>
      </c>
      <c r="B23" s="116">
        <v>2.04947340561883</v>
      </c>
      <c r="C23" s="116">
        <v>1.80556389675847</v>
      </c>
      <c r="D23" s="116">
        <v>1.7263724977778401</v>
      </c>
      <c r="E23" s="116">
        <v>2.04947340561883</v>
      </c>
      <c r="F23" s="116">
        <v>114</v>
      </c>
      <c r="G23">
        <v>13480</v>
      </c>
      <c r="H23" s="116"/>
      <c r="I23" s="116"/>
      <c r="L23" s="170">
        <v>45532</v>
      </c>
      <c r="M23" s="116">
        <v>172.96673197662199</v>
      </c>
      <c r="N23" s="116">
        <v>176.89174627916799</v>
      </c>
      <c r="O23" s="116">
        <v>171.88331398512</v>
      </c>
      <c r="P23" s="116">
        <v>176.67316194755</v>
      </c>
      <c r="Q23" s="116">
        <v>182</v>
      </c>
      <c r="R23">
        <v>630892</v>
      </c>
    </row>
    <row r="24" spans="1:18" x14ac:dyDescent="0.25">
      <c r="A24" s="170">
        <v>42034</v>
      </c>
      <c r="B24" s="116">
        <v>1.87208467190221</v>
      </c>
      <c r="C24" s="116">
        <v>1.8150668646361501</v>
      </c>
      <c r="D24" s="116">
        <v>1.78339030504389</v>
      </c>
      <c r="E24" s="116">
        <v>1.86099787604492</v>
      </c>
      <c r="F24" s="116">
        <v>114.6</v>
      </c>
      <c r="G24">
        <v>13631</v>
      </c>
      <c r="H24" s="116"/>
      <c r="I24" s="116"/>
      <c r="L24" s="170">
        <v>45533</v>
      </c>
      <c r="M24" s="116">
        <v>167.91078134961299</v>
      </c>
      <c r="N24" s="116">
        <v>174.867465295046</v>
      </c>
      <c r="O24" s="116">
        <v>166.31416536213601</v>
      </c>
      <c r="P24" s="116">
        <v>174.867465295046</v>
      </c>
      <c r="Q24" s="116">
        <v>176.68</v>
      </c>
      <c r="R24">
        <v>785295</v>
      </c>
    </row>
    <row r="25" spans="1:18" x14ac:dyDescent="0.25">
      <c r="A25" s="170">
        <v>42037</v>
      </c>
      <c r="B25" s="116">
        <v>1.9481084149236101</v>
      </c>
      <c r="C25" s="116">
        <v>1.92751865118865</v>
      </c>
      <c r="D25" s="116">
        <v>1.71053421798171</v>
      </c>
      <c r="E25" s="116">
        <v>1.77388733716622</v>
      </c>
      <c r="F25" s="116">
        <v>121.7</v>
      </c>
      <c r="G25">
        <v>10466</v>
      </c>
      <c r="H25" s="116"/>
      <c r="I25" s="116"/>
      <c r="L25" s="170">
        <v>45534</v>
      </c>
      <c r="M25" s="116">
        <v>168.83263700904899</v>
      </c>
      <c r="N25" s="116">
        <v>171.29408665640801</v>
      </c>
      <c r="O25" s="116">
        <v>167.34056135408599</v>
      </c>
      <c r="P25" s="116">
        <v>167.92028501620501</v>
      </c>
      <c r="Q25" s="116">
        <v>177.65</v>
      </c>
      <c r="R25">
        <v>417377</v>
      </c>
    </row>
    <row r="26" spans="1:18" x14ac:dyDescent="0.25">
      <c r="A26" s="170">
        <v>42038</v>
      </c>
      <c r="B26" s="116">
        <v>2.0177968460265698</v>
      </c>
      <c r="C26" s="116">
        <v>1.93543779108671</v>
      </c>
      <c r="D26" s="116">
        <v>1.8404081123099501</v>
      </c>
      <c r="E26" s="116">
        <v>1.9085127154332999</v>
      </c>
      <c r="F26" s="116">
        <v>122.2</v>
      </c>
      <c r="G26">
        <v>8177</v>
      </c>
      <c r="H26" s="116"/>
      <c r="I26" s="116"/>
      <c r="L26" s="170">
        <v>45537</v>
      </c>
      <c r="M26" s="116">
        <v>164.23286237846199</v>
      </c>
      <c r="N26" s="116">
        <v>170.10612833239301</v>
      </c>
      <c r="O26" s="116">
        <v>163.4630653845</v>
      </c>
      <c r="P26" s="116">
        <v>169.83052200122199</v>
      </c>
      <c r="Q26" s="116">
        <v>172.81</v>
      </c>
      <c r="R26">
        <v>616526</v>
      </c>
    </row>
    <row r="27" spans="1:18" x14ac:dyDescent="0.25">
      <c r="A27" s="170">
        <v>42039</v>
      </c>
      <c r="B27" s="116">
        <v>2.05422488955766</v>
      </c>
      <c r="C27" s="116">
        <v>2.0003747382508301</v>
      </c>
      <c r="D27" s="116">
        <v>1.9037612314944601</v>
      </c>
      <c r="E27" s="116">
        <v>1.96869817865858</v>
      </c>
      <c r="F27" s="116">
        <v>126.3</v>
      </c>
      <c r="G27">
        <v>10052</v>
      </c>
      <c r="H27" s="116"/>
      <c r="I27" s="116"/>
      <c r="L27" s="170">
        <v>45538</v>
      </c>
      <c r="M27" s="116">
        <v>165.48734636862201</v>
      </c>
      <c r="N27" s="116">
        <v>169.393353337984</v>
      </c>
      <c r="O27" s="116">
        <v>163.56760571701301</v>
      </c>
      <c r="P27" s="116">
        <v>164.22335871186999</v>
      </c>
      <c r="Q27" s="116">
        <v>174.13</v>
      </c>
      <c r="R27">
        <v>396354</v>
      </c>
    </row>
    <row r="28" spans="1:18" x14ac:dyDescent="0.25">
      <c r="A28" s="170">
        <v>42040</v>
      </c>
      <c r="B28" s="116">
        <v>2.0336351258227001</v>
      </c>
      <c r="C28" s="116">
        <v>1.9227671672498099</v>
      </c>
      <c r="D28" s="116">
        <v>1.9005935755352299</v>
      </c>
      <c r="E28" s="116">
        <v>2.0336351258227001</v>
      </c>
      <c r="F28" s="116">
        <v>121.4</v>
      </c>
      <c r="G28">
        <v>2170</v>
      </c>
      <c r="H28" s="116"/>
      <c r="I28" s="116"/>
      <c r="L28" s="170">
        <v>45539</v>
      </c>
      <c r="M28" s="116">
        <v>162.97837838830199</v>
      </c>
      <c r="N28" s="116">
        <v>165.03117037219999</v>
      </c>
      <c r="O28" s="116">
        <v>161.85694573043099</v>
      </c>
      <c r="P28" s="116">
        <v>164.394424710528</v>
      </c>
      <c r="Q28" s="116">
        <v>171.49</v>
      </c>
      <c r="R28">
        <v>507779</v>
      </c>
    </row>
    <row r="29" spans="1:18" x14ac:dyDescent="0.25">
      <c r="A29" s="170">
        <v>42041</v>
      </c>
      <c r="B29" s="116">
        <v>1.9639466947197399</v>
      </c>
      <c r="C29" s="116">
        <v>1.92435099522942</v>
      </c>
      <c r="D29" s="116">
        <v>1.80239624079925</v>
      </c>
      <c r="E29" s="116">
        <v>1.80239624079925</v>
      </c>
      <c r="F29" s="116">
        <v>121.5</v>
      </c>
      <c r="G29">
        <v>3700</v>
      </c>
      <c r="H29" s="116"/>
      <c r="I29" s="116"/>
      <c r="L29" s="170">
        <v>45540</v>
      </c>
      <c r="M29" s="116">
        <v>166.73232669218999</v>
      </c>
      <c r="N29" s="116">
        <v>169.022710340891</v>
      </c>
      <c r="O29" s="116">
        <v>164.11881837935599</v>
      </c>
      <c r="P29" s="116">
        <v>164.31839537779101</v>
      </c>
      <c r="Q29" s="116">
        <v>175.44</v>
      </c>
      <c r="R29">
        <v>651254</v>
      </c>
    </row>
    <row r="30" spans="1:18" x14ac:dyDescent="0.25">
      <c r="A30" s="170">
        <v>42044</v>
      </c>
      <c r="B30" s="116">
        <v>1.9782011465362599</v>
      </c>
      <c r="C30" s="116">
        <v>1.8530787361468499</v>
      </c>
      <c r="D30" s="116">
        <v>1.6313428190010799</v>
      </c>
      <c r="E30" s="116">
        <v>1.75804905737009</v>
      </c>
      <c r="F30" s="116">
        <v>117</v>
      </c>
      <c r="G30">
        <v>177</v>
      </c>
      <c r="H30" s="116"/>
      <c r="I30" s="116"/>
      <c r="L30" s="170">
        <v>45541</v>
      </c>
      <c r="M30" s="116">
        <v>163.833708381593</v>
      </c>
      <c r="N30" s="116">
        <v>167.72070801777099</v>
      </c>
      <c r="O30" s="116">
        <v>162.75029039009101</v>
      </c>
      <c r="P30" s="116">
        <v>167.635175018441</v>
      </c>
      <c r="Q30" s="116">
        <v>172.39</v>
      </c>
      <c r="R30">
        <v>428867</v>
      </c>
    </row>
    <row r="31" spans="1:18" x14ac:dyDescent="0.25">
      <c r="A31" s="170">
        <v>42045</v>
      </c>
      <c r="B31" s="116">
        <v>1.97661731855664</v>
      </c>
      <c r="C31" s="116">
        <v>1.8404081123099501</v>
      </c>
      <c r="D31" s="116">
        <v>1.83248897241189</v>
      </c>
      <c r="E31" s="116">
        <v>1.97661731855664</v>
      </c>
      <c r="F31" s="116">
        <v>116.2</v>
      </c>
      <c r="G31">
        <v>427</v>
      </c>
      <c r="H31" s="116"/>
      <c r="I31" s="116"/>
      <c r="L31" s="170">
        <v>45544</v>
      </c>
      <c r="M31" s="116">
        <v>158.606691755925</v>
      </c>
      <c r="N31" s="116">
        <v>162.94036372193301</v>
      </c>
      <c r="O31" s="116">
        <v>157.76086542922701</v>
      </c>
      <c r="P31" s="116">
        <v>162.36064005981399</v>
      </c>
      <c r="Q31" s="116">
        <v>166.89</v>
      </c>
      <c r="R31">
        <v>602117</v>
      </c>
    </row>
    <row r="32" spans="1:18" x14ac:dyDescent="0.25">
      <c r="A32" s="170">
        <v>42046</v>
      </c>
      <c r="B32" s="116">
        <v>1.9639466947197399</v>
      </c>
      <c r="C32" s="116">
        <v>1.9417731030051599</v>
      </c>
      <c r="D32" s="116">
        <v>1.91643185533136</v>
      </c>
      <c r="E32" s="116">
        <v>1.9528598988624499</v>
      </c>
      <c r="F32" s="116">
        <v>122.6</v>
      </c>
      <c r="G32">
        <v>3823</v>
      </c>
      <c r="H32" s="116"/>
      <c r="I32" s="116"/>
      <c r="L32" s="170">
        <v>45545</v>
      </c>
      <c r="M32" s="116">
        <v>161.66687239858899</v>
      </c>
      <c r="N32" s="116">
        <v>166.266647029176</v>
      </c>
      <c r="O32" s="116">
        <v>159.19591908463701</v>
      </c>
      <c r="P32" s="116">
        <v>159.19591908463701</v>
      </c>
      <c r="Q32" s="116">
        <v>170.11</v>
      </c>
      <c r="R32">
        <v>463779</v>
      </c>
    </row>
    <row r="33" spans="1:18" x14ac:dyDescent="0.25">
      <c r="A33" s="170">
        <v>42047</v>
      </c>
      <c r="B33" s="116">
        <v>2.0589763734964999</v>
      </c>
      <c r="C33" s="116">
        <v>2.0320512978430898</v>
      </c>
      <c r="D33" s="116">
        <v>1.9338539631070999</v>
      </c>
      <c r="E33" s="116">
        <v>1.9481084149236101</v>
      </c>
      <c r="F33" s="116">
        <v>128.30000000000001</v>
      </c>
      <c r="G33">
        <v>12228</v>
      </c>
      <c r="H33" s="116"/>
      <c r="I33" s="116"/>
      <c r="L33" s="170">
        <v>45546</v>
      </c>
      <c r="M33" s="116">
        <v>163.73867171567099</v>
      </c>
      <c r="N33" s="116">
        <v>167.09346602269</v>
      </c>
      <c r="O33" s="116">
        <v>161.99950072931301</v>
      </c>
      <c r="P33" s="116">
        <v>162.41766205936599</v>
      </c>
      <c r="Q33" s="116">
        <v>172.29</v>
      </c>
      <c r="R33">
        <v>430587</v>
      </c>
    </row>
    <row r="34" spans="1:18" x14ac:dyDescent="0.25">
      <c r="A34" s="170">
        <v>42048</v>
      </c>
      <c r="B34" s="116">
        <v>2.0938205890479802</v>
      </c>
      <c r="C34" s="116">
        <v>2.0336351258227001</v>
      </c>
      <c r="D34" s="116">
        <v>1.9813688024954801</v>
      </c>
      <c r="E34" s="116">
        <v>2.0478895776392099</v>
      </c>
      <c r="F34" s="116">
        <v>128.4</v>
      </c>
      <c r="G34">
        <v>3415</v>
      </c>
      <c r="H34" s="116"/>
      <c r="I34" s="116"/>
      <c r="L34" s="170">
        <v>45547</v>
      </c>
      <c r="M34" s="116">
        <v>162.18007039456299</v>
      </c>
      <c r="N34" s="116">
        <v>165.16422170448999</v>
      </c>
      <c r="O34" s="116">
        <v>159.918197745638</v>
      </c>
      <c r="P34" s="116">
        <v>163.73867171567099</v>
      </c>
      <c r="Q34" s="116">
        <v>170.65</v>
      </c>
      <c r="R34">
        <v>442569</v>
      </c>
    </row>
    <row r="35" spans="1:18" x14ac:dyDescent="0.25">
      <c r="A35" s="170">
        <v>42051</v>
      </c>
      <c r="B35" s="116">
        <v>2.1144103527829499</v>
      </c>
      <c r="C35" s="116">
        <v>1.97978497451587</v>
      </c>
      <c r="D35" s="116">
        <v>1.9560275548216799</v>
      </c>
      <c r="E35" s="116">
        <v>1.99087177037316</v>
      </c>
      <c r="F35" s="116">
        <v>125</v>
      </c>
      <c r="G35">
        <v>2556</v>
      </c>
      <c r="H35" s="116"/>
      <c r="I35" s="116"/>
      <c r="L35" s="170">
        <v>45548</v>
      </c>
      <c r="M35" s="116">
        <v>160.18430041021799</v>
      </c>
      <c r="N35" s="116">
        <v>163.11142972059099</v>
      </c>
      <c r="O35" s="116">
        <v>159.48102908240099</v>
      </c>
      <c r="P35" s="116">
        <v>159.68060608083499</v>
      </c>
      <c r="Q35" s="116">
        <v>168.55</v>
      </c>
      <c r="R35">
        <v>528244</v>
      </c>
    </row>
    <row r="36" spans="1:18" x14ac:dyDescent="0.25">
      <c r="A36" s="170">
        <v>42053</v>
      </c>
      <c r="B36" s="116">
        <v>2.2807122906422799</v>
      </c>
      <c r="C36" s="116">
        <v>2.1840987838859101</v>
      </c>
      <c r="D36" s="116">
        <v>2.06056020147612</v>
      </c>
      <c r="E36" s="116">
        <v>2.1049073849052702</v>
      </c>
      <c r="F36" s="116">
        <v>137.9</v>
      </c>
      <c r="G36">
        <v>26969</v>
      </c>
      <c r="H36" s="116"/>
      <c r="I36" s="116"/>
      <c r="L36" s="170">
        <v>45551</v>
      </c>
      <c r="M36" s="116">
        <v>159.965716078599</v>
      </c>
      <c r="N36" s="116">
        <v>163.719664382487</v>
      </c>
      <c r="O36" s="116">
        <v>159.11038608530799</v>
      </c>
      <c r="P36" s="116">
        <v>160.602461740271</v>
      </c>
      <c r="Q36" s="116">
        <v>168.32</v>
      </c>
      <c r="R36">
        <v>490647</v>
      </c>
    </row>
    <row r="37" spans="1:18" x14ac:dyDescent="0.25">
      <c r="A37" s="170">
        <v>42054</v>
      </c>
      <c r="B37" s="116">
        <v>2.2743769787238302</v>
      </c>
      <c r="C37" s="116">
        <v>2.07956613723147</v>
      </c>
      <c r="D37" s="116">
        <v>2.0114615341081201</v>
      </c>
      <c r="E37" s="116">
        <v>2.2743769787238302</v>
      </c>
      <c r="F37" s="116">
        <v>131.30000000000001</v>
      </c>
      <c r="G37">
        <v>6727</v>
      </c>
      <c r="H37" s="116"/>
      <c r="I37" s="116"/>
      <c r="L37" s="170">
        <v>45552</v>
      </c>
      <c r="M37" s="116">
        <v>160.95409740418</v>
      </c>
      <c r="N37" s="116">
        <v>164.42293571030399</v>
      </c>
      <c r="O37" s="116">
        <v>158.654210088886</v>
      </c>
      <c r="P37" s="116">
        <v>160.07976007770401</v>
      </c>
      <c r="Q37" s="116">
        <v>169.36</v>
      </c>
      <c r="R37">
        <v>542988</v>
      </c>
    </row>
    <row r="38" spans="1:18" x14ac:dyDescent="0.25">
      <c r="A38" s="170">
        <v>42055</v>
      </c>
      <c r="B38" s="116">
        <v>2.1381677724771402</v>
      </c>
      <c r="C38" s="116">
        <v>1.9892879423935399</v>
      </c>
      <c r="D38" s="116">
        <v>1.97978497451587</v>
      </c>
      <c r="E38" s="116">
        <v>2.1064912128848801</v>
      </c>
      <c r="F38" s="116">
        <v>125.6</v>
      </c>
      <c r="G38">
        <v>4614</v>
      </c>
      <c r="H38" s="116"/>
      <c r="I38" s="116"/>
      <c r="L38" s="170">
        <v>45553</v>
      </c>
      <c r="M38" s="116">
        <v>164.04278904661899</v>
      </c>
      <c r="N38" s="116">
        <v>174.867465295046</v>
      </c>
      <c r="O38" s="116">
        <v>161.476799066746</v>
      </c>
      <c r="P38" s="116">
        <v>166.31416536213601</v>
      </c>
      <c r="Q38" s="116">
        <v>172.61</v>
      </c>
      <c r="R38">
        <v>2196766</v>
      </c>
    </row>
    <row r="39" spans="1:18" x14ac:dyDescent="0.25">
      <c r="A39" s="170">
        <v>42058</v>
      </c>
      <c r="B39" s="116">
        <v>2.08748527712953</v>
      </c>
      <c r="C39" s="116">
        <v>2.0114615341081201</v>
      </c>
      <c r="D39" s="116">
        <v>1.99403942633238</v>
      </c>
      <c r="E39" s="116">
        <v>2.01304536208773</v>
      </c>
      <c r="F39" s="116">
        <v>127</v>
      </c>
      <c r="G39">
        <v>1929</v>
      </c>
      <c r="H39" s="116"/>
      <c r="I39" s="116"/>
      <c r="L39" s="170">
        <v>45554</v>
      </c>
      <c r="M39" s="116">
        <v>161.81893106406301</v>
      </c>
      <c r="N39" s="116">
        <v>169.45987900412899</v>
      </c>
      <c r="O39" s="116">
        <v>158.82527608754401</v>
      </c>
      <c r="P39" s="116">
        <v>166.17161036325501</v>
      </c>
      <c r="Q39" s="116">
        <v>170.27</v>
      </c>
      <c r="R39">
        <v>644576</v>
      </c>
    </row>
    <row r="40" spans="1:18" x14ac:dyDescent="0.25">
      <c r="A40" s="170">
        <v>42059</v>
      </c>
      <c r="B40" s="116">
        <v>2.05739254551689</v>
      </c>
      <c r="C40" s="116">
        <v>1.97978497451587</v>
      </c>
      <c r="D40" s="116">
        <v>1.9180156833109701</v>
      </c>
      <c r="E40" s="116">
        <v>2.0558087175372801</v>
      </c>
      <c r="F40" s="116">
        <v>125</v>
      </c>
      <c r="G40">
        <v>3792</v>
      </c>
      <c r="H40" s="116"/>
      <c r="I40" s="116"/>
      <c r="L40" s="170">
        <v>45555</v>
      </c>
      <c r="M40" s="116">
        <v>163.75767904885601</v>
      </c>
      <c r="N40" s="116">
        <v>166.35218002850499</v>
      </c>
      <c r="O40" s="116">
        <v>161.06814140328501</v>
      </c>
      <c r="P40" s="116">
        <v>162.98788205489399</v>
      </c>
      <c r="Q40" s="116">
        <v>172.31</v>
      </c>
      <c r="R40">
        <v>471692</v>
      </c>
    </row>
    <row r="41" spans="1:18" x14ac:dyDescent="0.25">
      <c r="A41" s="170">
        <v>42060</v>
      </c>
      <c r="B41" s="116">
        <v>2.0431380937003798</v>
      </c>
      <c r="C41" s="116">
        <v>2.0082938781488999</v>
      </c>
      <c r="D41" s="116">
        <v>1.9639466947197399</v>
      </c>
      <c r="E41" s="116">
        <v>2.02729981390425</v>
      </c>
      <c r="F41" s="116">
        <v>126.8</v>
      </c>
      <c r="G41">
        <v>2977</v>
      </c>
      <c r="H41" s="116"/>
      <c r="I41" s="116"/>
      <c r="L41" s="170">
        <v>45558</v>
      </c>
      <c r="M41" s="116">
        <v>163.529591050645</v>
      </c>
      <c r="N41" s="116">
        <v>165.31628036996401</v>
      </c>
      <c r="O41" s="116">
        <v>161.57183573266801</v>
      </c>
      <c r="P41" s="116">
        <v>165.31628036996401</v>
      </c>
      <c r="Q41" s="116">
        <v>172.07</v>
      </c>
      <c r="R41">
        <v>407143</v>
      </c>
    </row>
    <row r="42" spans="1:18" x14ac:dyDescent="0.25">
      <c r="A42" s="170">
        <v>42061</v>
      </c>
      <c r="B42" s="116">
        <v>2.09065293308876</v>
      </c>
      <c r="C42" s="116">
        <v>2.0431380937003798</v>
      </c>
      <c r="D42" s="116">
        <v>1.9481084149236101</v>
      </c>
      <c r="E42" s="116">
        <v>1.9481084149236101</v>
      </c>
      <c r="F42" s="116">
        <v>129</v>
      </c>
      <c r="G42">
        <v>6289</v>
      </c>
      <c r="H42" s="116"/>
      <c r="I42" s="116"/>
      <c r="L42" s="170">
        <v>45559</v>
      </c>
      <c r="M42" s="116">
        <v>163.49157638427599</v>
      </c>
      <c r="N42" s="116">
        <v>164.698542041476</v>
      </c>
      <c r="O42" s="116">
        <v>161.62885773222001</v>
      </c>
      <c r="P42" s="116">
        <v>163.396539718355</v>
      </c>
      <c r="Q42" s="116">
        <v>172.03</v>
      </c>
      <c r="R42">
        <v>356816</v>
      </c>
    </row>
    <row r="43" spans="1:18" x14ac:dyDescent="0.25">
      <c r="A43" s="170">
        <v>42062</v>
      </c>
      <c r="B43" s="116">
        <v>2.1698443320693901</v>
      </c>
      <c r="C43" s="116">
        <v>2.07639848127224</v>
      </c>
      <c r="D43" s="116">
        <v>1.9560275548216799</v>
      </c>
      <c r="E43" s="116">
        <v>1.9560275548216799</v>
      </c>
      <c r="F43" s="116">
        <v>131.1</v>
      </c>
      <c r="G43">
        <v>4730</v>
      </c>
      <c r="H43" s="116"/>
      <c r="I43" s="116"/>
      <c r="L43" s="170">
        <v>45560</v>
      </c>
      <c r="M43" s="116">
        <v>167.568649352297</v>
      </c>
      <c r="N43" s="116">
        <v>169.53590833686599</v>
      </c>
      <c r="O43" s="116">
        <v>160.62146907345499</v>
      </c>
      <c r="P43" s="116">
        <v>162.531706058472</v>
      </c>
      <c r="Q43" s="116">
        <v>176.32</v>
      </c>
      <c r="R43">
        <v>889036</v>
      </c>
    </row>
    <row r="44" spans="1:18" x14ac:dyDescent="0.25">
      <c r="A44" s="170">
        <v>42063</v>
      </c>
      <c r="B44" s="116">
        <v>2.1666766761101699</v>
      </c>
      <c r="C44" s="116">
        <v>2.02729981390425</v>
      </c>
      <c r="D44" s="116">
        <v>1.96553052269935</v>
      </c>
      <c r="E44" s="116">
        <v>2.0589763734964999</v>
      </c>
      <c r="F44" s="116">
        <v>128</v>
      </c>
      <c r="G44">
        <v>3317</v>
      </c>
      <c r="H44" s="116"/>
      <c r="I44" s="116"/>
      <c r="L44" s="170">
        <v>45561</v>
      </c>
      <c r="M44" s="116">
        <v>164.11881837935599</v>
      </c>
      <c r="N44" s="116">
        <v>169.16526533977299</v>
      </c>
      <c r="O44" s="116">
        <v>163.43455438472299</v>
      </c>
      <c r="P44" s="116">
        <v>168.880155342009</v>
      </c>
      <c r="Q44" s="116">
        <v>172.69</v>
      </c>
      <c r="R44">
        <v>544355</v>
      </c>
    </row>
    <row r="45" spans="1:18" x14ac:dyDescent="0.25">
      <c r="A45" s="170">
        <v>42065</v>
      </c>
      <c r="B45" s="116">
        <v>2.10173972894605</v>
      </c>
      <c r="C45" s="116">
        <v>1.9972070822916099</v>
      </c>
      <c r="D45" s="116">
        <v>1.90217740351485</v>
      </c>
      <c r="E45" s="116">
        <v>1.9972070822916099</v>
      </c>
      <c r="F45" s="116">
        <v>126.1</v>
      </c>
      <c r="G45">
        <v>9557</v>
      </c>
      <c r="H45" s="116"/>
      <c r="I45" s="116"/>
      <c r="L45" s="170">
        <v>45562</v>
      </c>
      <c r="M45" s="116">
        <v>163.04490405444599</v>
      </c>
      <c r="N45" s="116">
        <v>167.454605353191</v>
      </c>
      <c r="O45" s="116">
        <v>162.512698725288</v>
      </c>
      <c r="P45" s="116">
        <v>164.86010437354199</v>
      </c>
      <c r="Q45" s="116">
        <v>171.56</v>
      </c>
      <c r="R45">
        <v>284857</v>
      </c>
    </row>
    <row r="46" spans="1:18" x14ac:dyDescent="0.25">
      <c r="A46" s="170">
        <v>42066</v>
      </c>
      <c r="B46" s="116">
        <v>2.0700631693537899</v>
      </c>
      <c r="C46" s="116">
        <v>1.99087177037316</v>
      </c>
      <c r="D46" s="116">
        <v>1.98770411441393</v>
      </c>
      <c r="E46" s="116">
        <v>2.0700631693537899</v>
      </c>
      <c r="F46" s="116">
        <v>125.7</v>
      </c>
      <c r="G46">
        <v>3089</v>
      </c>
      <c r="H46" s="116"/>
      <c r="I46" s="116"/>
      <c r="L46" s="170">
        <v>45565</v>
      </c>
      <c r="M46" s="116">
        <v>174.734413962757</v>
      </c>
      <c r="N46" s="116">
        <v>183.420765227956</v>
      </c>
      <c r="O46" s="116">
        <v>168.21489868056099</v>
      </c>
      <c r="P46" s="116">
        <v>168.43348301218001</v>
      </c>
      <c r="Q46" s="116">
        <v>183.86</v>
      </c>
      <c r="R46">
        <v>3331021</v>
      </c>
    </row>
    <row r="47" spans="1:18" x14ac:dyDescent="0.25">
      <c r="A47" s="170">
        <v>42067</v>
      </c>
      <c r="B47" s="116">
        <v>2.0257159859246401</v>
      </c>
      <c r="C47" s="116">
        <v>1.94335693098478</v>
      </c>
      <c r="D47" s="116">
        <v>1.91643185533136</v>
      </c>
      <c r="E47" s="116">
        <v>1.97978497451587</v>
      </c>
      <c r="F47" s="116">
        <v>122.7</v>
      </c>
      <c r="G47">
        <v>2275</v>
      </c>
      <c r="H47" s="116"/>
      <c r="I47" s="116"/>
      <c r="L47" s="170">
        <v>45566</v>
      </c>
      <c r="M47" s="116">
        <v>173.58447030510999</v>
      </c>
      <c r="N47" s="116">
        <v>178.19374860228899</v>
      </c>
      <c r="O47" s="116">
        <v>172.120905649923</v>
      </c>
      <c r="P47" s="116">
        <v>174.867465295046</v>
      </c>
      <c r="Q47" s="116">
        <v>182.65</v>
      </c>
      <c r="R47">
        <v>695832</v>
      </c>
    </row>
    <row r="48" spans="1:18" x14ac:dyDescent="0.25">
      <c r="A48" s="170">
        <v>42068</v>
      </c>
      <c r="B48" s="116">
        <v>2.0067100501692798</v>
      </c>
      <c r="C48" s="116">
        <v>1.88317146775949</v>
      </c>
      <c r="D48" s="116">
        <v>1.8530787361468499</v>
      </c>
      <c r="E48" s="116">
        <v>1.9813688024954801</v>
      </c>
      <c r="F48" s="116">
        <v>118.9</v>
      </c>
      <c r="G48">
        <v>7956</v>
      </c>
      <c r="H48" s="116"/>
      <c r="I48" s="116"/>
      <c r="L48" s="170">
        <v>45568</v>
      </c>
      <c r="M48" s="116">
        <v>170.80939966021</v>
      </c>
      <c r="N48" s="116">
        <v>173.58447030510999</v>
      </c>
      <c r="O48" s="116">
        <v>167.64467868503399</v>
      </c>
      <c r="P48" s="116">
        <v>170.10612833239301</v>
      </c>
      <c r="Q48" s="116">
        <v>179.73</v>
      </c>
      <c r="R48">
        <v>678079</v>
      </c>
    </row>
    <row r="49" spans="1:18" x14ac:dyDescent="0.25">
      <c r="A49" s="170">
        <v>42072</v>
      </c>
      <c r="B49" s="116">
        <v>1.96869817865858</v>
      </c>
      <c r="C49" s="116">
        <v>1.83565662837111</v>
      </c>
      <c r="D49" s="116">
        <v>1.8293213164526601</v>
      </c>
      <c r="E49" s="116">
        <v>1.8530787361468499</v>
      </c>
      <c r="F49" s="116">
        <v>115.9</v>
      </c>
      <c r="G49">
        <v>4794</v>
      </c>
      <c r="H49" s="116"/>
      <c r="I49" s="116"/>
      <c r="L49" s="170">
        <v>45569</v>
      </c>
      <c r="M49" s="116">
        <v>169.49789367049701</v>
      </c>
      <c r="N49" s="116">
        <v>173.91709863583401</v>
      </c>
      <c r="O49" s="116">
        <v>165.56337570135901</v>
      </c>
      <c r="P49" s="116">
        <v>171.617211320541</v>
      </c>
      <c r="Q49" s="116">
        <v>178.35</v>
      </c>
      <c r="R49">
        <v>665797</v>
      </c>
    </row>
    <row r="50" spans="1:18" x14ac:dyDescent="0.25">
      <c r="A50" s="170">
        <v>42073</v>
      </c>
      <c r="B50" s="116">
        <v>1.89425826361678</v>
      </c>
      <c r="C50" s="116">
        <v>1.78022264908467</v>
      </c>
      <c r="D50" s="116">
        <v>1.75804905737009</v>
      </c>
      <c r="E50" s="116">
        <v>1.88475529573911</v>
      </c>
      <c r="F50" s="116">
        <v>112.4</v>
      </c>
      <c r="G50">
        <v>3444</v>
      </c>
      <c r="H50" s="116"/>
      <c r="I50" s="116"/>
      <c r="L50" s="170">
        <v>45572</v>
      </c>
      <c r="M50" s="116">
        <v>175.627758622416</v>
      </c>
      <c r="N50" s="116">
        <v>191.023698501654</v>
      </c>
      <c r="O50" s="116">
        <v>172.96673197662199</v>
      </c>
      <c r="P50" s="116">
        <v>190.073331842442</v>
      </c>
      <c r="Q50" s="116">
        <v>184.8</v>
      </c>
      <c r="R50">
        <v>7117079</v>
      </c>
    </row>
    <row r="51" spans="1:18" x14ac:dyDescent="0.25">
      <c r="A51" s="170">
        <v>42074</v>
      </c>
      <c r="B51" s="116">
        <v>1.89900974755562</v>
      </c>
      <c r="C51" s="116">
        <v>1.7865579610031199</v>
      </c>
      <c r="D51" s="116">
        <v>1.74379460555358</v>
      </c>
      <c r="E51" s="116">
        <v>1.74379460555358</v>
      </c>
      <c r="F51" s="116">
        <v>112.8</v>
      </c>
      <c r="G51">
        <v>9486</v>
      </c>
      <c r="H51" s="116"/>
      <c r="I51" s="116"/>
      <c r="L51" s="170">
        <v>45573</v>
      </c>
      <c r="M51" s="116">
        <v>167.64467868503399</v>
      </c>
      <c r="N51" s="116">
        <v>176.188474951351</v>
      </c>
      <c r="O51" s="116">
        <v>166.55175702694001</v>
      </c>
      <c r="P51" s="116">
        <v>175.39967062420499</v>
      </c>
      <c r="Q51" s="116">
        <v>176.4</v>
      </c>
      <c r="R51">
        <v>2634380</v>
      </c>
    </row>
    <row r="52" spans="1:18" x14ac:dyDescent="0.25">
      <c r="A52" s="170">
        <v>42075</v>
      </c>
      <c r="B52" s="116">
        <v>1.9005935755352299</v>
      </c>
      <c r="C52" s="116">
        <v>1.8863391237187199</v>
      </c>
      <c r="D52" s="116">
        <v>1.7422107775739599</v>
      </c>
      <c r="E52" s="116">
        <v>1.85783022008569</v>
      </c>
      <c r="F52" s="116">
        <v>119.1</v>
      </c>
      <c r="G52">
        <v>7045</v>
      </c>
      <c r="H52" s="116"/>
      <c r="I52" s="116"/>
      <c r="L52" s="170">
        <v>45574</v>
      </c>
      <c r="M52" s="116">
        <v>172.177927649476</v>
      </c>
      <c r="N52" s="116">
        <v>179.80937192294999</v>
      </c>
      <c r="O52" s="116">
        <v>170.02059533306399</v>
      </c>
      <c r="P52" s="116">
        <v>170.21066866490699</v>
      </c>
      <c r="Q52" s="116">
        <v>181.17</v>
      </c>
      <c r="R52">
        <v>2623283</v>
      </c>
    </row>
    <row r="53" spans="1:18" x14ac:dyDescent="0.25">
      <c r="A53" s="170">
        <v>42076</v>
      </c>
      <c r="B53" s="116">
        <v>1.9449407589643899</v>
      </c>
      <c r="C53" s="116">
        <v>1.8562463921060799</v>
      </c>
      <c r="D53" s="116">
        <v>1.83882428433034</v>
      </c>
      <c r="E53" s="116">
        <v>1.9005935755352299</v>
      </c>
      <c r="F53" s="116">
        <v>117.2</v>
      </c>
      <c r="G53">
        <v>7666</v>
      </c>
      <c r="H53" s="116"/>
      <c r="I53" s="116"/>
      <c r="L53" s="170">
        <v>45575</v>
      </c>
      <c r="M53" s="116">
        <v>170.04910633284001</v>
      </c>
      <c r="N53" s="116">
        <v>176.76819861347099</v>
      </c>
      <c r="O53" s="116">
        <v>168.11986201464001</v>
      </c>
      <c r="P53" s="116">
        <v>174.19270496700599</v>
      </c>
      <c r="Q53" s="116">
        <v>178.93</v>
      </c>
      <c r="R53">
        <v>1229727</v>
      </c>
    </row>
    <row r="54" spans="1:18" x14ac:dyDescent="0.25">
      <c r="A54" s="170">
        <v>42079</v>
      </c>
      <c r="B54" s="116">
        <v>1.9639466947197399</v>
      </c>
      <c r="C54" s="116">
        <v>1.91326419937214</v>
      </c>
      <c r="D54" s="116">
        <v>1.76280054130893</v>
      </c>
      <c r="E54" s="116">
        <v>1.8530787361468499</v>
      </c>
      <c r="F54" s="116">
        <v>120.8</v>
      </c>
      <c r="G54">
        <v>9544</v>
      </c>
      <c r="H54" s="116"/>
      <c r="I54" s="116"/>
      <c r="L54" s="170">
        <v>45576</v>
      </c>
      <c r="M54" s="116">
        <v>168.86114800882501</v>
      </c>
      <c r="N54" s="116">
        <v>173.422907973044</v>
      </c>
      <c r="O54" s="116">
        <v>168.024825348718</v>
      </c>
      <c r="P54" s="116">
        <v>170.97096199227599</v>
      </c>
      <c r="Q54" s="116">
        <v>177.68</v>
      </c>
      <c r="R54">
        <v>826921</v>
      </c>
    </row>
    <row r="55" spans="1:18" x14ac:dyDescent="0.25">
      <c r="A55" s="170">
        <v>42080</v>
      </c>
      <c r="B55" s="116">
        <v>2.0336351258227001</v>
      </c>
      <c r="C55" s="116">
        <v>1.8974259195760099</v>
      </c>
      <c r="D55" s="116">
        <v>1.87208467190221</v>
      </c>
      <c r="E55" s="116">
        <v>1.9591952107809001</v>
      </c>
      <c r="F55" s="116">
        <v>119.8</v>
      </c>
      <c r="G55">
        <v>11837</v>
      </c>
      <c r="H55" s="116"/>
      <c r="I55" s="116"/>
      <c r="L55" s="170">
        <v>45579</v>
      </c>
      <c r="M55" s="116">
        <v>166.41870569464999</v>
      </c>
      <c r="N55" s="116">
        <v>171.92132865148801</v>
      </c>
      <c r="O55" s="116">
        <v>165.37330236951601</v>
      </c>
      <c r="P55" s="116">
        <v>169.81151466803701</v>
      </c>
      <c r="Q55" s="116">
        <v>175.11</v>
      </c>
      <c r="R55">
        <v>610512</v>
      </c>
    </row>
    <row r="56" spans="1:18" x14ac:dyDescent="0.25">
      <c r="A56" s="170">
        <v>42081</v>
      </c>
      <c r="B56" s="116">
        <v>1.9639466947197399</v>
      </c>
      <c r="C56" s="116">
        <v>1.8594140480653001</v>
      </c>
      <c r="D56" s="116">
        <v>1.8483272522080101</v>
      </c>
      <c r="E56" s="116">
        <v>1.8483272522080101</v>
      </c>
      <c r="F56" s="116">
        <v>117.4</v>
      </c>
      <c r="G56">
        <v>6043</v>
      </c>
      <c r="H56" s="116"/>
      <c r="I56" s="116"/>
      <c r="L56" s="170">
        <v>45580</v>
      </c>
      <c r="M56" s="116">
        <v>167.29304302112499</v>
      </c>
      <c r="N56" s="116">
        <v>170.11563199898501</v>
      </c>
      <c r="O56" s="116">
        <v>166.504238693979</v>
      </c>
      <c r="P56" s="116">
        <v>169.16526533977299</v>
      </c>
      <c r="Q56" s="116">
        <v>176.03</v>
      </c>
      <c r="R56">
        <v>617084</v>
      </c>
    </row>
    <row r="57" spans="1:18" x14ac:dyDescent="0.25">
      <c r="A57" s="170">
        <v>42082</v>
      </c>
      <c r="B57" s="116">
        <v>1.93227013512749</v>
      </c>
      <c r="C57" s="116">
        <v>1.86099787604492</v>
      </c>
      <c r="D57" s="116">
        <v>1.8451595962487899</v>
      </c>
      <c r="E57" s="116">
        <v>1.93227013512749</v>
      </c>
      <c r="F57" s="116">
        <v>117.5</v>
      </c>
      <c r="G57">
        <v>1783</v>
      </c>
      <c r="H57" s="116"/>
      <c r="I57" s="116"/>
      <c r="L57" s="170">
        <v>45581</v>
      </c>
      <c r="M57" s="116">
        <v>167.131480689059</v>
      </c>
      <c r="N57" s="116">
        <v>171.92132865148801</v>
      </c>
      <c r="O57" s="116">
        <v>166.504238693979</v>
      </c>
      <c r="P57" s="116">
        <v>167.255028354757</v>
      </c>
      <c r="Q57" s="116">
        <v>175.86</v>
      </c>
      <c r="R57">
        <v>813613</v>
      </c>
    </row>
    <row r="58" spans="1:18" x14ac:dyDescent="0.25">
      <c r="A58" s="170">
        <v>42083</v>
      </c>
      <c r="B58" s="116">
        <v>1.9417731030051599</v>
      </c>
      <c r="C58" s="116">
        <v>1.8594140480653001</v>
      </c>
      <c r="D58" s="116">
        <v>1.81348303665654</v>
      </c>
      <c r="E58" s="116">
        <v>1.9417731030051599</v>
      </c>
      <c r="F58" s="116">
        <v>117.4</v>
      </c>
      <c r="G58">
        <v>3311</v>
      </c>
      <c r="H58" s="116"/>
      <c r="I58" s="116"/>
      <c r="L58" s="170">
        <v>45582</v>
      </c>
      <c r="M58" s="116">
        <v>168.072343681679</v>
      </c>
      <c r="N58" s="116">
        <v>172.444030314055</v>
      </c>
      <c r="O58" s="116">
        <v>163.082918720815</v>
      </c>
      <c r="P58" s="116">
        <v>167.264532021349</v>
      </c>
      <c r="Q58" s="116">
        <v>176.85</v>
      </c>
      <c r="R58">
        <v>1226214</v>
      </c>
    </row>
    <row r="59" spans="1:18" x14ac:dyDescent="0.25">
      <c r="A59" s="170">
        <v>42086</v>
      </c>
      <c r="B59" s="116">
        <v>1.9005935755352299</v>
      </c>
      <c r="C59" s="116">
        <v>1.86574935998375</v>
      </c>
      <c r="D59" s="116">
        <v>1.7897256169623501</v>
      </c>
      <c r="E59" s="116">
        <v>1.8530787361468499</v>
      </c>
      <c r="F59" s="116">
        <v>117.8</v>
      </c>
      <c r="G59">
        <v>176</v>
      </c>
      <c r="H59" s="116"/>
      <c r="I59" s="116"/>
      <c r="L59" s="170">
        <v>45583</v>
      </c>
      <c r="M59" s="116">
        <v>166.87488169107201</v>
      </c>
      <c r="N59" s="116">
        <v>170.11563199898501</v>
      </c>
      <c r="O59" s="116">
        <v>164.43243937689601</v>
      </c>
      <c r="P59" s="116">
        <v>168.21489868056099</v>
      </c>
      <c r="Q59" s="116">
        <v>175.59</v>
      </c>
      <c r="R59">
        <v>608766</v>
      </c>
    </row>
    <row r="60" spans="1:18" x14ac:dyDescent="0.25">
      <c r="A60" s="170">
        <v>42087</v>
      </c>
      <c r="B60" s="116">
        <v>1.8974259195760099</v>
      </c>
      <c r="C60" s="116">
        <v>1.7897256169623501</v>
      </c>
      <c r="D60" s="116">
        <v>1.7707196812069901</v>
      </c>
      <c r="E60" s="116">
        <v>1.8530787361468499</v>
      </c>
      <c r="F60" s="116">
        <v>113</v>
      </c>
      <c r="G60">
        <v>1314</v>
      </c>
      <c r="H60" s="116"/>
      <c r="I60" s="116"/>
      <c r="L60" s="170">
        <v>45586</v>
      </c>
      <c r="M60" s="116">
        <v>169.85903300099801</v>
      </c>
      <c r="N60" s="116">
        <v>173.441915306228</v>
      </c>
      <c r="O60" s="116">
        <v>167.35956868727001</v>
      </c>
      <c r="P60" s="116">
        <v>169.16526533977299</v>
      </c>
      <c r="Q60" s="116">
        <v>178.73</v>
      </c>
      <c r="R60">
        <v>1538645</v>
      </c>
    </row>
    <row r="61" spans="1:18" x14ac:dyDescent="0.25">
      <c r="A61" s="170">
        <v>42088</v>
      </c>
      <c r="B61" s="116">
        <v>1.87208467190221</v>
      </c>
      <c r="C61" s="116">
        <v>1.76596819726815</v>
      </c>
      <c r="D61" s="116">
        <v>1.6962797661652</v>
      </c>
      <c r="E61" s="116">
        <v>1.85466256412647</v>
      </c>
      <c r="F61" s="116">
        <v>111.5</v>
      </c>
      <c r="G61">
        <v>7934</v>
      </c>
      <c r="H61" s="116"/>
      <c r="I61" s="116"/>
      <c r="L61" s="170">
        <v>45587</v>
      </c>
      <c r="M61" s="116">
        <v>161.400769734009</v>
      </c>
      <c r="N61" s="116">
        <v>169.744989001893</v>
      </c>
      <c r="O61" s="116">
        <v>160.61196540686299</v>
      </c>
      <c r="P61" s="116">
        <v>169.744989001893</v>
      </c>
      <c r="Q61" s="116">
        <v>169.83</v>
      </c>
      <c r="R61">
        <v>791640</v>
      </c>
    </row>
    <row r="62" spans="1:18" x14ac:dyDescent="0.25">
      <c r="A62" s="170">
        <v>42089</v>
      </c>
      <c r="B62" s="116">
        <v>1.86891701594298</v>
      </c>
      <c r="C62" s="116">
        <v>1.78814178898273</v>
      </c>
      <c r="D62" s="116">
        <v>1.7675520252477701</v>
      </c>
      <c r="E62" s="116">
        <v>1.78339030504389</v>
      </c>
      <c r="F62" s="116">
        <v>112.9</v>
      </c>
      <c r="G62">
        <v>22617</v>
      </c>
      <c r="H62" s="116"/>
      <c r="I62" s="116"/>
      <c r="L62" s="170">
        <v>45588</v>
      </c>
      <c r="M62" s="116">
        <v>156.781987770238</v>
      </c>
      <c r="N62" s="116">
        <v>162.512698725288</v>
      </c>
      <c r="O62" s="116">
        <v>155.860132110802</v>
      </c>
      <c r="P62" s="116">
        <v>161.39126606741701</v>
      </c>
      <c r="Q62" s="116">
        <v>164.97</v>
      </c>
      <c r="R62">
        <v>862540</v>
      </c>
    </row>
    <row r="63" spans="1:18" x14ac:dyDescent="0.25">
      <c r="A63" s="170">
        <v>42090</v>
      </c>
      <c r="B63" s="116">
        <v>1.8404081123099501</v>
      </c>
      <c r="C63" s="116">
        <v>1.83248897241189</v>
      </c>
      <c r="D63" s="116">
        <v>1.7754711651458299</v>
      </c>
      <c r="E63" s="116">
        <v>1.8008124128196299</v>
      </c>
      <c r="F63" s="116">
        <v>115.7</v>
      </c>
      <c r="G63">
        <v>9217</v>
      </c>
      <c r="H63" s="116"/>
      <c r="I63" s="116"/>
      <c r="L63" s="170">
        <v>45589</v>
      </c>
      <c r="M63" s="116">
        <v>164.55598704259401</v>
      </c>
      <c r="N63" s="116">
        <v>165.36379870292399</v>
      </c>
      <c r="O63" s="116">
        <v>156.601418104988</v>
      </c>
      <c r="P63" s="116">
        <v>156.800995103422</v>
      </c>
      <c r="Q63" s="116">
        <v>173.15</v>
      </c>
      <c r="R63">
        <v>1527504</v>
      </c>
    </row>
    <row r="64" spans="1:18" x14ac:dyDescent="0.25">
      <c r="A64" s="170">
        <v>42093</v>
      </c>
      <c r="B64" s="116">
        <v>1.86891701594298</v>
      </c>
      <c r="C64" s="116">
        <v>1.8673331879633699</v>
      </c>
      <c r="D64" s="116">
        <v>1.8214021765546</v>
      </c>
      <c r="E64" s="116">
        <v>1.83882428433034</v>
      </c>
      <c r="F64" s="116">
        <v>117.9</v>
      </c>
      <c r="G64">
        <v>4899</v>
      </c>
      <c r="H64" s="116"/>
      <c r="I64" s="116"/>
      <c r="L64" s="170">
        <v>45590</v>
      </c>
      <c r="M64" s="116">
        <v>159.42400708284799</v>
      </c>
      <c r="N64" s="116">
        <v>166.35218002850499</v>
      </c>
      <c r="O64" s="116">
        <v>156.88652810275099</v>
      </c>
      <c r="P64" s="116">
        <v>165.05968137197601</v>
      </c>
      <c r="Q64" s="116">
        <v>167.75</v>
      </c>
      <c r="R64">
        <v>710056</v>
      </c>
    </row>
    <row r="65" spans="1:18" x14ac:dyDescent="0.25">
      <c r="A65" s="170">
        <v>42094</v>
      </c>
      <c r="B65" s="116">
        <v>2.0019585662304502</v>
      </c>
      <c r="C65" s="116">
        <v>1.87208467190221</v>
      </c>
      <c r="D65" s="116">
        <v>1.8261536604934401</v>
      </c>
      <c r="E65" s="116">
        <v>2.0019585662304502</v>
      </c>
      <c r="F65" s="116">
        <v>118.2</v>
      </c>
      <c r="G65">
        <v>2973</v>
      </c>
      <c r="H65" s="116"/>
      <c r="I65" s="116"/>
      <c r="L65" s="170">
        <v>45593</v>
      </c>
      <c r="M65" s="116">
        <v>159.46202174921601</v>
      </c>
      <c r="N65" s="116">
        <v>161.467295400154</v>
      </c>
      <c r="O65" s="116">
        <v>156.82000243660701</v>
      </c>
      <c r="P65" s="116">
        <v>160.07025641111201</v>
      </c>
      <c r="Q65" s="116">
        <v>167.79</v>
      </c>
      <c r="R65">
        <v>709516</v>
      </c>
    </row>
    <row r="66" spans="1:18" x14ac:dyDescent="0.25">
      <c r="A66" s="170">
        <v>42095</v>
      </c>
      <c r="B66" s="116">
        <v>1.995623254312</v>
      </c>
      <c r="C66" s="116">
        <v>1.96869817865858</v>
      </c>
      <c r="D66" s="116">
        <v>1.8530787361468499</v>
      </c>
      <c r="E66" s="116">
        <v>1.87208467190221</v>
      </c>
      <c r="F66" s="116">
        <v>124.3</v>
      </c>
      <c r="G66">
        <v>7403</v>
      </c>
      <c r="H66" s="116"/>
      <c r="I66" s="116"/>
      <c r="L66" s="170">
        <v>45594</v>
      </c>
      <c r="M66" s="116">
        <v>160.44089940820501</v>
      </c>
      <c r="N66" s="116">
        <v>161.12516340283801</v>
      </c>
      <c r="O66" s="116">
        <v>157.19064543369899</v>
      </c>
      <c r="P66" s="116">
        <v>159.224430084413</v>
      </c>
      <c r="Q66" s="116">
        <v>168.82</v>
      </c>
      <c r="R66">
        <v>390316</v>
      </c>
    </row>
    <row r="67" spans="1:18" x14ac:dyDescent="0.25">
      <c r="A67" s="170">
        <v>42100</v>
      </c>
      <c r="B67" s="116">
        <v>2.1223294926810099</v>
      </c>
      <c r="C67" s="116">
        <v>1.97661731855664</v>
      </c>
      <c r="D67" s="116">
        <v>1.9671143506789699</v>
      </c>
      <c r="E67" s="116">
        <v>2.1223294926810099</v>
      </c>
      <c r="F67" s="116">
        <v>124.8</v>
      </c>
      <c r="G67">
        <v>5750</v>
      </c>
      <c r="H67" s="116"/>
      <c r="I67" s="116"/>
      <c r="L67" s="170">
        <v>45595</v>
      </c>
      <c r="M67" s="116">
        <v>161.828434730655</v>
      </c>
      <c r="N67" s="116">
        <v>163.88122671455301</v>
      </c>
      <c r="O67" s="116">
        <v>159.42400708284799</v>
      </c>
      <c r="P67" s="116">
        <v>160.44089940820501</v>
      </c>
      <c r="Q67" s="116">
        <v>170.28</v>
      </c>
      <c r="R67">
        <v>461440</v>
      </c>
    </row>
    <row r="68" spans="1:18" x14ac:dyDescent="0.25">
      <c r="A68" s="170">
        <v>42101</v>
      </c>
      <c r="B68" s="116">
        <v>2.03521895380231</v>
      </c>
      <c r="C68" s="116">
        <v>1.9370216190663301</v>
      </c>
      <c r="D68" s="116">
        <v>1.93227013512749</v>
      </c>
      <c r="E68" s="116">
        <v>2.0336351258227001</v>
      </c>
      <c r="F68" s="116">
        <v>122.3</v>
      </c>
      <c r="G68">
        <v>6544</v>
      </c>
      <c r="H68" s="116"/>
      <c r="I68" s="116"/>
      <c r="L68" s="170">
        <v>45596</v>
      </c>
      <c r="M68" s="116">
        <v>163.92874504751401</v>
      </c>
      <c r="N68" s="116">
        <v>164.17584037890899</v>
      </c>
      <c r="O68" s="116">
        <v>160.61196540686299</v>
      </c>
      <c r="P68" s="116">
        <v>162.094537395234</v>
      </c>
      <c r="Q68" s="116">
        <v>172.49</v>
      </c>
      <c r="R68">
        <v>708942</v>
      </c>
    </row>
    <row r="69" spans="1:18" x14ac:dyDescent="0.25">
      <c r="A69" s="170">
        <v>42102</v>
      </c>
      <c r="B69" s="116">
        <v>2.0193806740061899</v>
      </c>
      <c r="C69" s="116">
        <v>1.9671143506789699</v>
      </c>
      <c r="D69" s="116">
        <v>1.9481084149236101</v>
      </c>
      <c r="E69" s="116">
        <v>1.9623628667401301</v>
      </c>
      <c r="F69" s="116">
        <v>124.2</v>
      </c>
      <c r="G69">
        <v>6545</v>
      </c>
      <c r="H69" s="116"/>
      <c r="I69" s="116"/>
      <c r="L69" s="170">
        <v>45597</v>
      </c>
      <c r="M69" s="116">
        <v>165.97203336481999</v>
      </c>
      <c r="N69" s="116">
        <v>166.31416536213601</v>
      </c>
      <c r="O69" s="116">
        <v>165.401813369293</v>
      </c>
      <c r="P69" s="116">
        <v>165.41131703588499</v>
      </c>
      <c r="Q69" s="116">
        <v>174.64</v>
      </c>
      <c r="R69">
        <v>276165</v>
      </c>
    </row>
    <row r="70" spans="1:18" x14ac:dyDescent="0.25">
      <c r="A70" s="170">
        <v>42103</v>
      </c>
      <c r="B70" s="116">
        <v>2.03521895380231</v>
      </c>
      <c r="C70" s="116">
        <v>2.0035423942100601</v>
      </c>
      <c r="D70" s="116">
        <v>1.93227013512749</v>
      </c>
      <c r="E70" s="116">
        <v>2.03521895380231</v>
      </c>
      <c r="F70" s="116">
        <v>126.5</v>
      </c>
      <c r="G70">
        <v>5865</v>
      </c>
      <c r="H70" s="116"/>
      <c r="I70" s="116"/>
      <c r="L70" s="170">
        <v>45600</v>
      </c>
      <c r="M70" s="116">
        <v>160.95409740418</v>
      </c>
      <c r="N70" s="116">
        <v>166.30466169554401</v>
      </c>
      <c r="O70" s="116">
        <v>159.851672079493</v>
      </c>
      <c r="P70" s="116">
        <v>166.30466169554401</v>
      </c>
      <c r="Q70" s="116">
        <v>169.36</v>
      </c>
      <c r="R70">
        <v>371863</v>
      </c>
    </row>
    <row r="71" spans="1:18" x14ac:dyDescent="0.25">
      <c r="A71" s="170">
        <v>42104</v>
      </c>
      <c r="B71" s="116">
        <v>2.0589763734964999</v>
      </c>
      <c r="C71" s="116">
        <v>1.9861202864343199</v>
      </c>
      <c r="D71" s="116">
        <v>1.97186583461781</v>
      </c>
      <c r="E71" s="116">
        <v>2.0225483299654101</v>
      </c>
      <c r="F71" s="116">
        <v>125.4</v>
      </c>
      <c r="G71">
        <v>7137</v>
      </c>
      <c r="H71" s="116"/>
      <c r="I71" s="116"/>
      <c r="L71" s="170">
        <v>45601</v>
      </c>
      <c r="M71" s="116">
        <v>162.42716572595899</v>
      </c>
      <c r="N71" s="116">
        <v>163.93824871410601</v>
      </c>
      <c r="O71" s="116">
        <v>159.18641541804499</v>
      </c>
      <c r="P71" s="116">
        <v>161.55282839948299</v>
      </c>
      <c r="Q71" s="116">
        <v>170.91</v>
      </c>
      <c r="R71">
        <v>419795</v>
      </c>
    </row>
    <row r="72" spans="1:18" x14ac:dyDescent="0.25">
      <c r="A72" s="170">
        <v>42107</v>
      </c>
      <c r="B72" s="116">
        <v>2.0732308253130198</v>
      </c>
      <c r="C72" s="116">
        <v>2.0526410615780502</v>
      </c>
      <c r="D72" s="116">
        <v>1.97661731855664</v>
      </c>
      <c r="E72" s="116">
        <v>1.995623254312</v>
      </c>
      <c r="F72" s="116">
        <v>129.6</v>
      </c>
      <c r="G72">
        <v>4075</v>
      </c>
      <c r="H72" s="116"/>
      <c r="I72" s="116"/>
      <c r="L72" s="170">
        <v>45602</v>
      </c>
      <c r="M72" s="116">
        <v>162.94986738852501</v>
      </c>
      <c r="N72" s="116">
        <v>164.41343204371199</v>
      </c>
      <c r="O72" s="116">
        <v>161.37225873423299</v>
      </c>
      <c r="P72" s="116">
        <v>163.4630653845</v>
      </c>
      <c r="Q72" s="116">
        <v>171.46</v>
      </c>
      <c r="R72">
        <v>603283</v>
      </c>
    </row>
    <row r="73" spans="1:18" x14ac:dyDescent="0.25">
      <c r="A73" s="170">
        <v>42109</v>
      </c>
      <c r="B73" s="116">
        <v>2.4517657124404502</v>
      </c>
      <c r="C73" s="116">
        <v>2.3662390015413699</v>
      </c>
      <c r="D73" s="116">
        <v>1.995623254312</v>
      </c>
      <c r="E73" s="116">
        <v>1.9972070822916099</v>
      </c>
      <c r="F73" s="116">
        <v>149.4</v>
      </c>
      <c r="G73">
        <v>25466</v>
      </c>
      <c r="H73" s="116"/>
      <c r="I73" s="116"/>
      <c r="L73" s="170">
        <v>45603</v>
      </c>
      <c r="M73" s="116">
        <v>162.63624639098501</v>
      </c>
      <c r="N73" s="116">
        <v>165.648908700688</v>
      </c>
      <c r="O73" s="116">
        <v>161.847442063839</v>
      </c>
      <c r="P73" s="116">
        <v>163.4630653845</v>
      </c>
      <c r="Q73" s="116">
        <v>171.13</v>
      </c>
      <c r="R73">
        <v>601519</v>
      </c>
    </row>
    <row r="74" spans="1:18" x14ac:dyDescent="0.25">
      <c r="A74" s="170">
        <v>42110</v>
      </c>
      <c r="B74" s="116">
        <v>2.4074185290112999</v>
      </c>
      <c r="C74" s="116">
        <v>2.2712093227646002</v>
      </c>
      <c r="D74" s="116">
        <v>2.2331974512539001</v>
      </c>
      <c r="E74" s="116">
        <v>2.3899964212355602</v>
      </c>
      <c r="F74" s="116">
        <v>143.4</v>
      </c>
      <c r="G74">
        <v>4711</v>
      </c>
      <c r="H74" s="116"/>
      <c r="I74" s="116"/>
      <c r="L74" s="170">
        <v>45604</v>
      </c>
      <c r="M74" s="116">
        <v>160.659483739824</v>
      </c>
      <c r="N74" s="116">
        <v>164.41343204371199</v>
      </c>
      <c r="O74" s="116">
        <v>159.42400708284799</v>
      </c>
      <c r="P74" s="116">
        <v>163.339517718802</v>
      </c>
      <c r="Q74" s="116">
        <v>169.05</v>
      </c>
      <c r="R74">
        <v>573229</v>
      </c>
    </row>
    <row r="75" spans="1:18" x14ac:dyDescent="0.25">
      <c r="A75" s="170">
        <v>42111</v>
      </c>
      <c r="B75" s="116">
        <v>2.3108050222549199</v>
      </c>
      <c r="C75" s="116">
        <v>2.2632901828665402</v>
      </c>
      <c r="D75" s="116">
        <v>2.1698443320693901</v>
      </c>
      <c r="E75" s="116">
        <v>2.2189429994373899</v>
      </c>
      <c r="F75" s="116">
        <v>142.9</v>
      </c>
      <c r="G75">
        <v>3299</v>
      </c>
      <c r="H75" s="116"/>
      <c r="I75" s="116"/>
      <c r="L75" s="170">
        <v>45607</v>
      </c>
      <c r="M75" s="116">
        <v>154.81472878566899</v>
      </c>
      <c r="N75" s="116">
        <v>160.61196540686299</v>
      </c>
      <c r="O75" s="116">
        <v>154.311034456286</v>
      </c>
      <c r="P75" s="116">
        <v>160.61196540686299</v>
      </c>
      <c r="Q75" s="116">
        <v>162.9</v>
      </c>
      <c r="R75">
        <v>944757</v>
      </c>
    </row>
    <row r="76" spans="1:18" x14ac:dyDescent="0.25">
      <c r="A76" s="170">
        <v>42114</v>
      </c>
      <c r="B76" s="116">
        <v>2.26487401084615</v>
      </c>
      <c r="C76" s="116">
        <v>2.1571737082324902</v>
      </c>
      <c r="D76" s="116">
        <v>2.1524222242936499</v>
      </c>
      <c r="E76" s="116">
        <v>2.2173591714577698</v>
      </c>
      <c r="F76" s="116">
        <v>136.19999999999999</v>
      </c>
      <c r="G76">
        <v>3724</v>
      </c>
      <c r="H76" s="116"/>
      <c r="I76" s="116"/>
      <c r="L76" s="170">
        <v>45608</v>
      </c>
      <c r="M76" s="116">
        <v>147.98159250593301</v>
      </c>
      <c r="N76" s="116">
        <v>156.781987770238</v>
      </c>
      <c r="O76" s="116">
        <v>147.35435051085301</v>
      </c>
      <c r="P76" s="116">
        <v>155.57502211303901</v>
      </c>
      <c r="Q76" s="116">
        <v>155.71</v>
      </c>
      <c r="R76">
        <v>1020295</v>
      </c>
    </row>
    <row r="77" spans="1:18" x14ac:dyDescent="0.25">
      <c r="A77" s="170">
        <v>42115</v>
      </c>
      <c r="B77" s="116">
        <v>2.2458680750908</v>
      </c>
      <c r="C77" s="116">
        <v>2.1856826118655199</v>
      </c>
      <c r="D77" s="116">
        <v>2.171428160049</v>
      </c>
      <c r="E77" s="116">
        <v>2.2458680750908</v>
      </c>
      <c r="F77" s="116">
        <v>138</v>
      </c>
      <c r="G77">
        <v>900</v>
      </c>
      <c r="H77" s="116"/>
      <c r="I77" s="116"/>
      <c r="L77" s="170">
        <v>45609</v>
      </c>
      <c r="M77" s="116">
        <v>139.152686241852</v>
      </c>
      <c r="N77" s="116">
        <v>147.696482508169</v>
      </c>
      <c r="O77" s="116">
        <v>137.280463923203</v>
      </c>
      <c r="P77" s="116">
        <v>147.27832117811599</v>
      </c>
      <c r="Q77" s="116">
        <v>146.41999999999999</v>
      </c>
      <c r="R77">
        <v>1799413</v>
      </c>
    </row>
    <row r="78" spans="1:18" x14ac:dyDescent="0.25">
      <c r="A78" s="170">
        <v>42116</v>
      </c>
      <c r="B78" s="116">
        <v>2.1698443320693901</v>
      </c>
      <c r="C78" s="116">
        <v>2.1144103527829499</v>
      </c>
      <c r="D78" s="116">
        <v>2.1033235569256599</v>
      </c>
      <c r="E78" s="116">
        <v>2.1381677724771402</v>
      </c>
      <c r="F78" s="116">
        <v>133.5</v>
      </c>
      <c r="G78">
        <v>3147</v>
      </c>
      <c r="H78" s="116"/>
      <c r="I78" s="116"/>
      <c r="L78" s="170">
        <v>45610</v>
      </c>
      <c r="M78" s="116">
        <v>137.74614358621699</v>
      </c>
      <c r="N78" s="116">
        <v>144.45573220025599</v>
      </c>
      <c r="O78" s="116">
        <v>135.902432267346</v>
      </c>
      <c r="P78" s="116">
        <v>139.13367890866701</v>
      </c>
      <c r="Q78" s="116">
        <v>144.94</v>
      </c>
      <c r="R78">
        <v>1399582</v>
      </c>
    </row>
    <row r="79" spans="1:18" x14ac:dyDescent="0.25">
      <c r="A79" s="170">
        <v>42117</v>
      </c>
      <c r="B79" s="116">
        <v>2.1698443320693901</v>
      </c>
      <c r="C79" s="116">
        <v>2.0732308253130198</v>
      </c>
      <c r="D79" s="116">
        <v>2.0589763734964999</v>
      </c>
      <c r="E79" s="116">
        <v>2.1698443320693901</v>
      </c>
      <c r="F79" s="116">
        <v>130.9</v>
      </c>
      <c r="G79">
        <v>2401</v>
      </c>
      <c r="H79" s="116"/>
      <c r="I79" s="116"/>
      <c r="L79" s="170">
        <v>45614</v>
      </c>
      <c r="M79" s="116">
        <v>140.59724356385399</v>
      </c>
      <c r="N79" s="116">
        <v>142.193859551331</v>
      </c>
      <c r="O79" s="116">
        <v>132.661681959432</v>
      </c>
      <c r="P79" s="116">
        <v>139.22871557458899</v>
      </c>
      <c r="Q79" s="116">
        <v>147.94</v>
      </c>
      <c r="R79">
        <v>892959</v>
      </c>
    </row>
    <row r="80" spans="1:18" x14ac:dyDescent="0.25">
      <c r="A80" s="170">
        <v>42118</v>
      </c>
      <c r="B80" s="116">
        <v>2.2617063548869298</v>
      </c>
      <c r="C80" s="116">
        <v>2.0637278574353402</v>
      </c>
      <c r="D80" s="116">
        <v>2.0589763734964999</v>
      </c>
      <c r="E80" s="116">
        <v>2.1540060522732598</v>
      </c>
      <c r="F80" s="116">
        <v>130.30000000000001</v>
      </c>
      <c r="G80">
        <v>1119</v>
      </c>
      <c r="H80" s="116"/>
      <c r="I80" s="116"/>
      <c r="L80" s="170">
        <v>45615</v>
      </c>
      <c r="M80" s="116">
        <v>140.160074900616</v>
      </c>
      <c r="N80" s="116">
        <v>145.21602552762499</v>
      </c>
      <c r="O80" s="116">
        <v>139.23821924118101</v>
      </c>
      <c r="P80" s="116">
        <v>142.079815552225</v>
      </c>
      <c r="Q80" s="116">
        <v>147.47999999999999</v>
      </c>
      <c r="R80">
        <v>689572</v>
      </c>
    </row>
    <row r="81" spans="1:18" x14ac:dyDescent="0.25">
      <c r="A81" s="170">
        <v>42121</v>
      </c>
      <c r="B81" s="116">
        <v>2.1460869123752002</v>
      </c>
      <c r="C81" s="116">
        <v>1.82773748847305</v>
      </c>
      <c r="D81" s="116">
        <v>1.6725223464710099</v>
      </c>
      <c r="E81" s="116">
        <v>2.0336351258227001</v>
      </c>
      <c r="F81" s="116">
        <v>115.4</v>
      </c>
      <c r="G81">
        <v>7123</v>
      </c>
      <c r="H81" s="116"/>
      <c r="I81" s="116"/>
      <c r="L81" s="170">
        <v>45617</v>
      </c>
      <c r="M81" s="116">
        <v>138.80105057794299</v>
      </c>
      <c r="N81" s="116">
        <v>140.17908223380101</v>
      </c>
      <c r="O81" s="116">
        <v>136.63421459493901</v>
      </c>
      <c r="P81" s="116">
        <v>139.703898904195</v>
      </c>
      <c r="Q81" s="116">
        <v>146.05000000000001</v>
      </c>
      <c r="R81">
        <v>499793</v>
      </c>
    </row>
    <row r="82" spans="1:18" x14ac:dyDescent="0.25">
      <c r="A82" s="170">
        <v>42122</v>
      </c>
      <c r="B82" s="116">
        <v>2.0114615341081201</v>
      </c>
      <c r="C82" s="116">
        <v>1.9813688024954801</v>
      </c>
      <c r="D82" s="116">
        <v>1.8419919402895599</v>
      </c>
      <c r="E82" s="116">
        <v>1.88475529573911</v>
      </c>
      <c r="F82" s="116">
        <v>125.1</v>
      </c>
      <c r="G82">
        <v>1316</v>
      </c>
      <c r="H82" s="116"/>
      <c r="I82" s="116"/>
      <c r="L82" s="170">
        <v>45618</v>
      </c>
      <c r="M82" s="116">
        <v>139.46630723939199</v>
      </c>
      <c r="N82" s="116">
        <v>140.71128756296</v>
      </c>
      <c r="O82" s="116">
        <v>137.37550058912501</v>
      </c>
      <c r="P82" s="116">
        <v>139.703898904195</v>
      </c>
      <c r="Q82" s="116">
        <v>146.75</v>
      </c>
      <c r="R82">
        <v>454602</v>
      </c>
    </row>
    <row r="83" spans="1:18" x14ac:dyDescent="0.25">
      <c r="A83" s="170">
        <v>42123</v>
      </c>
      <c r="B83" s="116">
        <v>2.07956613723147</v>
      </c>
      <c r="C83" s="116">
        <v>1.94969224290323</v>
      </c>
      <c r="D83" s="116">
        <v>1.88475529573911</v>
      </c>
      <c r="E83" s="116">
        <v>2.02413215794502</v>
      </c>
      <c r="F83" s="116">
        <v>123.1</v>
      </c>
      <c r="G83">
        <v>2461</v>
      </c>
      <c r="H83" s="116"/>
      <c r="I83" s="116"/>
      <c r="L83" s="170">
        <v>45621</v>
      </c>
      <c r="M83" s="116">
        <v>147.54442384269501</v>
      </c>
      <c r="N83" s="116">
        <v>149.20756549631699</v>
      </c>
      <c r="O83" s="116">
        <v>142.11783021859401</v>
      </c>
      <c r="P83" s="116">
        <v>144.02806720360999</v>
      </c>
      <c r="Q83" s="116">
        <v>155.25</v>
      </c>
      <c r="R83">
        <v>1428049</v>
      </c>
    </row>
    <row r="84" spans="1:18" x14ac:dyDescent="0.25">
      <c r="A84" s="170">
        <v>42124</v>
      </c>
      <c r="B84" s="116">
        <v>1.9227671672498099</v>
      </c>
      <c r="C84" s="116">
        <v>1.8293213164526601</v>
      </c>
      <c r="D84" s="116">
        <v>1.81348303665654</v>
      </c>
      <c r="E84" s="116">
        <v>1.81348303665654</v>
      </c>
      <c r="F84" s="116">
        <v>115.5</v>
      </c>
      <c r="G84">
        <v>2327</v>
      </c>
      <c r="H84" s="116"/>
      <c r="I84" s="116"/>
      <c r="L84" s="170">
        <v>45622</v>
      </c>
      <c r="M84" s="116">
        <v>145.91929685544201</v>
      </c>
      <c r="N84" s="116">
        <v>149.20756549631699</v>
      </c>
      <c r="O84" s="116">
        <v>144.55076886617701</v>
      </c>
      <c r="P84" s="116">
        <v>148.17166583777501</v>
      </c>
      <c r="Q84" s="116">
        <v>153.54</v>
      </c>
      <c r="R84">
        <v>487269</v>
      </c>
    </row>
    <row r="85" spans="1:18" x14ac:dyDescent="0.25">
      <c r="A85" s="170">
        <v>42128</v>
      </c>
      <c r="B85" s="116">
        <v>1.8372404563507301</v>
      </c>
      <c r="C85" s="116">
        <v>1.78339030504389</v>
      </c>
      <c r="D85" s="116">
        <v>1.69469593818558</v>
      </c>
      <c r="E85" s="116">
        <v>1.7121180459613199</v>
      </c>
      <c r="F85" s="116">
        <v>112.6</v>
      </c>
      <c r="G85">
        <v>5081</v>
      </c>
      <c r="H85" s="116"/>
      <c r="I85" s="116"/>
      <c r="L85" s="170">
        <v>45623</v>
      </c>
      <c r="M85" s="116">
        <v>146.698597515996</v>
      </c>
      <c r="N85" s="116">
        <v>148.437768502355</v>
      </c>
      <c r="O85" s="116">
        <v>144.56027253276901</v>
      </c>
      <c r="P85" s="116">
        <v>146.73661218236501</v>
      </c>
      <c r="Q85" s="116">
        <v>154.36000000000001</v>
      </c>
      <c r="R85">
        <v>510361</v>
      </c>
    </row>
    <row r="86" spans="1:18" x14ac:dyDescent="0.25">
      <c r="A86" s="170">
        <v>42129</v>
      </c>
      <c r="B86" s="116">
        <v>1.8214021765546</v>
      </c>
      <c r="C86" s="116">
        <v>1.7596328853497001</v>
      </c>
      <c r="D86" s="116">
        <v>1.6867767982875199</v>
      </c>
      <c r="E86" s="116">
        <v>1.6867767982875199</v>
      </c>
      <c r="F86" s="116">
        <v>111.1</v>
      </c>
      <c r="G86">
        <v>2511</v>
      </c>
      <c r="H86" s="116"/>
      <c r="I86" s="116"/>
      <c r="L86" s="170">
        <v>45624</v>
      </c>
      <c r="M86" s="116">
        <v>149.47366816089601</v>
      </c>
      <c r="N86" s="116">
        <v>151.935117808256</v>
      </c>
      <c r="O86" s="116">
        <v>146.46100585119299</v>
      </c>
      <c r="P86" s="116">
        <v>148.26670250369699</v>
      </c>
      <c r="Q86" s="116">
        <v>157.28</v>
      </c>
      <c r="R86">
        <v>692262</v>
      </c>
    </row>
    <row r="87" spans="1:18" x14ac:dyDescent="0.25">
      <c r="A87" s="170">
        <v>42130</v>
      </c>
      <c r="B87" s="116">
        <v>1.8214021765546</v>
      </c>
      <c r="C87" s="116">
        <v>1.7152857019205501</v>
      </c>
      <c r="D87" s="116">
        <v>1.66301937859333</v>
      </c>
      <c r="E87" s="116">
        <v>1.8214021765546</v>
      </c>
      <c r="F87" s="116">
        <v>108.3</v>
      </c>
      <c r="G87">
        <v>2140</v>
      </c>
      <c r="H87" s="116"/>
      <c r="I87" s="116"/>
      <c r="L87" s="170">
        <v>45625</v>
      </c>
      <c r="M87" s="116">
        <v>148.77990049967099</v>
      </c>
      <c r="N87" s="116">
        <v>150.870707149938</v>
      </c>
      <c r="O87" s="116">
        <v>147.620453175432</v>
      </c>
      <c r="P87" s="116">
        <v>150.53807881921401</v>
      </c>
      <c r="Q87" s="116">
        <v>156.55000000000001</v>
      </c>
      <c r="R87">
        <v>461412</v>
      </c>
    </row>
    <row r="88" spans="1:18" x14ac:dyDescent="0.25">
      <c r="A88" s="170">
        <v>42131</v>
      </c>
      <c r="B88" s="116">
        <v>1.7723035091866099</v>
      </c>
      <c r="C88" s="116">
        <v>1.7010312501040299</v>
      </c>
      <c r="D88" s="116">
        <v>1.6614355506137199</v>
      </c>
      <c r="E88" s="116">
        <v>1.74062694959435</v>
      </c>
      <c r="F88" s="116">
        <v>107.4</v>
      </c>
      <c r="G88">
        <v>1329</v>
      </c>
      <c r="H88" s="116"/>
      <c r="I88" s="116"/>
      <c r="L88" s="170">
        <v>45628</v>
      </c>
      <c r="M88" s="116">
        <v>146.23291785298301</v>
      </c>
      <c r="N88" s="116">
        <v>147.97208883934101</v>
      </c>
      <c r="O88" s="116">
        <v>145.02595219578299</v>
      </c>
      <c r="P88" s="116">
        <v>147.77251184090599</v>
      </c>
      <c r="Q88" s="116">
        <v>153.87</v>
      </c>
      <c r="R88">
        <v>588244</v>
      </c>
    </row>
    <row r="89" spans="1:18" x14ac:dyDescent="0.25">
      <c r="A89" s="170">
        <v>42132</v>
      </c>
      <c r="B89" s="116">
        <v>1.84357576826918</v>
      </c>
      <c r="C89" s="116">
        <v>1.7089503900020999</v>
      </c>
      <c r="D89" s="116">
        <v>1.6788576583894601</v>
      </c>
      <c r="E89" s="116">
        <v>1.74062694959435</v>
      </c>
      <c r="F89" s="116">
        <v>107.9</v>
      </c>
      <c r="G89">
        <v>712</v>
      </c>
      <c r="H89" s="116"/>
      <c r="I89" s="116"/>
      <c r="L89" s="170">
        <v>45629</v>
      </c>
      <c r="M89" s="116">
        <v>158.89180175368901</v>
      </c>
      <c r="N89" s="116">
        <v>160.592958073679</v>
      </c>
      <c r="O89" s="116">
        <v>146.16639218683801</v>
      </c>
      <c r="P89" s="116">
        <v>146.261428852759</v>
      </c>
      <c r="Q89" s="116">
        <v>167.19</v>
      </c>
      <c r="R89">
        <v>2146606</v>
      </c>
    </row>
    <row r="90" spans="1:18" x14ac:dyDescent="0.25">
      <c r="A90" s="170">
        <v>42135</v>
      </c>
      <c r="B90" s="116">
        <v>1.81665069261576</v>
      </c>
      <c r="C90" s="116">
        <v>1.7010312501040299</v>
      </c>
      <c r="D90" s="116">
        <v>1.69469593818558</v>
      </c>
      <c r="E90" s="116">
        <v>1.81665069261576</v>
      </c>
      <c r="F90" s="116">
        <v>107.4</v>
      </c>
      <c r="G90">
        <v>1843</v>
      </c>
      <c r="H90" s="116"/>
      <c r="I90" s="116"/>
      <c r="L90" s="170">
        <v>45630</v>
      </c>
      <c r="M90" s="116">
        <v>162.67426105735399</v>
      </c>
      <c r="N90" s="116">
        <v>170.11563199898501</v>
      </c>
      <c r="O90" s="116">
        <v>159.661598747651</v>
      </c>
      <c r="P90" s="116">
        <v>160.18430041021799</v>
      </c>
      <c r="Q90" s="116">
        <v>171.17</v>
      </c>
      <c r="R90">
        <v>2752648</v>
      </c>
    </row>
    <row r="91" spans="1:18" x14ac:dyDescent="0.25">
      <c r="A91" s="170">
        <v>42136</v>
      </c>
      <c r="B91" s="116">
        <v>1.80556389675847</v>
      </c>
      <c r="C91" s="116">
        <v>1.7263724977778401</v>
      </c>
      <c r="D91" s="116">
        <v>1.66301937859333</v>
      </c>
      <c r="E91" s="116">
        <v>1.66301937859333</v>
      </c>
      <c r="F91" s="116">
        <v>109</v>
      </c>
      <c r="G91">
        <v>3745</v>
      </c>
      <c r="H91" s="116"/>
      <c r="I91" s="116"/>
      <c r="L91" s="170">
        <v>45631</v>
      </c>
      <c r="M91" s="116">
        <v>163.85271571477699</v>
      </c>
      <c r="N91" s="116">
        <v>165.54436836817499</v>
      </c>
      <c r="O91" s="116">
        <v>161.11565973624599</v>
      </c>
      <c r="P91" s="116">
        <v>163.93824871410601</v>
      </c>
      <c r="Q91" s="116">
        <v>172.41</v>
      </c>
      <c r="R91">
        <v>770832</v>
      </c>
    </row>
    <row r="92" spans="1:18" x14ac:dyDescent="0.25">
      <c r="A92" s="170">
        <v>42137</v>
      </c>
      <c r="B92" s="116">
        <v>1.7723035091866099</v>
      </c>
      <c r="C92" s="116">
        <v>1.7263724977778401</v>
      </c>
      <c r="D92" s="116">
        <v>1.6962797661652</v>
      </c>
      <c r="E92" s="116">
        <v>1.7723035091866099</v>
      </c>
      <c r="F92" s="116">
        <v>109</v>
      </c>
      <c r="G92">
        <v>941</v>
      </c>
      <c r="H92" s="116"/>
      <c r="I92" s="116"/>
      <c r="L92" s="170">
        <v>45632</v>
      </c>
      <c r="M92" s="116">
        <v>162.93086005534099</v>
      </c>
      <c r="N92" s="116">
        <v>165.16422170448999</v>
      </c>
      <c r="O92" s="116">
        <v>162.03751539568199</v>
      </c>
      <c r="P92" s="116">
        <v>164.651023708515</v>
      </c>
      <c r="Q92" s="116">
        <v>171.44</v>
      </c>
      <c r="R92">
        <v>445948</v>
      </c>
    </row>
    <row r="93" spans="1:18" x14ac:dyDescent="0.25">
      <c r="A93" s="170">
        <v>42138</v>
      </c>
      <c r="B93" s="116">
        <v>1.7422107775739599</v>
      </c>
      <c r="C93" s="116">
        <v>1.7422107775739599</v>
      </c>
      <c r="D93" s="116">
        <v>1.63292664698069</v>
      </c>
      <c r="E93" s="116">
        <v>1.63292664698069</v>
      </c>
      <c r="F93" s="116">
        <v>110</v>
      </c>
      <c r="G93">
        <v>1457</v>
      </c>
      <c r="H93" s="116"/>
      <c r="I93" s="116"/>
      <c r="L93" s="170">
        <v>45635</v>
      </c>
      <c r="M93" s="116">
        <v>157.94143509447699</v>
      </c>
      <c r="N93" s="116">
        <v>165.18322903767401</v>
      </c>
      <c r="O93" s="116">
        <v>156.81049877001399</v>
      </c>
      <c r="P93" s="116">
        <v>163.833708381593</v>
      </c>
      <c r="Q93" s="116">
        <v>166.19</v>
      </c>
      <c r="R93">
        <v>921662</v>
      </c>
    </row>
    <row r="94" spans="1:18" x14ac:dyDescent="0.25">
      <c r="A94" s="170">
        <v>42139</v>
      </c>
      <c r="B94" s="116">
        <v>1.8372404563507301</v>
      </c>
      <c r="C94" s="116">
        <v>1.7089503900020999</v>
      </c>
      <c r="D94" s="116">
        <v>1.68044148636907</v>
      </c>
      <c r="E94" s="116">
        <v>1.68044148636907</v>
      </c>
      <c r="F94" s="116">
        <v>107.9</v>
      </c>
      <c r="G94">
        <v>1686</v>
      </c>
      <c r="H94" s="116"/>
      <c r="I94" s="116"/>
      <c r="L94" s="170">
        <v>45636</v>
      </c>
      <c r="M94" s="116">
        <v>154.168479457404</v>
      </c>
      <c r="N94" s="116">
        <v>160.47891407457399</v>
      </c>
      <c r="O94" s="116">
        <v>153.104068799087</v>
      </c>
      <c r="P94" s="116">
        <v>158.98683841961</v>
      </c>
      <c r="Q94" s="116">
        <v>162.22</v>
      </c>
      <c r="R94">
        <v>677099</v>
      </c>
    </row>
    <row r="95" spans="1:18" x14ac:dyDescent="0.25">
      <c r="A95" s="170">
        <v>42142</v>
      </c>
      <c r="B95" s="116">
        <v>1.8214021765546</v>
      </c>
      <c r="C95" s="116">
        <v>1.7422107775739599</v>
      </c>
      <c r="D95" s="116">
        <v>1.6867767982875199</v>
      </c>
      <c r="E95" s="116">
        <v>1.7723035091866099</v>
      </c>
      <c r="F95" s="116">
        <v>110</v>
      </c>
      <c r="G95">
        <v>771</v>
      </c>
      <c r="H95" s="116"/>
      <c r="I95" s="116"/>
      <c r="L95" s="170">
        <v>45637</v>
      </c>
      <c r="M95" s="116">
        <v>155.603533112815</v>
      </c>
      <c r="N95" s="116">
        <v>158.08399009335901</v>
      </c>
      <c r="O95" s="116">
        <v>153.978406125562</v>
      </c>
      <c r="P95" s="116">
        <v>153.978406125562</v>
      </c>
      <c r="Q95" s="116">
        <v>163.72999999999999</v>
      </c>
      <c r="R95">
        <v>713586</v>
      </c>
    </row>
    <row r="96" spans="1:18" x14ac:dyDescent="0.25">
      <c r="A96" s="170">
        <v>42143</v>
      </c>
      <c r="B96" s="116">
        <v>1.7754711651458299</v>
      </c>
      <c r="C96" s="116">
        <v>1.73587546565551</v>
      </c>
      <c r="D96" s="116">
        <v>1.7263724977778401</v>
      </c>
      <c r="E96" s="116">
        <v>1.7422107775739599</v>
      </c>
      <c r="F96" s="116">
        <v>109.6</v>
      </c>
      <c r="G96">
        <v>698</v>
      </c>
      <c r="H96" s="116"/>
      <c r="I96" s="116"/>
      <c r="L96" s="170">
        <v>45638</v>
      </c>
      <c r="M96" s="116">
        <v>155.35643778142</v>
      </c>
      <c r="N96" s="116">
        <v>158.61619542251799</v>
      </c>
      <c r="O96" s="116">
        <v>154.919269118182</v>
      </c>
      <c r="P96" s="116">
        <v>156.040701776052</v>
      </c>
      <c r="Q96" s="116">
        <v>163.47</v>
      </c>
      <c r="R96">
        <v>376837</v>
      </c>
    </row>
    <row r="97" spans="1:18" x14ac:dyDescent="0.25">
      <c r="A97" s="170">
        <v>42144</v>
      </c>
      <c r="B97" s="116">
        <v>1.7564652293904801</v>
      </c>
      <c r="C97" s="116">
        <v>1.65826789465449</v>
      </c>
      <c r="D97" s="116">
        <v>1.6471810987972</v>
      </c>
      <c r="E97" s="116">
        <v>1.72795632575745</v>
      </c>
      <c r="F97" s="116">
        <v>104.7</v>
      </c>
      <c r="G97">
        <v>6219</v>
      </c>
      <c r="H97" s="116"/>
      <c r="I97" s="116"/>
      <c r="L97" s="170">
        <v>45639</v>
      </c>
      <c r="M97" s="116">
        <v>156.96255743548801</v>
      </c>
      <c r="N97" s="116">
        <v>158.283567091793</v>
      </c>
      <c r="O97" s="116">
        <v>153.95939879237801</v>
      </c>
      <c r="P97" s="116">
        <v>154.71018845315501</v>
      </c>
      <c r="Q97" s="116">
        <v>165.16</v>
      </c>
      <c r="R97">
        <v>535482</v>
      </c>
    </row>
    <row r="98" spans="1:18" x14ac:dyDescent="0.25">
      <c r="A98" s="170">
        <v>42145</v>
      </c>
      <c r="B98" s="116">
        <v>1.7342916376759001</v>
      </c>
      <c r="C98" s="116">
        <v>1.6313428190010799</v>
      </c>
      <c r="D98" s="116">
        <v>1.6313428190010799</v>
      </c>
      <c r="E98" s="116">
        <v>1.67410617445062</v>
      </c>
      <c r="F98" s="116">
        <v>103</v>
      </c>
      <c r="G98">
        <v>1780</v>
      </c>
      <c r="H98" s="116"/>
      <c r="I98" s="116"/>
      <c r="L98" s="170">
        <v>45642</v>
      </c>
      <c r="M98" s="116">
        <v>162.37014372640601</v>
      </c>
      <c r="N98" s="116">
        <v>164.394424710528</v>
      </c>
      <c r="O98" s="116">
        <v>157.219156433476</v>
      </c>
      <c r="P98" s="116">
        <v>157.63731776352901</v>
      </c>
      <c r="Q98" s="116">
        <v>170.85</v>
      </c>
      <c r="R98">
        <v>1034688</v>
      </c>
    </row>
    <row r="99" spans="1:18" x14ac:dyDescent="0.25">
      <c r="A99" s="170">
        <v>42146</v>
      </c>
      <c r="B99" s="116">
        <v>1.7263724977778401</v>
      </c>
      <c r="C99" s="116">
        <v>1.6424296148583599</v>
      </c>
      <c r="D99" s="116">
        <v>1.6202560231437899</v>
      </c>
      <c r="E99" s="116">
        <v>1.6455972708175901</v>
      </c>
      <c r="F99" s="116">
        <v>103.7</v>
      </c>
      <c r="G99">
        <v>958</v>
      </c>
      <c r="H99" s="116"/>
      <c r="I99" s="116"/>
      <c r="L99" s="170">
        <v>45643</v>
      </c>
      <c r="M99" s="116">
        <v>163.35852505198599</v>
      </c>
      <c r="N99" s="116">
        <v>167.16949535542699</v>
      </c>
      <c r="O99" s="116">
        <v>159.69010974742699</v>
      </c>
      <c r="P99" s="116">
        <v>163.62462771656601</v>
      </c>
      <c r="Q99" s="116">
        <v>171.89</v>
      </c>
      <c r="R99">
        <v>973520</v>
      </c>
    </row>
    <row r="100" spans="1:18" x14ac:dyDescent="0.25">
      <c r="A100" s="170">
        <v>42149</v>
      </c>
      <c r="B100" s="116">
        <v>1.73904312161474</v>
      </c>
      <c r="C100" s="116">
        <v>1.7089503900020999</v>
      </c>
      <c r="D100" s="116">
        <v>1.5901632915311501</v>
      </c>
      <c r="E100" s="116">
        <v>1.73904312161474</v>
      </c>
      <c r="F100" s="116">
        <v>107.9</v>
      </c>
      <c r="G100">
        <v>137</v>
      </c>
      <c r="H100" s="116"/>
      <c r="I100" s="116"/>
      <c r="L100" s="170">
        <v>45644</v>
      </c>
      <c r="M100" s="116">
        <v>159.92770141222999</v>
      </c>
      <c r="N100" s="116">
        <v>165.83898203253</v>
      </c>
      <c r="O100" s="116">
        <v>159.661598747651</v>
      </c>
      <c r="P100" s="116">
        <v>163.4630653845</v>
      </c>
      <c r="Q100" s="116">
        <v>168.28</v>
      </c>
      <c r="R100">
        <v>572084</v>
      </c>
    </row>
    <row r="101" spans="1:18" x14ac:dyDescent="0.25">
      <c r="A101" s="170">
        <v>42150</v>
      </c>
      <c r="B101" s="116">
        <v>1.70578273404287</v>
      </c>
      <c r="C101" s="116">
        <v>1.6281751630418499</v>
      </c>
      <c r="D101" s="116">
        <v>1.5964986034496</v>
      </c>
      <c r="E101" s="116">
        <v>1.6218398511234</v>
      </c>
      <c r="F101" s="116">
        <v>102.8</v>
      </c>
      <c r="G101">
        <v>1085</v>
      </c>
      <c r="H101" s="116"/>
      <c r="I101" s="116"/>
      <c r="L101" s="170">
        <v>45645</v>
      </c>
      <c r="M101" s="116">
        <v>156.82950610319901</v>
      </c>
      <c r="N101" s="116">
        <v>159.42400708284799</v>
      </c>
      <c r="O101" s="116">
        <v>154.292027123102</v>
      </c>
      <c r="P101" s="116">
        <v>155.289912115275</v>
      </c>
      <c r="Q101" s="116">
        <v>165.02</v>
      </c>
      <c r="R101">
        <v>402081</v>
      </c>
    </row>
    <row r="102" spans="1:18" x14ac:dyDescent="0.25">
      <c r="A102" s="170">
        <v>42151</v>
      </c>
      <c r="B102" s="116">
        <v>1.9401892750255501</v>
      </c>
      <c r="C102" s="116">
        <v>1.81665069261576</v>
      </c>
      <c r="D102" s="116">
        <v>1.64401344283798</v>
      </c>
      <c r="E102" s="116">
        <v>1.6455972708175901</v>
      </c>
      <c r="F102" s="116">
        <v>114.7</v>
      </c>
      <c r="G102">
        <v>8453</v>
      </c>
      <c r="H102" s="116"/>
      <c r="I102" s="116"/>
      <c r="L102" s="170">
        <v>45646</v>
      </c>
      <c r="M102" s="116">
        <v>152.28675347216401</v>
      </c>
      <c r="N102" s="116">
        <v>158.23604875883299</v>
      </c>
      <c r="O102" s="116">
        <v>151.53596381138701</v>
      </c>
      <c r="P102" s="116">
        <v>156.70595843750101</v>
      </c>
      <c r="Q102" s="116">
        <v>160.24</v>
      </c>
      <c r="R102">
        <v>571627</v>
      </c>
    </row>
    <row r="103" spans="1:18" x14ac:dyDescent="0.25">
      <c r="A103" s="170">
        <v>42152</v>
      </c>
      <c r="B103" s="116">
        <v>1.8530787361468499</v>
      </c>
      <c r="C103" s="116">
        <v>1.6788576583894601</v>
      </c>
      <c r="D103" s="116">
        <v>1.6725223464710099</v>
      </c>
      <c r="E103" s="116">
        <v>1.8530787361468499</v>
      </c>
      <c r="F103" s="116">
        <v>106</v>
      </c>
      <c r="G103">
        <v>4381</v>
      </c>
      <c r="H103" s="116"/>
      <c r="I103" s="116"/>
      <c r="L103" s="170">
        <v>45649</v>
      </c>
      <c r="M103" s="116">
        <v>147.943577839564</v>
      </c>
      <c r="N103" s="116">
        <v>156.79149143683</v>
      </c>
      <c r="O103" s="116">
        <v>145.60567585790201</v>
      </c>
      <c r="P103" s="116">
        <v>153.674288794614</v>
      </c>
      <c r="Q103" s="116">
        <v>155.66999999999999</v>
      </c>
      <c r="R103">
        <v>548686</v>
      </c>
    </row>
    <row r="104" spans="1:18" x14ac:dyDescent="0.25">
      <c r="A104" s="170">
        <v>42153</v>
      </c>
      <c r="B104" s="116">
        <v>1.8182345205953701</v>
      </c>
      <c r="C104" s="116">
        <v>1.6677708625321701</v>
      </c>
      <c r="D104" s="116">
        <v>1.65193258273604</v>
      </c>
      <c r="E104" s="116">
        <v>1.73904312161474</v>
      </c>
      <c r="F104" s="116">
        <v>105.3</v>
      </c>
      <c r="G104">
        <v>3469</v>
      </c>
      <c r="H104" s="116"/>
      <c r="I104" s="116"/>
      <c r="L104" s="170">
        <v>45650</v>
      </c>
      <c r="M104" s="116">
        <v>151.46943814524201</v>
      </c>
      <c r="N104" s="116">
        <v>154.90026178499801</v>
      </c>
      <c r="O104" s="116">
        <v>148.88444083218499</v>
      </c>
      <c r="P104" s="116">
        <v>148.88444083218499</v>
      </c>
      <c r="Q104" s="116">
        <v>159.38</v>
      </c>
      <c r="R104">
        <v>428526</v>
      </c>
    </row>
    <row r="105" spans="1:18" x14ac:dyDescent="0.25">
      <c r="A105" s="170">
        <v>42156</v>
      </c>
      <c r="B105" s="116">
        <v>1.7976447568604099</v>
      </c>
      <c r="C105" s="116">
        <v>1.6677708625321701</v>
      </c>
      <c r="D105" s="116">
        <v>1.6471810987972</v>
      </c>
      <c r="E105" s="116">
        <v>1.7707196812069901</v>
      </c>
      <c r="F105" s="116">
        <v>105.3</v>
      </c>
      <c r="G105">
        <v>9157</v>
      </c>
      <c r="H105" s="116"/>
      <c r="I105" s="116"/>
      <c r="L105" s="170">
        <v>45652</v>
      </c>
      <c r="M105" s="116">
        <v>148.96047016492199</v>
      </c>
      <c r="N105" s="116">
        <v>153.674288794614</v>
      </c>
      <c r="O105" s="116">
        <v>148.39975383598599</v>
      </c>
      <c r="P105" s="116">
        <v>151.46943814524201</v>
      </c>
      <c r="Q105" s="116">
        <v>156.74</v>
      </c>
      <c r="R105">
        <v>250424</v>
      </c>
    </row>
    <row r="106" spans="1:18" x14ac:dyDescent="0.25">
      <c r="A106" s="170">
        <v>42157</v>
      </c>
      <c r="B106" s="116">
        <v>1.72478866979822</v>
      </c>
      <c r="C106" s="116">
        <v>1.61867219516417</v>
      </c>
      <c r="D106" s="116">
        <v>1.60283391536805</v>
      </c>
      <c r="E106" s="116">
        <v>1.60283391536805</v>
      </c>
      <c r="F106" s="116">
        <v>102.2</v>
      </c>
      <c r="G106">
        <v>9947</v>
      </c>
      <c r="H106" s="116"/>
      <c r="I106" s="116"/>
      <c r="L106" s="170">
        <v>45653</v>
      </c>
      <c r="M106" s="116">
        <v>149.302602162238</v>
      </c>
      <c r="N106" s="116">
        <v>152.058665473953</v>
      </c>
      <c r="O106" s="116">
        <v>148.73238216671101</v>
      </c>
      <c r="P106" s="116">
        <v>149.19806182972499</v>
      </c>
      <c r="Q106" s="116">
        <v>157.1</v>
      </c>
      <c r="R106">
        <v>230858</v>
      </c>
    </row>
    <row r="107" spans="1:18" x14ac:dyDescent="0.25">
      <c r="A107" s="170">
        <v>42158</v>
      </c>
      <c r="B107" s="116">
        <v>1.6725223464710099</v>
      </c>
      <c r="C107" s="116">
        <v>1.4602893972029001</v>
      </c>
      <c r="D107" s="116">
        <v>1.44128346144755</v>
      </c>
      <c r="E107" s="116">
        <v>1.6725223464710099</v>
      </c>
      <c r="F107" s="116">
        <v>92.2</v>
      </c>
      <c r="G107">
        <v>6216</v>
      </c>
      <c r="H107" s="116"/>
      <c r="I107" s="116"/>
      <c r="L107" s="170">
        <v>45656</v>
      </c>
      <c r="M107" s="116">
        <v>144.265658868413</v>
      </c>
      <c r="N107" s="116">
        <v>150.04388815642301</v>
      </c>
      <c r="O107" s="116">
        <v>143.695438872886</v>
      </c>
      <c r="P107" s="116">
        <v>150.02488082323899</v>
      </c>
      <c r="Q107" s="116">
        <v>151.80000000000001</v>
      </c>
      <c r="R107">
        <v>403878</v>
      </c>
    </row>
    <row r="108" spans="1:18" x14ac:dyDescent="0.25">
      <c r="A108" s="170">
        <v>42159</v>
      </c>
      <c r="B108" s="116">
        <v>1.6234236791030101</v>
      </c>
      <c r="C108" s="116">
        <v>1.5014689246728301</v>
      </c>
      <c r="D108" s="116">
        <v>1.44445111740678</v>
      </c>
      <c r="E108" s="116">
        <v>1.58066032365347</v>
      </c>
      <c r="F108" s="116">
        <v>94.8</v>
      </c>
      <c r="G108">
        <v>1976</v>
      </c>
      <c r="H108" s="116"/>
      <c r="I108" s="116"/>
      <c r="L108" s="170">
        <v>45657</v>
      </c>
      <c r="M108" s="116">
        <v>145.60567585790201</v>
      </c>
      <c r="N108" s="116">
        <v>146.35646551868001</v>
      </c>
      <c r="O108" s="116">
        <v>142.697553880713</v>
      </c>
      <c r="P108" s="116">
        <v>143.48635820785901</v>
      </c>
      <c r="Q108" s="116">
        <v>153.21</v>
      </c>
      <c r="R108">
        <v>366978</v>
      </c>
    </row>
    <row r="109" spans="1:18" x14ac:dyDescent="0.25">
      <c r="A109" s="170">
        <v>42160</v>
      </c>
      <c r="B109" s="116">
        <v>1.5790764956738601</v>
      </c>
      <c r="C109" s="116">
        <v>1.496717440734</v>
      </c>
      <c r="D109" s="116">
        <v>1.4729600210398099</v>
      </c>
      <c r="E109" s="116">
        <v>1.5790764956738601</v>
      </c>
      <c r="F109" s="116">
        <v>94.5</v>
      </c>
      <c r="G109">
        <v>3059</v>
      </c>
      <c r="H109" s="116"/>
      <c r="I109" s="116"/>
      <c r="L109" s="170">
        <v>45658</v>
      </c>
      <c r="M109" s="116">
        <v>152.01114714099299</v>
      </c>
      <c r="N109" s="116">
        <v>153.484215462772</v>
      </c>
      <c r="O109" s="116">
        <v>144.18012586908401</v>
      </c>
      <c r="P109" s="116">
        <v>144.18012586908401</v>
      </c>
      <c r="Q109" s="116">
        <v>159.94999999999999</v>
      </c>
      <c r="R109">
        <v>486442</v>
      </c>
    </row>
    <row r="110" spans="1:18" x14ac:dyDescent="0.25">
      <c r="A110" s="170">
        <v>42163</v>
      </c>
      <c r="B110" s="116">
        <v>1.56323821587773</v>
      </c>
      <c r="C110" s="116">
        <v>1.45870556922329</v>
      </c>
      <c r="D110" s="116">
        <v>1.4460349453863901</v>
      </c>
      <c r="E110" s="116">
        <v>1.5569029039592801</v>
      </c>
      <c r="F110" s="116">
        <v>92.1</v>
      </c>
      <c r="G110">
        <v>3161</v>
      </c>
      <c r="H110" s="116"/>
      <c r="I110" s="116"/>
      <c r="L110" s="170">
        <v>45659</v>
      </c>
      <c r="M110" s="116">
        <v>150.42403482010801</v>
      </c>
      <c r="N110" s="116">
        <v>153.57925212869301</v>
      </c>
      <c r="O110" s="116">
        <v>148.44727216894699</v>
      </c>
      <c r="P110" s="116">
        <v>153.43669712981099</v>
      </c>
      <c r="Q110" s="116">
        <v>158.28</v>
      </c>
      <c r="R110">
        <v>425086</v>
      </c>
    </row>
    <row r="111" spans="1:18" x14ac:dyDescent="0.25">
      <c r="A111" s="170">
        <v>42164</v>
      </c>
      <c r="B111" s="116">
        <v>1.57432501173502</v>
      </c>
      <c r="C111" s="116">
        <v>1.45553791326407</v>
      </c>
      <c r="D111" s="116">
        <v>1.4428672894271599</v>
      </c>
      <c r="E111" s="116">
        <v>1.57432501173502</v>
      </c>
      <c r="F111" s="116">
        <v>91.9</v>
      </c>
      <c r="G111">
        <v>1360</v>
      </c>
      <c r="H111" s="116"/>
      <c r="I111" s="116"/>
      <c r="L111" s="170">
        <v>45660</v>
      </c>
      <c r="M111" s="116">
        <v>149.302602162238</v>
      </c>
      <c r="N111" s="116">
        <v>152.53384880355901</v>
      </c>
      <c r="O111" s="116">
        <v>148.51379783509199</v>
      </c>
      <c r="P111" s="116">
        <v>150.918225482899</v>
      </c>
      <c r="Q111" s="116">
        <v>157.1</v>
      </c>
      <c r="R111">
        <v>462696</v>
      </c>
    </row>
    <row r="112" spans="1:18" x14ac:dyDescent="0.25">
      <c r="A112" s="170">
        <v>42165</v>
      </c>
      <c r="B112" s="116">
        <v>1.62500750708262</v>
      </c>
      <c r="C112" s="116">
        <v>1.43653197750871</v>
      </c>
      <c r="D112" s="116">
        <v>1.42544518165143</v>
      </c>
      <c r="E112" s="116">
        <v>1.6155045392049501</v>
      </c>
      <c r="F112" s="116">
        <v>90.7</v>
      </c>
      <c r="G112">
        <v>4879</v>
      </c>
      <c r="H112" s="116"/>
      <c r="I112" s="116"/>
      <c r="L112" s="170">
        <v>45663</v>
      </c>
      <c r="M112" s="116">
        <v>141.899245886975</v>
      </c>
      <c r="N112" s="116">
        <v>150.14842848893699</v>
      </c>
      <c r="O112" s="116">
        <v>141.12944889301301</v>
      </c>
      <c r="P112" s="116">
        <v>149.863318491173</v>
      </c>
      <c r="Q112" s="116">
        <v>149.31</v>
      </c>
      <c r="R112">
        <v>612965</v>
      </c>
    </row>
    <row r="113" spans="1:18" x14ac:dyDescent="0.25">
      <c r="A113" s="170">
        <v>42166</v>
      </c>
      <c r="B113" s="116">
        <v>1.5125557205301201</v>
      </c>
      <c r="C113" s="116">
        <v>1.4286128376106499</v>
      </c>
      <c r="D113" s="116">
        <v>1.42544518165143</v>
      </c>
      <c r="E113" s="116">
        <v>1.5125557205301201</v>
      </c>
      <c r="F113" s="116">
        <v>90.2</v>
      </c>
      <c r="G113">
        <v>2028</v>
      </c>
      <c r="H113" s="116"/>
      <c r="I113" s="116"/>
      <c r="L113" s="170">
        <v>45664</v>
      </c>
      <c r="M113" s="116">
        <v>142.754575880266</v>
      </c>
      <c r="N113" s="116">
        <v>150.623611818543</v>
      </c>
      <c r="O113" s="116">
        <v>140.65426556340699</v>
      </c>
      <c r="P113" s="116">
        <v>150.623611818543</v>
      </c>
      <c r="Q113" s="116">
        <v>150.21</v>
      </c>
      <c r="R113">
        <v>910485</v>
      </c>
    </row>
    <row r="114" spans="1:18" x14ac:dyDescent="0.25">
      <c r="A114" s="170">
        <v>42167</v>
      </c>
      <c r="B114" s="116">
        <v>1.5204748604281899</v>
      </c>
      <c r="C114" s="116">
        <v>1.39218479407956</v>
      </c>
      <c r="D114" s="116">
        <v>1.3462537826707901</v>
      </c>
      <c r="E114" s="116">
        <v>1.5204748604281899</v>
      </c>
      <c r="F114" s="116">
        <v>87.9</v>
      </c>
      <c r="G114">
        <v>1863</v>
      </c>
      <c r="H114" s="116"/>
      <c r="I114" s="116"/>
      <c r="L114" s="170">
        <v>45665</v>
      </c>
      <c r="M114" s="116">
        <v>141.509595556698</v>
      </c>
      <c r="N114" s="116">
        <v>143.93303053768901</v>
      </c>
      <c r="O114" s="116">
        <v>140.530717897709</v>
      </c>
      <c r="P114" s="116">
        <v>143.35330687557001</v>
      </c>
      <c r="Q114" s="116">
        <v>148.9</v>
      </c>
      <c r="R114">
        <v>463389</v>
      </c>
    </row>
    <row r="115" spans="1:18" x14ac:dyDescent="0.25">
      <c r="A115" s="170">
        <v>42170</v>
      </c>
      <c r="B115" s="116">
        <v>1.51097189255051</v>
      </c>
      <c r="C115" s="116">
        <v>1.4016877619572301</v>
      </c>
      <c r="D115" s="116">
        <v>1.3620920624669199</v>
      </c>
      <c r="E115" s="116">
        <v>1.51097189255051</v>
      </c>
      <c r="F115" s="116">
        <v>88.5</v>
      </c>
      <c r="G115">
        <v>2070</v>
      </c>
      <c r="H115" s="116"/>
      <c r="I115" s="116"/>
      <c r="L115" s="170">
        <v>45666</v>
      </c>
      <c r="M115" s="116">
        <v>138.772539578167</v>
      </c>
      <c r="N115" s="116">
        <v>141.462077223737</v>
      </c>
      <c r="O115" s="116">
        <v>138.35437824811299</v>
      </c>
      <c r="P115" s="116">
        <v>141.252996558711</v>
      </c>
      <c r="Q115" s="116">
        <v>146.02000000000001</v>
      </c>
      <c r="R115">
        <v>430484</v>
      </c>
    </row>
    <row r="116" spans="1:18" x14ac:dyDescent="0.25">
      <c r="A116" s="170">
        <v>42171</v>
      </c>
      <c r="B116" s="116">
        <v>1.5426484521427599</v>
      </c>
      <c r="C116" s="116">
        <v>1.43336432154949</v>
      </c>
      <c r="D116" s="116">
        <v>1.4016877619572301</v>
      </c>
      <c r="E116" s="116">
        <v>1.5426484521427599</v>
      </c>
      <c r="F116" s="116">
        <v>90.5</v>
      </c>
      <c r="G116">
        <v>605</v>
      </c>
      <c r="H116" s="116"/>
      <c r="I116" s="116"/>
      <c r="L116" s="170">
        <v>45667</v>
      </c>
      <c r="M116" s="116">
        <v>133.83063295026301</v>
      </c>
      <c r="N116" s="116">
        <v>140.57823623067</v>
      </c>
      <c r="O116" s="116">
        <v>133.14636895563001</v>
      </c>
      <c r="P116" s="116">
        <v>139.703898904195</v>
      </c>
      <c r="Q116" s="116">
        <v>140.82</v>
      </c>
      <c r="R116">
        <v>690691</v>
      </c>
    </row>
    <row r="117" spans="1:18" x14ac:dyDescent="0.25">
      <c r="A117" s="170">
        <v>42172</v>
      </c>
      <c r="B117" s="116">
        <v>1.51413954850974</v>
      </c>
      <c r="C117" s="116">
        <v>1.4792953329582601</v>
      </c>
      <c r="D117" s="116">
        <v>1.42544518165143</v>
      </c>
      <c r="E117" s="116">
        <v>1.51413954850974</v>
      </c>
      <c r="F117" s="116">
        <v>93.4</v>
      </c>
      <c r="G117">
        <v>1416</v>
      </c>
      <c r="H117" s="116"/>
      <c r="I117" s="116"/>
      <c r="L117" s="170">
        <v>45670</v>
      </c>
      <c r="M117" s="116">
        <v>125.69549434740701</v>
      </c>
      <c r="N117" s="116">
        <v>133.05133228970899</v>
      </c>
      <c r="O117" s="116">
        <v>123.54766569758699</v>
      </c>
      <c r="P117" s="116">
        <v>131.18861363765299</v>
      </c>
      <c r="Q117" s="116">
        <v>132.26</v>
      </c>
      <c r="R117">
        <v>956629</v>
      </c>
    </row>
    <row r="118" spans="1:18" x14ac:dyDescent="0.25">
      <c r="A118" s="170">
        <v>42173</v>
      </c>
      <c r="B118" s="116">
        <v>1.51889103244857</v>
      </c>
      <c r="C118" s="116">
        <v>1.51889103244857</v>
      </c>
      <c r="D118" s="116">
        <v>1.45870556922329</v>
      </c>
      <c r="E118" s="116">
        <v>1.51889103244857</v>
      </c>
      <c r="F118" s="116">
        <v>95.9</v>
      </c>
      <c r="G118">
        <v>32</v>
      </c>
      <c r="H118" s="116"/>
      <c r="I118" s="116"/>
      <c r="L118" s="170">
        <v>45671</v>
      </c>
      <c r="M118" s="116">
        <v>129.38291698514999</v>
      </c>
      <c r="N118" s="116">
        <v>133.52651561931501</v>
      </c>
      <c r="O118" s="116">
        <v>125.47691001578799</v>
      </c>
      <c r="P118" s="116">
        <v>126.31323267589499</v>
      </c>
      <c r="Q118" s="116">
        <v>136.13999999999999</v>
      </c>
      <c r="R118">
        <v>856546</v>
      </c>
    </row>
    <row r="119" spans="1:18" x14ac:dyDescent="0.25">
      <c r="A119" s="170">
        <v>42174</v>
      </c>
      <c r="B119" s="116">
        <v>1.6281751630418499</v>
      </c>
      <c r="C119" s="116">
        <v>1.56323821587773</v>
      </c>
      <c r="D119" s="116">
        <v>1.44128346144755</v>
      </c>
      <c r="E119" s="116">
        <v>1.6281751630418499</v>
      </c>
      <c r="F119" s="116">
        <v>98.7</v>
      </c>
      <c r="G119">
        <v>1589</v>
      </c>
      <c r="H119" s="116"/>
      <c r="I119" s="116"/>
      <c r="L119" s="170">
        <v>45672</v>
      </c>
      <c r="M119" s="116">
        <v>128.556097991635</v>
      </c>
      <c r="N119" s="116">
        <v>133.13686528903801</v>
      </c>
      <c r="O119" s="116">
        <v>127.434665333765</v>
      </c>
      <c r="P119" s="116">
        <v>129.24986565286</v>
      </c>
      <c r="Q119" s="116">
        <v>135.27000000000001</v>
      </c>
      <c r="R119">
        <v>731238</v>
      </c>
    </row>
    <row r="120" spans="1:18" x14ac:dyDescent="0.25">
      <c r="A120" s="170">
        <v>42177</v>
      </c>
      <c r="B120" s="116">
        <v>1.5964986034496</v>
      </c>
      <c r="C120" s="116">
        <v>1.5901632915311501</v>
      </c>
      <c r="D120" s="116">
        <v>1.5204748604281899</v>
      </c>
      <c r="E120" s="116">
        <v>1.5679896998165701</v>
      </c>
      <c r="F120" s="116">
        <v>100.4</v>
      </c>
      <c r="G120">
        <v>462</v>
      </c>
      <c r="H120" s="116"/>
      <c r="I120" s="116"/>
      <c r="L120" s="170">
        <v>45673</v>
      </c>
      <c r="M120" s="116">
        <v>132.37657196166899</v>
      </c>
      <c r="N120" s="116">
        <v>133.85914395003999</v>
      </c>
      <c r="O120" s="116">
        <v>130.485342309836</v>
      </c>
      <c r="P120" s="116">
        <v>130.485342309836</v>
      </c>
      <c r="Q120" s="116">
        <v>139.29</v>
      </c>
      <c r="R120">
        <v>515183</v>
      </c>
    </row>
    <row r="121" spans="1:18" x14ac:dyDescent="0.25">
      <c r="A121" s="170">
        <v>42178</v>
      </c>
      <c r="B121" s="116">
        <v>1.64084578687875</v>
      </c>
      <c r="C121" s="116">
        <v>1.5822441516330801</v>
      </c>
      <c r="D121" s="116">
        <v>1.5125557205301201</v>
      </c>
      <c r="E121" s="116">
        <v>1.64084578687875</v>
      </c>
      <c r="F121" s="116">
        <v>99.9</v>
      </c>
      <c r="G121">
        <v>1605</v>
      </c>
      <c r="H121" s="116"/>
      <c r="I121" s="116"/>
      <c r="L121" s="170">
        <v>45674</v>
      </c>
      <c r="M121" s="116">
        <v>132.86125895786699</v>
      </c>
      <c r="N121" s="116">
        <v>135.32270860522601</v>
      </c>
      <c r="O121" s="116">
        <v>130.72293397463901</v>
      </c>
      <c r="P121" s="116">
        <v>135.32270860522601</v>
      </c>
      <c r="Q121" s="116">
        <v>139.80000000000001</v>
      </c>
      <c r="R121">
        <v>702981</v>
      </c>
    </row>
    <row r="122" spans="1:18" x14ac:dyDescent="0.25">
      <c r="A122" s="170">
        <v>42179</v>
      </c>
      <c r="B122" s="116">
        <v>1.5964986034496</v>
      </c>
      <c r="C122" s="116">
        <v>1.5569029039592801</v>
      </c>
      <c r="D122" s="116">
        <v>1.5204748604281899</v>
      </c>
      <c r="E122" s="116">
        <v>1.5964986034496</v>
      </c>
      <c r="F122" s="116">
        <v>98.3</v>
      </c>
      <c r="G122">
        <v>557</v>
      </c>
      <c r="H122" s="116"/>
      <c r="I122" s="116"/>
      <c r="L122" s="170">
        <v>45677</v>
      </c>
      <c r="M122" s="116">
        <v>129.77256731542701</v>
      </c>
      <c r="N122" s="116">
        <v>134.961569274726</v>
      </c>
      <c r="O122" s="116">
        <v>127.216081002146</v>
      </c>
      <c r="P122" s="116">
        <v>134.95206560813401</v>
      </c>
      <c r="Q122" s="116">
        <v>136.55000000000001</v>
      </c>
      <c r="R122">
        <v>1336828</v>
      </c>
    </row>
    <row r="123" spans="1:18" x14ac:dyDescent="0.25">
      <c r="A123" s="170">
        <v>42180</v>
      </c>
      <c r="B123" s="116">
        <v>1.64401344283798</v>
      </c>
      <c r="C123" s="116">
        <v>1.5964986034496</v>
      </c>
      <c r="D123" s="116">
        <v>1.53631314022431</v>
      </c>
      <c r="E123" s="116">
        <v>1.64401344283798</v>
      </c>
      <c r="F123" s="116">
        <v>100.8</v>
      </c>
      <c r="G123">
        <v>1116</v>
      </c>
      <c r="H123" s="116"/>
      <c r="I123" s="116"/>
      <c r="L123" s="170">
        <v>45678</v>
      </c>
      <c r="M123" s="116">
        <v>135.08511694042301</v>
      </c>
      <c r="N123" s="116">
        <v>141.36704055781601</v>
      </c>
      <c r="O123" s="116">
        <v>130.675415641679</v>
      </c>
      <c r="P123" s="116">
        <v>130.96052563944201</v>
      </c>
      <c r="Q123" s="116">
        <v>142.13999999999999</v>
      </c>
      <c r="R123">
        <v>3047044</v>
      </c>
    </row>
    <row r="124" spans="1:18" x14ac:dyDescent="0.25">
      <c r="A124" s="170">
        <v>42181</v>
      </c>
      <c r="B124" s="116">
        <v>1.6155045392049501</v>
      </c>
      <c r="C124" s="116">
        <v>1.54423228012238</v>
      </c>
      <c r="D124" s="116">
        <v>1.5315616562854799</v>
      </c>
      <c r="E124" s="116">
        <v>1.6155045392049501</v>
      </c>
      <c r="F124" s="116">
        <v>97.5</v>
      </c>
      <c r="G124">
        <v>300</v>
      </c>
      <c r="H124" s="116"/>
      <c r="I124" s="116"/>
      <c r="L124" s="170">
        <v>45679</v>
      </c>
      <c r="M124" s="116">
        <v>131.77784096636501</v>
      </c>
      <c r="N124" s="116">
        <v>135.854913934385</v>
      </c>
      <c r="O124" s="116">
        <v>129.82958931498001</v>
      </c>
      <c r="P124" s="116">
        <v>135.79789193483199</v>
      </c>
      <c r="Q124" s="116">
        <v>138.66</v>
      </c>
      <c r="R124">
        <v>855897</v>
      </c>
    </row>
    <row r="125" spans="1:18" x14ac:dyDescent="0.25">
      <c r="A125" s="170">
        <v>42184</v>
      </c>
      <c r="B125" s="116">
        <v>1.5727411837554099</v>
      </c>
      <c r="C125" s="116">
        <v>1.5616543878981199</v>
      </c>
      <c r="D125" s="116">
        <v>1.4935497847747701</v>
      </c>
      <c r="E125" s="116">
        <v>1.5062204086116699</v>
      </c>
      <c r="F125" s="116">
        <v>98.6</v>
      </c>
      <c r="G125">
        <v>9194</v>
      </c>
      <c r="H125" s="116"/>
      <c r="I125" s="116"/>
      <c r="L125" s="170">
        <v>45680</v>
      </c>
      <c r="M125" s="116">
        <v>132.37657196166899</v>
      </c>
      <c r="N125" s="116">
        <v>138.24983791560001</v>
      </c>
      <c r="O125" s="116">
        <v>128.58460899141201</v>
      </c>
      <c r="P125" s="116">
        <v>128.58460899141201</v>
      </c>
      <c r="Q125" s="116">
        <v>139.29</v>
      </c>
      <c r="R125">
        <v>881606</v>
      </c>
    </row>
    <row r="126" spans="1:18" x14ac:dyDescent="0.25">
      <c r="A126" s="170">
        <v>42185</v>
      </c>
      <c r="B126" s="116">
        <v>1.6155045392049501</v>
      </c>
      <c r="C126" s="116">
        <v>1.59966625940882</v>
      </c>
      <c r="D126" s="116">
        <v>1.58066032365347</v>
      </c>
      <c r="E126" s="116">
        <v>1.58066032365347</v>
      </c>
      <c r="F126" s="116">
        <v>101</v>
      </c>
      <c r="G126">
        <v>1326</v>
      </c>
      <c r="H126" s="116"/>
      <c r="I126" s="116"/>
      <c r="L126" s="170">
        <v>45681</v>
      </c>
      <c r="M126" s="116">
        <v>129.49696098425599</v>
      </c>
      <c r="N126" s="116">
        <v>134.286808946685</v>
      </c>
      <c r="O126" s="116">
        <v>128.727163990294</v>
      </c>
      <c r="P126" s="116">
        <v>134.286808946685</v>
      </c>
      <c r="Q126" s="116">
        <v>136.26</v>
      </c>
      <c r="R126">
        <v>571439</v>
      </c>
    </row>
    <row r="127" spans="1:18" x14ac:dyDescent="0.25">
      <c r="A127" s="170">
        <v>42186</v>
      </c>
      <c r="B127" s="116">
        <v>1.6455972708175901</v>
      </c>
      <c r="C127" s="116">
        <v>1.60600157132727</v>
      </c>
      <c r="D127" s="116">
        <v>1.59966625940882</v>
      </c>
      <c r="E127" s="116">
        <v>1.6455972708175901</v>
      </c>
      <c r="F127" s="116">
        <v>101.4</v>
      </c>
      <c r="G127">
        <v>1937</v>
      </c>
      <c r="H127" s="116"/>
      <c r="I127" s="116"/>
      <c r="L127" s="170">
        <v>45684</v>
      </c>
      <c r="M127" s="116">
        <v>122.074597375808</v>
      </c>
      <c r="N127" s="116">
        <v>129.24986565286</v>
      </c>
      <c r="O127" s="116">
        <v>119.74619906073799</v>
      </c>
      <c r="P127" s="116">
        <v>128.299498993648</v>
      </c>
      <c r="Q127" s="116">
        <v>128.44999999999999</v>
      </c>
      <c r="R127">
        <v>1022939</v>
      </c>
    </row>
    <row r="128" spans="1:18" x14ac:dyDescent="0.25">
      <c r="A128" s="170">
        <v>42187</v>
      </c>
      <c r="B128" s="116">
        <v>1.64084578687875</v>
      </c>
      <c r="C128" s="116">
        <v>1.64084578687875</v>
      </c>
      <c r="D128" s="116">
        <v>1.64084578687875</v>
      </c>
      <c r="E128" s="116">
        <v>1.64084578687875</v>
      </c>
      <c r="F128" s="116">
        <v>103.6</v>
      </c>
      <c r="G128">
        <v>1</v>
      </c>
      <c r="H128" s="116"/>
      <c r="I128" s="116"/>
      <c r="L128" s="170">
        <v>45685</v>
      </c>
      <c r="M128" s="116">
        <v>120.943661051346</v>
      </c>
      <c r="N128" s="116">
        <v>125.06825235232699</v>
      </c>
      <c r="O128" s="116">
        <v>112.143265787041</v>
      </c>
      <c r="P128" s="116">
        <v>122.682832037704</v>
      </c>
      <c r="Q128" s="116">
        <v>127.26</v>
      </c>
      <c r="R128">
        <v>1214946</v>
      </c>
    </row>
    <row r="129" spans="1:18" x14ac:dyDescent="0.25">
      <c r="A129" s="170">
        <v>42188</v>
      </c>
      <c r="B129" s="116">
        <v>1.6931121102059701</v>
      </c>
      <c r="C129" s="116">
        <v>1.61392071122534</v>
      </c>
      <c r="D129" s="116">
        <v>1.59174711951076</v>
      </c>
      <c r="E129" s="116">
        <v>1.6471810987972</v>
      </c>
      <c r="F129" s="116">
        <v>101.9</v>
      </c>
      <c r="G129">
        <v>2992</v>
      </c>
      <c r="H129" s="116"/>
      <c r="I129" s="116"/>
      <c r="L129" s="170">
        <v>45686</v>
      </c>
      <c r="M129" s="116">
        <v>125.543435681933</v>
      </c>
      <c r="N129" s="116">
        <v>126.854941671646</v>
      </c>
      <c r="O129" s="116">
        <v>121.998568043071</v>
      </c>
      <c r="P129" s="116">
        <v>122.11261204217701</v>
      </c>
      <c r="Q129" s="116">
        <v>132.1</v>
      </c>
      <c r="R129">
        <v>503789</v>
      </c>
    </row>
    <row r="130" spans="1:18" x14ac:dyDescent="0.25">
      <c r="A130" s="170">
        <v>42191</v>
      </c>
      <c r="B130" s="116">
        <v>1.6566840666748801</v>
      </c>
      <c r="C130" s="116">
        <v>1.59966625940882</v>
      </c>
      <c r="D130" s="116">
        <v>1.59491477546998</v>
      </c>
      <c r="E130" s="116">
        <v>1.6566840666748801</v>
      </c>
      <c r="F130" s="116">
        <v>101</v>
      </c>
      <c r="G130">
        <v>454</v>
      </c>
      <c r="H130" s="116"/>
      <c r="I130" s="116"/>
      <c r="L130" s="170">
        <v>45687</v>
      </c>
      <c r="M130" s="116">
        <v>125.73350901377501</v>
      </c>
      <c r="N130" s="116">
        <v>129.78207098201901</v>
      </c>
      <c r="O130" s="116">
        <v>124.764135021379</v>
      </c>
      <c r="P130" s="116">
        <v>127.44416900035699</v>
      </c>
      <c r="Q130" s="116">
        <v>132.30000000000001</v>
      </c>
      <c r="R130">
        <v>439803</v>
      </c>
    </row>
    <row r="131" spans="1:18" x14ac:dyDescent="0.25">
      <c r="A131" s="170">
        <v>42192</v>
      </c>
      <c r="B131" s="116">
        <v>1.72478866979822</v>
      </c>
      <c r="C131" s="116">
        <v>1.6566840666748801</v>
      </c>
      <c r="D131" s="116">
        <v>1.5790764956738601</v>
      </c>
      <c r="E131" s="116">
        <v>1.6614355506137199</v>
      </c>
      <c r="F131" s="116">
        <v>104.6</v>
      </c>
      <c r="G131">
        <v>3236</v>
      </c>
      <c r="H131" s="116"/>
      <c r="I131" s="116"/>
      <c r="L131" s="170">
        <v>45688</v>
      </c>
      <c r="M131" s="116">
        <v>129.94363331408499</v>
      </c>
      <c r="N131" s="116">
        <v>131.74932996658799</v>
      </c>
      <c r="O131" s="116">
        <v>125.552939348525</v>
      </c>
      <c r="P131" s="116">
        <v>127.824315664042</v>
      </c>
      <c r="Q131" s="116">
        <v>136.72999999999999</v>
      </c>
      <c r="R131">
        <v>534762</v>
      </c>
    </row>
    <row r="132" spans="1:18" x14ac:dyDescent="0.25">
      <c r="A132" s="170">
        <v>42193</v>
      </c>
      <c r="B132" s="116">
        <v>1.7897256169623501</v>
      </c>
      <c r="C132" s="116">
        <v>1.5426484521427599</v>
      </c>
      <c r="D132" s="116">
        <v>1.5046365806320601</v>
      </c>
      <c r="E132" s="116">
        <v>1.7897256169623501</v>
      </c>
      <c r="F132" s="116">
        <v>97.4</v>
      </c>
      <c r="G132">
        <v>2814</v>
      </c>
      <c r="H132" s="116"/>
      <c r="I132" s="116"/>
      <c r="L132" s="170">
        <v>45689</v>
      </c>
      <c r="M132" s="116">
        <v>125.999611678355</v>
      </c>
      <c r="N132" s="116">
        <v>133.916165949592</v>
      </c>
      <c r="O132" s="116">
        <v>124.54555068976001</v>
      </c>
      <c r="P132" s="116">
        <v>130.38080197732299</v>
      </c>
      <c r="Q132" s="116">
        <v>132.58000000000001</v>
      </c>
      <c r="R132">
        <v>455580</v>
      </c>
    </row>
    <row r="133" spans="1:18" x14ac:dyDescent="0.25">
      <c r="A133" s="170">
        <v>42194</v>
      </c>
      <c r="B133" s="116">
        <v>1.7707196812069901</v>
      </c>
      <c r="C133" s="116">
        <v>1.60758539930689</v>
      </c>
      <c r="D133" s="116">
        <v>1.58857946355153</v>
      </c>
      <c r="E133" s="116">
        <v>1.7707196812069901</v>
      </c>
      <c r="F133" s="116">
        <v>101.5</v>
      </c>
      <c r="G133">
        <v>1130</v>
      </c>
      <c r="H133" s="116"/>
      <c r="I133" s="116"/>
      <c r="L133" s="170">
        <v>45691</v>
      </c>
      <c r="M133" s="116">
        <v>120.763091386095</v>
      </c>
      <c r="N133" s="116">
        <v>124.688105688642</v>
      </c>
      <c r="O133" s="116">
        <v>120.325922722858</v>
      </c>
      <c r="P133" s="116">
        <v>124.498032356799</v>
      </c>
      <c r="Q133" s="116">
        <v>127.07</v>
      </c>
      <c r="R133">
        <v>343989</v>
      </c>
    </row>
    <row r="134" spans="1:18" x14ac:dyDescent="0.25">
      <c r="A134" s="170">
        <v>42195</v>
      </c>
      <c r="B134" s="116">
        <v>1.6471810987972</v>
      </c>
      <c r="C134" s="116">
        <v>1.61392071122534</v>
      </c>
      <c r="D134" s="116">
        <v>1.58382797961269</v>
      </c>
      <c r="E134" s="116">
        <v>1.6471810987972</v>
      </c>
      <c r="F134" s="116">
        <v>101.9</v>
      </c>
      <c r="G134">
        <v>387</v>
      </c>
      <c r="H134" s="116"/>
      <c r="I134" s="116"/>
      <c r="L134" s="170">
        <v>45692</v>
      </c>
      <c r="M134" s="116">
        <v>124.222426025628</v>
      </c>
      <c r="N134" s="116">
        <v>125.781027346736</v>
      </c>
      <c r="O134" s="116">
        <v>122.597299038375</v>
      </c>
      <c r="P134" s="116">
        <v>122.597299038375</v>
      </c>
      <c r="Q134" s="116">
        <v>130.71</v>
      </c>
      <c r="R134">
        <v>376777</v>
      </c>
    </row>
    <row r="135" spans="1:18" x14ac:dyDescent="0.25">
      <c r="A135" s="170">
        <v>42198</v>
      </c>
      <c r="B135" s="116">
        <v>1.69469593818558</v>
      </c>
      <c r="C135" s="116">
        <v>1.60600157132727</v>
      </c>
      <c r="D135" s="116">
        <v>1.4428672894271599</v>
      </c>
      <c r="E135" s="116">
        <v>1.4428672894271599</v>
      </c>
      <c r="F135" s="116">
        <v>101.4</v>
      </c>
      <c r="G135">
        <v>2085</v>
      </c>
      <c r="H135" s="116"/>
      <c r="I135" s="116"/>
      <c r="L135" s="170">
        <v>45693</v>
      </c>
      <c r="M135" s="116">
        <v>125.096763352103</v>
      </c>
      <c r="N135" s="116">
        <v>127.339628667844</v>
      </c>
      <c r="O135" s="116">
        <v>124.26994435858801</v>
      </c>
      <c r="P135" s="116">
        <v>125.400880683051</v>
      </c>
      <c r="Q135" s="116">
        <v>131.63</v>
      </c>
      <c r="R135">
        <v>218194</v>
      </c>
    </row>
    <row r="136" spans="1:18" x14ac:dyDescent="0.25">
      <c r="A136" s="170">
        <v>42199</v>
      </c>
      <c r="B136" s="116">
        <v>1.70261507808365</v>
      </c>
      <c r="C136" s="116">
        <v>1.68360914232829</v>
      </c>
      <c r="D136" s="116">
        <v>1.51889103244857</v>
      </c>
      <c r="E136" s="116">
        <v>1.51889103244857</v>
      </c>
      <c r="F136" s="116">
        <v>106.3</v>
      </c>
      <c r="G136">
        <v>1350</v>
      </c>
      <c r="H136" s="116"/>
      <c r="I136" s="116"/>
      <c r="L136" s="170">
        <v>45694</v>
      </c>
      <c r="M136" s="116">
        <v>124.830660687524</v>
      </c>
      <c r="N136" s="116">
        <v>127.111540669633</v>
      </c>
      <c r="O136" s="116">
        <v>123.614191363732</v>
      </c>
      <c r="P136" s="116">
        <v>126.959482004159</v>
      </c>
      <c r="Q136" s="116">
        <v>131.35</v>
      </c>
      <c r="R136">
        <v>249855</v>
      </c>
    </row>
    <row r="137" spans="1:18" x14ac:dyDescent="0.25">
      <c r="A137" s="170">
        <v>42200</v>
      </c>
      <c r="B137" s="116">
        <v>1.75804905737009</v>
      </c>
      <c r="C137" s="116">
        <v>1.7041989060632601</v>
      </c>
      <c r="D137" s="116">
        <v>1.58541180759231</v>
      </c>
      <c r="E137" s="116">
        <v>1.58541180759231</v>
      </c>
      <c r="F137" s="116">
        <v>107.6</v>
      </c>
      <c r="G137">
        <v>4571</v>
      </c>
      <c r="H137" s="116"/>
      <c r="I137" s="116"/>
      <c r="L137" s="170">
        <v>45695</v>
      </c>
      <c r="M137" s="116">
        <v>123.813768362167</v>
      </c>
      <c r="N137" s="116">
        <v>125.82854567969601</v>
      </c>
      <c r="O137" s="116">
        <v>122.568788038599</v>
      </c>
      <c r="P137" s="116">
        <v>125.448399016012</v>
      </c>
      <c r="Q137" s="116">
        <v>130.28</v>
      </c>
      <c r="R137">
        <v>317441</v>
      </c>
    </row>
    <row r="138" spans="1:18" x14ac:dyDescent="0.25">
      <c r="A138" s="170">
        <v>42201</v>
      </c>
      <c r="B138" s="116">
        <v>1.7422107775739599</v>
      </c>
      <c r="C138" s="116">
        <v>1.67410617445062</v>
      </c>
      <c r="D138" s="116">
        <v>1.61867219516417</v>
      </c>
      <c r="E138" s="116">
        <v>1.7422107775739599</v>
      </c>
      <c r="F138" s="116">
        <v>105.7</v>
      </c>
      <c r="G138">
        <v>4095</v>
      </c>
      <c r="H138" s="116"/>
      <c r="I138" s="116"/>
      <c r="L138" s="170">
        <v>45698</v>
      </c>
      <c r="M138" s="116">
        <v>120.62053638721299</v>
      </c>
      <c r="N138" s="116">
        <v>123.97533069423299</v>
      </c>
      <c r="O138" s="116">
        <v>120.316419056266</v>
      </c>
      <c r="P138" s="116">
        <v>123.072482367981</v>
      </c>
      <c r="Q138" s="116">
        <v>126.92</v>
      </c>
      <c r="R138">
        <v>305221</v>
      </c>
    </row>
    <row r="139" spans="1:18" x14ac:dyDescent="0.25">
      <c r="A139" s="170">
        <v>42202</v>
      </c>
      <c r="B139" s="116">
        <v>1.8214021765546</v>
      </c>
      <c r="C139" s="116">
        <v>1.70736656202248</v>
      </c>
      <c r="D139" s="116">
        <v>1.6709385184913901</v>
      </c>
      <c r="E139" s="116">
        <v>1.8214021765546</v>
      </c>
      <c r="F139" s="116">
        <v>107.8</v>
      </c>
      <c r="G139">
        <v>877</v>
      </c>
      <c r="H139" s="116"/>
      <c r="I139" s="116"/>
      <c r="L139" s="170">
        <v>45699</v>
      </c>
      <c r="M139" s="116">
        <v>113.283705778095</v>
      </c>
      <c r="N139" s="116">
        <v>120.592025387437</v>
      </c>
      <c r="O139" s="116">
        <v>112.38085745184399</v>
      </c>
      <c r="P139" s="116">
        <v>120.37344105581801</v>
      </c>
      <c r="Q139" s="116">
        <v>119.2</v>
      </c>
      <c r="R139">
        <v>641777</v>
      </c>
    </row>
    <row r="140" spans="1:18" x14ac:dyDescent="0.25">
      <c r="A140" s="170">
        <v>42205</v>
      </c>
      <c r="B140" s="116">
        <v>1.8198183485749899</v>
      </c>
      <c r="C140" s="116">
        <v>1.7485460894924201</v>
      </c>
      <c r="D140" s="116">
        <v>1.71053421798171</v>
      </c>
      <c r="E140" s="116">
        <v>1.7707196812069901</v>
      </c>
      <c r="F140" s="116">
        <v>110.4</v>
      </c>
      <c r="G140">
        <v>2111</v>
      </c>
      <c r="H140" s="116"/>
      <c r="I140" s="116"/>
      <c r="L140" s="170">
        <v>45700</v>
      </c>
      <c r="M140" s="116">
        <v>114.07251010524099</v>
      </c>
      <c r="N140" s="116">
        <v>114.97535843149301</v>
      </c>
      <c r="O140" s="116">
        <v>106.63113916361</v>
      </c>
      <c r="P140" s="116">
        <v>113.093632446253</v>
      </c>
      <c r="Q140" s="116">
        <v>120.03</v>
      </c>
      <c r="R140">
        <v>880673</v>
      </c>
    </row>
    <row r="141" spans="1:18" x14ac:dyDescent="0.25">
      <c r="A141" s="170">
        <v>42206</v>
      </c>
      <c r="B141" s="116">
        <v>1.8039800687788601</v>
      </c>
      <c r="C141" s="116">
        <v>1.7453784335331901</v>
      </c>
      <c r="D141" s="116">
        <v>1.7041989060632601</v>
      </c>
      <c r="E141" s="116">
        <v>1.7723035091866099</v>
      </c>
      <c r="F141" s="116">
        <v>110.2</v>
      </c>
      <c r="G141">
        <v>4787</v>
      </c>
      <c r="H141" s="116"/>
      <c r="I141" s="116"/>
      <c r="L141" s="170">
        <v>45701</v>
      </c>
      <c r="M141" s="116">
        <v>112.456886784581</v>
      </c>
      <c r="N141" s="116">
        <v>118.824343401302</v>
      </c>
      <c r="O141" s="116">
        <v>111.192899127828</v>
      </c>
      <c r="P141" s="116">
        <v>114.519182435071</v>
      </c>
      <c r="Q141" s="116">
        <v>118.33</v>
      </c>
      <c r="R141">
        <v>473131</v>
      </c>
    </row>
    <row r="142" spans="1:18" x14ac:dyDescent="0.25">
      <c r="A142" s="170">
        <v>42207</v>
      </c>
      <c r="B142" s="116">
        <v>1.8198183485749899</v>
      </c>
      <c r="C142" s="116">
        <v>1.7818064770642801</v>
      </c>
      <c r="D142" s="116">
        <v>1.7469622615128</v>
      </c>
      <c r="E142" s="116">
        <v>1.7707196812069901</v>
      </c>
      <c r="F142" s="116">
        <v>112.5</v>
      </c>
      <c r="G142">
        <v>3000</v>
      </c>
      <c r="H142" s="116"/>
      <c r="I142" s="116"/>
      <c r="L142" s="170">
        <v>45702</v>
      </c>
      <c r="M142" s="116">
        <v>107.448454490532</v>
      </c>
      <c r="N142" s="116">
        <v>113.378742444016</v>
      </c>
      <c r="O142" s="116">
        <v>106.916249161373</v>
      </c>
      <c r="P142" s="116">
        <v>112.95107744737101</v>
      </c>
      <c r="Q142" s="116">
        <v>113.06</v>
      </c>
      <c r="R142">
        <v>693349</v>
      </c>
    </row>
    <row r="143" spans="1:18" x14ac:dyDescent="0.25">
      <c r="A143" s="170">
        <v>42208</v>
      </c>
      <c r="B143" s="116">
        <v>1.88475529573911</v>
      </c>
      <c r="C143" s="116">
        <v>1.8118992086769199</v>
      </c>
      <c r="D143" s="116">
        <v>1.7897256169623501</v>
      </c>
      <c r="E143" s="116">
        <v>1.8340728003914999</v>
      </c>
      <c r="F143" s="116">
        <v>114.4</v>
      </c>
      <c r="G143">
        <v>16528</v>
      </c>
      <c r="H143" s="116"/>
      <c r="I143" s="116"/>
      <c r="L143" s="170">
        <v>45705</v>
      </c>
      <c r="M143" s="116">
        <v>103.295352189775</v>
      </c>
      <c r="N143" s="116">
        <v>108.816982479798</v>
      </c>
      <c r="O143" s="116">
        <v>102.16441586531199</v>
      </c>
      <c r="P143" s="116">
        <v>106.212977833556</v>
      </c>
      <c r="Q143" s="116">
        <v>108.69</v>
      </c>
      <c r="R143">
        <v>873447</v>
      </c>
    </row>
    <row r="144" spans="1:18" x14ac:dyDescent="0.25">
      <c r="A144" s="170">
        <v>42209</v>
      </c>
      <c r="B144" s="116">
        <v>1.8530787361468499</v>
      </c>
      <c r="C144" s="116">
        <v>1.75804905737009</v>
      </c>
      <c r="D144" s="116">
        <v>1.67410617445062</v>
      </c>
      <c r="E144" s="116">
        <v>1.67410617445062</v>
      </c>
      <c r="F144" s="116">
        <v>111</v>
      </c>
      <c r="G144">
        <v>5532</v>
      </c>
      <c r="H144" s="116"/>
      <c r="I144" s="116"/>
      <c r="L144" s="170">
        <v>45706</v>
      </c>
      <c r="M144" s="116">
        <v>96.405193910486403</v>
      </c>
      <c r="N144" s="116">
        <v>105.65226150462099</v>
      </c>
      <c r="O144" s="116">
        <v>95.131702587142101</v>
      </c>
      <c r="P144" s="116">
        <v>101.79377286822</v>
      </c>
      <c r="Q144" s="116">
        <v>101.44</v>
      </c>
      <c r="R144">
        <v>1506181</v>
      </c>
    </row>
    <row r="145" spans="1:18" x14ac:dyDescent="0.25">
      <c r="A145" s="170">
        <v>42212</v>
      </c>
      <c r="B145" s="116">
        <v>1.8340728003914999</v>
      </c>
      <c r="C145" s="116">
        <v>1.6931121102059701</v>
      </c>
      <c r="D145" s="116">
        <v>1.6709385184913901</v>
      </c>
      <c r="E145" s="116">
        <v>1.8340728003914999</v>
      </c>
      <c r="F145" s="116">
        <v>106.9</v>
      </c>
      <c r="G145">
        <v>3705</v>
      </c>
      <c r="H145" s="116"/>
      <c r="I145" s="116"/>
      <c r="L145" s="170">
        <v>45707</v>
      </c>
      <c r="M145" s="116">
        <v>101.66072153592999</v>
      </c>
      <c r="N145" s="116">
        <v>102.639599194919</v>
      </c>
      <c r="O145" s="116">
        <v>95.416812584905699</v>
      </c>
      <c r="P145" s="116">
        <v>95.426316251497795</v>
      </c>
      <c r="Q145" s="116">
        <v>106.97</v>
      </c>
      <c r="R145">
        <v>1079625</v>
      </c>
    </row>
    <row r="146" spans="1:18" x14ac:dyDescent="0.25">
      <c r="A146" s="170">
        <v>42213</v>
      </c>
      <c r="B146" s="116">
        <v>1.73270780969629</v>
      </c>
      <c r="C146" s="116">
        <v>1.66935469051178</v>
      </c>
      <c r="D146" s="116">
        <v>1.59966625940882</v>
      </c>
      <c r="E146" s="116">
        <v>1.59966625940882</v>
      </c>
      <c r="F146" s="116">
        <v>105.4</v>
      </c>
      <c r="G146">
        <v>2154</v>
      </c>
      <c r="H146" s="116"/>
      <c r="I146" s="116"/>
      <c r="L146" s="170">
        <v>45708</v>
      </c>
      <c r="M146" s="116">
        <v>116.68601841807499</v>
      </c>
      <c r="N146" s="116">
        <v>118.700795735605</v>
      </c>
      <c r="O146" s="116">
        <v>102.829672526761</v>
      </c>
      <c r="P146" s="116">
        <v>109.187625476891</v>
      </c>
      <c r="Q146" s="116">
        <v>122.78</v>
      </c>
      <c r="R146">
        <v>6465359</v>
      </c>
    </row>
    <row r="147" spans="1:18" x14ac:dyDescent="0.25">
      <c r="A147" s="170">
        <v>42214</v>
      </c>
      <c r="B147" s="116">
        <v>1.76913585322738</v>
      </c>
      <c r="C147" s="116">
        <v>1.71686952990016</v>
      </c>
      <c r="D147" s="116">
        <v>1.6155045392049501</v>
      </c>
      <c r="E147" s="116">
        <v>1.76913585322738</v>
      </c>
      <c r="F147" s="116">
        <v>108.4</v>
      </c>
      <c r="G147">
        <v>11980</v>
      </c>
      <c r="H147" s="116"/>
      <c r="I147" s="116"/>
      <c r="L147" s="170">
        <v>45709</v>
      </c>
      <c r="M147" s="116">
        <v>115.336497761994</v>
      </c>
      <c r="N147" s="116">
        <v>121.32380771503099</v>
      </c>
      <c r="O147" s="116">
        <v>114.29109443686001</v>
      </c>
      <c r="P147" s="116">
        <v>117.132690747905</v>
      </c>
      <c r="Q147" s="116">
        <v>121.36</v>
      </c>
      <c r="R147">
        <v>2056485</v>
      </c>
    </row>
    <row r="148" spans="1:18" x14ac:dyDescent="0.25">
      <c r="A148" s="170">
        <v>42215</v>
      </c>
      <c r="B148" s="116">
        <v>1.75012991747203</v>
      </c>
      <c r="C148" s="116">
        <v>1.721621013839</v>
      </c>
      <c r="D148" s="116">
        <v>1.6044177433476601</v>
      </c>
      <c r="E148" s="116">
        <v>1.6044177433476601</v>
      </c>
      <c r="F148" s="116">
        <v>108.7</v>
      </c>
      <c r="G148">
        <v>2766</v>
      </c>
      <c r="H148" s="116"/>
      <c r="I148" s="116"/>
      <c r="L148" s="170">
        <v>45712</v>
      </c>
      <c r="M148" s="116">
        <v>113.302713111279</v>
      </c>
      <c r="N148" s="116">
        <v>116.324879087574</v>
      </c>
      <c r="O148" s="116">
        <v>109.94791880426</v>
      </c>
      <c r="P148" s="116">
        <v>114.053502772057</v>
      </c>
      <c r="Q148" s="116">
        <v>119.22</v>
      </c>
      <c r="R148">
        <v>805668</v>
      </c>
    </row>
    <row r="149" spans="1:18" x14ac:dyDescent="0.25">
      <c r="A149" s="170">
        <v>42216</v>
      </c>
      <c r="B149" s="116">
        <v>1.75488140141087</v>
      </c>
      <c r="C149" s="116">
        <v>1.62975899102146</v>
      </c>
      <c r="D149" s="116">
        <v>1.6155045392049501</v>
      </c>
      <c r="E149" s="116">
        <v>1.7422107775739599</v>
      </c>
      <c r="F149" s="116">
        <v>102.9</v>
      </c>
      <c r="G149">
        <v>6126</v>
      </c>
      <c r="H149" s="116"/>
      <c r="I149" s="116"/>
      <c r="L149" s="170">
        <v>45713</v>
      </c>
      <c r="M149" s="116">
        <v>111.943688788606</v>
      </c>
      <c r="N149" s="116">
        <v>116.201331421877</v>
      </c>
      <c r="O149" s="116">
        <v>111.192899127828</v>
      </c>
      <c r="P149" s="116">
        <v>114.395634769374</v>
      </c>
      <c r="Q149" s="116">
        <v>117.79</v>
      </c>
      <c r="R149">
        <v>543387</v>
      </c>
    </row>
    <row r="150" spans="1:18" x14ac:dyDescent="0.25">
      <c r="A150" s="170">
        <v>42219</v>
      </c>
      <c r="B150" s="116">
        <v>1.7342916376759001</v>
      </c>
      <c r="C150" s="116">
        <v>1.6265913350622401</v>
      </c>
      <c r="D150" s="116">
        <v>1.59174711951076</v>
      </c>
      <c r="E150" s="116">
        <v>1.7342916376759001</v>
      </c>
      <c r="F150" s="116">
        <v>102.7</v>
      </c>
      <c r="G150">
        <v>2413</v>
      </c>
      <c r="H150" s="116"/>
      <c r="I150" s="116"/>
      <c r="L150" s="170">
        <v>45715</v>
      </c>
      <c r="M150" s="116">
        <v>108.67442748091599</v>
      </c>
      <c r="N150" s="116">
        <v>113.283705778095</v>
      </c>
      <c r="O150" s="116">
        <v>108.26576981745499</v>
      </c>
      <c r="P150" s="116">
        <v>113.283705778095</v>
      </c>
      <c r="Q150" s="116">
        <v>114.35</v>
      </c>
      <c r="R150">
        <v>480811</v>
      </c>
    </row>
    <row r="151" spans="1:18" x14ac:dyDescent="0.25">
      <c r="A151" s="170">
        <v>42220</v>
      </c>
      <c r="B151" s="116">
        <v>1.75804905737009</v>
      </c>
      <c r="C151" s="116">
        <v>1.6376781309195301</v>
      </c>
      <c r="D151" s="116">
        <v>1.6170883671845599</v>
      </c>
      <c r="E151" s="116">
        <v>1.6788576583894601</v>
      </c>
      <c r="F151" s="116">
        <v>103.4</v>
      </c>
      <c r="G151">
        <v>970</v>
      </c>
      <c r="H151" s="116"/>
      <c r="I151" s="116"/>
      <c r="L151" s="170">
        <v>45716</v>
      </c>
      <c r="M151" s="116">
        <v>105.300625840713</v>
      </c>
      <c r="N151" s="116">
        <v>108.417828482929</v>
      </c>
      <c r="O151" s="116">
        <v>104.654376512448</v>
      </c>
      <c r="P151" s="116">
        <v>107.05880416025499</v>
      </c>
      <c r="Q151" s="116">
        <v>110.8</v>
      </c>
      <c r="R151">
        <v>766022</v>
      </c>
    </row>
    <row r="152" spans="1:18" x14ac:dyDescent="0.25">
      <c r="A152" s="170">
        <v>42221</v>
      </c>
      <c r="B152" s="116">
        <v>1.8372404563507301</v>
      </c>
      <c r="C152" s="116">
        <v>1.67410617445062</v>
      </c>
      <c r="D152" s="116">
        <v>1.5679896998165701</v>
      </c>
      <c r="E152" s="116">
        <v>1.5679896998165701</v>
      </c>
      <c r="F152" s="116">
        <v>105.7</v>
      </c>
      <c r="G152">
        <v>6023</v>
      </c>
      <c r="H152" s="116"/>
      <c r="I152" s="116"/>
      <c r="L152" s="170">
        <v>45719</v>
      </c>
      <c r="M152" s="116">
        <v>105.025019509541</v>
      </c>
      <c r="N152" s="116">
        <v>108.341799150192</v>
      </c>
      <c r="O152" s="116">
        <v>98.657562892819399</v>
      </c>
      <c r="P152" s="116">
        <v>105.300625840713</v>
      </c>
      <c r="Q152" s="116">
        <v>110.51</v>
      </c>
      <c r="R152">
        <v>1252605</v>
      </c>
    </row>
    <row r="153" spans="1:18" x14ac:dyDescent="0.25">
      <c r="A153" s="170">
        <v>42222</v>
      </c>
      <c r="B153" s="116">
        <v>1.7422107775739599</v>
      </c>
      <c r="C153" s="116">
        <v>1.66301937859333</v>
      </c>
      <c r="D153" s="116">
        <v>1.6487649267768201</v>
      </c>
      <c r="E153" s="116">
        <v>1.72478866979822</v>
      </c>
      <c r="F153" s="116">
        <v>105</v>
      </c>
      <c r="G153">
        <v>6219</v>
      </c>
      <c r="H153" s="116"/>
      <c r="I153" s="116"/>
      <c r="L153" s="170">
        <v>45720</v>
      </c>
      <c r="M153" s="116">
        <v>104.293237181948</v>
      </c>
      <c r="N153" s="116">
        <v>107.476965490309</v>
      </c>
      <c r="O153" s="116">
        <v>102.487540529445</v>
      </c>
      <c r="P153" s="116">
        <v>103.12428619111699</v>
      </c>
      <c r="Q153" s="116">
        <v>109.74</v>
      </c>
      <c r="R153">
        <v>757573</v>
      </c>
    </row>
    <row r="154" spans="1:18" x14ac:dyDescent="0.25">
      <c r="A154" s="170">
        <v>42223</v>
      </c>
      <c r="B154" s="116">
        <v>1.7089503900020999</v>
      </c>
      <c r="C154" s="116">
        <v>1.6503487547564299</v>
      </c>
      <c r="D154" s="116">
        <v>1.6313428190010799</v>
      </c>
      <c r="E154" s="116">
        <v>1.69469593818558</v>
      </c>
      <c r="F154" s="116">
        <v>104.2</v>
      </c>
      <c r="G154">
        <v>5050</v>
      </c>
      <c r="H154" s="116"/>
      <c r="I154" s="116"/>
      <c r="L154" s="170">
        <v>45721</v>
      </c>
      <c r="M154" s="116">
        <v>111.554038458329</v>
      </c>
      <c r="N154" s="116">
        <v>112.000710788159</v>
      </c>
      <c r="O154" s="116">
        <v>104.540332513343</v>
      </c>
      <c r="P154" s="116">
        <v>105.87084583623999</v>
      </c>
      <c r="Q154" s="116">
        <v>117.38</v>
      </c>
      <c r="R154">
        <v>1100042</v>
      </c>
    </row>
    <row r="155" spans="1:18" x14ac:dyDescent="0.25">
      <c r="A155" s="170">
        <v>42226</v>
      </c>
      <c r="B155" s="116">
        <v>1.7422107775739599</v>
      </c>
      <c r="C155" s="116">
        <v>1.6234236791030101</v>
      </c>
      <c r="D155" s="116">
        <v>1.58382797961269</v>
      </c>
      <c r="E155" s="116">
        <v>1.7422107775739599</v>
      </c>
      <c r="F155" s="116">
        <v>102.5</v>
      </c>
      <c r="G155">
        <v>3286</v>
      </c>
      <c r="H155" s="116"/>
      <c r="I155" s="116"/>
      <c r="L155" s="170">
        <v>45722</v>
      </c>
      <c r="M155" s="116">
        <v>112.219295119778</v>
      </c>
      <c r="N155" s="116">
        <v>115.32699409540101</v>
      </c>
      <c r="O155" s="116">
        <v>111.820141122908</v>
      </c>
      <c r="P155" s="116">
        <v>114.614219100992</v>
      </c>
      <c r="Q155" s="116">
        <v>118.08</v>
      </c>
      <c r="R155">
        <v>595119</v>
      </c>
    </row>
    <row r="156" spans="1:18" x14ac:dyDescent="0.25">
      <c r="A156" s="170">
        <v>42227</v>
      </c>
      <c r="B156" s="116">
        <v>1.6155045392049501</v>
      </c>
      <c r="C156" s="116">
        <v>1.54106462416315</v>
      </c>
      <c r="D156" s="116">
        <v>1.50780423659129</v>
      </c>
      <c r="E156" s="116">
        <v>1.6155045392049501</v>
      </c>
      <c r="F156" s="116">
        <v>97.3</v>
      </c>
      <c r="G156">
        <v>2459</v>
      </c>
      <c r="H156" s="116"/>
      <c r="I156" s="116"/>
      <c r="L156" s="170">
        <v>45723</v>
      </c>
      <c r="M156" s="116">
        <v>113.179165445582</v>
      </c>
      <c r="N156" s="116">
        <v>116.334382754166</v>
      </c>
      <c r="O156" s="116">
        <v>111.525527458553</v>
      </c>
      <c r="P156" s="116">
        <v>112.799018781897</v>
      </c>
      <c r="Q156" s="116">
        <v>119.09</v>
      </c>
      <c r="R156">
        <v>720373</v>
      </c>
    </row>
    <row r="157" spans="1:18" x14ac:dyDescent="0.25">
      <c r="A157" s="170">
        <v>42228</v>
      </c>
      <c r="B157" s="116">
        <v>1.58382797961269</v>
      </c>
      <c r="C157" s="116">
        <v>1.5394807961835399</v>
      </c>
      <c r="D157" s="116">
        <v>1.5378969682039301</v>
      </c>
      <c r="E157" s="116">
        <v>1.5822441516330801</v>
      </c>
      <c r="F157" s="116">
        <v>97.2</v>
      </c>
      <c r="G157">
        <v>1263</v>
      </c>
      <c r="H157" s="116"/>
      <c r="I157" s="116"/>
      <c r="L157" s="170">
        <v>45726</v>
      </c>
      <c r="M157" s="116">
        <v>111.934185122014</v>
      </c>
      <c r="N157" s="116">
        <v>116.895099083102</v>
      </c>
      <c r="O157" s="116">
        <v>111.107366128499</v>
      </c>
      <c r="P157" s="116">
        <v>116.895099083102</v>
      </c>
      <c r="Q157" s="116">
        <v>117.78</v>
      </c>
      <c r="R157">
        <v>698219</v>
      </c>
    </row>
    <row r="158" spans="1:18" x14ac:dyDescent="0.25">
      <c r="A158" s="170">
        <v>42229</v>
      </c>
      <c r="B158" s="116">
        <v>1.59966625940882</v>
      </c>
      <c r="C158" s="116">
        <v>1.51889103244857</v>
      </c>
      <c r="D158" s="116">
        <v>1.5046365806320601</v>
      </c>
      <c r="E158" s="116">
        <v>1.55215142002044</v>
      </c>
      <c r="F158" s="116">
        <v>95.9</v>
      </c>
      <c r="G158">
        <v>1140</v>
      </c>
      <c r="H158" s="116"/>
      <c r="I158" s="116"/>
      <c r="L158" s="170">
        <v>45727</v>
      </c>
      <c r="M158" s="116">
        <v>107.923637820138</v>
      </c>
      <c r="N158" s="116">
        <v>111.192899127828</v>
      </c>
      <c r="O158" s="116">
        <v>106.92575282796599</v>
      </c>
      <c r="P158" s="116">
        <v>110.61317546570901</v>
      </c>
      <c r="Q158" s="116">
        <v>113.56</v>
      </c>
      <c r="R158">
        <v>550157</v>
      </c>
    </row>
    <row r="159" spans="1:18" x14ac:dyDescent="0.25">
      <c r="A159" s="170">
        <v>42230</v>
      </c>
      <c r="B159" s="116">
        <v>1.6281751630418499</v>
      </c>
      <c r="C159" s="116">
        <v>1.5980824314292099</v>
      </c>
      <c r="D159" s="116">
        <v>1.53631314022431</v>
      </c>
      <c r="E159" s="116">
        <v>1.6281751630418499</v>
      </c>
      <c r="F159" s="116">
        <v>100.9</v>
      </c>
      <c r="G159">
        <v>612</v>
      </c>
      <c r="H159" s="116"/>
      <c r="I159" s="116"/>
      <c r="L159" s="170">
        <v>45728</v>
      </c>
      <c r="M159" s="116">
        <v>106.602628163833</v>
      </c>
      <c r="N159" s="116">
        <v>110.090473803142</v>
      </c>
      <c r="O159" s="116">
        <v>106.289007166293</v>
      </c>
      <c r="P159" s="116">
        <v>109.472735474654</v>
      </c>
      <c r="Q159" s="116">
        <v>112.17</v>
      </c>
      <c r="R159">
        <v>482837</v>
      </c>
    </row>
    <row r="160" spans="1:18" x14ac:dyDescent="0.25">
      <c r="A160" s="170">
        <v>42233</v>
      </c>
      <c r="B160" s="116">
        <v>1.68519297030791</v>
      </c>
      <c r="C160" s="116">
        <v>1.6012500873884301</v>
      </c>
      <c r="D160" s="116">
        <v>1.55215142002044</v>
      </c>
      <c r="E160" s="116">
        <v>1.59966625940882</v>
      </c>
      <c r="F160" s="116">
        <v>101.1</v>
      </c>
      <c r="G160">
        <v>5337</v>
      </c>
      <c r="H160" s="116"/>
      <c r="I160" s="116"/>
      <c r="L160" s="170">
        <v>45729</v>
      </c>
      <c r="M160" s="116">
        <v>104.017630850776</v>
      </c>
      <c r="N160" s="116">
        <v>107.667038822151</v>
      </c>
      <c r="O160" s="116">
        <v>103.685002520052</v>
      </c>
      <c r="P160" s="116">
        <v>107.05880416025499</v>
      </c>
      <c r="Q160" s="116">
        <v>109.45</v>
      </c>
      <c r="R160">
        <v>639616</v>
      </c>
    </row>
    <row r="161" spans="1:18" x14ac:dyDescent="0.25">
      <c r="A161" s="170">
        <v>42234</v>
      </c>
      <c r="B161" s="116">
        <v>1.6471810987972</v>
      </c>
      <c r="C161" s="116">
        <v>1.62975899102146</v>
      </c>
      <c r="D161" s="116">
        <v>1.58541180759231</v>
      </c>
      <c r="E161" s="116">
        <v>1.6424296148583599</v>
      </c>
      <c r="F161" s="116">
        <v>102.9</v>
      </c>
      <c r="G161">
        <v>4396</v>
      </c>
      <c r="H161" s="116"/>
      <c r="I161" s="116"/>
      <c r="L161" s="170">
        <v>45733</v>
      </c>
      <c r="M161" s="116">
        <v>101.60369953637699</v>
      </c>
      <c r="N161" s="116">
        <v>105.46218817277899</v>
      </c>
      <c r="O161" s="116">
        <v>100.938442874929</v>
      </c>
      <c r="P161" s="116">
        <v>104.910975510436</v>
      </c>
      <c r="Q161" s="116">
        <v>106.91</v>
      </c>
      <c r="R161">
        <v>562607</v>
      </c>
    </row>
    <row r="162" spans="1:18" x14ac:dyDescent="0.25">
      <c r="A162" s="170">
        <v>42235</v>
      </c>
      <c r="B162" s="116">
        <v>1.6709385184913901</v>
      </c>
      <c r="C162" s="116">
        <v>1.6313428190010799</v>
      </c>
      <c r="D162" s="116">
        <v>1.5869956355719199</v>
      </c>
      <c r="E162" s="116">
        <v>1.60758539930689</v>
      </c>
      <c r="F162" s="116">
        <v>103</v>
      </c>
      <c r="G162">
        <v>5557</v>
      </c>
      <c r="H162" s="116"/>
      <c r="I162" s="116"/>
      <c r="L162" s="170">
        <v>45734</v>
      </c>
      <c r="M162" s="116">
        <v>107.52448382326899</v>
      </c>
      <c r="N162" s="116">
        <v>108.37981381656</v>
      </c>
      <c r="O162" s="116">
        <v>103.019745858603</v>
      </c>
      <c r="P162" s="116">
        <v>104.445295847422</v>
      </c>
      <c r="Q162" s="116">
        <v>113.14</v>
      </c>
      <c r="R162">
        <v>1094984</v>
      </c>
    </row>
    <row r="163" spans="1:18" x14ac:dyDescent="0.25">
      <c r="A163" s="170">
        <v>42236</v>
      </c>
      <c r="B163" s="116">
        <v>1.6677708625321701</v>
      </c>
      <c r="C163" s="116">
        <v>1.6170883671845599</v>
      </c>
      <c r="D163" s="116">
        <v>1.5679896998165701</v>
      </c>
      <c r="E163" s="116">
        <v>1.6155045392049501</v>
      </c>
      <c r="F163" s="116">
        <v>102.1</v>
      </c>
      <c r="G163">
        <v>2706</v>
      </c>
      <c r="H163" s="116"/>
      <c r="I163" s="116"/>
      <c r="L163" s="170">
        <v>45735</v>
      </c>
      <c r="M163" s="116">
        <v>110.290050801577</v>
      </c>
      <c r="N163" s="116">
        <v>111.192899127828</v>
      </c>
      <c r="O163" s="116">
        <v>107.86661582058601</v>
      </c>
      <c r="P163" s="116">
        <v>108.33229548360001</v>
      </c>
      <c r="Q163" s="116">
        <v>116.05</v>
      </c>
      <c r="R163">
        <v>868887</v>
      </c>
    </row>
    <row r="164" spans="1:18" x14ac:dyDescent="0.25">
      <c r="A164" s="170">
        <v>42237</v>
      </c>
      <c r="B164" s="116">
        <v>1.6313428190010799</v>
      </c>
      <c r="C164" s="116">
        <v>1.6123368832457201</v>
      </c>
      <c r="D164" s="116">
        <v>1.56957352779618</v>
      </c>
      <c r="E164" s="116">
        <v>1.58382797961269</v>
      </c>
      <c r="F164" s="116">
        <v>101.8</v>
      </c>
      <c r="G164">
        <v>6218</v>
      </c>
      <c r="H164" s="116"/>
      <c r="I164" s="116"/>
      <c r="L164" s="170">
        <v>45736</v>
      </c>
      <c r="M164" s="116">
        <v>111.088358795315</v>
      </c>
      <c r="N164" s="116">
        <v>114.42414576915</v>
      </c>
      <c r="O164" s="116">
        <v>110.29955446816901</v>
      </c>
      <c r="P164" s="116">
        <v>112.133762120448</v>
      </c>
      <c r="Q164" s="116">
        <v>116.89</v>
      </c>
      <c r="R164">
        <v>802318</v>
      </c>
    </row>
    <row r="165" spans="1:18" x14ac:dyDescent="0.25">
      <c r="A165" s="170">
        <v>42240</v>
      </c>
      <c r="B165" s="116">
        <v>1.6313428190010799</v>
      </c>
      <c r="C165" s="116">
        <v>1.4096069018552999</v>
      </c>
      <c r="D165" s="116">
        <v>1.4048554179164601</v>
      </c>
      <c r="E165" s="116">
        <v>1.6313428190010799</v>
      </c>
      <c r="F165" s="116">
        <v>89</v>
      </c>
      <c r="G165">
        <v>8510</v>
      </c>
      <c r="H165" s="116"/>
      <c r="I165" s="116"/>
      <c r="L165" s="170">
        <v>45737</v>
      </c>
      <c r="M165" s="116">
        <v>115.041884097638</v>
      </c>
      <c r="N165" s="116">
        <v>117.332267746339</v>
      </c>
      <c r="O165" s="116">
        <v>110.385087467498</v>
      </c>
      <c r="P165" s="116">
        <v>111.91517778882999</v>
      </c>
      <c r="Q165" s="116">
        <v>121.05</v>
      </c>
      <c r="R165">
        <v>1035601</v>
      </c>
    </row>
    <row r="166" spans="1:18" x14ac:dyDescent="0.25">
      <c r="A166" s="170">
        <v>42241</v>
      </c>
      <c r="B166" s="116">
        <v>1.37793034226304</v>
      </c>
      <c r="C166" s="116">
        <v>1.3272478469154401</v>
      </c>
      <c r="D166" s="116">
        <v>1.18945481268913</v>
      </c>
      <c r="E166" s="116">
        <v>1.3620920624669199</v>
      </c>
      <c r="F166" s="116">
        <v>83.8</v>
      </c>
      <c r="G166">
        <v>18177</v>
      </c>
      <c r="H166" s="116"/>
      <c r="I166" s="116"/>
      <c r="L166" s="170">
        <v>45740</v>
      </c>
      <c r="M166" s="116">
        <v>115.203446429704</v>
      </c>
      <c r="N166" s="116">
        <v>119.366052397053</v>
      </c>
      <c r="O166" s="116">
        <v>114.75677409987399</v>
      </c>
      <c r="P166" s="116">
        <v>117.322764079747</v>
      </c>
      <c r="Q166" s="116">
        <v>121.22</v>
      </c>
      <c r="R166">
        <v>934943</v>
      </c>
    </row>
    <row r="167" spans="1:18" x14ac:dyDescent="0.25">
      <c r="A167" s="170">
        <v>42242</v>
      </c>
      <c r="B167" s="116">
        <v>1.4206936977125899</v>
      </c>
      <c r="C167" s="116">
        <v>1.35575675054847</v>
      </c>
      <c r="D167" s="116">
        <v>1.3478376106504</v>
      </c>
      <c r="E167" s="116">
        <v>1.3478376106504</v>
      </c>
      <c r="F167" s="116">
        <v>85.6</v>
      </c>
      <c r="G167">
        <v>109</v>
      </c>
      <c r="H167" s="116"/>
      <c r="I167" s="116"/>
      <c r="L167" s="170">
        <v>45741</v>
      </c>
      <c r="M167" s="116">
        <v>108.06619281902</v>
      </c>
      <c r="N167" s="116">
        <v>116.895099083102</v>
      </c>
      <c r="O167" s="116">
        <v>107.23937382550599</v>
      </c>
      <c r="P167" s="116">
        <v>115.897214090929</v>
      </c>
      <c r="Q167" s="116">
        <v>113.71</v>
      </c>
      <c r="R167">
        <v>1549228</v>
      </c>
    </row>
    <row r="168" spans="1:18" x14ac:dyDescent="0.25">
      <c r="A168" s="170">
        <v>42243</v>
      </c>
      <c r="B168" s="116">
        <v>1.44128346144755</v>
      </c>
      <c r="C168" s="116">
        <v>1.4349481495291001</v>
      </c>
      <c r="D168" s="116">
        <v>1.3795141702426601</v>
      </c>
      <c r="E168" s="116">
        <v>1.3842656541814999</v>
      </c>
      <c r="F168" s="116">
        <v>90.6</v>
      </c>
      <c r="G168">
        <v>1154</v>
      </c>
      <c r="H168" s="116"/>
      <c r="I168" s="116"/>
      <c r="L168" s="170">
        <v>45742</v>
      </c>
      <c r="M168" s="116">
        <v>105.50020283914699</v>
      </c>
      <c r="N168" s="116">
        <v>109.9004004713</v>
      </c>
      <c r="O168" s="116">
        <v>104.549836179935</v>
      </c>
      <c r="P168" s="116">
        <v>108.77896781342901</v>
      </c>
      <c r="Q168" s="116">
        <v>111.01</v>
      </c>
      <c r="R168">
        <v>835294</v>
      </c>
    </row>
    <row r="169" spans="1:18" x14ac:dyDescent="0.25">
      <c r="A169" s="170">
        <v>42244</v>
      </c>
      <c r="B169" s="116">
        <v>1.4872144728563199</v>
      </c>
      <c r="C169" s="116">
        <v>1.41910986973297</v>
      </c>
      <c r="D169" s="116">
        <v>1.4064392458960699</v>
      </c>
      <c r="E169" s="116">
        <v>1.4286128376106499</v>
      </c>
      <c r="F169" s="116">
        <v>89.6</v>
      </c>
      <c r="G169">
        <v>2425</v>
      </c>
      <c r="H169" s="116"/>
      <c r="I169" s="116"/>
      <c r="L169" s="170">
        <v>45743</v>
      </c>
      <c r="M169" s="116">
        <v>105.81382383668701</v>
      </c>
      <c r="N169" s="116">
        <v>107.90463048695401</v>
      </c>
      <c r="O169" s="116">
        <v>104.25522251557901</v>
      </c>
      <c r="P169" s="116">
        <v>104.92998284362</v>
      </c>
      <c r="Q169" s="116">
        <v>111.34</v>
      </c>
      <c r="R169">
        <v>1720060</v>
      </c>
    </row>
    <row r="170" spans="1:18" x14ac:dyDescent="0.25">
      <c r="A170" s="170">
        <v>42247</v>
      </c>
      <c r="B170" s="116">
        <v>1.5157233764893501</v>
      </c>
      <c r="C170" s="116">
        <v>1.3177448790377599</v>
      </c>
      <c r="D170" s="116">
        <v>1.31457722307854</v>
      </c>
      <c r="E170" s="116">
        <v>1.51413954850974</v>
      </c>
      <c r="F170" s="116">
        <v>83.2</v>
      </c>
      <c r="G170">
        <v>3681</v>
      </c>
      <c r="H170" s="116"/>
      <c r="I170" s="116"/>
      <c r="L170" s="170">
        <v>45744</v>
      </c>
      <c r="M170" s="116">
        <v>107.638527822375</v>
      </c>
      <c r="N170" s="116">
        <v>111.01232946257799</v>
      </c>
      <c r="O170" s="116">
        <v>105.68077250439801</v>
      </c>
      <c r="P170" s="116">
        <v>106.44106583176701</v>
      </c>
      <c r="Q170" s="116">
        <v>113.26</v>
      </c>
      <c r="R170">
        <v>1404287</v>
      </c>
    </row>
    <row r="171" spans="1:18" x14ac:dyDescent="0.25">
      <c r="A171" s="170">
        <v>42248</v>
      </c>
      <c r="B171" s="116">
        <v>1.44128346144755</v>
      </c>
      <c r="C171" s="116">
        <v>1.3763465142834299</v>
      </c>
      <c r="D171" s="116">
        <v>1.2987389432824099</v>
      </c>
      <c r="E171" s="116">
        <v>1.39218479407956</v>
      </c>
      <c r="F171" s="116">
        <v>86.9</v>
      </c>
      <c r="G171">
        <v>4846</v>
      </c>
      <c r="H171" s="116"/>
      <c r="I171" s="116"/>
      <c r="L171" s="170">
        <v>45748</v>
      </c>
      <c r="M171" s="116">
        <v>109.14010714393</v>
      </c>
      <c r="N171" s="116">
        <v>112.390361118436</v>
      </c>
      <c r="O171" s="116">
        <v>107.39143249097999</v>
      </c>
      <c r="P171" s="116">
        <v>107.39143249097999</v>
      </c>
      <c r="Q171" s="116">
        <v>114.84</v>
      </c>
      <c r="R171">
        <v>769283</v>
      </c>
    </row>
    <row r="172" spans="1:18" x14ac:dyDescent="0.25">
      <c r="A172" s="170">
        <v>42249</v>
      </c>
      <c r="B172" s="116">
        <v>1.42544518165143</v>
      </c>
      <c r="C172" s="116">
        <v>1.37080311635479</v>
      </c>
      <c r="D172" s="116">
        <v>1.30744999717028</v>
      </c>
      <c r="E172" s="116">
        <v>1.3470456966605999</v>
      </c>
      <c r="F172" s="116">
        <v>86.55</v>
      </c>
      <c r="G172">
        <v>3027</v>
      </c>
      <c r="H172" s="116"/>
      <c r="I172" s="116"/>
      <c r="L172" s="170">
        <v>45749</v>
      </c>
      <c r="M172" s="116">
        <v>109.76734913900999</v>
      </c>
      <c r="N172" s="116">
        <v>110.727219464814</v>
      </c>
      <c r="O172" s="116">
        <v>106.450569498359</v>
      </c>
      <c r="P172" s="116">
        <v>109.9004004713</v>
      </c>
      <c r="Q172" s="116">
        <v>115.5</v>
      </c>
      <c r="R172">
        <v>573254</v>
      </c>
    </row>
    <row r="173" spans="1:18" x14ac:dyDescent="0.25">
      <c r="A173" s="170">
        <v>42250</v>
      </c>
      <c r="B173" s="116">
        <v>1.42148561170239</v>
      </c>
      <c r="C173" s="116">
        <v>1.3676354603955601</v>
      </c>
      <c r="D173" s="116">
        <v>1.3319993308542799</v>
      </c>
      <c r="E173" s="116">
        <v>1.3723869443343999</v>
      </c>
      <c r="F173" s="116">
        <v>86.35</v>
      </c>
      <c r="G173">
        <v>723</v>
      </c>
      <c r="H173" s="116"/>
      <c r="I173" s="116"/>
      <c r="L173" s="170">
        <v>45750</v>
      </c>
      <c r="M173" s="116">
        <v>111.60155679128999</v>
      </c>
      <c r="N173" s="116">
        <v>112.998595780332</v>
      </c>
      <c r="O173" s="116">
        <v>106.67865749657</v>
      </c>
      <c r="P173" s="116">
        <v>106.67865749657</v>
      </c>
      <c r="Q173" s="116">
        <v>117.43</v>
      </c>
      <c r="R173">
        <v>813730</v>
      </c>
    </row>
    <row r="174" spans="1:18" x14ac:dyDescent="0.25">
      <c r="A174" s="170">
        <v>42251</v>
      </c>
      <c r="B174" s="116">
        <v>1.4167341277635599</v>
      </c>
      <c r="C174" s="116">
        <v>1.3652597184261399</v>
      </c>
      <c r="D174" s="116">
        <v>1.3240801909562101</v>
      </c>
      <c r="E174" s="116">
        <v>1.4167341277635599</v>
      </c>
      <c r="F174" s="116">
        <v>86.2</v>
      </c>
      <c r="G174">
        <v>6329</v>
      </c>
      <c r="H174" s="116"/>
      <c r="I174" s="116"/>
      <c r="L174" s="170">
        <v>45751</v>
      </c>
      <c r="M174" s="116">
        <v>106.878234495005</v>
      </c>
      <c r="N174" s="116">
        <v>111.753615456764</v>
      </c>
      <c r="O174" s="116">
        <v>105.68077250439801</v>
      </c>
      <c r="P174" s="116">
        <v>111.573045791513</v>
      </c>
      <c r="Q174" s="116">
        <v>112.46</v>
      </c>
      <c r="R174">
        <v>974841</v>
      </c>
    </row>
    <row r="175" spans="1:18" x14ac:dyDescent="0.25">
      <c r="A175" s="170">
        <v>42254</v>
      </c>
      <c r="B175" s="116">
        <v>1.4096069018552999</v>
      </c>
      <c r="C175" s="116">
        <v>1.3692192883751699</v>
      </c>
      <c r="D175" s="116">
        <v>1.30428234121105</v>
      </c>
      <c r="E175" s="116">
        <v>1.3462537826707901</v>
      </c>
      <c r="F175" s="116">
        <v>86.45</v>
      </c>
      <c r="G175">
        <v>21409</v>
      </c>
      <c r="H175" s="116"/>
      <c r="I175" s="116"/>
      <c r="L175" s="170">
        <v>45754</v>
      </c>
      <c r="M175" s="116">
        <v>101.109508873587</v>
      </c>
      <c r="N175" s="116">
        <v>102.516051529221</v>
      </c>
      <c r="O175" s="116">
        <v>97.127472571487701</v>
      </c>
      <c r="P175" s="116">
        <v>97.887765898857495</v>
      </c>
      <c r="Q175" s="116">
        <v>106.39</v>
      </c>
      <c r="R175">
        <v>1376425</v>
      </c>
    </row>
    <row r="176" spans="1:18" x14ac:dyDescent="0.25">
      <c r="A176" s="170">
        <v>42255</v>
      </c>
      <c r="B176" s="116">
        <v>1.3953524500387799</v>
      </c>
      <c r="C176" s="116">
        <v>1.3605082344873101</v>
      </c>
      <c r="D176" s="116">
        <v>1.3462537826707901</v>
      </c>
      <c r="E176" s="116">
        <v>1.3953524500387799</v>
      </c>
      <c r="F176" s="116">
        <v>85.9</v>
      </c>
      <c r="G176">
        <v>3355</v>
      </c>
      <c r="H176" s="116"/>
      <c r="I176" s="116"/>
      <c r="L176" s="170">
        <v>45755</v>
      </c>
      <c r="M176" s="116">
        <v>107.163344492769</v>
      </c>
      <c r="N176" s="116">
        <v>107.48646915690099</v>
      </c>
      <c r="O176" s="116">
        <v>101.223552872692</v>
      </c>
      <c r="P176" s="116">
        <v>102.687117527879</v>
      </c>
      <c r="Q176" s="116">
        <v>112.76</v>
      </c>
      <c r="R176">
        <v>1287774</v>
      </c>
    </row>
    <row r="177" spans="1:18" x14ac:dyDescent="0.25">
      <c r="A177" s="170">
        <v>42256</v>
      </c>
      <c r="B177" s="116">
        <v>1.3937686220591701</v>
      </c>
      <c r="C177" s="116">
        <v>1.36684354640576</v>
      </c>
      <c r="D177" s="116">
        <v>1.3541729225688499</v>
      </c>
      <c r="E177" s="116">
        <v>1.37793034226304</v>
      </c>
      <c r="F177" s="116">
        <v>86.3</v>
      </c>
      <c r="G177">
        <v>1726</v>
      </c>
      <c r="H177" s="116"/>
      <c r="I177" s="116"/>
      <c r="L177" s="170">
        <v>45756</v>
      </c>
      <c r="M177" s="116">
        <v>107.724060821704</v>
      </c>
      <c r="N177" s="116">
        <v>108.15172581834899</v>
      </c>
      <c r="O177" s="116">
        <v>104.825442511107</v>
      </c>
      <c r="P177" s="116">
        <v>106.830716162044</v>
      </c>
      <c r="Q177" s="116">
        <v>113.35</v>
      </c>
      <c r="R177">
        <v>647463</v>
      </c>
    </row>
    <row r="178" spans="1:18" x14ac:dyDescent="0.25">
      <c r="A178" s="170">
        <v>42257</v>
      </c>
      <c r="B178" s="116">
        <v>1.4729600210398099</v>
      </c>
      <c r="C178" s="116">
        <v>1.35892440650769</v>
      </c>
      <c r="D178" s="116">
        <v>1.3462537826707901</v>
      </c>
      <c r="E178" s="116">
        <v>1.37001120236498</v>
      </c>
      <c r="F178" s="116">
        <v>85.8</v>
      </c>
      <c r="G178">
        <v>3765</v>
      </c>
      <c r="H178" s="116"/>
      <c r="I178" s="116"/>
      <c r="L178" s="170">
        <v>45758</v>
      </c>
      <c r="M178" s="116">
        <v>109.966926137445</v>
      </c>
      <c r="N178" s="116">
        <v>110.95530746302499</v>
      </c>
      <c r="O178" s="116">
        <v>109.04507047800899</v>
      </c>
      <c r="P178" s="116">
        <v>110.385087467498</v>
      </c>
      <c r="Q178" s="116">
        <v>115.71</v>
      </c>
      <c r="R178">
        <v>637916</v>
      </c>
    </row>
    <row r="179" spans="1:18" x14ac:dyDescent="0.25">
      <c r="A179" s="170">
        <v>42258</v>
      </c>
      <c r="B179" s="116">
        <v>1.4396996334679399</v>
      </c>
      <c r="C179" s="116">
        <v>1.3462537826707901</v>
      </c>
      <c r="D179" s="116">
        <v>1.3462537826707901</v>
      </c>
      <c r="E179" s="116">
        <v>1.3494214386300201</v>
      </c>
      <c r="F179" s="116">
        <v>85</v>
      </c>
      <c r="G179">
        <v>1597</v>
      </c>
      <c r="H179" s="116"/>
      <c r="I179" s="116"/>
      <c r="L179" s="170">
        <v>45762</v>
      </c>
      <c r="M179" s="116">
        <v>118.168590406446</v>
      </c>
      <c r="N179" s="116">
        <v>119.603644061856</v>
      </c>
      <c r="O179" s="116">
        <v>110.727219464814</v>
      </c>
      <c r="P179" s="116">
        <v>112.133762120448</v>
      </c>
      <c r="Q179" s="116">
        <v>124.34</v>
      </c>
      <c r="R179">
        <v>2165059</v>
      </c>
    </row>
    <row r="180" spans="1:18" x14ac:dyDescent="0.25">
      <c r="A180" s="170">
        <v>42261</v>
      </c>
      <c r="B180" s="116">
        <v>1.4096069018552999</v>
      </c>
      <c r="C180" s="116">
        <v>1.4096069018552999</v>
      </c>
      <c r="D180" s="116">
        <v>1.3478376106504</v>
      </c>
      <c r="E180" s="116">
        <v>1.3478376106504</v>
      </c>
      <c r="F180" s="116">
        <v>89</v>
      </c>
      <c r="G180">
        <v>63</v>
      </c>
      <c r="H180" s="116"/>
      <c r="I180" s="116"/>
      <c r="L180" s="170">
        <v>45763</v>
      </c>
      <c r="M180" s="116">
        <v>119.356548730461</v>
      </c>
      <c r="N180" s="116">
        <v>120.69656571995</v>
      </c>
      <c r="O180" s="116">
        <v>117.27524574678699</v>
      </c>
      <c r="P180" s="116">
        <v>119.033424066329</v>
      </c>
      <c r="Q180" s="116">
        <v>125.59</v>
      </c>
      <c r="R180">
        <v>1134842</v>
      </c>
    </row>
    <row r="181" spans="1:18" x14ac:dyDescent="0.25">
      <c r="A181" s="170">
        <v>42262</v>
      </c>
      <c r="B181" s="116">
        <v>1.4096069018552999</v>
      </c>
      <c r="C181" s="116">
        <v>1.4096069018552999</v>
      </c>
      <c r="D181" s="116">
        <v>1.4096069018552999</v>
      </c>
      <c r="E181" s="116">
        <v>1.4096069018552999</v>
      </c>
      <c r="F181" s="116">
        <v>89</v>
      </c>
      <c r="G181">
        <v>5</v>
      </c>
      <c r="H181" s="116"/>
      <c r="I181" s="116"/>
      <c r="L181" s="170">
        <v>45764</v>
      </c>
      <c r="M181" s="116">
        <v>120.82961705224</v>
      </c>
      <c r="N181" s="116">
        <v>121.36182238139899</v>
      </c>
      <c r="O181" s="116">
        <v>117.94050240823501</v>
      </c>
      <c r="P181" s="116">
        <v>118.795832401526</v>
      </c>
      <c r="Q181" s="116">
        <v>127.14</v>
      </c>
      <c r="R181">
        <v>891685</v>
      </c>
    </row>
    <row r="182" spans="1:18" x14ac:dyDescent="0.25">
      <c r="A182" s="170">
        <v>42263</v>
      </c>
      <c r="B182" s="116">
        <v>1.36288397645672</v>
      </c>
      <c r="C182" s="116">
        <v>1.3462537826707901</v>
      </c>
      <c r="D182" s="116">
        <v>1.3462537826707901</v>
      </c>
      <c r="E182" s="116">
        <v>1.35258909458924</v>
      </c>
      <c r="F182" s="116">
        <v>85</v>
      </c>
      <c r="G182">
        <v>2422</v>
      </c>
      <c r="H182" s="116"/>
      <c r="I182" s="116"/>
      <c r="L182" s="170">
        <v>45768</v>
      </c>
      <c r="M182" s="116">
        <v>124.84966802070799</v>
      </c>
      <c r="N182" s="116">
        <v>126.018619011539</v>
      </c>
      <c r="O182" s="116">
        <v>121.181252716149</v>
      </c>
      <c r="P182" s="116">
        <v>121.542392046649</v>
      </c>
      <c r="Q182" s="116">
        <v>131.37</v>
      </c>
      <c r="R182">
        <v>917819</v>
      </c>
    </row>
    <row r="183" spans="1:18" x14ac:dyDescent="0.25">
      <c r="A183" s="170">
        <v>42265</v>
      </c>
      <c r="B183" s="116">
        <v>1.36367589044653</v>
      </c>
      <c r="C183" s="116">
        <v>1.3541729225688499</v>
      </c>
      <c r="D183" s="116">
        <v>1.3462537826707901</v>
      </c>
      <c r="E183" s="116">
        <v>1.36367589044653</v>
      </c>
      <c r="F183" s="116">
        <v>85.5</v>
      </c>
      <c r="G183">
        <v>3607</v>
      </c>
      <c r="H183" s="116"/>
      <c r="I183" s="116"/>
      <c r="L183" s="170">
        <v>45769</v>
      </c>
      <c r="M183" s="116">
        <v>127.206577335554</v>
      </c>
      <c r="N183" s="116">
        <v>129.02177765464899</v>
      </c>
      <c r="O183" s="116">
        <v>122.67332837111201</v>
      </c>
      <c r="P183" s="116">
        <v>125.999611678355</v>
      </c>
      <c r="Q183" s="116">
        <v>133.85</v>
      </c>
      <c r="R183">
        <v>868175</v>
      </c>
    </row>
    <row r="184" spans="1:18" x14ac:dyDescent="0.25">
      <c r="A184" s="170">
        <v>42268</v>
      </c>
      <c r="B184" s="116">
        <v>1.3462537826707901</v>
      </c>
      <c r="C184" s="116">
        <v>1.2939874593435701</v>
      </c>
      <c r="D184" s="116">
        <v>1.2512241038940299</v>
      </c>
      <c r="E184" s="116">
        <v>1.3462537826707901</v>
      </c>
      <c r="F184" s="116">
        <v>81.7</v>
      </c>
      <c r="G184">
        <v>27533</v>
      </c>
      <c r="H184" s="116"/>
      <c r="I184" s="116"/>
      <c r="L184" s="170">
        <v>45770</v>
      </c>
      <c r="M184" s="116">
        <v>126.10415201086801</v>
      </c>
      <c r="N184" s="116">
        <v>129.72504898246601</v>
      </c>
      <c r="O184" s="116">
        <v>124.05136002697</v>
      </c>
      <c r="P184" s="116">
        <v>128.15694399476601</v>
      </c>
      <c r="Q184" s="116">
        <v>132.69</v>
      </c>
      <c r="R184">
        <v>755569</v>
      </c>
    </row>
    <row r="185" spans="1:18" x14ac:dyDescent="0.25">
      <c r="A185" s="170">
        <v>42269</v>
      </c>
      <c r="B185" s="116">
        <v>1.27498152358822</v>
      </c>
      <c r="C185" s="116">
        <v>1.27498152358822</v>
      </c>
      <c r="D185" s="116">
        <v>1.26627046970035</v>
      </c>
      <c r="E185" s="116">
        <v>1.27023003964938</v>
      </c>
      <c r="F185" s="116">
        <v>80.5</v>
      </c>
      <c r="G185">
        <v>2152</v>
      </c>
      <c r="H185" s="116"/>
      <c r="I185" s="116"/>
      <c r="L185" s="170">
        <v>45771</v>
      </c>
      <c r="M185" s="116">
        <v>127.90984866337099</v>
      </c>
      <c r="N185" s="116">
        <v>128.917237322136</v>
      </c>
      <c r="O185" s="116">
        <v>126.10415201086801</v>
      </c>
      <c r="P185" s="116">
        <v>126.864445338238</v>
      </c>
      <c r="Q185" s="116">
        <v>134.59</v>
      </c>
      <c r="R185">
        <v>702402</v>
      </c>
    </row>
    <row r="186" spans="1:18" x14ac:dyDescent="0.25">
      <c r="A186" s="170">
        <v>42270</v>
      </c>
      <c r="B186" s="116">
        <v>1.2987389432824099</v>
      </c>
      <c r="C186" s="116">
        <v>1.2987389432824099</v>
      </c>
      <c r="D186" s="116">
        <v>1.2987389432824099</v>
      </c>
      <c r="E186" s="116">
        <v>1.2987389432824099</v>
      </c>
      <c r="F186" s="116">
        <v>82</v>
      </c>
      <c r="G186">
        <v>500</v>
      </c>
      <c r="H186" s="116"/>
      <c r="I186" s="116"/>
      <c r="L186" s="170">
        <v>45772</v>
      </c>
      <c r="M186" s="116">
        <v>123.376599698929</v>
      </c>
      <c r="N186" s="116">
        <v>128.242476994095</v>
      </c>
      <c r="O186" s="116">
        <v>118.909876400632</v>
      </c>
      <c r="P186" s="116">
        <v>127.90984866337099</v>
      </c>
      <c r="Q186" s="116">
        <v>129.82</v>
      </c>
      <c r="R186">
        <v>1713254</v>
      </c>
    </row>
    <row r="187" spans="1:18" x14ac:dyDescent="0.25">
      <c r="A187" s="170">
        <v>42271</v>
      </c>
      <c r="B187" s="116">
        <v>1.31457722307854</v>
      </c>
      <c r="C187" s="116">
        <v>1.27498152358822</v>
      </c>
      <c r="D187" s="116">
        <v>1.27023003964938</v>
      </c>
      <c r="E187" s="116">
        <v>1.29953085727222</v>
      </c>
      <c r="F187" s="116">
        <v>80.5</v>
      </c>
      <c r="G187">
        <v>420</v>
      </c>
      <c r="H187" s="116"/>
      <c r="I187" s="116"/>
      <c r="L187" s="170">
        <v>45775</v>
      </c>
      <c r="M187" s="116">
        <v>111.059847795539</v>
      </c>
      <c r="N187" s="116">
        <v>115.71664442567899</v>
      </c>
      <c r="O187" s="116">
        <v>105.823327503279</v>
      </c>
      <c r="P187" s="116">
        <v>111.202402794421</v>
      </c>
      <c r="Q187" s="116">
        <v>116.86</v>
      </c>
      <c r="R187">
        <v>4443793</v>
      </c>
    </row>
    <row r="188" spans="1:18" x14ac:dyDescent="0.25">
      <c r="A188" s="170">
        <v>42275</v>
      </c>
      <c r="B188" s="116">
        <v>1.2829006634862801</v>
      </c>
      <c r="C188" s="116">
        <v>1.2543917598532499</v>
      </c>
      <c r="D188" s="116">
        <v>1.2543917598532499</v>
      </c>
      <c r="E188" s="116">
        <v>1.26706238369016</v>
      </c>
      <c r="F188" s="116">
        <v>79.2</v>
      </c>
      <c r="G188">
        <v>2061</v>
      </c>
      <c r="H188" s="116"/>
      <c r="I188" s="116"/>
      <c r="L188" s="170">
        <v>45776</v>
      </c>
      <c r="M188" s="116">
        <v>111.126373461684</v>
      </c>
      <c r="N188" s="116">
        <v>114.03449543887299</v>
      </c>
      <c r="O188" s="116">
        <v>110.717715798222</v>
      </c>
      <c r="P188" s="116">
        <v>112.143265787041</v>
      </c>
      <c r="Q188" s="116">
        <v>116.93</v>
      </c>
      <c r="R188">
        <v>1004426</v>
      </c>
    </row>
    <row r="189" spans="1:18" x14ac:dyDescent="0.25">
      <c r="A189" s="170">
        <v>42276</v>
      </c>
      <c r="B189" s="116">
        <v>1.3224963629766</v>
      </c>
      <c r="C189" s="116">
        <v>1.24092922202655</v>
      </c>
      <c r="D189" s="116">
        <v>1.2353858240979001</v>
      </c>
      <c r="E189" s="116">
        <v>1.2623108997513199</v>
      </c>
      <c r="F189" s="116">
        <v>78.349999999999994</v>
      </c>
      <c r="G189">
        <v>2342</v>
      </c>
      <c r="H189" s="116"/>
      <c r="I189" s="116"/>
      <c r="L189" s="170">
        <v>45777</v>
      </c>
      <c r="M189" s="116">
        <v>107.80009015444099</v>
      </c>
      <c r="N189" s="116">
        <v>113.891940439991</v>
      </c>
      <c r="O189" s="116">
        <v>106.726175829531</v>
      </c>
      <c r="P189" s="116">
        <v>112.523412450725</v>
      </c>
      <c r="Q189" s="116">
        <v>113.43</v>
      </c>
      <c r="R189">
        <v>1016108</v>
      </c>
    </row>
    <row r="190" spans="1:18" x14ac:dyDescent="0.25">
      <c r="A190" s="170">
        <v>42277</v>
      </c>
      <c r="B190" s="116">
        <v>1.3280397609052399</v>
      </c>
      <c r="C190" s="116">
        <v>1.2575594158124801</v>
      </c>
      <c r="D190" s="116">
        <v>1.2512241038940299</v>
      </c>
      <c r="E190" s="116">
        <v>1.2908198033843501</v>
      </c>
      <c r="F190" s="116">
        <v>79.400000000000006</v>
      </c>
      <c r="G190">
        <v>2540</v>
      </c>
      <c r="H190" s="116"/>
      <c r="I190" s="116"/>
      <c r="L190" s="170">
        <v>45779</v>
      </c>
      <c r="M190" s="116">
        <v>109.349187808957</v>
      </c>
      <c r="N190" s="116">
        <v>112.124258453856</v>
      </c>
      <c r="O190" s="116">
        <v>107.942645153323</v>
      </c>
      <c r="P190" s="116">
        <v>111.95319245519801</v>
      </c>
      <c r="Q190" s="116">
        <v>115.06</v>
      </c>
      <c r="R190">
        <v>1364157</v>
      </c>
    </row>
    <row r="191" spans="1:18" x14ac:dyDescent="0.25">
      <c r="A191" s="170">
        <v>42278</v>
      </c>
      <c r="B191" s="116">
        <v>1.2829006634862801</v>
      </c>
      <c r="C191" s="116">
        <v>1.21162840440371</v>
      </c>
      <c r="D191" s="116">
        <v>1.19262246864836</v>
      </c>
      <c r="E191" s="116">
        <v>1.2829006634862801</v>
      </c>
      <c r="F191" s="116">
        <v>76.5</v>
      </c>
      <c r="G191">
        <v>798</v>
      </c>
      <c r="H191" s="116"/>
      <c r="I191" s="116"/>
      <c r="L191" s="170">
        <v>45782</v>
      </c>
      <c r="M191" s="116">
        <v>117.712414410024</v>
      </c>
      <c r="N191" s="116">
        <v>118.795832401526</v>
      </c>
      <c r="O191" s="116">
        <v>110.052459136774</v>
      </c>
      <c r="P191" s="116">
        <v>110.755730464591</v>
      </c>
      <c r="Q191" s="116">
        <v>123.86</v>
      </c>
      <c r="R191">
        <v>2647365</v>
      </c>
    </row>
    <row r="192" spans="1:18" x14ac:dyDescent="0.25">
      <c r="A192" s="170">
        <v>42282</v>
      </c>
      <c r="B192" s="116">
        <v>1.31457722307854</v>
      </c>
      <c r="C192" s="116">
        <v>1.31457722307854</v>
      </c>
      <c r="D192" s="116">
        <v>1.26706238369016</v>
      </c>
      <c r="E192" s="116">
        <v>1.26706238369016</v>
      </c>
      <c r="F192" s="116">
        <v>83</v>
      </c>
      <c r="G192">
        <v>4064</v>
      </c>
      <c r="H192" s="116"/>
      <c r="I192" s="116"/>
      <c r="L192" s="170">
        <v>45783</v>
      </c>
      <c r="M192" s="116">
        <v>108.67442748091599</v>
      </c>
      <c r="N192" s="116">
        <v>120.420959388779</v>
      </c>
      <c r="O192" s="116">
        <v>106.916249161373</v>
      </c>
      <c r="P192" s="116">
        <v>119.55612572889601</v>
      </c>
      <c r="Q192" s="116">
        <v>114.35</v>
      </c>
      <c r="R192">
        <v>2937184</v>
      </c>
    </row>
    <row r="193" spans="1:18" x14ac:dyDescent="0.25">
      <c r="A193" s="170">
        <v>42283</v>
      </c>
      <c r="B193" s="116">
        <v>1.3541729225688499</v>
      </c>
      <c r="C193" s="116">
        <v>1.31457722307854</v>
      </c>
      <c r="D193" s="116">
        <v>1.2987389432824099</v>
      </c>
      <c r="E193" s="116">
        <v>1.3541729225688499</v>
      </c>
      <c r="F193" s="116">
        <v>83</v>
      </c>
      <c r="G193">
        <v>4028</v>
      </c>
      <c r="H193" s="116"/>
      <c r="I193" s="116"/>
      <c r="L193" s="170">
        <v>45784</v>
      </c>
      <c r="M193" s="116">
        <v>108.38</v>
      </c>
      <c r="N193" s="116">
        <v>110.95</v>
      </c>
      <c r="O193" s="116">
        <v>107.07</v>
      </c>
      <c r="P193" s="116">
        <v>109</v>
      </c>
      <c r="Q193" s="116">
        <v>108.38</v>
      </c>
      <c r="R193">
        <v>2366829</v>
      </c>
    </row>
    <row r="194" spans="1:18" x14ac:dyDescent="0.25">
      <c r="A194" s="170">
        <v>42284</v>
      </c>
      <c r="B194" s="116">
        <v>1.3937686220591701</v>
      </c>
      <c r="C194" s="116">
        <v>1.38901713812033</v>
      </c>
      <c r="D194" s="116">
        <v>1.31457722307854</v>
      </c>
      <c r="E194" s="116">
        <v>1.31457722307854</v>
      </c>
      <c r="F194" s="116">
        <v>87.7</v>
      </c>
      <c r="G194">
        <v>4573</v>
      </c>
      <c r="H194" s="116"/>
      <c r="I194" s="116"/>
      <c r="L194" s="170">
        <v>45785</v>
      </c>
      <c r="M194" s="116">
        <v>105.57</v>
      </c>
      <c r="N194" s="116">
        <v>110.72</v>
      </c>
      <c r="O194" s="116">
        <v>104.72</v>
      </c>
      <c r="P194" s="116">
        <v>109.22</v>
      </c>
      <c r="Q194" s="116">
        <v>105.57</v>
      </c>
      <c r="R194">
        <v>1113764</v>
      </c>
    </row>
    <row r="195" spans="1:18" x14ac:dyDescent="0.25">
      <c r="A195" s="170">
        <v>42285</v>
      </c>
      <c r="B195" s="116">
        <v>1.4246532676616199</v>
      </c>
      <c r="C195" s="116">
        <v>1.3898090521101401</v>
      </c>
      <c r="D195" s="116">
        <v>1.36367589044653</v>
      </c>
      <c r="E195" s="116">
        <v>1.3795141702426601</v>
      </c>
      <c r="F195" s="116">
        <v>87.75</v>
      </c>
      <c r="G195">
        <v>2314</v>
      </c>
      <c r="H195" s="116"/>
      <c r="I195" s="116"/>
      <c r="L195" s="170">
        <v>45786</v>
      </c>
      <c r="M195" s="116">
        <v>105.97</v>
      </c>
      <c r="N195" s="116">
        <v>110.77</v>
      </c>
      <c r="O195" s="116">
        <v>102.76</v>
      </c>
      <c r="P195" s="116">
        <v>102.97</v>
      </c>
      <c r="Q195" s="116">
        <v>105.97</v>
      </c>
      <c r="R195">
        <v>2263827</v>
      </c>
    </row>
    <row r="196" spans="1:18" x14ac:dyDescent="0.25">
      <c r="A196" s="170">
        <v>42286</v>
      </c>
      <c r="B196" s="116">
        <v>1.6677708625321701</v>
      </c>
      <c r="C196" s="116">
        <v>1.6677708625321701</v>
      </c>
      <c r="D196" s="116">
        <v>1.4008958479674301</v>
      </c>
      <c r="E196" s="116">
        <v>1.4008958479674301</v>
      </c>
      <c r="F196" s="116">
        <v>105.3</v>
      </c>
      <c r="G196">
        <v>29293</v>
      </c>
      <c r="H196" s="116"/>
      <c r="I196" s="116"/>
      <c r="L196" s="170">
        <v>45789</v>
      </c>
      <c r="M196" s="116">
        <v>109.97</v>
      </c>
      <c r="N196" s="116">
        <v>113.03</v>
      </c>
      <c r="O196" s="116">
        <v>108.65</v>
      </c>
      <c r="P196" s="116">
        <v>113</v>
      </c>
      <c r="Q196" s="116">
        <v>109.97</v>
      </c>
      <c r="R196">
        <v>1722370</v>
      </c>
    </row>
    <row r="197" spans="1:18" x14ac:dyDescent="0.25">
      <c r="A197" s="170">
        <v>42289</v>
      </c>
      <c r="B197" s="116">
        <v>1.88317146775949</v>
      </c>
      <c r="C197" s="116">
        <v>1.67648191642004</v>
      </c>
      <c r="D197" s="116">
        <v>1.66222746460352</v>
      </c>
      <c r="E197" s="116">
        <v>1.88317146775949</v>
      </c>
      <c r="F197" s="116">
        <v>105.85</v>
      </c>
      <c r="G197">
        <v>15891</v>
      </c>
      <c r="H197" s="116"/>
      <c r="I197" s="116"/>
      <c r="L197" s="170">
        <v>45790</v>
      </c>
      <c r="M197" s="116">
        <v>113.99</v>
      </c>
      <c r="N197" s="116">
        <v>114.5</v>
      </c>
      <c r="O197" s="116">
        <v>108.71</v>
      </c>
      <c r="P197" s="116">
        <v>110.01</v>
      </c>
      <c r="Q197" s="116">
        <v>113.99</v>
      </c>
      <c r="R197">
        <v>1116449</v>
      </c>
    </row>
    <row r="198" spans="1:18" x14ac:dyDescent="0.25">
      <c r="A198" s="170">
        <v>42290</v>
      </c>
      <c r="B198" s="116">
        <v>1.74062694959435</v>
      </c>
      <c r="C198" s="116">
        <v>1.5869956355719199</v>
      </c>
      <c r="D198" s="116">
        <v>1.5386888821937299</v>
      </c>
      <c r="E198" s="116">
        <v>1.74062694959435</v>
      </c>
      <c r="F198" s="116">
        <v>100.2</v>
      </c>
      <c r="G198">
        <v>5139</v>
      </c>
      <c r="H198" s="116"/>
      <c r="I198" s="116"/>
      <c r="L198" s="170">
        <v>45791</v>
      </c>
      <c r="M198" s="116">
        <v>117.18</v>
      </c>
      <c r="N198" s="116">
        <v>118.29</v>
      </c>
      <c r="O198" s="116">
        <v>114.56</v>
      </c>
      <c r="P198" s="116">
        <v>114.9</v>
      </c>
      <c r="Q198" s="116">
        <v>117.18</v>
      </c>
      <c r="R198">
        <v>1367791</v>
      </c>
    </row>
    <row r="199" spans="1:18" x14ac:dyDescent="0.25">
      <c r="A199" s="170">
        <v>42291</v>
      </c>
      <c r="B199" s="116">
        <v>1.64322152884817</v>
      </c>
      <c r="C199" s="116">
        <v>1.6384700449093299</v>
      </c>
      <c r="D199" s="116">
        <v>1.5862037215821101</v>
      </c>
      <c r="E199" s="116">
        <v>1.5862037215821101</v>
      </c>
      <c r="F199" s="116">
        <v>103.45</v>
      </c>
      <c r="G199">
        <v>2133</v>
      </c>
      <c r="H199" s="116"/>
      <c r="I199" s="116"/>
      <c r="L199" s="170">
        <v>45792</v>
      </c>
      <c r="M199" s="116">
        <v>113.29</v>
      </c>
      <c r="N199" s="116">
        <v>117.92</v>
      </c>
      <c r="O199" s="116">
        <v>112.9</v>
      </c>
      <c r="P199" s="116">
        <v>117</v>
      </c>
      <c r="Q199" s="116">
        <v>113.29</v>
      </c>
      <c r="R199">
        <v>1572658</v>
      </c>
    </row>
    <row r="200" spans="1:18" x14ac:dyDescent="0.25">
      <c r="A200" s="170">
        <v>42292</v>
      </c>
      <c r="B200" s="116">
        <v>1.6313428190010799</v>
      </c>
      <c r="C200" s="116">
        <v>1.58382797961269</v>
      </c>
      <c r="D200" s="116">
        <v>1.5830360656228899</v>
      </c>
      <c r="E200" s="116">
        <v>1.6313428190010799</v>
      </c>
      <c r="F200" s="116">
        <v>100</v>
      </c>
      <c r="G200">
        <v>3209</v>
      </c>
      <c r="H200" s="116"/>
      <c r="I200" s="116"/>
      <c r="L200" s="170">
        <v>45793</v>
      </c>
      <c r="M200" s="116">
        <v>122.2</v>
      </c>
      <c r="N200" s="116">
        <v>123</v>
      </c>
      <c r="O200" s="116">
        <v>113.2</v>
      </c>
      <c r="P200" s="116">
        <v>114.04</v>
      </c>
      <c r="Q200" s="116">
        <v>122.2</v>
      </c>
      <c r="R200">
        <v>3192883</v>
      </c>
    </row>
    <row r="201" spans="1:18" x14ac:dyDescent="0.25">
      <c r="A201" s="170">
        <v>42293</v>
      </c>
      <c r="B201" s="116">
        <v>1.65510023869527</v>
      </c>
      <c r="C201" s="116">
        <v>1.6162964531947599</v>
      </c>
      <c r="D201" s="116">
        <v>1.59570668945979</v>
      </c>
      <c r="E201" s="116">
        <v>1.6155045392049501</v>
      </c>
      <c r="F201" s="116">
        <v>102.05</v>
      </c>
      <c r="G201">
        <v>230</v>
      </c>
      <c r="H201" s="116"/>
      <c r="I201" s="116"/>
      <c r="L201" s="170">
        <v>45796</v>
      </c>
      <c r="M201" s="116">
        <v>133.83000000000001</v>
      </c>
      <c r="N201" s="116">
        <v>139.6</v>
      </c>
      <c r="O201" s="116">
        <v>125.76</v>
      </c>
      <c r="P201" s="116">
        <v>126</v>
      </c>
      <c r="Q201" s="116">
        <v>133.83000000000001</v>
      </c>
      <c r="R201">
        <v>10340939</v>
      </c>
    </row>
    <row r="202" spans="1:18" x14ac:dyDescent="0.25">
      <c r="A202" s="170">
        <v>42296</v>
      </c>
      <c r="B202" s="116">
        <v>1.6313428190010799</v>
      </c>
      <c r="C202" s="116">
        <v>1.5901632915311501</v>
      </c>
      <c r="D202" s="116">
        <v>1.53631314022431</v>
      </c>
      <c r="E202" s="116">
        <v>1.6273832490520399</v>
      </c>
      <c r="F202" s="116">
        <v>100.4</v>
      </c>
      <c r="G202">
        <v>3167</v>
      </c>
      <c r="H202" s="116"/>
      <c r="I202" s="116"/>
      <c r="L202" s="170">
        <v>45797</v>
      </c>
      <c r="M202" s="116">
        <v>133.76</v>
      </c>
      <c r="N202" s="116">
        <v>136.66</v>
      </c>
      <c r="O202" s="116">
        <v>129.31</v>
      </c>
      <c r="P202" s="116">
        <v>135.94999999999999</v>
      </c>
      <c r="Q202" s="116">
        <v>133.76</v>
      </c>
      <c r="R202">
        <v>3245723</v>
      </c>
    </row>
    <row r="203" spans="1:18" x14ac:dyDescent="0.25">
      <c r="A203" s="170">
        <v>42297</v>
      </c>
      <c r="B203" s="116">
        <v>1.6305509050112701</v>
      </c>
      <c r="C203" s="116">
        <v>1.6170883671845599</v>
      </c>
      <c r="D203" s="116">
        <v>1.5640301298675401</v>
      </c>
      <c r="E203" s="116">
        <v>1.6265913350622401</v>
      </c>
      <c r="F203" s="116">
        <v>102.1</v>
      </c>
      <c r="G203">
        <v>796</v>
      </c>
      <c r="H203" s="116"/>
      <c r="I203" s="116"/>
      <c r="L203" s="170">
        <v>45798</v>
      </c>
      <c r="M203" s="116">
        <v>132.46</v>
      </c>
      <c r="N203" s="116">
        <v>135.69</v>
      </c>
      <c r="O203" s="116">
        <v>130.21</v>
      </c>
      <c r="P203" s="116">
        <v>133.25</v>
      </c>
      <c r="Q203" s="116">
        <v>132.46</v>
      </c>
      <c r="R203">
        <v>2082111</v>
      </c>
    </row>
    <row r="204" spans="1:18" x14ac:dyDescent="0.25">
      <c r="A204" s="170">
        <v>42298</v>
      </c>
      <c r="B204" s="116">
        <v>1.6392619588991399</v>
      </c>
      <c r="C204" s="116">
        <v>1.5893713775413401</v>
      </c>
      <c r="D204" s="116">
        <v>1.5489837640612201</v>
      </c>
      <c r="E204" s="116">
        <v>1.5933309474903701</v>
      </c>
      <c r="F204" s="116">
        <v>100.35</v>
      </c>
      <c r="G204">
        <v>1910</v>
      </c>
      <c r="H204" s="116"/>
      <c r="I204" s="116"/>
      <c r="L204" s="170">
        <v>45799</v>
      </c>
      <c r="M204" s="116">
        <v>128.76</v>
      </c>
      <c r="N204" s="116">
        <v>133</v>
      </c>
      <c r="O204" s="116">
        <v>127.24</v>
      </c>
      <c r="P204" s="116">
        <v>132.5</v>
      </c>
      <c r="Q204" s="116">
        <v>128.76</v>
      </c>
      <c r="R204">
        <v>1199782</v>
      </c>
    </row>
    <row r="205" spans="1:18" x14ac:dyDescent="0.25">
      <c r="A205" s="170">
        <v>42300</v>
      </c>
      <c r="B205" s="116">
        <v>1.6471810987972</v>
      </c>
      <c r="C205" s="116">
        <v>1.5711573557757901</v>
      </c>
      <c r="D205" s="116">
        <v>1.5489837640612201</v>
      </c>
      <c r="E205" s="116">
        <v>1.6265913350622401</v>
      </c>
      <c r="F205" s="116">
        <v>99.2</v>
      </c>
      <c r="G205">
        <v>2167</v>
      </c>
      <c r="H205" s="116"/>
      <c r="I205" s="116"/>
      <c r="L205" s="170">
        <v>45800</v>
      </c>
      <c r="M205" s="116">
        <v>128.09</v>
      </c>
      <c r="N205" s="116">
        <v>132</v>
      </c>
      <c r="O205" s="116">
        <v>127.5</v>
      </c>
      <c r="P205" s="116">
        <v>129.08000000000001</v>
      </c>
      <c r="Q205" s="116">
        <v>128.09</v>
      </c>
      <c r="R205">
        <v>999418</v>
      </c>
    </row>
    <row r="206" spans="1:18" x14ac:dyDescent="0.25">
      <c r="A206" s="170">
        <v>42303</v>
      </c>
      <c r="B206" s="116">
        <v>1.6155045392049501</v>
      </c>
      <c r="C206" s="116">
        <v>1.53631314022431</v>
      </c>
      <c r="D206" s="116">
        <v>1.5307697422956701</v>
      </c>
      <c r="E206" s="116">
        <v>1.5537352480000499</v>
      </c>
      <c r="F206" s="116">
        <v>97</v>
      </c>
      <c r="G206">
        <v>535</v>
      </c>
      <c r="H206" s="116"/>
      <c r="I206" s="116"/>
      <c r="L206" s="170">
        <v>45803</v>
      </c>
      <c r="M206" s="116">
        <v>128.5</v>
      </c>
      <c r="N206" s="116">
        <v>130.69</v>
      </c>
      <c r="O206" s="116">
        <v>127.29</v>
      </c>
      <c r="P206" s="116">
        <v>128.94999999999999</v>
      </c>
      <c r="Q206" s="116">
        <v>128.5</v>
      </c>
      <c r="R206">
        <v>1217609</v>
      </c>
    </row>
    <row r="207" spans="1:18" x14ac:dyDescent="0.25">
      <c r="A207" s="170">
        <v>42304</v>
      </c>
      <c r="B207" s="116">
        <v>1.59887434541902</v>
      </c>
      <c r="C207" s="116">
        <v>1.4761276769990299</v>
      </c>
      <c r="D207" s="116">
        <v>1.42544518165143</v>
      </c>
      <c r="E207" s="116">
        <v>1.59887434541902</v>
      </c>
      <c r="F207" s="116">
        <v>93.2</v>
      </c>
      <c r="G207">
        <v>6500</v>
      </c>
      <c r="H207" s="116"/>
      <c r="I207" s="116"/>
      <c r="L207" s="170">
        <v>45804</v>
      </c>
      <c r="M207" s="116">
        <v>138.9</v>
      </c>
      <c r="N207" s="116">
        <v>142.5</v>
      </c>
      <c r="O207" s="116">
        <v>128.53</v>
      </c>
      <c r="P207" s="116">
        <v>128.94999999999999</v>
      </c>
      <c r="Q207" s="116">
        <v>138.9</v>
      </c>
      <c r="R207">
        <v>11561589</v>
      </c>
    </row>
    <row r="208" spans="1:18" x14ac:dyDescent="0.25">
      <c r="A208" s="170">
        <v>42305</v>
      </c>
      <c r="B208" s="116">
        <v>1.5307697422956701</v>
      </c>
      <c r="C208" s="116">
        <v>1.45237025730484</v>
      </c>
      <c r="D208" s="116">
        <v>1.4468268593761999</v>
      </c>
      <c r="E208" s="116">
        <v>1.5307697422956701</v>
      </c>
      <c r="F208" s="116">
        <v>91.7</v>
      </c>
      <c r="G208">
        <v>748</v>
      </c>
      <c r="H208" s="116"/>
      <c r="I208" s="116"/>
      <c r="L208" s="170">
        <v>45805</v>
      </c>
      <c r="M208" s="116">
        <v>146.78</v>
      </c>
      <c r="N208" s="116">
        <v>149.25</v>
      </c>
      <c r="O208" s="116">
        <v>140.01</v>
      </c>
      <c r="P208" s="116">
        <v>140.01</v>
      </c>
      <c r="Q208" s="116">
        <v>146.78</v>
      </c>
      <c r="R208">
        <v>6334734</v>
      </c>
    </row>
    <row r="209" spans="1:18" x14ac:dyDescent="0.25">
      <c r="A209" s="170">
        <v>42306</v>
      </c>
      <c r="B209" s="116">
        <v>1.4729600210398099</v>
      </c>
      <c r="C209" s="116">
        <v>1.4729600210398099</v>
      </c>
      <c r="D209" s="116">
        <v>1.4571217412436801</v>
      </c>
      <c r="E209" s="116">
        <v>1.4571217412436801</v>
      </c>
      <c r="F209" s="116">
        <v>93</v>
      </c>
      <c r="G209">
        <v>108</v>
      </c>
      <c r="H209" s="116"/>
      <c r="I209" s="116"/>
      <c r="L209" s="170">
        <v>45806</v>
      </c>
      <c r="M209" s="116">
        <v>146.97</v>
      </c>
      <c r="N209" s="116">
        <v>152.69999999999999</v>
      </c>
      <c r="O209" s="116">
        <v>145.21</v>
      </c>
      <c r="P209" s="116">
        <v>149</v>
      </c>
      <c r="Q209" s="116">
        <v>146.97</v>
      </c>
      <c r="R209">
        <v>4609104</v>
      </c>
    </row>
    <row r="210" spans="1:18" x14ac:dyDescent="0.25">
      <c r="A210" s="170">
        <v>42307</v>
      </c>
      <c r="B210" s="116">
        <v>1.5204748604281899</v>
      </c>
      <c r="C210" s="116">
        <v>1.4729600210398099</v>
      </c>
      <c r="D210" s="116">
        <v>1.4729600210398099</v>
      </c>
      <c r="E210" s="116">
        <v>1.50305275265245</v>
      </c>
      <c r="F210" s="116">
        <v>93</v>
      </c>
      <c r="G210">
        <v>332</v>
      </c>
      <c r="H210" s="116"/>
      <c r="I210" s="116"/>
      <c r="L210" s="170">
        <v>45807</v>
      </c>
      <c r="M210" s="116">
        <v>140.58000000000001</v>
      </c>
      <c r="N210" s="116">
        <v>148</v>
      </c>
      <c r="O210" s="116">
        <v>139.25</v>
      </c>
      <c r="P210" s="116">
        <v>148</v>
      </c>
      <c r="Q210" s="116">
        <v>140.58000000000001</v>
      </c>
      <c r="R210">
        <v>2355316</v>
      </c>
    </row>
    <row r="211" spans="1:18" x14ac:dyDescent="0.25">
      <c r="A211" s="170">
        <v>42310</v>
      </c>
      <c r="B211" s="116">
        <v>1.5830360656228899</v>
      </c>
      <c r="C211" s="116">
        <v>1.55215142002044</v>
      </c>
      <c r="D211" s="116">
        <v>1.48879830083593</v>
      </c>
      <c r="E211" s="116">
        <v>1.48879830083593</v>
      </c>
      <c r="F211" s="116">
        <v>98</v>
      </c>
      <c r="G211">
        <v>667</v>
      </c>
      <c r="H211" s="116"/>
      <c r="I211" s="116"/>
      <c r="L211" s="170">
        <v>45810</v>
      </c>
      <c r="M211" s="116">
        <v>151.43</v>
      </c>
      <c r="N211" s="116">
        <v>154</v>
      </c>
      <c r="O211" s="116">
        <v>139.75</v>
      </c>
      <c r="P211" s="116">
        <v>140.58000000000001</v>
      </c>
      <c r="Q211" s="116">
        <v>151.43</v>
      </c>
      <c r="R211">
        <v>4994570</v>
      </c>
    </row>
    <row r="212" spans="1:18" x14ac:dyDescent="0.25">
      <c r="A212" s="170">
        <v>42311</v>
      </c>
      <c r="B212" s="116">
        <v>1.70736656202248</v>
      </c>
      <c r="C212" s="116">
        <v>1.6455972708175901</v>
      </c>
      <c r="D212" s="116">
        <v>1.5679896998165701</v>
      </c>
      <c r="E212" s="116">
        <v>1.6155045392049501</v>
      </c>
      <c r="F212" s="116">
        <v>103.9</v>
      </c>
      <c r="G212">
        <v>10069</v>
      </c>
      <c r="H212" s="116"/>
      <c r="I212" s="116"/>
      <c r="L212" s="170">
        <v>45811</v>
      </c>
      <c r="M212" s="116">
        <v>156.94</v>
      </c>
      <c r="N212" s="116">
        <v>159</v>
      </c>
      <c r="O212" s="116">
        <v>151.16</v>
      </c>
      <c r="P212" s="116">
        <v>153.99</v>
      </c>
      <c r="Q212" s="116">
        <v>156.94</v>
      </c>
      <c r="R212">
        <v>6222476</v>
      </c>
    </row>
    <row r="213" spans="1:18" x14ac:dyDescent="0.25">
      <c r="A213" s="170">
        <v>42312</v>
      </c>
      <c r="B213" s="116">
        <v>1.75804905737009</v>
      </c>
      <c r="C213" s="116">
        <v>1.7271644117676399</v>
      </c>
      <c r="D213" s="116">
        <v>1.66301937859333</v>
      </c>
      <c r="E213" s="116">
        <v>1.70261507808365</v>
      </c>
      <c r="F213" s="116">
        <v>109.05</v>
      </c>
      <c r="G213">
        <v>45273</v>
      </c>
      <c r="H213" s="116"/>
      <c r="I213" s="116"/>
      <c r="L213" s="170">
        <v>45812</v>
      </c>
      <c r="M213" s="116">
        <v>160.43</v>
      </c>
      <c r="N213" s="116">
        <v>162.4</v>
      </c>
      <c r="O213" s="116">
        <v>155.30000000000001</v>
      </c>
      <c r="P213" s="116">
        <v>157.69999999999999</v>
      </c>
      <c r="Q213" s="116">
        <v>160.43</v>
      </c>
      <c r="R213">
        <v>5496639</v>
      </c>
    </row>
    <row r="214" spans="1:18" x14ac:dyDescent="0.25">
      <c r="A214" s="170">
        <v>42313</v>
      </c>
      <c r="B214" s="116">
        <v>1.93227013512749</v>
      </c>
      <c r="C214" s="116">
        <v>1.87287658589201</v>
      </c>
      <c r="D214" s="116">
        <v>1.7263724977778401</v>
      </c>
      <c r="E214" s="116">
        <v>1.75804905737009</v>
      </c>
      <c r="F214" s="116">
        <v>118.25</v>
      </c>
      <c r="G214">
        <v>28055</v>
      </c>
      <c r="H214" s="116"/>
      <c r="I214" s="116"/>
      <c r="L214" s="170">
        <v>45813</v>
      </c>
      <c r="M214" s="116">
        <v>181.43</v>
      </c>
      <c r="N214" s="116">
        <v>184.61</v>
      </c>
      <c r="O214" s="116">
        <v>164</v>
      </c>
      <c r="P214" s="116">
        <v>165</v>
      </c>
      <c r="Q214" s="116">
        <v>181.43</v>
      </c>
      <c r="R214">
        <v>22852041</v>
      </c>
    </row>
    <row r="215" spans="1:18" x14ac:dyDescent="0.25">
      <c r="A215" s="170">
        <v>42314</v>
      </c>
      <c r="B215" s="116">
        <v>2.0431380937003798</v>
      </c>
      <c r="C215" s="116">
        <v>1.9964151683018001</v>
      </c>
      <c r="D215" s="116">
        <v>1.93227013512749</v>
      </c>
      <c r="E215" s="116">
        <v>1.93227013512749</v>
      </c>
      <c r="F215" s="116">
        <v>126.05</v>
      </c>
      <c r="G215">
        <v>61187</v>
      </c>
      <c r="H215" s="116"/>
      <c r="I215" s="116"/>
      <c r="L215" s="170">
        <v>45814</v>
      </c>
      <c r="M215" s="116">
        <v>171.37</v>
      </c>
      <c r="N215" s="116">
        <v>189.45</v>
      </c>
      <c r="O215" s="116">
        <v>170</v>
      </c>
      <c r="P215" s="116">
        <v>185.5</v>
      </c>
      <c r="Q215" s="116">
        <v>171.37</v>
      </c>
      <c r="R215">
        <v>10194456</v>
      </c>
    </row>
    <row r="216" spans="1:18" x14ac:dyDescent="0.25">
      <c r="A216" s="170">
        <v>42317</v>
      </c>
      <c r="B216" s="116">
        <v>2.10965886884411</v>
      </c>
      <c r="C216" s="116">
        <v>2.0645197714251502</v>
      </c>
      <c r="D216" s="116">
        <v>1.90217740351485</v>
      </c>
      <c r="E216" s="116">
        <v>1.90217740351485</v>
      </c>
      <c r="F216" s="116">
        <v>130.35</v>
      </c>
      <c r="G216">
        <v>34497</v>
      </c>
      <c r="H216" s="116"/>
      <c r="I216" s="116"/>
      <c r="L216" s="170">
        <v>45817</v>
      </c>
      <c r="M216" s="116">
        <v>160.74</v>
      </c>
      <c r="N216" s="116">
        <v>174.14</v>
      </c>
      <c r="O216" s="116">
        <v>158.37</v>
      </c>
      <c r="P216" s="116">
        <v>172.8</v>
      </c>
      <c r="Q216" s="116">
        <v>160.74</v>
      </c>
      <c r="R216">
        <v>8437478</v>
      </c>
    </row>
    <row r="217" spans="1:18" x14ac:dyDescent="0.25">
      <c r="A217" s="170">
        <v>42318</v>
      </c>
      <c r="B217" s="116">
        <v>2.1452949983853999</v>
      </c>
      <c r="C217" s="116">
        <v>2.0993639869766301</v>
      </c>
      <c r="D217" s="116">
        <v>1.9639466947197399</v>
      </c>
      <c r="E217" s="116">
        <v>2.1215375786911999</v>
      </c>
      <c r="F217" s="116">
        <v>132.55000000000001</v>
      </c>
      <c r="G217">
        <v>15167</v>
      </c>
      <c r="H217" s="116"/>
      <c r="I217" s="116"/>
      <c r="L217" s="170">
        <v>45818</v>
      </c>
      <c r="M217" s="116">
        <v>163.91</v>
      </c>
      <c r="N217" s="116">
        <v>165.99</v>
      </c>
      <c r="O217" s="116">
        <v>156.33000000000001</v>
      </c>
      <c r="P217" s="116">
        <v>161</v>
      </c>
      <c r="Q217" s="116">
        <v>163.91</v>
      </c>
      <c r="R217">
        <v>5775636</v>
      </c>
    </row>
    <row r="218" spans="1:18" x14ac:dyDescent="0.25">
      <c r="A218" s="170">
        <v>42319</v>
      </c>
      <c r="B218" s="116">
        <v>2.1381677724771402</v>
      </c>
      <c r="C218" s="116">
        <v>2.08748527712953</v>
      </c>
      <c r="D218" s="116">
        <v>2.0589763734964999</v>
      </c>
      <c r="E218" s="116">
        <v>2.1223294926810099</v>
      </c>
      <c r="F218" s="116">
        <v>131.80000000000001</v>
      </c>
      <c r="G218">
        <v>6672</v>
      </c>
      <c r="H218" s="116"/>
      <c r="I218" s="116"/>
      <c r="L218" s="170">
        <v>45819</v>
      </c>
      <c r="M218" s="116">
        <v>165.72</v>
      </c>
      <c r="N218" s="116">
        <v>168.69</v>
      </c>
      <c r="O218" s="116">
        <v>162.01</v>
      </c>
      <c r="P218" s="116">
        <v>165.6</v>
      </c>
      <c r="Q218" s="116">
        <v>165.72</v>
      </c>
      <c r="R218">
        <v>3148007</v>
      </c>
    </row>
    <row r="219" spans="1:18" x14ac:dyDescent="0.25">
      <c r="A219" s="170">
        <v>42321</v>
      </c>
      <c r="B219" s="116">
        <v>2.0700631693537899</v>
      </c>
      <c r="C219" s="116">
        <v>1.7889337029725401</v>
      </c>
      <c r="D219" s="116">
        <v>1.7422107775739599</v>
      </c>
      <c r="E219" s="116">
        <v>2.0431380937003798</v>
      </c>
      <c r="F219" s="116">
        <v>112.95</v>
      </c>
      <c r="G219">
        <v>33275</v>
      </c>
      <c r="H219" s="116"/>
      <c r="I219" s="116"/>
      <c r="L219" s="170">
        <v>45820</v>
      </c>
      <c r="M219" s="116">
        <v>161.22</v>
      </c>
      <c r="N219" s="116">
        <v>166.18</v>
      </c>
      <c r="O219" s="116">
        <v>160.02000000000001</v>
      </c>
      <c r="P219" s="116">
        <v>166.18</v>
      </c>
      <c r="Q219" s="116">
        <v>161.22</v>
      </c>
      <c r="R219">
        <v>1528798</v>
      </c>
    </row>
    <row r="220" spans="1:18" x14ac:dyDescent="0.25">
      <c r="A220" s="170">
        <v>42324</v>
      </c>
      <c r="B220" s="116">
        <v>1.8681251019531699</v>
      </c>
      <c r="C220" s="116">
        <v>1.83961619832015</v>
      </c>
      <c r="D220" s="116">
        <v>1.6392619588991399</v>
      </c>
      <c r="E220" s="116">
        <v>1.77388733716622</v>
      </c>
      <c r="F220" s="116">
        <v>116.15</v>
      </c>
      <c r="G220">
        <v>20985</v>
      </c>
      <c r="H220" s="116"/>
      <c r="I220" s="116"/>
      <c r="L220" s="170">
        <v>45821</v>
      </c>
      <c r="M220" s="116">
        <v>159.1</v>
      </c>
      <c r="N220" s="116">
        <v>163.30000000000001</v>
      </c>
      <c r="O220" s="116">
        <v>154.36000000000001</v>
      </c>
      <c r="P220" s="116">
        <v>154.36000000000001</v>
      </c>
      <c r="Q220" s="116">
        <v>159.1</v>
      </c>
      <c r="R220">
        <v>2953990</v>
      </c>
    </row>
    <row r="221" spans="1:18" x14ac:dyDescent="0.25">
      <c r="A221" s="170">
        <v>42325</v>
      </c>
      <c r="B221" s="116">
        <v>1.97661731855664</v>
      </c>
      <c r="C221" s="116">
        <v>1.8887148656881401</v>
      </c>
      <c r="D221" s="116">
        <v>1.8404081123099501</v>
      </c>
      <c r="E221" s="116">
        <v>1.8404081123099501</v>
      </c>
      <c r="F221" s="116">
        <v>119.25</v>
      </c>
      <c r="G221">
        <v>25833</v>
      </c>
      <c r="H221" s="116"/>
      <c r="I221" s="116"/>
      <c r="L221" s="170">
        <v>45824</v>
      </c>
      <c r="M221" s="116">
        <v>156.54</v>
      </c>
      <c r="N221" s="116">
        <v>161.19</v>
      </c>
      <c r="O221" s="116">
        <v>150.4</v>
      </c>
      <c r="P221" s="116">
        <v>159.5</v>
      </c>
      <c r="Q221" s="116">
        <v>156.54</v>
      </c>
      <c r="R221">
        <v>2439257</v>
      </c>
    </row>
    <row r="222" spans="1:18" x14ac:dyDescent="0.25">
      <c r="A222" s="170">
        <v>42326</v>
      </c>
      <c r="B222" s="116">
        <v>2.0668955133945701</v>
      </c>
      <c r="C222" s="116">
        <v>1.9924555983527701</v>
      </c>
      <c r="D222" s="116">
        <v>1.9219752532600101</v>
      </c>
      <c r="E222" s="116">
        <v>1.9481084149236101</v>
      </c>
      <c r="F222" s="116">
        <v>125.8</v>
      </c>
      <c r="G222">
        <v>28832</v>
      </c>
      <c r="H222" s="116"/>
      <c r="I222" s="116"/>
      <c r="L222" s="170">
        <v>45825</v>
      </c>
      <c r="M222" s="116">
        <v>153.32</v>
      </c>
      <c r="N222" s="116">
        <v>160.28</v>
      </c>
      <c r="O222" s="116">
        <v>153</v>
      </c>
      <c r="P222" s="116">
        <v>157</v>
      </c>
      <c r="Q222" s="116">
        <v>153.32</v>
      </c>
      <c r="R222">
        <v>1729964</v>
      </c>
    </row>
    <row r="223" spans="1:18" x14ac:dyDescent="0.25">
      <c r="A223" s="170">
        <v>42327</v>
      </c>
      <c r="B223" s="116">
        <v>2.0589763734964999</v>
      </c>
      <c r="C223" s="116">
        <v>2.0320512978430898</v>
      </c>
      <c r="D223" s="116">
        <v>1.995623254312</v>
      </c>
      <c r="E223" s="116">
        <v>1.9972070822916099</v>
      </c>
      <c r="F223" s="116">
        <v>128.30000000000001</v>
      </c>
      <c r="G223">
        <v>12245</v>
      </c>
      <c r="H223" s="116"/>
      <c r="I223" s="116"/>
      <c r="L223" s="170">
        <v>45826</v>
      </c>
      <c r="M223" s="116">
        <v>153.06</v>
      </c>
      <c r="N223" s="116">
        <v>155.44999999999999</v>
      </c>
      <c r="O223" s="116">
        <v>151.26</v>
      </c>
      <c r="P223" s="116">
        <v>153.27000000000001</v>
      </c>
      <c r="Q223" s="116">
        <v>153.06</v>
      </c>
      <c r="R223">
        <v>1051560</v>
      </c>
    </row>
    <row r="224" spans="1:18" x14ac:dyDescent="0.25">
      <c r="A224" s="170">
        <v>42328</v>
      </c>
      <c r="B224" s="116">
        <v>2.07164699733341</v>
      </c>
      <c r="C224" s="116">
        <v>1.98295263047509</v>
      </c>
      <c r="D224" s="116">
        <v>1.9481084149236101</v>
      </c>
      <c r="E224" s="116">
        <v>2.07164699733341</v>
      </c>
      <c r="F224" s="116">
        <v>125.2</v>
      </c>
      <c r="G224">
        <v>6589</v>
      </c>
      <c r="H224" s="116"/>
      <c r="I224" s="116"/>
      <c r="L224" s="170">
        <v>45827</v>
      </c>
      <c r="M224" s="116">
        <v>153.94999999999999</v>
      </c>
      <c r="N224" s="116">
        <v>159.24</v>
      </c>
      <c r="O224" s="116">
        <v>151.41999999999999</v>
      </c>
      <c r="P224" s="116">
        <v>153</v>
      </c>
      <c r="Q224" s="116">
        <v>153.94999999999999</v>
      </c>
      <c r="R224">
        <v>2378559</v>
      </c>
    </row>
    <row r="225" spans="1:18" x14ac:dyDescent="0.25">
      <c r="A225" s="170">
        <v>42331</v>
      </c>
      <c r="B225" s="116">
        <v>2.27912846266267</v>
      </c>
      <c r="C225" s="116">
        <v>2.2482438170602199</v>
      </c>
      <c r="D225" s="116">
        <v>1.99879091027122</v>
      </c>
      <c r="E225" s="116">
        <v>2.0257159859246401</v>
      </c>
      <c r="F225" s="116">
        <v>141.94999999999999</v>
      </c>
      <c r="G225">
        <v>43172</v>
      </c>
      <c r="H225" s="116"/>
      <c r="I225" s="116"/>
      <c r="L225" s="170">
        <v>45828</v>
      </c>
      <c r="M225" s="116">
        <v>154.93</v>
      </c>
      <c r="N225" s="116">
        <v>156.75</v>
      </c>
      <c r="O225" s="116">
        <v>151.5</v>
      </c>
      <c r="P225" s="116">
        <v>153.79</v>
      </c>
      <c r="Q225" s="116">
        <v>154.93</v>
      </c>
      <c r="R225">
        <v>1296189</v>
      </c>
    </row>
    <row r="226" spans="1:18" x14ac:dyDescent="0.25">
      <c r="A226" s="170">
        <v>42332</v>
      </c>
      <c r="B226" s="116">
        <v>2.42325680880742</v>
      </c>
      <c r="C226" s="116">
        <v>2.3464411517962098</v>
      </c>
      <c r="D226" s="116">
        <v>2.28704760256073</v>
      </c>
      <c r="E226" s="116">
        <v>2.28704760256073</v>
      </c>
      <c r="F226" s="116">
        <v>148.15</v>
      </c>
      <c r="G226">
        <v>43380</v>
      </c>
      <c r="H226" s="116"/>
      <c r="I226" s="116"/>
      <c r="L226" s="170">
        <v>45831</v>
      </c>
      <c r="M226" s="116">
        <v>163.35</v>
      </c>
      <c r="N226" s="116">
        <v>168.89</v>
      </c>
      <c r="O226" s="116">
        <v>156.5</v>
      </c>
      <c r="P226" s="116">
        <v>156.59</v>
      </c>
      <c r="Q226" s="116">
        <v>163.35</v>
      </c>
      <c r="R226">
        <v>6279778</v>
      </c>
    </row>
    <row r="227" spans="1:18" x14ac:dyDescent="0.25">
      <c r="A227" s="170">
        <v>42334</v>
      </c>
      <c r="B227" s="116">
        <v>2.5658013269725699</v>
      </c>
      <c r="C227" s="116">
        <v>2.5174945735943801</v>
      </c>
      <c r="D227" s="116">
        <v>2.3448573238165902</v>
      </c>
      <c r="E227" s="116">
        <v>2.3448573238165902</v>
      </c>
      <c r="F227" s="116">
        <v>158.94999999999999</v>
      </c>
      <c r="G227">
        <v>37182</v>
      </c>
      <c r="H227" s="116"/>
      <c r="I227" s="116"/>
      <c r="L227" s="170">
        <v>45832</v>
      </c>
      <c r="M227" s="116">
        <v>161.4</v>
      </c>
      <c r="N227" s="116">
        <v>166.7</v>
      </c>
      <c r="O227" s="116">
        <v>159.51</v>
      </c>
      <c r="P227" s="116">
        <v>165</v>
      </c>
      <c r="Q227" s="116">
        <v>161.4</v>
      </c>
      <c r="R227">
        <v>2658488</v>
      </c>
    </row>
    <row r="228" spans="1:18" x14ac:dyDescent="0.25">
      <c r="A228" s="170">
        <v>42335</v>
      </c>
      <c r="B228" s="116">
        <v>2.6766692855454499</v>
      </c>
      <c r="C228" s="116">
        <v>2.5737204668706299</v>
      </c>
      <c r="D228" s="116">
        <v>2.5499630471764401</v>
      </c>
      <c r="E228" s="116">
        <v>2.5974778865648198</v>
      </c>
      <c r="F228" s="116">
        <v>162.5</v>
      </c>
      <c r="G228">
        <v>33249</v>
      </c>
      <c r="H228" s="116"/>
      <c r="I228" s="116"/>
      <c r="L228" s="170">
        <v>45833</v>
      </c>
      <c r="M228" s="116">
        <v>158.49</v>
      </c>
      <c r="N228" s="116">
        <v>162.44999999999999</v>
      </c>
      <c r="O228" s="116">
        <v>158</v>
      </c>
      <c r="P228" s="116">
        <v>161.81</v>
      </c>
      <c r="Q228" s="116">
        <v>158.49</v>
      </c>
      <c r="R228">
        <v>1415048</v>
      </c>
    </row>
    <row r="229" spans="1:18" x14ac:dyDescent="0.25">
      <c r="A229" s="170">
        <v>42338</v>
      </c>
      <c r="B229" s="116">
        <v>2.6766692855454499</v>
      </c>
      <c r="C229" s="116">
        <v>2.3804934533578801</v>
      </c>
      <c r="D229" s="116">
        <v>2.25695487094809</v>
      </c>
      <c r="E229" s="116">
        <v>2.6766692855454499</v>
      </c>
      <c r="F229" s="116">
        <v>150.30000000000001</v>
      </c>
      <c r="G229">
        <v>31755</v>
      </c>
      <c r="H229" s="116"/>
      <c r="I229" s="116"/>
      <c r="L229" s="170">
        <v>45834</v>
      </c>
      <c r="M229" s="116">
        <v>157.52000000000001</v>
      </c>
      <c r="N229" s="116">
        <v>161.18</v>
      </c>
      <c r="O229" s="116">
        <v>156.26</v>
      </c>
      <c r="P229" s="116">
        <v>159.5</v>
      </c>
      <c r="Q229" s="116">
        <v>157.52000000000001</v>
      </c>
      <c r="R229">
        <v>1086026</v>
      </c>
    </row>
    <row r="230" spans="1:18" x14ac:dyDescent="0.25">
      <c r="A230" s="170">
        <v>42339</v>
      </c>
      <c r="B230" s="116">
        <v>2.4707716481958002</v>
      </c>
      <c r="C230" s="116">
        <v>2.3678228295209802</v>
      </c>
      <c r="D230" s="116">
        <v>2.2807122906422799</v>
      </c>
      <c r="E230" s="116">
        <v>2.2807122906422799</v>
      </c>
      <c r="F230" s="116">
        <v>149.5</v>
      </c>
      <c r="G230">
        <v>9038</v>
      </c>
      <c r="H230" s="116"/>
      <c r="I230" s="116"/>
      <c r="L230" s="170">
        <v>45835</v>
      </c>
      <c r="M230" s="116">
        <v>156.44999999999999</v>
      </c>
      <c r="N230" s="116">
        <v>159.85</v>
      </c>
      <c r="O230" s="116">
        <v>156</v>
      </c>
      <c r="P230" s="116">
        <v>157.99</v>
      </c>
      <c r="Q230" s="116">
        <v>156.44999999999999</v>
      </c>
      <c r="R230">
        <v>729044</v>
      </c>
    </row>
    <row r="231" spans="1:18" x14ac:dyDescent="0.25">
      <c r="A231" s="170">
        <v>42340</v>
      </c>
      <c r="B231" s="116">
        <v>2.43751126062394</v>
      </c>
      <c r="C231" s="116">
        <v>2.29021525851996</v>
      </c>
      <c r="D231" s="116">
        <v>2.2807122906422799</v>
      </c>
      <c r="E231" s="116">
        <v>2.3060535383160801</v>
      </c>
      <c r="F231" s="116">
        <v>144.6</v>
      </c>
      <c r="G231">
        <v>6591</v>
      </c>
      <c r="H231" s="116"/>
      <c r="I231" s="116"/>
      <c r="L231" s="170">
        <v>45838</v>
      </c>
      <c r="M231" s="116">
        <v>158.36000000000001</v>
      </c>
      <c r="N231" s="116">
        <v>161.12</v>
      </c>
      <c r="O231" s="116">
        <v>156.5</v>
      </c>
      <c r="P231" s="116">
        <v>157</v>
      </c>
      <c r="Q231" s="116">
        <v>158.36000000000001</v>
      </c>
      <c r="R231">
        <v>1178683</v>
      </c>
    </row>
    <row r="232" spans="1:18" x14ac:dyDescent="0.25">
      <c r="A232" s="170">
        <v>42341</v>
      </c>
      <c r="B232" s="116">
        <v>2.5341247673803098</v>
      </c>
      <c r="C232" s="116">
        <v>2.5071996917269002</v>
      </c>
      <c r="D232" s="116">
        <v>2.3155565061937602</v>
      </c>
      <c r="E232" s="116">
        <v>2.3725743134598201</v>
      </c>
      <c r="F232" s="116">
        <v>158.30000000000001</v>
      </c>
      <c r="G232">
        <v>46101</v>
      </c>
      <c r="H232" s="116"/>
      <c r="I232" s="116"/>
      <c r="L232" s="170">
        <v>45839</v>
      </c>
      <c r="M232" s="116">
        <v>163.87</v>
      </c>
      <c r="N232" s="116">
        <v>165.7</v>
      </c>
      <c r="O232" s="116">
        <v>158.80000000000001</v>
      </c>
      <c r="P232" s="116">
        <v>159.79</v>
      </c>
      <c r="Q232" s="116">
        <v>163.87</v>
      </c>
      <c r="R232">
        <v>3410735</v>
      </c>
    </row>
    <row r="233" spans="1:18" x14ac:dyDescent="0.25">
      <c r="A233" s="170">
        <v>42342</v>
      </c>
      <c r="B233" s="116">
        <v>2.60381319848327</v>
      </c>
      <c r="C233" s="116">
        <v>2.4200891528481998</v>
      </c>
      <c r="D233" s="116">
        <v>2.3852449372967199</v>
      </c>
      <c r="E233" s="116">
        <v>2.5642174989929498</v>
      </c>
      <c r="F233" s="116">
        <v>152.80000000000001</v>
      </c>
      <c r="G233">
        <v>26774</v>
      </c>
      <c r="H233" s="116"/>
      <c r="I233" s="116"/>
      <c r="L233" s="170">
        <v>45840</v>
      </c>
      <c r="M233" s="116">
        <v>160.38999999999999</v>
      </c>
      <c r="N233" s="116">
        <v>166.14</v>
      </c>
      <c r="O233" s="116">
        <v>159.36000000000001</v>
      </c>
      <c r="P233" s="116">
        <v>165.1</v>
      </c>
      <c r="Q233" s="116">
        <v>160.38999999999999</v>
      </c>
      <c r="R233">
        <v>1685444</v>
      </c>
    </row>
    <row r="234" spans="1:18" x14ac:dyDescent="0.25">
      <c r="A234" s="170">
        <v>42345</v>
      </c>
      <c r="B234" s="116">
        <v>2.5262056274822502</v>
      </c>
      <c r="C234" s="116">
        <v>2.4470142285016099</v>
      </c>
      <c r="D234" s="116">
        <v>2.42325680880742</v>
      </c>
      <c r="E234" s="116">
        <v>2.5262056274822502</v>
      </c>
      <c r="F234" s="116">
        <v>154.5</v>
      </c>
      <c r="G234">
        <v>8414</v>
      </c>
      <c r="H234" s="116"/>
      <c r="I234" s="116"/>
      <c r="L234" s="170">
        <v>45841</v>
      </c>
      <c r="M234" s="116">
        <v>157.38</v>
      </c>
      <c r="N234" s="116">
        <v>160.97999999999999</v>
      </c>
      <c r="O234" s="116">
        <v>156.81</v>
      </c>
      <c r="P234" s="116">
        <v>160.38999999999999</v>
      </c>
      <c r="Q234" s="116">
        <v>157.38</v>
      </c>
      <c r="R234">
        <v>1280222</v>
      </c>
    </row>
    <row r="235" spans="1:18" x14ac:dyDescent="0.25">
      <c r="A235" s="170">
        <v>42346</v>
      </c>
      <c r="B235" s="116">
        <v>2.4945290678899901</v>
      </c>
      <c r="C235" s="116">
        <v>2.3599036896229202</v>
      </c>
      <c r="D235" s="116">
        <v>2.3440654098267899</v>
      </c>
      <c r="E235" s="116">
        <v>2.4945290678899901</v>
      </c>
      <c r="F235" s="116">
        <v>149</v>
      </c>
      <c r="G235">
        <v>5933</v>
      </c>
      <c r="H235" s="116"/>
      <c r="I235" s="116"/>
      <c r="L235" s="170">
        <v>45842</v>
      </c>
      <c r="M235" s="116">
        <v>159.44</v>
      </c>
      <c r="N235" s="116">
        <v>160.65</v>
      </c>
      <c r="O235" s="116">
        <v>157.5</v>
      </c>
      <c r="P235" s="116">
        <v>158.25</v>
      </c>
      <c r="Q235" s="116">
        <v>159.44</v>
      </c>
      <c r="R235">
        <v>951461</v>
      </c>
    </row>
    <row r="236" spans="1:18" x14ac:dyDescent="0.25">
      <c r="A236" s="170">
        <v>42347</v>
      </c>
      <c r="B236" s="116">
        <v>2.4074185290112999</v>
      </c>
      <c r="C236" s="116">
        <v>2.2363651072131199</v>
      </c>
      <c r="D236" s="116">
        <v>2.2173591714577698</v>
      </c>
      <c r="E236" s="116">
        <v>2.3361462699287299</v>
      </c>
      <c r="F236" s="116">
        <v>141.19999999999999</v>
      </c>
      <c r="G236">
        <v>15918</v>
      </c>
      <c r="H236" s="116"/>
      <c r="I236" s="116"/>
      <c r="L236" s="170">
        <v>45845</v>
      </c>
      <c r="M236" s="116">
        <v>160.61000000000001</v>
      </c>
      <c r="N236" s="116">
        <v>163.34</v>
      </c>
      <c r="O236" s="116">
        <v>156.80000000000001</v>
      </c>
      <c r="P236" s="116">
        <v>159.4</v>
      </c>
      <c r="Q236" s="116">
        <v>160.61000000000001</v>
      </c>
      <c r="R236">
        <v>1201952</v>
      </c>
    </row>
    <row r="237" spans="1:18" x14ac:dyDescent="0.25">
      <c r="A237" s="170">
        <v>42348</v>
      </c>
      <c r="B237" s="116">
        <v>2.3915802492151701</v>
      </c>
      <c r="C237" s="116">
        <v>2.3519845497248499</v>
      </c>
      <c r="D237" s="116">
        <v>2.2522033870092502</v>
      </c>
      <c r="E237" s="116">
        <v>2.3915802492151701</v>
      </c>
      <c r="F237" s="116">
        <v>148.5</v>
      </c>
      <c r="G237">
        <v>10580</v>
      </c>
      <c r="H237" s="116"/>
      <c r="I237" s="116"/>
      <c r="L237" s="170">
        <v>45846</v>
      </c>
      <c r="M237" s="116">
        <v>158.77000000000001</v>
      </c>
      <c r="N237" s="116">
        <v>160.84</v>
      </c>
      <c r="O237" s="116">
        <v>157.1</v>
      </c>
      <c r="P237" s="116">
        <v>160.84</v>
      </c>
      <c r="Q237" s="116">
        <v>158.77000000000001</v>
      </c>
      <c r="R237">
        <v>842415</v>
      </c>
    </row>
    <row r="238" spans="1:18" x14ac:dyDescent="0.25">
      <c r="A238" s="170">
        <v>42349</v>
      </c>
      <c r="B238" s="116">
        <v>2.47869078809387</v>
      </c>
      <c r="C238" s="116">
        <v>2.33139478598989</v>
      </c>
      <c r="D238" s="116">
        <v>2.23478127923351</v>
      </c>
      <c r="E238" s="116">
        <v>2.47869078809387</v>
      </c>
      <c r="F238" s="116">
        <v>147.19999999999999</v>
      </c>
      <c r="G238">
        <v>6468</v>
      </c>
      <c r="H238" s="116"/>
      <c r="I238" s="116"/>
      <c r="L238" s="170">
        <v>45847</v>
      </c>
      <c r="M238" s="116">
        <v>162.19999999999999</v>
      </c>
      <c r="N238" s="116">
        <v>164.8</v>
      </c>
      <c r="O238" s="116">
        <v>158.01</v>
      </c>
      <c r="P238" s="116">
        <v>158.61000000000001</v>
      </c>
      <c r="Q238" s="116">
        <v>162.19999999999999</v>
      </c>
      <c r="R238">
        <v>2529229</v>
      </c>
    </row>
    <row r="239" spans="1:18" x14ac:dyDescent="0.25">
      <c r="A239" s="170">
        <v>42352</v>
      </c>
      <c r="B239" s="116">
        <v>2.3915802492151701</v>
      </c>
      <c r="C239" s="116">
        <v>2.3519845497248499</v>
      </c>
      <c r="D239" s="116">
        <v>2.2807122906422799</v>
      </c>
      <c r="E239" s="116">
        <v>2.3662390015413699</v>
      </c>
      <c r="F239" s="116">
        <v>148.5</v>
      </c>
      <c r="G239">
        <v>4008</v>
      </c>
      <c r="H239" s="116"/>
      <c r="I239" s="116"/>
      <c r="L239" s="170">
        <v>45848</v>
      </c>
      <c r="M239" s="116">
        <v>156.05000000000001</v>
      </c>
      <c r="N239" s="116">
        <v>162.9</v>
      </c>
      <c r="O239" s="116">
        <v>153.5</v>
      </c>
      <c r="P239" s="116">
        <v>162.4</v>
      </c>
      <c r="Q239" s="116">
        <v>156.05000000000001</v>
      </c>
      <c r="R239">
        <v>2202486</v>
      </c>
    </row>
    <row r="240" spans="1:18" x14ac:dyDescent="0.25">
      <c r="A240" s="170">
        <v>42353</v>
      </c>
      <c r="B240" s="116">
        <v>2.3440654098267899</v>
      </c>
      <c r="C240" s="116">
        <v>2.3044697103364702</v>
      </c>
      <c r="D240" s="116">
        <v>2.27596080670344</v>
      </c>
      <c r="E240" s="116">
        <v>2.3361462699287299</v>
      </c>
      <c r="F240" s="116">
        <v>145.5</v>
      </c>
      <c r="G240">
        <v>8257</v>
      </c>
      <c r="H240" s="116"/>
      <c r="I240" s="116"/>
      <c r="L240" s="170">
        <v>45849</v>
      </c>
      <c r="M240" s="116">
        <v>154.87</v>
      </c>
      <c r="N240" s="116">
        <v>157.54</v>
      </c>
      <c r="O240" s="116">
        <v>154.1</v>
      </c>
      <c r="P240" s="116">
        <v>155</v>
      </c>
      <c r="Q240" s="116">
        <v>154.87</v>
      </c>
      <c r="R240">
        <v>900839</v>
      </c>
    </row>
    <row r="241" spans="1:18" x14ac:dyDescent="0.25">
      <c r="A241" s="170">
        <v>42354</v>
      </c>
      <c r="B241" s="116">
        <v>2.3282271300306601</v>
      </c>
      <c r="C241" s="116">
        <v>2.2854637745811202</v>
      </c>
      <c r="D241" s="116">
        <v>2.24903573105003</v>
      </c>
      <c r="E241" s="116">
        <v>2.2965505704384102</v>
      </c>
      <c r="F241" s="116">
        <v>144.30000000000001</v>
      </c>
      <c r="G241">
        <v>5648</v>
      </c>
      <c r="H241" s="116"/>
      <c r="I241" s="116"/>
      <c r="L241" s="170">
        <v>45852</v>
      </c>
      <c r="M241" s="116">
        <v>155.80000000000001</v>
      </c>
      <c r="N241" s="116">
        <v>156.80000000000001</v>
      </c>
      <c r="O241" s="116">
        <v>151.94999999999999</v>
      </c>
      <c r="P241" s="116">
        <v>155.08000000000001</v>
      </c>
      <c r="Q241" s="116">
        <v>155.80000000000001</v>
      </c>
      <c r="R241">
        <v>899356</v>
      </c>
    </row>
    <row r="242" spans="1:18" x14ac:dyDescent="0.25">
      <c r="A242" s="170">
        <v>42355</v>
      </c>
      <c r="B242" s="116">
        <v>2.3519845497248499</v>
      </c>
      <c r="C242" s="116">
        <v>2.29021525851996</v>
      </c>
      <c r="D242" s="116">
        <v>2.2585386989276999</v>
      </c>
      <c r="E242" s="116">
        <v>2.2965505704384102</v>
      </c>
      <c r="F242" s="116">
        <v>144.6</v>
      </c>
      <c r="G242">
        <v>7231</v>
      </c>
      <c r="H242" s="116"/>
      <c r="I242" s="116"/>
      <c r="L242" s="170">
        <v>45853</v>
      </c>
      <c r="M242" s="116">
        <v>155.51</v>
      </c>
      <c r="N242" s="116">
        <v>157.69</v>
      </c>
      <c r="O242" s="116">
        <v>154.96</v>
      </c>
      <c r="P242" s="116">
        <v>155.88</v>
      </c>
      <c r="Q242" s="116">
        <v>155.51</v>
      </c>
      <c r="R242">
        <v>726490</v>
      </c>
    </row>
    <row r="243" spans="1:18" x14ac:dyDescent="0.25">
      <c r="A243" s="170">
        <v>42356</v>
      </c>
      <c r="B243" s="116">
        <v>2.3440654098267899</v>
      </c>
      <c r="C243" s="116">
        <v>2.2284459673150598</v>
      </c>
      <c r="D243" s="116">
        <v>2.2173591714577698</v>
      </c>
      <c r="E243" s="116">
        <v>2.3345624419491098</v>
      </c>
      <c r="F243" s="116">
        <v>140.69999999999999</v>
      </c>
      <c r="G243">
        <v>10998</v>
      </c>
      <c r="H243" s="116"/>
      <c r="I243" s="116"/>
      <c r="L243" s="170">
        <v>45854</v>
      </c>
      <c r="M243" s="116">
        <v>153.84</v>
      </c>
      <c r="N243" s="116">
        <v>156.1</v>
      </c>
      <c r="O243" s="116">
        <v>153.31</v>
      </c>
      <c r="P243" s="116">
        <v>156.1</v>
      </c>
      <c r="Q243" s="116">
        <v>153.84</v>
      </c>
      <c r="R243">
        <v>621863</v>
      </c>
    </row>
    <row r="244" spans="1:18" x14ac:dyDescent="0.25">
      <c r="A244" s="170">
        <v>42359</v>
      </c>
      <c r="B244" s="116">
        <v>2.2807122906422799</v>
      </c>
      <c r="C244" s="116">
        <v>2.1856826118655199</v>
      </c>
      <c r="D244" s="116">
        <v>2.1745958160082299</v>
      </c>
      <c r="E244" s="116">
        <v>2.2189429994373899</v>
      </c>
      <c r="F244" s="116">
        <v>138</v>
      </c>
      <c r="G244">
        <v>14106</v>
      </c>
      <c r="H244" s="116"/>
      <c r="I244" s="116"/>
      <c r="L244" s="170">
        <v>45855</v>
      </c>
      <c r="M244" s="116">
        <v>153.22</v>
      </c>
      <c r="N244" s="116">
        <v>155.80000000000001</v>
      </c>
      <c r="O244" s="116">
        <v>152.75</v>
      </c>
      <c r="P244" s="116">
        <v>153.9</v>
      </c>
      <c r="Q244" s="116">
        <v>153.22</v>
      </c>
      <c r="R244">
        <v>646477</v>
      </c>
    </row>
    <row r="245" spans="1:18" x14ac:dyDescent="0.25">
      <c r="A245" s="170">
        <v>42360</v>
      </c>
      <c r="B245" s="116">
        <v>2.2632901828665402</v>
      </c>
      <c r="C245" s="116">
        <v>2.2110238595393201</v>
      </c>
      <c r="D245" s="116">
        <v>2.1381677724771402</v>
      </c>
      <c r="E245" s="116">
        <v>2.2632901828665402</v>
      </c>
      <c r="F245" s="116">
        <v>139.6</v>
      </c>
      <c r="G245">
        <v>7963</v>
      </c>
      <c r="H245" s="116"/>
      <c r="I245" s="116"/>
      <c r="L245" s="170">
        <v>45856</v>
      </c>
      <c r="M245" s="116">
        <v>151.12</v>
      </c>
      <c r="N245" s="116">
        <v>154.19999999999999</v>
      </c>
      <c r="O245" s="116">
        <v>150.22</v>
      </c>
      <c r="P245" s="116">
        <v>153.49</v>
      </c>
      <c r="Q245" s="116">
        <v>151.12</v>
      </c>
      <c r="R245">
        <v>731245</v>
      </c>
    </row>
    <row r="246" spans="1:18" x14ac:dyDescent="0.25">
      <c r="A246" s="170">
        <v>42361</v>
      </c>
      <c r="B246" s="116">
        <v>2.2807122906422799</v>
      </c>
      <c r="C246" s="116">
        <v>2.1967694077228099</v>
      </c>
      <c r="D246" s="116">
        <v>2.1730119880286201</v>
      </c>
      <c r="E246" s="116">
        <v>2.2775446346830601</v>
      </c>
      <c r="F246" s="116">
        <v>138.69999999999999</v>
      </c>
      <c r="G246">
        <v>8086</v>
      </c>
      <c r="H246" s="116"/>
      <c r="I246" s="116"/>
      <c r="L246" s="170">
        <v>45859</v>
      </c>
      <c r="M246" s="116">
        <v>144.83000000000001</v>
      </c>
      <c r="N246" s="116">
        <v>151.5</v>
      </c>
      <c r="O246" s="116">
        <v>143.12</v>
      </c>
      <c r="P246" s="116">
        <v>151.12</v>
      </c>
      <c r="Q246" s="116">
        <v>144.83000000000001</v>
      </c>
      <c r="R246">
        <v>1721743</v>
      </c>
    </row>
    <row r="247" spans="1:18" x14ac:dyDescent="0.25">
      <c r="A247" s="170">
        <v>42362</v>
      </c>
      <c r="B247" s="116">
        <v>2.6133161663609501</v>
      </c>
      <c r="C247" s="116">
        <v>2.5230379715230198</v>
      </c>
      <c r="D247" s="116">
        <v>2.1413354284363599</v>
      </c>
      <c r="E247" s="116">
        <v>2.2331974512539001</v>
      </c>
      <c r="F247" s="116">
        <v>159.30000000000001</v>
      </c>
      <c r="G247">
        <v>84910</v>
      </c>
      <c r="H247" s="116"/>
      <c r="I247" s="116"/>
      <c r="L247" s="170">
        <v>45860</v>
      </c>
      <c r="M247" s="116">
        <v>147.74</v>
      </c>
      <c r="N247" s="116">
        <v>150.18</v>
      </c>
      <c r="O247" s="116">
        <v>145.38999999999999</v>
      </c>
      <c r="P247" s="116">
        <v>145.38999999999999</v>
      </c>
      <c r="Q247" s="116">
        <v>147.74</v>
      </c>
      <c r="R247">
        <v>1026238</v>
      </c>
    </row>
    <row r="248" spans="1:18" x14ac:dyDescent="0.25">
      <c r="A248" s="170">
        <v>42366</v>
      </c>
      <c r="B248" s="116">
        <v>2.58163960676869</v>
      </c>
      <c r="C248" s="116">
        <v>2.5214541435434099</v>
      </c>
      <c r="D248" s="116">
        <v>2.4707716481958002</v>
      </c>
      <c r="E248" s="116">
        <v>2.5626336710133399</v>
      </c>
      <c r="F248" s="116">
        <v>159.19999999999999</v>
      </c>
      <c r="G248">
        <v>21897</v>
      </c>
      <c r="H248" s="116"/>
      <c r="I248" s="116"/>
      <c r="L248" s="170">
        <v>45861</v>
      </c>
      <c r="M248" s="116">
        <v>144.74</v>
      </c>
      <c r="N248" s="116">
        <v>149.1</v>
      </c>
      <c r="O248" s="116">
        <v>143.56</v>
      </c>
      <c r="P248" s="116">
        <v>149.1</v>
      </c>
      <c r="Q248" s="116">
        <v>144.74</v>
      </c>
      <c r="R248">
        <v>726607</v>
      </c>
    </row>
    <row r="249" spans="1:18" x14ac:dyDescent="0.25">
      <c r="A249" s="170">
        <v>42367</v>
      </c>
      <c r="B249" s="116">
        <v>2.5721366388910201</v>
      </c>
      <c r="C249" s="116">
        <v>2.4026670450724601</v>
      </c>
      <c r="D249" s="116">
        <v>2.3599036896229202</v>
      </c>
      <c r="E249" s="116">
        <v>2.5721366388910201</v>
      </c>
      <c r="F249" s="116">
        <v>151.69999999999999</v>
      </c>
      <c r="G249">
        <v>14865</v>
      </c>
      <c r="H249" s="116"/>
      <c r="I249" s="116"/>
      <c r="L249" s="170">
        <v>45862</v>
      </c>
      <c r="M249" s="116">
        <v>147.33000000000001</v>
      </c>
      <c r="N249" s="116">
        <v>148.30000000000001</v>
      </c>
      <c r="O249" s="116">
        <v>144.24</v>
      </c>
      <c r="P249" s="116">
        <v>145.24</v>
      </c>
      <c r="Q249" s="116">
        <v>147.33000000000001</v>
      </c>
      <c r="R249">
        <v>811461</v>
      </c>
    </row>
    <row r="250" spans="1:18" x14ac:dyDescent="0.25">
      <c r="A250" s="170">
        <v>42368</v>
      </c>
      <c r="B250" s="116">
        <v>2.4818584440530902</v>
      </c>
      <c r="C250" s="116">
        <v>2.4074185290112999</v>
      </c>
      <c r="D250" s="116">
        <v>2.3915802492151701</v>
      </c>
      <c r="E250" s="116">
        <v>2.4628525082977402</v>
      </c>
      <c r="F250" s="116">
        <v>152</v>
      </c>
      <c r="G250">
        <v>4862</v>
      </c>
      <c r="H250" s="116"/>
      <c r="I250" s="116"/>
      <c r="L250" s="170">
        <v>45863</v>
      </c>
      <c r="M250" s="116">
        <v>135.96</v>
      </c>
      <c r="N250" s="116">
        <v>148.05000000000001</v>
      </c>
      <c r="O250" s="116">
        <v>135.21</v>
      </c>
      <c r="P250" s="116">
        <v>147.75</v>
      </c>
      <c r="Q250" s="116">
        <v>135.96</v>
      </c>
      <c r="R250">
        <v>3295388</v>
      </c>
    </row>
    <row r="251" spans="1:18" x14ac:dyDescent="0.25">
      <c r="A251" s="170">
        <v>42369</v>
      </c>
      <c r="B251" s="116">
        <v>2.4549333683996801</v>
      </c>
      <c r="C251" s="116">
        <v>2.41533766890936</v>
      </c>
      <c r="D251" s="116">
        <v>2.4074185290112999</v>
      </c>
      <c r="E251" s="116">
        <v>2.4549333683996801</v>
      </c>
      <c r="F251" s="116">
        <v>152.5</v>
      </c>
      <c r="G251">
        <v>6305</v>
      </c>
      <c r="H251" s="116"/>
      <c r="I251" s="116"/>
      <c r="L251" s="170">
        <v>45866</v>
      </c>
      <c r="M251" s="116">
        <v>130.21</v>
      </c>
      <c r="N251" s="116">
        <v>133.97</v>
      </c>
      <c r="O251" s="116">
        <v>128.25</v>
      </c>
      <c r="P251" s="116">
        <v>133</v>
      </c>
      <c r="Q251" s="116">
        <v>130.21</v>
      </c>
      <c r="R251">
        <v>1689813</v>
      </c>
    </row>
    <row r="252" spans="1:18" x14ac:dyDescent="0.25">
      <c r="A252" s="170">
        <v>42370</v>
      </c>
      <c r="B252" s="116">
        <v>2.5325409394006999</v>
      </c>
      <c r="C252" s="116">
        <v>2.5246217995026399</v>
      </c>
      <c r="D252" s="116">
        <v>2.39316407719478</v>
      </c>
      <c r="E252" s="116">
        <v>2.4549333683996801</v>
      </c>
      <c r="F252" s="116">
        <v>159.4</v>
      </c>
      <c r="G252">
        <v>13528</v>
      </c>
      <c r="H252" s="116"/>
      <c r="I252" s="116"/>
      <c r="L252" s="170">
        <v>45867</v>
      </c>
      <c r="M252" s="116">
        <v>132.59</v>
      </c>
      <c r="N252" s="116">
        <v>134</v>
      </c>
      <c r="O252" s="116">
        <v>127.57</v>
      </c>
      <c r="P252" s="116">
        <v>128.06</v>
      </c>
      <c r="Q252" s="116">
        <v>132.59</v>
      </c>
      <c r="R252">
        <v>1120433</v>
      </c>
    </row>
    <row r="253" spans="1:18" x14ac:dyDescent="0.25">
      <c r="A253" s="170">
        <v>42373</v>
      </c>
      <c r="B253" s="116">
        <v>2.5958940585852099</v>
      </c>
      <c r="C253" s="116">
        <v>2.46760399223658</v>
      </c>
      <c r="D253" s="116">
        <v>2.4549333683996801</v>
      </c>
      <c r="E253" s="116">
        <v>2.5958940585852099</v>
      </c>
      <c r="F253" s="116">
        <v>155.80000000000001</v>
      </c>
      <c r="G253">
        <v>14164</v>
      </c>
      <c r="H253" s="116"/>
      <c r="I253" s="116"/>
      <c r="L253" s="170">
        <v>45868</v>
      </c>
      <c r="M253" s="116">
        <v>131.66</v>
      </c>
      <c r="N253" s="116">
        <v>134.84</v>
      </c>
      <c r="O253" s="116">
        <v>130.15</v>
      </c>
      <c r="P253" s="116">
        <v>133.4</v>
      </c>
      <c r="Q253" s="116">
        <v>131.66</v>
      </c>
      <c r="R253">
        <v>670086</v>
      </c>
    </row>
    <row r="254" spans="1:18" x14ac:dyDescent="0.25">
      <c r="A254" s="170">
        <v>42374</v>
      </c>
      <c r="B254" s="116">
        <v>2.5483792191968302</v>
      </c>
      <c r="C254" s="116">
        <v>2.5325409394006999</v>
      </c>
      <c r="D254" s="116">
        <v>2.4549333683996801</v>
      </c>
      <c r="E254" s="116">
        <v>2.4549333683996801</v>
      </c>
      <c r="F254" s="116">
        <v>159.9</v>
      </c>
      <c r="G254">
        <v>19827</v>
      </c>
      <c r="H254" s="116"/>
      <c r="I254" s="116"/>
      <c r="L254" s="170">
        <v>45869</v>
      </c>
      <c r="M254" s="116">
        <v>127.44</v>
      </c>
      <c r="N254" s="116">
        <v>130.74</v>
      </c>
      <c r="O254" s="116">
        <v>126.25</v>
      </c>
      <c r="P254" s="116">
        <v>129.5</v>
      </c>
      <c r="Q254" s="116">
        <v>127.44</v>
      </c>
      <c r="R254">
        <v>951811</v>
      </c>
    </row>
    <row r="255" spans="1:18" x14ac:dyDescent="0.25">
      <c r="A255" s="170">
        <v>42375</v>
      </c>
      <c r="B255" s="116">
        <v>2.5499630471764401</v>
      </c>
      <c r="C255" s="116">
        <v>2.45968485233852</v>
      </c>
      <c r="D255" s="116">
        <v>2.4295921207258702</v>
      </c>
      <c r="E255" s="116">
        <v>2.5499630471764401</v>
      </c>
      <c r="F255" s="116">
        <v>155.30000000000001</v>
      </c>
      <c r="G255">
        <v>13270</v>
      </c>
      <c r="H255" s="116"/>
      <c r="I255" s="116"/>
      <c r="L255" s="170">
        <v>45870</v>
      </c>
      <c r="M255" s="116">
        <v>127.78</v>
      </c>
      <c r="N255" s="116">
        <v>129.41</v>
      </c>
      <c r="O255" s="116">
        <v>127.04</v>
      </c>
      <c r="P255" s="116">
        <v>128.05000000000001</v>
      </c>
      <c r="Q255" s="116">
        <v>127.78</v>
      </c>
      <c r="R255">
        <v>567973</v>
      </c>
    </row>
    <row r="256" spans="1:18" x14ac:dyDescent="0.25">
      <c r="A256" s="170">
        <v>42376</v>
      </c>
      <c r="B256" s="116">
        <v>2.4549333683996801</v>
      </c>
      <c r="C256" s="116">
        <v>2.3250594740714399</v>
      </c>
      <c r="D256" s="116">
        <v>2.2949667424587998</v>
      </c>
      <c r="E256" s="116">
        <v>2.4185053248685802</v>
      </c>
      <c r="F256" s="116">
        <v>146.80000000000001</v>
      </c>
      <c r="G256">
        <v>7137</v>
      </c>
      <c r="H256" s="116"/>
      <c r="I256" s="116"/>
      <c r="L256" s="170">
        <v>45873</v>
      </c>
      <c r="M256" s="116">
        <v>131.22999999999999</v>
      </c>
      <c r="N256" s="116">
        <v>132.80000000000001</v>
      </c>
      <c r="O256" s="116">
        <v>125.36</v>
      </c>
      <c r="P256" s="116">
        <v>127.9</v>
      </c>
      <c r="Q256" s="116">
        <v>131.22999999999999</v>
      </c>
      <c r="R256">
        <v>644566</v>
      </c>
    </row>
    <row r="257" spans="1:18" x14ac:dyDescent="0.25">
      <c r="A257" s="170">
        <v>42377</v>
      </c>
      <c r="B257" s="116">
        <v>2.4390950886035498</v>
      </c>
      <c r="C257" s="116">
        <v>2.3646551735617498</v>
      </c>
      <c r="D257" s="116">
        <v>2.3282271300306601</v>
      </c>
      <c r="E257" s="116">
        <v>2.4058347010316798</v>
      </c>
      <c r="F257" s="116">
        <v>149.30000000000001</v>
      </c>
      <c r="G257">
        <v>6949</v>
      </c>
      <c r="H257" s="116"/>
      <c r="I257" s="116"/>
      <c r="L257" s="170">
        <v>45874</v>
      </c>
      <c r="M257" s="116">
        <v>129.49</v>
      </c>
      <c r="N257" s="116">
        <v>132.5</v>
      </c>
      <c r="O257" s="116">
        <v>129</v>
      </c>
      <c r="P257" s="116">
        <v>130.6</v>
      </c>
      <c r="Q257" s="116">
        <v>129.49</v>
      </c>
      <c r="R257">
        <v>454067</v>
      </c>
    </row>
    <row r="258" spans="1:18" x14ac:dyDescent="0.25">
      <c r="A258" s="170">
        <v>42380</v>
      </c>
      <c r="B258" s="116">
        <v>2.3741581414394299</v>
      </c>
      <c r="C258" s="116">
        <v>2.3393139258879501</v>
      </c>
      <c r="D258" s="116">
        <v>2.2933829144791802</v>
      </c>
      <c r="E258" s="116">
        <v>2.2933829144791802</v>
      </c>
      <c r="F258" s="116">
        <v>147.69999999999999</v>
      </c>
      <c r="G258">
        <v>4917</v>
      </c>
      <c r="H258" s="116"/>
      <c r="I258" s="116"/>
      <c r="L258" s="170">
        <v>45875</v>
      </c>
      <c r="M258" s="116">
        <v>126.32</v>
      </c>
      <c r="N258" s="116">
        <v>131</v>
      </c>
      <c r="O258" s="116">
        <v>125.5</v>
      </c>
      <c r="P258" s="116">
        <v>130</v>
      </c>
      <c r="Q258" s="116">
        <v>126.32</v>
      </c>
      <c r="R258">
        <v>523400</v>
      </c>
    </row>
    <row r="259" spans="1:18" x14ac:dyDescent="0.25">
      <c r="A259" s="170">
        <v>42381</v>
      </c>
      <c r="B259" s="116">
        <v>2.3915802492151701</v>
      </c>
      <c r="C259" s="116">
        <v>2.3028858823568599</v>
      </c>
      <c r="D259" s="116">
        <v>2.2965505704384102</v>
      </c>
      <c r="E259" s="116">
        <v>2.3757419694190398</v>
      </c>
      <c r="F259" s="116">
        <v>145.4</v>
      </c>
      <c r="G259">
        <v>4903</v>
      </c>
      <c r="H259" s="116"/>
      <c r="I259" s="116"/>
      <c r="L259" s="170">
        <v>45876</v>
      </c>
      <c r="M259" s="116">
        <v>128.87</v>
      </c>
      <c r="N259" s="116">
        <v>130.19</v>
      </c>
      <c r="O259" s="116">
        <v>123.25</v>
      </c>
      <c r="P259" s="116">
        <v>126</v>
      </c>
      <c r="Q259" s="116">
        <v>128.87</v>
      </c>
      <c r="R259">
        <v>1140831</v>
      </c>
    </row>
    <row r="260" spans="1:18" x14ac:dyDescent="0.25">
      <c r="A260" s="170">
        <v>42382</v>
      </c>
      <c r="B260" s="116">
        <v>2.3504007217452401</v>
      </c>
      <c r="C260" s="116">
        <v>2.14291925641598</v>
      </c>
      <c r="D260" s="116">
        <v>1.8562463921060799</v>
      </c>
      <c r="E260" s="116">
        <v>2.3139726782141499</v>
      </c>
      <c r="F260" s="116">
        <v>135.30000000000001</v>
      </c>
      <c r="G260">
        <v>16344</v>
      </c>
      <c r="H260" s="116"/>
      <c r="I260" s="116"/>
      <c r="L260" s="170">
        <v>45877</v>
      </c>
      <c r="M260" s="116">
        <v>125.33</v>
      </c>
      <c r="N260" s="116">
        <v>129.69999999999999</v>
      </c>
      <c r="O260" s="116">
        <v>125.01</v>
      </c>
      <c r="P260" s="116">
        <v>129.69999999999999</v>
      </c>
      <c r="Q260" s="116">
        <v>125.33</v>
      </c>
      <c r="R260">
        <v>722148</v>
      </c>
    </row>
    <row r="261" spans="1:18" x14ac:dyDescent="0.25">
      <c r="A261" s="170">
        <v>42383</v>
      </c>
      <c r="B261" s="116">
        <v>2.2015208916616502</v>
      </c>
      <c r="C261" s="116">
        <v>2.1698443320693901</v>
      </c>
      <c r="D261" s="116">
        <v>1.9195995112905899</v>
      </c>
      <c r="E261" s="116">
        <v>2.0668955133945701</v>
      </c>
      <c r="F261" s="116">
        <v>137</v>
      </c>
      <c r="G261">
        <v>11316</v>
      </c>
      <c r="H261" s="116"/>
      <c r="I261" s="116"/>
      <c r="L261" s="170">
        <v>45880</v>
      </c>
      <c r="M261" s="116">
        <v>127.82</v>
      </c>
      <c r="N261" s="116">
        <v>129.25</v>
      </c>
      <c r="O261" s="116">
        <v>123.36</v>
      </c>
      <c r="P261" s="116">
        <v>125</v>
      </c>
      <c r="Q261" s="116">
        <v>127.82</v>
      </c>
      <c r="R261">
        <v>1314302</v>
      </c>
    </row>
    <row r="262" spans="1:18" x14ac:dyDescent="0.25">
      <c r="A262" s="170">
        <v>42384</v>
      </c>
      <c r="B262" s="116">
        <v>2.27912846266267</v>
      </c>
      <c r="C262" s="116">
        <v>1.99879091027122</v>
      </c>
      <c r="D262" s="116">
        <v>1.97978497451587</v>
      </c>
      <c r="E262" s="116">
        <v>2.27912846266267</v>
      </c>
      <c r="F262" s="116">
        <v>126.2</v>
      </c>
      <c r="G262">
        <v>10463</v>
      </c>
      <c r="H262" s="116"/>
      <c r="I262" s="116"/>
      <c r="L262" s="170">
        <v>45881</v>
      </c>
      <c r="M262" s="116">
        <v>135.01</v>
      </c>
      <c r="N262" s="116">
        <v>136</v>
      </c>
      <c r="O262" s="116">
        <v>128.07</v>
      </c>
      <c r="P262" s="116">
        <v>128.62</v>
      </c>
      <c r="Q262" s="116">
        <v>135.01</v>
      </c>
      <c r="R262">
        <v>1969408</v>
      </c>
    </row>
    <row r="263" spans="1:18" x14ac:dyDescent="0.25">
      <c r="A263" s="170">
        <v>42387</v>
      </c>
      <c r="B263" s="116">
        <v>2.02729981390425</v>
      </c>
      <c r="C263" s="116">
        <v>1.8419919402895599</v>
      </c>
      <c r="D263" s="116">
        <v>1.8309051444322799</v>
      </c>
      <c r="E263" s="116">
        <v>2.02729981390425</v>
      </c>
      <c r="F263" s="116">
        <v>116.3</v>
      </c>
      <c r="G263">
        <v>9704</v>
      </c>
      <c r="H263" s="116"/>
      <c r="I263" s="116"/>
      <c r="L263" s="170">
        <v>45882</v>
      </c>
      <c r="M263" s="116">
        <v>133.49</v>
      </c>
      <c r="N263" s="116">
        <v>136.80000000000001</v>
      </c>
      <c r="O263" s="116">
        <v>132.65</v>
      </c>
      <c r="P263" s="116">
        <v>136</v>
      </c>
      <c r="Q263" s="116">
        <v>133.49</v>
      </c>
      <c r="R263">
        <v>760704</v>
      </c>
    </row>
    <row r="264" spans="1:18" x14ac:dyDescent="0.25">
      <c r="A264" s="170">
        <v>42388</v>
      </c>
      <c r="B264" s="116">
        <v>2.0748146532926302</v>
      </c>
      <c r="C264" s="116">
        <v>2.04947340561883</v>
      </c>
      <c r="D264" s="116">
        <v>1.9005935755352299</v>
      </c>
      <c r="E264" s="116">
        <v>1.9639466947197399</v>
      </c>
      <c r="F264" s="116">
        <v>129.4</v>
      </c>
      <c r="G264">
        <v>10594</v>
      </c>
      <c r="H264" s="116"/>
      <c r="I264" s="116"/>
      <c r="L264" s="170">
        <v>45883</v>
      </c>
      <c r="M264" s="116">
        <v>131.84</v>
      </c>
      <c r="N264" s="116">
        <v>134.99</v>
      </c>
      <c r="O264" s="116">
        <v>131.11000000000001</v>
      </c>
      <c r="P264" s="116">
        <v>134.4</v>
      </c>
      <c r="Q264" s="116">
        <v>131.84</v>
      </c>
      <c r="R264">
        <v>427409</v>
      </c>
    </row>
    <row r="265" spans="1:18" x14ac:dyDescent="0.25">
      <c r="A265" s="170">
        <v>42389</v>
      </c>
      <c r="B265" s="116">
        <v>2.09065293308876</v>
      </c>
      <c r="C265" s="116">
        <v>2.05422488955766</v>
      </c>
      <c r="D265" s="116">
        <v>1.9259348232090401</v>
      </c>
      <c r="E265" s="116">
        <v>2.0415542657207602</v>
      </c>
      <c r="F265" s="116">
        <v>129.69999999999999</v>
      </c>
      <c r="G265">
        <v>4443</v>
      </c>
      <c r="H265" s="116"/>
      <c r="I265" s="116"/>
      <c r="L265" s="170">
        <v>45887</v>
      </c>
      <c r="M265" s="116">
        <v>132.84</v>
      </c>
      <c r="N265" s="116">
        <v>135.6</v>
      </c>
      <c r="O265" s="116">
        <v>132.11000000000001</v>
      </c>
      <c r="P265" s="116">
        <v>133</v>
      </c>
      <c r="Q265" s="116">
        <v>132.84</v>
      </c>
      <c r="R265">
        <v>500489</v>
      </c>
    </row>
    <row r="266" spans="1:18" x14ac:dyDescent="0.25">
      <c r="A266" s="170">
        <v>42390</v>
      </c>
      <c r="B266" s="116">
        <v>2.09065293308876</v>
      </c>
      <c r="C266" s="116">
        <v>2.01621301804696</v>
      </c>
      <c r="D266" s="116">
        <v>1.93227013512749</v>
      </c>
      <c r="E266" s="116">
        <v>2.09065293308876</v>
      </c>
      <c r="F266" s="116">
        <v>127.3</v>
      </c>
      <c r="G266">
        <v>4208</v>
      </c>
      <c r="H266" s="116"/>
      <c r="I266" s="116"/>
      <c r="L266" s="170">
        <v>45888</v>
      </c>
      <c r="M266" s="116">
        <v>132.94999999999999</v>
      </c>
      <c r="N266" s="116">
        <v>133.44</v>
      </c>
      <c r="O266" s="116">
        <v>131.22</v>
      </c>
      <c r="P266" s="116">
        <v>132.85</v>
      </c>
      <c r="Q266" s="116">
        <v>132.94999999999999</v>
      </c>
      <c r="R266">
        <v>434086</v>
      </c>
    </row>
    <row r="267" spans="1:18" x14ac:dyDescent="0.25">
      <c r="A267" s="170">
        <v>42391</v>
      </c>
      <c r="B267" s="116">
        <v>2.21577534347816</v>
      </c>
      <c r="C267" s="116">
        <v>2.09857207298682</v>
      </c>
      <c r="D267" s="116">
        <v>2.0589763734964999</v>
      </c>
      <c r="E267" s="116">
        <v>2.1191618367217901</v>
      </c>
      <c r="F267" s="116">
        <v>132.5</v>
      </c>
      <c r="G267">
        <v>11901</v>
      </c>
      <c r="H267" s="116"/>
      <c r="I267" s="116"/>
      <c r="L267" s="170">
        <v>45889</v>
      </c>
      <c r="M267" s="116">
        <v>139.69</v>
      </c>
      <c r="N267" s="116">
        <v>140.5</v>
      </c>
      <c r="O267" s="116">
        <v>132.61000000000001</v>
      </c>
      <c r="P267" s="116">
        <v>133.49</v>
      </c>
      <c r="Q267" s="116">
        <v>139.69</v>
      </c>
      <c r="R267">
        <v>1859091</v>
      </c>
    </row>
    <row r="268" spans="1:18" x14ac:dyDescent="0.25">
      <c r="A268" s="170">
        <v>42394</v>
      </c>
      <c r="B268" s="116">
        <v>2.1809311279266801</v>
      </c>
      <c r="C268" s="116">
        <v>2.0478895776392099</v>
      </c>
      <c r="D268" s="116">
        <v>2.02729981390425</v>
      </c>
      <c r="E268" s="116">
        <v>2.1397516004567501</v>
      </c>
      <c r="F268" s="116">
        <v>129.30000000000001</v>
      </c>
      <c r="G268">
        <v>5181</v>
      </c>
      <c r="H268" s="116"/>
      <c r="I268" s="116"/>
      <c r="L268" s="170">
        <v>45890</v>
      </c>
      <c r="M268" s="116">
        <v>141.91999999999999</v>
      </c>
      <c r="N268" s="116">
        <v>143.86000000000001</v>
      </c>
      <c r="O268" s="116">
        <v>140.63999999999999</v>
      </c>
      <c r="P268" s="116">
        <v>141.19</v>
      </c>
      <c r="Q268" s="116">
        <v>141.91999999999999</v>
      </c>
      <c r="R268">
        <v>1188897</v>
      </c>
    </row>
    <row r="269" spans="1:18" x14ac:dyDescent="0.25">
      <c r="A269" s="170">
        <v>42396</v>
      </c>
      <c r="B269" s="116">
        <v>2.1619251921713301</v>
      </c>
      <c r="C269" s="116">
        <v>2.1144103527829499</v>
      </c>
      <c r="D269" s="116">
        <v>2.0431380937003798</v>
      </c>
      <c r="E269" s="116">
        <v>2.1064912128848801</v>
      </c>
      <c r="F269" s="116">
        <v>133.5</v>
      </c>
      <c r="G269">
        <v>4027</v>
      </c>
      <c r="H269" s="116"/>
      <c r="I269" s="116"/>
      <c r="L269" s="170">
        <v>45891</v>
      </c>
      <c r="M269" s="116">
        <v>148.99</v>
      </c>
      <c r="N269" s="116">
        <v>150.5</v>
      </c>
      <c r="O269" s="116">
        <v>138.18</v>
      </c>
      <c r="P269" s="116">
        <v>141.91999999999999</v>
      </c>
      <c r="Q269" s="116">
        <v>148.99</v>
      </c>
      <c r="R269">
        <v>3711695</v>
      </c>
    </row>
    <row r="270" spans="1:18" x14ac:dyDescent="0.25">
      <c r="A270" s="170">
        <v>42397</v>
      </c>
      <c r="B270" s="116">
        <v>2.2949667424587998</v>
      </c>
      <c r="C270" s="116">
        <v>2.23794893519274</v>
      </c>
      <c r="D270" s="116">
        <v>2.06056020147612</v>
      </c>
      <c r="E270" s="116">
        <v>2.06056020147612</v>
      </c>
      <c r="F270" s="116">
        <v>141.30000000000001</v>
      </c>
      <c r="G270">
        <v>8521</v>
      </c>
      <c r="H270" s="116"/>
      <c r="I270" s="116"/>
      <c r="L270" s="170">
        <v>45894</v>
      </c>
      <c r="M270" s="116">
        <v>150.85</v>
      </c>
      <c r="N270" s="116">
        <v>152.28</v>
      </c>
      <c r="O270" s="116">
        <v>147.63</v>
      </c>
      <c r="P270" s="116">
        <v>150.03</v>
      </c>
      <c r="Q270" s="116">
        <v>150.85</v>
      </c>
      <c r="R270">
        <v>1698823</v>
      </c>
    </row>
    <row r="271" spans="1:18" x14ac:dyDescent="0.25">
      <c r="A271" s="170">
        <v>42398</v>
      </c>
      <c r="B271" s="116">
        <v>2.3741581414394299</v>
      </c>
      <c r="C271" s="116">
        <v>2.3393139258879501</v>
      </c>
      <c r="D271" s="116">
        <v>2.09065293308876</v>
      </c>
      <c r="E271" s="116">
        <v>2.09065293308876</v>
      </c>
      <c r="F271" s="116">
        <v>147.69999999999999</v>
      </c>
      <c r="G271">
        <v>9161</v>
      </c>
      <c r="H271" s="116"/>
      <c r="I271" s="116"/>
      <c r="L271" s="170">
        <v>45895</v>
      </c>
      <c r="M271" s="116">
        <v>148.1</v>
      </c>
      <c r="N271" s="116">
        <v>153.74</v>
      </c>
      <c r="O271" s="116">
        <v>146.49</v>
      </c>
      <c r="P271" s="116">
        <v>151.59</v>
      </c>
      <c r="Q271" s="116">
        <v>148.1</v>
      </c>
      <c r="R271">
        <v>1643040</v>
      </c>
    </row>
    <row r="272" spans="1:18" x14ac:dyDescent="0.25">
      <c r="A272" s="170">
        <v>42401</v>
      </c>
      <c r="B272" s="116">
        <v>2.3757419694190398</v>
      </c>
      <c r="C272" s="116">
        <v>2.3250594740714399</v>
      </c>
      <c r="D272" s="116">
        <v>2.2331974512539001</v>
      </c>
      <c r="E272" s="116">
        <v>2.3757419694190398</v>
      </c>
      <c r="F272" s="116">
        <v>146.80000000000001</v>
      </c>
      <c r="G272">
        <v>5758</v>
      </c>
      <c r="H272" s="116"/>
      <c r="I272" s="116"/>
      <c r="L272" s="170">
        <v>45897</v>
      </c>
      <c r="M272" s="116">
        <v>145.66</v>
      </c>
      <c r="N272" s="116">
        <v>148.85</v>
      </c>
      <c r="O272" s="116">
        <v>144.1</v>
      </c>
      <c r="P272" s="116">
        <v>148.44999999999999</v>
      </c>
      <c r="Q272" s="116">
        <v>145.66</v>
      </c>
      <c r="R272">
        <v>962719</v>
      </c>
    </row>
    <row r="273" spans="1:18" x14ac:dyDescent="0.25">
      <c r="A273" s="170">
        <v>42402</v>
      </c>
      <c r="B273" s="116">
        <v>2.3567360336636902</v>
      </c>
      <c r="C273" s="116">
        <v>2.1682605040897802</v>
      </c>
      <c r="D273" s="116">
        <v>2.1381677724771402</v>
      </c>
      <c r="E273" s="116">
        <v>2.3567360336636902</v>
      </c>
      <c r="F273" s="116">
        <v>136.9</v>
      </c>
      <c r="G273">
        <v>3828</v>
      </c>
      <c r="H273" s="116"/>
      <c r="I273" s="116"/>
      <c r="L273" s="170">
        <v>45898</v>
      </c>
      <c r="M273" s="116">
        <v>149.76</v>
      </c>
      <c r="N273" s="116">
        <v>153.19999999999999</v>
      </c>
      <c r="O273" s="116">
        <v>143.6</v>
      </c>
      <c r="P273" s="116">
        <v>145</v>
      </c>
      <c r="Q273" s="116">
        <v>149.76</v>
      </c>
      <c r="R273">
        <v>2485669</v>
      </c>
    </row>
    <row r="274" spans="1:18" x14ac:dyDescent="0.25">
      <c r="A274" s="170">
        <v>42403</v>
      </c>
      <c r="B274" s="116">
        <v>2.2141915154985501</v>
      </c>
      <c r="C274" s="116">
        <v>2.0304674698634702</v>
      </c>
      <c r="D274" s="116">
        <v>1.9005935755352299</v>
      </c>
      <c r="E274" s="116">
        <v>2.2141915154985501</v>
      </c>
      <c r="F274" s="116">
        <v>128.19999999999999</v>
      </c>
      <c r="G274">
        <v>5400</v>
      </c>
      <c r="H274" s="116"/>
      <c r="I274" s="116"/>
      <c r="L274" s="170">
        <v>45901</v>
      </c>
      <c r="M274" s="116">
        <v>150.97</v>
      </c>
      <c r="N274" s="116">
        <v>153.9</v>
      </c>
      <c r="O274" s="116">
        <v>149.71</v>
      </c>
      <c r="P274" s="116">
        <v>152</v>
      </c>
      <c r="Q274" s="116">
        <v>150.97</v>
      </c>
      <c r="R274">
        <v>1528586</v>
      </c>
    </row>
    <row r="275" spans="1:18" x14ac:dyDescent="0.25">
      <c r="A275" s="170">
        <v>42404</v>
      </c>
      <c r="B275" s="116">
        <v>2.1460869123752002</v>
      </c>
      <c r="C275" s="116">
        <v>2.0621440294557298</v>
      </c>
      <c r="D275" s="116">
        <v>2.01621301804696</v>
      </c>
      <c r="E275" s="116">
        <v>2.11282652480334</v>
      </c>
      <c r="F275" s="116">
        <v>130.19999999999999</v>
      </c>
      <c r="G275">
        <v>6688</v>
      </c>
      <c r="H275" s="116"/>
      <c r="I275" s="116"/>
      <c r="L275" s="170">
        <v>45902</v>
      </c>
      <c r="M275" s="116">
        <v>154.52000000000001</v>
      </c>
      <c r="N275" s="116">
        <v>156.30000000000001</v>
      </c>
      <c r="O275" s="116">
        <v>150.56</v>
      </c>
      <c r="P275" s="116">
        <v>151.63</v>
      </c>
      <c r="Q275" s="116">
        <v>154.52000000000001</v>
      </c>
      <c r="R275">
        <v>2130314</v>
      </c>
    </row>
    <row r="276" spans="1:18" x14ac:dyDescent="0.25">
      <c r="A276" s="170">
        <v>42405</v>
      </c>
      <c r="B276" s="116">
        <v>2.1350001165179102</v>
      </c>
      <c r="C276" s="116">
        <v>2.09857207298682</v>
      </c>
      <c r="D276" s="116">
        <v>2.0589763734964999</v>
      </c>
      <c r="E276" s="116">
        <v>2.1112426968237199</v>
      </c>
      <c r="F276" s="116">
        <v>132.5</v>
      </c>
      <c r="G276">
        <v>2197</v>
      </c>
      <c r="H276" s="116"/>
      <c r="I276" s="116"/>
      <c r="L276" s="170">
        <v>45903</v>
      </c>
      <c r="M276" s="116">
        <v>162.08000000000001</v>
      </c>
      <c r="N276" s="116">
        <v>162.80000000000001</v>
      </c>
      <c r="O276" s="116">
        <v>155.55000000000001</v>
      </c>
      <c r="P276" s="116">
        <v>156</v>
      </c>
      <c r="Q276" s="116">
        <v>162.08000000000001</v>
      </c>
      <c r="R276">
        <v>3945151</v>
      </c>
    </row>
    <row r="277" spans="1:18" x14ac:dyDescent="0.25">
      <c r="A277" s="170">
        <v>42408</v>
      </c>
      <c r="B277" s="116">
        <v>2.1144103527829499</v>
      </c>
      <c r="C277" s="116">
        <v>2.0700631693537899</v>
      </c>
      <c r="D277" s="116">
        <v>2.0431380937003798</v>
      </c>
      <c r="E277" s="116">
        <v>2.06056020147612</v>
      </c>
      <c r="F277" s="116">
        <v>130.69999999999999</v>
      </c>
      <c r="G277">
        <v>2513</v>
      </c>
      <c r="H277" s="116"/>
      <c r="I277" s="116"/>
      <c r="L277" s="170">
        <v>45904</v>
      </c>
      <c r="M277" s="116">
        <v>158.63</v>
      </c>
      <c r="N277" s="116">
        <v>164</v>
      </c>
      <c r="O277" s="116">
        <v>157.5</v>
      </c>
      <c r="P277" s="116">
        <v>163.66999999999999</v>
      </c>
      <c r="Q277" s="116">
        <v>158.63</v>
      </c>
      <c r="R277">
        <v>2156499</v>
      </c>
    </row>
    <row r="278" spans="1:18" x14ac:dyDescent="0.25">
      <c r="A278" s="170">
        <v>42409</v>
      </c>
      <c r="B278" s="116">
        <v>2.0811499652110799</v>
      </c>
      <c r="C278" s="116">
        <v>2.03521895380231</v>
      </c>
      <c r="D278" s="116">
        <v>1.95444372684207</v>
      </c>
      <c r="E278" s="116">
        <v>2.0431380937003798</v>
      </c>
      <c r="F278" s="116">
        <v>128.5</v>
      </c>
      <c r="G278">
        <v>3045</v>
      </c>
      <c r="H278" s="116"/>
      <c r="I278" s="116"/>
      <c r="L278" s="170">
        <v>45905</v>
      </c>
      <c r="M278" s="116">
        <v>176.63</v>
      </c>
      <c r="N278" s="116">
        <v>180.5</v>
      </c>
      <c r="O278" s="116">
        <v>158.44999999999999</v>
      </c>
      <c r="P278" s="116">
        <v>159.30000000000001</v>
      </c>
      <c r="Q278" s="116">
        <v>176.63</v>
      </c>
      <c r="R278">
        <v>18235112</v>
      </c>
    </row>
    <row r="279" spans="1:18" x14ac:dyDescent="0.25">
      <c r="A279" s="170">
        <v>42410</v>
      </c>
      <c r="B279" s="116">
        <v>2.0399704377411498</v>
      </c>
      <c r="C279" s="116">
        <v>1.946524586944</v>
      </c>
      <c r="D279" s="116">
        <v>1.8530787361468499</v>
      </c>
      <c r="E279" s="116">
        <v>1.9338539631070999</v>
      </c>
      <c r="F279" s="116">
        <v>122.9</v>
      </c>
      <c r="G279">
        <v>6034</v>
      </c>
      <c r="H279" s="116"/>
      <c r="I279" s="116"/>
      <c r="L279" s="170">
        <v>45908</v>
      </c>
      <c r="M279" s="116">
        <v>170.27</v>
      </c>
      <c r="N279" s="116">
        <v>183.29</v>
      </c>
      <c r="O279" s="116">
        <v>167.33</v>
      </c>
      <c r="P279" s="116">
        <v>179.4</v>
      </c>
      <c r="Q279" s="116">
        <v>170.27</v>
      </c>
      <c r="R279">
        <v>5186818</v>
      </c>
    </row>
    <row r="280" spans="1:18" x14ac:dyDescent="0.25">
      <c r="A280" s="170">
        <v>42411</v>
      </c>
      <c r="B280" s="116">
        <v>1.93227013512749</v>
      </c>
      <c r="C280" s="116">
        <v>1.6756900024302299</v>
      </c>
      <c r="D280" s="116">
        <v>1.58857946355153</v>
      </c>
      <c r="E280" s="116">
        <v>1.9306863071478799</v>
      </c>
      <c r="F280" s="116">
        <v>105.8</v>
      </c>
      <c r="G280">
        <v>18321</v>
      </c>
      <c r="H280" s="116"/>
      <c r="I280" s="116"/>
      <c r="L280" s="170">
        <v>45909</v>
      </c>
      <c r="M280" s="116">
        <v>173.22</v>
      </c>
      <c r="N280" s="116">
        <v>177.6</v>
      </c>
      <c r="O280" s="116">
        <v>166.11</v>
      </c>
      <c r="P280" s="116">
        <v>171</v>
      </c>
      <c r="Q280" s="116">
        <v>173.22</v>
      </c>
      <c r="R280">
        <v>3445136</v>
      </c>
    </row>
    <row r="281" spans="1:18" x14ac:dyDescent="0.25">
      <c r="A281" s="170">
        <v>42412</v>
      </c>
      <c r="B281" s="116">
        <v>1.7723035091866099</v>
      </c>
      <c r="C281" s="116">
        <v>1.7200371858593899</v>
      </c>
      <c r="D281" s="116">
        <v>1.60758539930689</v>
      </c>
      <c r="E281" s="116">
        <v>1.60758539930689</v>
      </c>
      <c r="F281" s="116">
        <v>108.6</v>
      </c>
      <c r="G281">
        <v>8296</v>
      </c>
      <c r="H281" s="116"/>
      <c r="I281" s="116"/>
      <c r="L281" s="170">
        <v>45910</v>
      </c>
      <c r="M281" s="116">
        <v>169.66</v>
      </c>
      <c r="N281" s="116">
        <v>175.74</v>
      </c>
      <c r="O281" s="116">
        <v>168.18</v>
      </c>
      <c r="P281" s="116">
        <v>174.09</v>
      </c>
      <c r="Q281" s="116">
        <v>169.66</v>
      </c>
      <c r="R281">
        <v>2883002</v>
      </c>
    </row>
    <row r="282" spans="1:18" x14ac:dyDescent="0.25">
      <c r="A282" s="170">
        <v>42415</v>
      </c>
      <c r="B282" s="116">
        <v>1.8182345205953701</v>
      </c>
      <c r="C282" s="116">
        <v>1.72954015373706</v>
      </c>
      <c r="D282" s="116">
        <v>1.6725223464710099</v>
      </c>
      <c r="E282" s="116">
        <v>1.7422107775739599</v>
      </c>
      <c r="F282" s="116">
        <v>109.2</v>
      </c>
      <c r="G282">
        <v>14739</v>
      </c>
      <c r="H282" s="116"/>
      <c r="I282" s="116"/>
      <c r="L282" s="170">
        <v>45911</v>
      </c>
      <c r="M282" s="116">
        <v>167.56</v>
      </c>
      <c r="N282" s="116">
        <v>171.58</v>
      </c>
      <c r="O282" s="116">
        <v>166.36</v>
      </c>
      <c r="P282" s="116">
        <v>169.6</v>
      </c>
      <c r="Q282" s="116">
        <v>167.56</v>
      </c>
      <c r="R282">
        <v>3296075</v>
      </c>
    </row>
    <row r="283" spans="1:18" x14ac:dyDescent="0.25">
      <c r="A283" s="170">
        <v>42416</v>
      </c>
      <c r="B283" s="116">
        <v>1.77388733716622</v>
      </c>
      <c r="C283" s="116">
        <v>1.6788576583894601</v>
      </c>
      <c r="D283" s="116">
        <v>1.66301937859333</v>
      </c>
      <c r="E283" s="116">
        <v>1.77388733716622</v>
      </c>
      <c r="F283" s="116">
        <v>106</v>
      </c>
      <c r="G283">
        <v>4922</v>
      </c>
      <c r="H283" s="116"/>
      <c r="I283" s="116"/>
      <c r="L283" s="170">
        <v>45912</v>
      </c>
      <c r="M283" s="116">
        <v>173.95</v>
      </c>
      <c r="N283" s="116">
        <v>177.5</v>
      </c>
      <c r="O283" s="116">
        <v>167</v>
      </c>
      <c r="P283" s="116">
        <v>167.56</v>
      </c>
      <c r="Q283" s="116">
        <v>173.95</v>
      </c>
      <c r="R283">
        <v>5530974</v>
      </c>
    </row>
    <row r="284" spans="1:18" x14ac:dyDescent="0.25">
      <c r="A284" s="170">
        <v>42417</v>
      </c>
      <c r="B284" s="116">
        <v>1.73904312161474</v>
      </c>
      <c r="C284" s="116">
        <v>1.68044148636907</v>
      </c>
      <c r="D284" s="116">
        <v>1.6155045392049501</v>
      </c>
      <c r="E284" s="116">
        <v>1.6155045392049501</v>
      </c>
      <c r="F284" s="116">
        <v>106.1</v>
      </c>
      <c r="G284">
        <v>3849</v>
      </c>
      <c r="H284" s="116"/>
      <c r="I284" s="116"/>
      <c r="L284" s="170">
        <v>45915</v>
      </c>
      <c r="M284" s="116">
        <v>176.61</v>
      </c>
      <c r="N284" s="116">
        <v>179.28</v>
      </c>
      <c r="O284" s="116">
        <v>172.6</v>
      </c>
      <c r="P284" s="116">
        <v>174.64</v>
      </c>
      <c r="Q284" s="116">
        <v>176.61</v>
      </c>
      <c r="R284">
        <v>3343754</v>
      </c>
    </row>
    <row r="285" spans="1:18" x14ac:dyDescent="0.25">
      <c r="A285" s="170">
        <v>42418</v>
      </c>
      <c r="B285" s="116">
        <v>1.75804905737009</v>
      </c>
      <c r="C285" s="116">
        <v>1.70578273404287</v>
      </c>
      <c r="D285" s="116">
        <v>1.65510023869527</v>
      </c>
      <c r="E285" s="116">
        <v>1.75804905737009</v>
      </c>
      <c r="F285" s="116">
        <v>107.7</v>
      </c>
      <c r="G285">
        <v>208</v>
      </c>
      <c r="H285" s="116"/>
      <c r="I285" s="116"/>
      <c r="L285" s="170">
        <v>45916</v>
      </c>
      <c r="M285" s="116">
        <v>177.03</v>
      </c>
      <c r="N285" s="116">
        <v>178.17</v>
      </c>
      <c r="O285" s="116">
        <v>173.37</v>
      </c>
      <c r="P285" s="116">
        <v>177.39</v>
      </c>
      <c r="Q285" s="116">
        <v>177.03</v>
      </c>
      <c r="R285">
        <v>2668146</v>
      </c>
    </row>
    <row r="286" spans="1:18" x14ac:dyDescent="0.25">
      <c r="A286" s="170">
        <v>42419</v>
      </c>
      <c r="B286" s="116">
        <v>1.7707196812069901</v>
      </c>
      <c r="C286" s="116">
        <v>1.75804905737009</v>
      </c>
      <c r="D286" s="116">
        <v>1.65510023869527</v>
      </c>
      <c r="E286" s="116">
        <v>1.6788576583894601</v>
      </c>
      <c r="F286" s="116">
        <v>111</v>
      </c>
      <c r="G286">
        <v>3098</v>
      </c>
      <c r="H286" s="116"/>
      <c r="I286" s="116"/>
      <c r="L286" s="170">
        <v>45917</v>
      </c>
      <c r="M286" s="116">
        <v>177.05</v>
      </c>
      <c r="N286" s="116">
        <v>185.99</v>
      </c>
      <c r="O286" s="116">
        <v>174.35</v>
      </c>
      <c r="P286" s="116">
        <v>179</v>
      </c>
      <c r="Q286" s="116">
        <v>177.05</v>
      </c>
      <c r="R286">
        <v>7725430</v>
      </c>
    </row>
    <row r="287" spans="1:18" x14ac:dyDescent="0.25">
      <c r="A287" s="170">
        <v>42422</v>
      </c>
      <c r="B287" s="116">
        <v>1.80556389675847</v>
      </c>
      <c r="C287" s="116">
        <v>1.721621013839</v>
      </c>
      <c r="D287" s="116">
        <v>1.7121180459613199</v>
      </c>
      <c r="E287" s="116">
        <v>1.75804905737009</v>
      </c>
      <c r="F287" s="116">
        <v>108.7</v>
      </c>
      <c r="G287">
        <v>1450</v>
      </c>
      <c r="H287" s="116"/>
      <c r="I287" s="116"/>
      <c r="L287" s="170">
        <v>45918</v>
      </c>
      <c r="M287" s="116">
        <v>177.14</v>
      </c>
      <c r="N287" s="116">
        <v>184.5</v>
      </c>
      <c r="O287" s="116">
        <v>174.4</v>
      </c>
      <c r="P287" s="116">
        <v>177.99</v>
      </c>
      <c r="Q287" s="116">
        <v>177.14</v>
      </c>
      <c r="R287">
        <v>5405433</v>
      </c>
    </row>
    <row r="288" spans="1:18" x14ac:dyDescent="0.25">
      <c r="A288" s="170">
        <v>42423</v>
      </c>
      <c r="B288" s="116">
        <v>1.7723035091866099</v>
      </c>
      <c r="C288" s="116">
        <v>1.6392619588991399</v>
      </c>
      <c r="D288" s="116">
        <v>1.58382797961269</v>
      </c>
      <c r="E288" s="116">
        <v>1.7723035091866099</v>
      </c>
      <c r="F288" s="116">
        <v>103.5</v>
      </c>
      <c r="G288">
        <v>2927</v>
      </c>
      <c r="H288" s="116"/>
      <c r="I288" s="116"/>
      <c r="L288" s="170">
        <v>45919</v>
      </c>
      <c r="M288" s="116">
        <v>183.77</v>
      </c>
      <c r="N288" s="116">
        <v>184.8</v>
      </c>
      <c r="O288" s="116">
        <v>175.25</v>
      </c>
      <c r="P288" s="116">
        <v>178.75</v>
      </c>
      <c r="Q288" s="116">
        <v>183.77</v>
      </c>
      <c r="R288">
        <v>6369362</v>
      </c>
    </row>
    <row r="289" spans="1:18" x14ac:dyDescent="0.25">
      <c r="A289" s="170">
        <v>42424</v>
      </c>
      <c r="B289" s="116">
        <v>1.6788576583894601</v>
      </c>
      <c r="C289" s="116">
        <v>1.5759088397146299</v>
      </c>
      <c r="D289" s="116">
        <v>1.5679896998165701</v>
      </c>
      <c r="E289" s="116">
        <v>1.64084578687875</v>
      </c>
      <c r="F289" s="116">
        <v>99.5</v>
      </c>
      <c r="G289">
        <v>3613</v>
      </c>
      <c r="H289" s="116"/>
      <c r="I289" s="116"/>
      <c r="L289" s="170">
        <v>45922</v>
      </c>
      <c r="M289" s="116">
        <v>189.73</v>
      </c>
      <c r="N289" s="116">
        <v>194.4</v>
      </c>
      <c r="O289" s="116">
        <v>184</v>
      </c>
      <c r="P289" s="116">
        <v>184.85</v>
      </c>
      <c r="Q289" s="116">
        <v>189.73</v>
      </c>
      <c r="R289">
        <v>11422321</v>
      </c>
    </row>
    <row r="290" spans="1:18" x14ac:dyDescent="0.25">
      <c r="A290" s="170">
        <v>42425</v>
      </c>
      <c r="B290" s="116">
        <v>1.66301937859333</v>
      </c>
      <c r="C290" s="116">
        <v>1.5933309474903701</v>
      </c>
      <c r="D290" s="116">
        <v>1.58541180759231</v>
      </c>
      <c r="E290" s="116">
        <v>1.64401344283798</v>
      </c>
      <c r="F290" s="116">
        <v>100.6</v>
      </c>
      <c r="G290">
        <v>3212</v>
      </c>
      <c r="H290" s="116"/>
      <c r="I290" s="116"/>
      <c r="L290" s="170">
        <v>45923</v>
      </c>
      <c r="M290" s="116">
        <v>193.57</v>
      </c>
      <c r="N290" s="116">
        <v>196.5</v>
      </c>
      <c r="O290" s="116">
        <v>188.25</v>
      </c>
      <c r="P290" s="116">
        <v>191.3</v>
      </c>
      <c r="Q290" s="116">
        <v>193.57</v>
      </c>
      <c r="R290">
        <v>8126545</v>
      </c>
    </row>
    <row r="291" spans="1:18" x14ac:dyDescent="0.25">
      <c r="A291" s="170">
        <v>42426</v>
      </c>
      <c r="B291" s="116">
        <v>1.6471810987972</v>
      </c>
      <c r="C291" s="116">
        <v>1.5711573557757901</v>
      </c>
      <c r="D291" s="116">
        <v>1.50780423659129</v>
      </c>
      <c r="E291" s="116">
        <v>1.50780423659129</v>
      </c>
      <c r="F291" s="116">
        <v>99.2</v>
      </c>
      <c r="G291">
        <v>1798</v>
      </c>
      <c r="H291" s="116"/>
      <c r="I291" s="116"/>
      <c r="L291" s="170">
        <v>45924</v>
      </c>
      <c r="M291" s="116">
        <v>186.62</v>
      </c>
      <c r="N291" s="116">
        <v>193.15</v>
      </c>
      <c r="O291" s="116">
        <v>185.4</v>
      </c>
      <c r="P291" s="116">
        <v>193</v>
      </c>
      <c r="Q291" s="116">
        <v>186.62</v>
      </c>
      <c r="R291">
        <v>3412355</v>
      </c>
    </row>
    <row r="292" spans="1:18" x14ac:dyDescent="0.25">
      <c r="A292" s="170">
        <v>42429</v>
      </c>
      <c r="B292" s="116">
        <v>1.6455972708175901</v>
      </c>
      <c r="C292" s="116">
        <v>1.6455972708175901</v>
      </c>
      <c r="D292" s="116">
        <v>1.496717440734</v>
      </c>
      <c r="E292" s="116">
        <v>1.49988509669322</v>
      </c>
      <c r="F292" s="116">
        <v>103.9</v>
      </c>
      <c r="G292">
        <v>1096</v>
      </c>
      <c r="H292" s="116"/>
      <c r="I292" s="116"/>
      <c r="L292" s="170">
        <v>45925</v>
      </c>
      <c r="M292" s="116">
        <v>179.96</v>
      </c>
      <c r="N292" s="116">
        <v>188.19</v>
      </c>
      <c r="O292" s="116">
        <v>179.26</v>
      </c>
      <c r="P292" s="116">
        <v>185.65</v>
      </c>
      <c r="Q292" s="116">
        <v>179.96</v>
      </c>
      <c r="R292">
        <v>3399665</v>
      </c>
    </row>
    <row r="293" spans="1:18" x14ac:dyDescent="0.25">
      <c r="A293" s="170">
        <v>42430</v>
      </c>
      <c r="B293" s="116">
        <v>1.75804905737009</v>
      </c>
      <c r="C293" s="116">
        <v>1.7422107775739599</v>
      </c>
      <c r="D293" s="116">
        <v>1.6044177433476601</v>
      </c>
      <c r="E293" s="116">
        <v>1.6091692272864999</v>
      </c>
      <c r="F293" s="116">
        <v>110</v>
      </c>
      <c r="G293">
        <v>4517</v>
      </c>
      <c r="H293" s="116"/>
      <c r="I293" s="116"/>
      <c r="L293" s="170">
        <v>45926</v>
      </c>
      <c r="M293" s="116">
        <v>178.94</v>
      </c>
      <c r="N293" s="116">
        <v>182.5</v>
      </c>
      <c r="O293" s="116">
        <v>176.51</v>
      </c>
      <c r="P293" s="116">
        <v>181</v>
      </c>
      <c r="Q293" s="116">
        <v>178.94</v>
      </c>
      <c r="R293">
        <v>4121484</v>
      </c>
    </row>
    <row r="294" spans="1:18" x14ac:dyDescent="0.25">
      <c r="A294" s="170">
        <v>42431</v>
      </c>
      <c r="B294" s="116">
        <v>1.8451595962487899</v>
      </c>
      <c r="C294" s="116">
        <v>1.8261536604934401</v>
      </c>
      <c r="D294" s="116">
        <v>1.70736656202248</v>
      </c>
      <c r="E294" s="116">
        <v>1.8372404563507301</v>
      </c>
      <c r="F294" s="116">
        <v>115.3</v>
      </c>
      <c r="G294">
        <v>3088</v>
      </c>
      <c r="H294" s="116"/>
      <c r="I294" s="116"/>
      <c r="L294" s="170">
        <v>45929</v>
      </c>
      <c r="M294" s="116">
        <v>178.43</v>
      </c>
      <c r="N294" s="116">
        <v>185.49</v>
      </c>
      <c r="O294" s="116">
        <v>177.04</v>
      </c>
      <c r="P294" s="116">
        <v>180</v>
      </c>
      <c r="Q294" s="116">
        <v>178.43</v>
      </c>
      <c r="R294">
        <v>2996935</v>
      </c>
    </row>
    <row r="295" spans="1:18" x14ac:dyDescent="0.25">
      <c r="A295" s="170">
        <v>42432</v>
      </c>
      <c r="B295" s="116">
        <v>1.86891701594298</v>
      </c>
      <c r="C295" s="116">
        <v>1.74062694959435</v>
      </c>
      <c r="D295" s="116">
        <v>1.6709385184913901</v>
      </c>
      <c r="E295" s="116">
        <v>1.86891701594298</v>
      </c>
      <c r="F295" s="116">
        <v>109.9</v>
      </c>
      <c r="G295">
        <v>3542</v>
      </c>
      <c r="H295" s="116"/>
      <c r="I295" s="116"/>
      <c r="L295" s="170">
        <v>45930</v>
      </c>
      <c r="M295" s="116">
        <v>174.35</v>
      </c>
      <c r="N295" s="116">
        <v>179.69</v>
      </c>
      <c r="O295" s="116">
        <v>171.3</v>
      </c>
      <c r="P295" s="116">
        <v>178</v>
      </c>
      <c r="Q295" s="116">
        <v>174.35</v>
      </c>
      <c r="R295">
        <v>2485443</v>
      </c>
    </row>
    <row r="296" spans="1:18" x14ac:dyDescent="0.25">
      <c r="A296" s="170">
        <v>42433</v>
      </c>
      <c r="B296" s="116">
        <v>1.8182345205953701</v>
      </c>
      <c r="C296" s="116">
        <v>1.7263724977778401</v>
      </c>
      <c r="D296" s="116">
        <v>1.65510023869527</v>
      </c>
      <c r="E296" s="116">
        <v>1.8182345205953701</v>
      </c>
      <c r="F296" s="116">
        <v>109</v>
      </c>
      <c r="G296">
        <v>805</v>
      </c>
      <c r="H296" s="116"/>
      <c r="I296" s="116"/>
      <c r="L296" s="170">
        <v>45931</v>
      </c>
      <c r="M296" s="116">
        <v>181.25</v>
      </c>
      <c r="N296" s="116">
        <v>182.48</v>
      </c>
      <c r="O296" s="116">
        <v>174.05</v>
      </c>
      <c r="P296" s="116">
        <v>174.85</v>
      </c>
      <c r="Q296" s="116">
        <v>181.25</v>
      </c>
      <c r="R296">
        <v>2883593</v>
      </c>
    </row>
    <row r="297" spans="1:18" x14ac:dyDescent="0.25">
      <c r="A297" s="170">
        <v>42437</v>
      </c>
      <c r="B297" s="116">
        <v>1.7564652293904801</v>
      </c>
      <c r="C297" s="116">
        <v>1.6820253143486801</v>
      </c>
      <c r="D297" s="116">
        <v>1.67410617445062</v>
      </c>
      <c r="E297" s="116">
        <v>1.71053421798171</v>
      </c>
      <c r="F297" s="116">
        <v>106.2</v>
      </c>
      <c r="G297">
        <v>1685</v>
      </c>
      <c r="H297" s="116"/>
      <c r="I297" s="116"/>
      <c r="L297" s="170">
        <v>45933</v>
      </c>
      <c r="M297" s="116">
        <v>202.29</v>
      </c>
      <c r="N297" s="116">
        <v>211.79</v>
      </c>
      <c r="O297" s="116">
        <v>180</v>
      </c>
      <c r="P297" s="116">
        <v>181.9</v>
      </c>
      <c r="Q297" s="116">
        <v>202.29</v>
      </c>
      <c r="R297">
        <v>26435235</v>
      </c>
    </row>
    <row r="298" spans="1:18" x14ac:dyDescent="0.25">
      <c r="A298" s="170">
        <v>42438</v>
      </c>
      <c r="B298" s="116">
        <v>1.7754711651458299</v>
      </c>
      <c r="C298" s="116">
        <v>1.74062694959435</v>
      </c>
      <c r="D298" s="116">
        <v>1.6471810987972</v>
      </c>
      <c r="E298" s="116">
        <v>1.6471810987972</v>
      </c>
      <c r="F298" s="116">
        <v>109.9</v>
      </c>
      <c r="G298">
        <v>2422</v>
      </c>
      <c r="H298" s="116"/>
      <c r="I298" s="116"/>
      <c r="L298" s="170">
        <v>45936</v>
      </c>
      <c r="M298" s="116">
        <v>211.66</v>
      </c>
      <c r="N298" s="116">
        <v>214.57</v>
      </c>
      <c r="O298" s="116">
        <v>202.36</v>
      </c>
      <c r="P298" s="116">
        <v>204.4</v>
      </c>
      <c r="Q298" s="116">
        <v>211.66</v>
      </c>
      <c r="R298">
        <v>14961612</v>
      </c>
    </row>
    <row r="299" spans="1:18" x14ac:dyDescent="0.25">
      <c r="A299" s="170">
        <v>42439</v>
      </c>
      <c r="B299" s="116">
        <v>1.80556389675847</v>
      </c>
      <c r="C299" s="116">
        <v>1.74062694959435</v>
      </c>
      <c r="D299" s="116">
        <v>1.69944742212442</v>
      </c>
      <c r="E299" s="116">
        <v>1.74379460555358</v>
      </c>
      <c r="F299" s="116">
        <v>109.9</v>
      </c>
      <c r="G299">
        <v>4918</v>
      </c>
      <c r="H299" s="116"/>
      <c r="I299" s="116"/>
      <c r="L299" s="170">
        <v>45937</v>
      </c>
      <c r="M299" s="116">
        <v>207.34</v>
      </c>
      <c r="N299" s="116">
        <v>214.39</v>
      </c>
      <c r="O299" s="116">
        <v>205.55</v>
      </c>
      <c r="P299" s="116">
        <v>212</v>
      </c>
      <c r="Q299" s="116">
        <v>207.34</v>
      </c>
      <c r="R299">
        <v>5779397</v>
      </c>
    </row>
    <row r="300" spans="1:18" x14ac:dyDescent="0.25">
      <c r="A300" s="170">
        <v>42440</v>
      </c>
      <c r="B300" s="116">
        <v>1.7723035091866099</v>
      </c>
      <c r="C300" s="116">
        <v>1.6931121102059701</v>
      </c>
      <c r="D300" s="116">
        <v>1.6788576583894601</v>
      </c>
      <c r="E300" s="116">
        <v>1.7723035091866099</v>
      </c>
      <c r="F300" s="116">
        <v>106.9</v>
      </c>
      <c r="G300">
        <v>1690</v>
      </c>
      <c r="H300" s="116"/>
      <c r="I300" s="116"/>
      <c r="L300" s="170">
        <v>45938</v>
      </c>
      <c r="M300" s="116">
        <v>202.59</v>
      </c>
      <c r="N300" s="116">
        <v>212.36</v>
      </c>
      <c r="O300" s="116">
        <v>197.5</v>
      </c>
      <c r="P300" s="116">
        <v>208.75</v>
      </c>
      <c r="Q300" s="116">
        <v>202.59</v>
      </c>
      <c r="R300">
        <v>5569101</v>
      </c>
    </row>
    <row r="301" spans="1:18" x14ac:dyDescent="0.25">
      <c r="A301" s="170">
        <v>42443</v>
      </c>
      <c r="B301" s="116">
        <v>1.7675520252477701</v>
      </c>
      <c r="C301" s="116">
        <v>1.7263724977778401</v>
      </c>
      <c r="D301" s="116">
        <v>1.71686952990016</v>
      </c>
      <c r="E301" s="116">
        <v>1.75488140141087</v>
      </c>
      <c r="F301" s="116">
        <v>109</v>
      </c>
      <c r="G301">
        <v>5615</v>
      </c>
      <c r="H301" s="116"/>
      <c r="I301" s="116"/>
      <c r="L301" s="170">
        <v>45939</v>
      </c>
      <c r="M301" s="116">
        <v>207.23</v>
      </c>
      <c r="N301" s="116">
        <v>207.81</v>
      </c>
      <c r="O301" s="116">
        <v>200.42</v>
      </c>
      <c r="P301" s="116">
        <v>203.2</v>
      </c>
      <c r="Q301" s="116">
        <v>207.23</v>
      </c>
      <c r="R301">
        <v>5611320</v>
      </c>
    </row>
    <row r="302" spans="1:18" x14ac:dyDescent="0.25">
      <c r="A302" s="170">
        <v>42444</v>
      </c>
      <c r="B302" s="116">
        <v>1.71053421798171</v>
      </c>
      <c r="C302" s="116">
        <v>1.71053421798171</v>
      </c>
      <c r="D302" s="116">
        <v>1.71053421798171</v>
      </c>
      <c r="E302" s="116">
        <v>1.71053421798171</v>
      </c>
      <c r="F302" s="116">
        <v>108</v>
      </c>
      <c r="G302">
        <v>810</v>
      </c>
      <c r="H302" s="116"/>
      <c r="I302" s="116"/>
      <c r="L302" s="170">
        <v>45940</v>
      </c>
      <c r="M302" s="116">
        <v>203.82</v>
      </c>
      <c r="N302" s="116">
        <v>215</v>
      </c>
      <c r="O302" s="116">
        <v>202.03</v>
      </c>
      <c r="P302" s="116">
        <v>208.8</v>
      </c>
      <c r="Q302" s="116">
        <v>203.82</v>
      </c>
      <c r="R302">
        <v>7289661</v>
      </c>
    </row>
    <row r="303" spans="1:18" x14ac:dyDescent="0.25">
      <c r="A303" s="170">
        <v>42445</v>
      </c>
      <c r="B303" s="116">
        <v>1.7422107775739599</v>
      </c>
      <c r="C303" s="116">
        <v>1.7422107775739599</v>
      </c>
      <c r="D303" s="116">
        <v>1.68836062626713</v>
      </c>
      <c r="E303" s="116">
        <v>1.70261507808365</v>
      </c>
      <c r="F303" s="116">
        <v>110</v>
      </c>
      <c r="G303">
        <v>582</v>
      </c>
      <c r="H303" s="116"/>
      <c r="I303" s="116"/>
      <c r="L303" s="170">
        <v>45943</v>
      </c>
      <c r="M303" s="116">
        <v>190.49</v>
      </c>
      <c r="N303" s="116">
        <v>203.38</v>
      </c>
      <c r="O303" s="116">
        <v>189.1</v>
      </c>
      <c r="P303" s="116">
        <v>203</v>
      </c>
      <c r="Q303" s="116">
        <v>190.49</v>
      </c>
      <c r="R303">
        <v>6327558</v>
      </c>
    </row>
    <row r="304" spans="1:18" x14ac:dyDescent="0.25">
      <c r="A304" s="170">
        <v>42446</v>
      </c>
      <c r="B304" s="116">
        <v>1.7897256169623501</v>
      </c>
      <c r="C304" s="116">
        <v>1.71686952990016</v>
      </c>
      <c r="D304" s="116">
        <v>1.69944742212442</v>
      </c>
      <c r="E304" s="116">
        <v>1.7121180459613199</v>
      </c>
      <c r="F304" s="116">
        <v>108.4</v>
      </c>
      <c r="G304">
        <v>2006</v>
      </c>
      <c r="H304" s="116"/>
      <c r="I304" s="116"/>
      <c r="L304" s="170">
        <v>45944</v>
      </c>
      <c r="M304" s="116">
        <v>182.71</v>
      </c>
      <c r="N304" s="116">
        <v>193.38</v>
      </c>
      <c r="O304" s="116">
        <v>182.12</v>
      </c>
      <c r="P304" s="116">
        <v>192</v>
      </c>
      <c r="Q304" s="116">
        <v>182.71</v>
      </c>
      <c r="R304">
        <v>3972895</v>
      </c>
    </row>
    <row r="305" spans="1:18" x14ac:dyDescent="0.25">
      <c r="A305" s="170">
        <v>42447</v>
      </c>
      <c r="B305" s="116">
        <v>1.7818064770642801</v>
      </c>
      <c r="C305" s="116">
        <v>1.70578273404287</v>
      </c>
      <c r="D305" s="116">
        <v>1.7041989060632601</v>
      </c>
      <c r="E305" s="116">
        <v>1.7422107775739599</v>
      </c>
      <c r="F305" s="116">
        <v>107.7</v>
      </c>
      <c r="G305">
        <v>1799</v>
      </c>
      <c r="H305" s="116"/>
      <c r="I305" s="116"/>
      <c r="L305" s="170">
        <v>45945</v>
      </c>
      <c r="M305" s="116">
        <v>194.73</v>
      </c>
      <c r="N305" s="116">
        <v>197.8</v>
      </c>
      <c r="O305" s="116">
        <v>182.5</v>
      </c>
      <c r="P305" s="116">
        <v>184.09</v>
      </c>
      <c r="Q305" s="116">
        <v>194.73</v>
      </c>
      <c r="R305">
        <v>7349333</v>
      </c>
    </row>
    <row r="306" spans="1:18" x14ac:dyDescent="0.25">
      <c r="A306" s="170">
        <v>42450</v>
      </c>
      <c r="B306" s="116">
        <v>1.7422107775739599</v>
      </c>
      <c r="C306" s="116">
        <v>1.6820253143486801</v>
      </c>
      <c r="D306" s="116">
        <v>1.62500750708262</v>
      </c>
      <c r="E306" s="116">
        <v>1.69469593818558</v>
      </c>
      <c r="F306" s="116">
        <v>106.2</v>
      </c>
      <c r="G306">
        <v>2192</v>
      </c>
      <c r="H306" s="116"/>
      <c r="I306" s="116"/>
      <c r="L306" s="170">
        <v>45946</v>
      </c>
      <c r="M306" s="116">
        <v>198.32</v>
      </c>
      <c r="N306" s="116">
        <v>201.4</v>
      </c>
      <c r="O306" s="116">
        <v>193.7</v>
      </c>
      <c r="P306" s="116">
        <v>196</v>
      </c>
      <c r="Q306" s="116">
        <v>198.32</v>
      </c>
      <c r="R306">
        <v>5370864</v>
      </c>
    </row>
    <row r="307" spans="1:18" x14ac:dyDescent="0.25">
      <c r="A307" s="170">
        <v>42451</v>
      </c>
      <c r="B307" s="116">
        <v>1.80556389675847</v>
      </c>
      <c r="C307" s="116">
        <v>1.7754711651458299</v>
      </c>
      <c r="D307" s="116">
        <v>1.71053421798171</v>
      </c>
      <c r="E307" s="116">
        <v>1.71053421798171</v>
      </c>
      <c r="F307" s="116">
        <v>112.1</v>
      </c>
      <c r="G307">
        <v>5686</v>
      </c>
      <c r="H307" s="116"/>
      <c r="I307" s="116"/>
      <c r="L307" s="170">
        <v>45947</v>
      </c>
      <c r="M307" s="116">
        <v>190.6</v>
      </c>
      <c r="N307" s="116">
        <v>199.22</v>
      </c>
      <c r="O307" s="116">
        <v>190</v>
      </c>
      <c r="P307" s="116">
        <v>198.32</v>
      </c>
      <c r="Q307" s="116">
        <v>190.6</v>
      </c>
      <c r="R307">
        <v>3745396</v>
      </c>
    </row>
    <row r="308" spans="1:18" x14ac:dyDescent="0.25">
      <c r="A308" s="170">
        <v>42452</v>
      </c>
      <c r="B308" s="116">
        <v>1.7976447568604099</v>
      </c>
      <c r="C308" s="116">
        <v>1.7897256169623501</v>
      </c>
      <c r="D308" s="116">
        <v>1.71053421798171</v>
      </c>
      <c r="E308" s="116">
        <v>1.7976447568604099</v>
      </c>
      <c r="F308" s="116">
        <v>113</v>
      </c>
      <c r="G308">
        <v>2339</v>
      </c>
      <c r="H308" s="116"/>
      <c r="I308" s="116"/>
      <c r="L308" s="170">
        <v>45950</v>
      </c>
      <c r="M308" s="116">
        <v>174.58</v>
      </c>
      <c r="N308" s="116">
        <v>179.77</v>
      </c>
      <c r="O308" s="116">
        <v>160.5</v>
      </c>
      <c r="P308" s="116">
        <v>179.34</v>
      </c>
      <c r="Q308" s="116">
        <v>174.58</v>
      </c>
      <c r="R308">
        <v>21008966</v>
      </c>
    </row>
    <row r="309" spans="1:18" x14ac:dyDescent="0.25">
      <c r="A309" s="170">
        <v>42457</v>
      </c>
      <c r="B309" s="116">
        <v>1.97978497451587</v>
      </c>
      <c r="C309" s="116">
        <v>1.90217740351485</v>
      </c>
      <c r="D309" s="116">
        <v>1.71053421798171</v>
      </c>
      <c r="E309" s="116">
        <v>1.8214021765546</v>
      </c>
      <c r="F309" s="116">
        <v>120.1</v>
      </c>
      <c r="G309">
        <v>14249</v>
      </c>
      <c r="H309" s="116"/>
      <c r="I309" s="116"/>
      <c r="L309" s="170">
        <v>45951</v>
      </c>
      <c r="M309" s="116">
        <v>181.82</v>
      </c>
      <c r="N309" s="116">
        <v>182.7</v>
      </c>
      <c r="O309" s="116">
        <v>175.77</v>
      </c>
      <c r="P309" s="116">
        <v>175.88</v>
      </c>
      <c r="Q309" s="116">
        <v>181.82</v>
      </c>
      <c r="R309">
        <v>2890568</v>
      </c>
    </row>
    <row r="310" spans="1:18" x14ac:dyDescent="0.25">
      <c r="A310" s="170">
        <v>42458</v>
      </c>
      <c r="B310" s="116">
        <v>2.1001559009664299</v>
      </c>
      <c r="C310" s="116">
        <v>2.0447219216799901</v>
      </c>
      <c r="D310" s="116">
        <v>1.8039800687788601</v>
      </c>
      <c r="E310" s="116">
        <v>1.9005935755352299</v>
      </c>
      <c r="F310" s="116">
        <v>129.1</v>
      </c>
      <c r="G310">
        <v>10099</v>
      </c>
      <c r="H310" s="116"/>
      <c r="I310" s="116"/>
      <c r="L310" s="170">
        <v>45953</v>
      </c>
      <c r="M310" s="116">
        <v>180.4</v>
      </c>
      <c r="N310" s="116">
        <v>188.89</v>
      </c>
      <c r="O310" s="116">
        <v>177.5</v>
      </c>
      <c r="P310" s="116">
        <v>183</v>
      </c>
      <c r="Q310" s="116">
        <v>180.4</v>
      </c>
      <c r="R310">
        <v>6329041</v>
      </c>
    </row>
    <row r="311" spans="1:18" x14ac:dyDescent="0.25">
      <c r="A311" s="170">
        <v>42459</v>
      </c>
      <c r="B311" s="116">
        <v>2.1381677724771402</v>
      </c>
      <c r="C311" s="116">
        <v>1.93227013512749</v>
      </c>
      <c r="D311" s="116">
        <v>1.92435099522942</v>
      </c>
      <c r="E311" s="116">
        <v>1.97978497451587</v>
      </c>
      <c r="F311" s="116">
        <v>122</v>
      </c>
      <c r="G311">
        <v>4041</v>
      </c>
      <c r="H311" s="116"/>
      <c r="I311" s="116"/>
      <c r="L311" s="170">
        <v>45954</v>
      </c>
      <c r="M311" s="116">
        <v>179.47</v>
      </c>
      <c r="N311" s="116">
        <v>183.46</v>
      </c>
      <c r="O311" s="116">
        <v>178.59</v>
      </c>
      <c r="P311" s="116">
        <v>180.35</v>
      </c>
      <c r="Q311" s="116">
        <v>179.47</v>
      </c>
      <c r="R311">
        <v>2356523</v>
      </c>
    </row>
    <row r="312" spans="1:18" x14ac:dyDescent="0.25">
      <c r="A312" s="170">
        <v>42460</v>
      </c>
      <c r="B312" s="116">
        <v>1.9924555983527701</v>
      </c>
      <c r="C312" s="116">
        <v>1.97661731855664</v>
      </c>
      <c r="D312" s="116">
        <v>1.8895067796779399</v>
      </c>
      <c r="E312" s="116">
        <v>1.9639466947197399</v>
      </c>
      <c r="F312" s="116">
        <v>124.8</v>
      </c>
      <c r="G312">
        <v>1190</v>
      </c>
      <c r="H312" s="116"/>
      <c r="I312" s="116"/>
      <c r="L312" s="170">
        <v>45957</v>
      </c>
      <c r="M312" s="116">
        <v>173.5</v>
      </c>
      <c r="N312" s="116">
        <v>179.2</v>
      </c>
      <c r="O312" s="116">
        <v>172.61</v>
      </c>
      <c r="P312" s="116">
        <v>179.2</v>
      </c>
      <c r="Q312" s="116">
        <v>173.5</v>
      </c>
      <c r="R312">
        <v>3660992</v>
      </c>
    </row>
    <row r="313" spans="1:18" x14ac:dyDescent="0.25">
      <c r="A313" s="170">
        <v>42461</v>
      </c>
      <c r="B313" s="116">
        <v>1.97978497451587</v>
      </c>
      <c r="C313" s="116">
        <v>1.9782011465362599</v>
      </c>
      <c r="D313" s="116">
        <v>1.8293213164526601</v>
      </c>
      <c r="E313" s="116">
        <v>1.8293213164526601</v>
      </c>
      <c r="F313" s="116">
        <v>124.9</v>
      </c>
      <c r="G313">
        <v>1185</v>
      </c>
      <c r="H313" s="116"/>
      <c r="I313" s="116"/>
      <c r="L313" s="170">
        <v>45958</v>
      </c>
      <c r="M313" s="116">
        <v>173.46</v>
      </c>
      <c r="N313" s="116">
        <v>175.5</v>
      </c>
      <c r="O313" s="116">
        <v>172.15</v>
      </c>
      <c r="P313" s="116">
        <v>173.61</v>
      </c>
      <c r="Q313" s="116">
        <v>173.46</v>
      </c>
      <c r="R313">
        <v>1618147</v>
      </c>
    </row>
    <row r="314" spans="1:18" x14ac:dyDescent="0.25">
      <c r="A314" s="170">
        <v>42465</v>
      </c>
      <c r="B314" s="116">
        <v>2.1999370636820301</v>
      </c>
      <c r="C314" s="116">
        <v>2.1730119880286201</v>
      </c>
      <c r="D314" s="116">
        <v>1.9639466947197399</v>
      </c>
      <c r="E314" s="116">
        <v>1.9639466947197399</v>
      </c>
      <c r="F314" s="116">
        <v>137.19999999999999</v>
      </c>
      <c r="G314">
        <v>10875</v>
      </c>
      <c r="H314" s="116"/>
      <c r="I314" s="116"/>
      <c r="L314" s="170">
        <v>45959</v>
      </c>
      <c r="M314" s="116">
        <v>178.05</v>
      </c>
      <c r="N314" s="116">
        <v>181.5</v>
      </c>
      <c r="O314" s="116">
        <v>172.26</v>
      </c>
      <c r="P314" s="116">
        <v>173.46</v>
      </c>
      <c r="Q314" s="116">
        <v>178.05</v>
      </c>
      <c r="R314">
        <v>2636548</v>
      </c>
    </row>
    <row r="315" spans="1:18" x14ac:dyDescent="0.25">
      <c r="A315" s="170">
        <v>42466</v>
      </c>
      <c r="B315" s="116">
        <v>2.3915802492151701</v>
      </c>
      <c r="C315" s="116">
        <v>2.3408977538675599</v>
      </c>
      <c r="D315" s="116">
        <v>2.0843176211703098</v>
      </c>
      <c r="E315" s="116">
        <v>2.0843176211703098</v>
      </c>
      <c r="F315" s="116">
        <v>147.80000000000001</v>
      </c>
      <c r="G315">
        <v>15954</v>
      </c>
      <c r="H315" s="116"/>
      <c r="I315" s="116"/>
      <c r="L315" s="170">
        <v>45960</v>
      </c>
      <c r="M315" s="116">
        <v>175.23</v>
      </c>
      <c r="N315" s="116">
        <v>178.94</v>
      </c>
      <c r="O315" s="116">
        <v>174.1</v>
      </c>
      <c r="P315" s="116">
        <v>178.94</v>
      </c>
      <c r="Q315" s="116">
        <v>175.23</v>
      </c>
      <c r="R315">
        <v>1083249</v>
      </c>
    </row>
    <row r="316" spans="1:18" x14ac:dyDescent="0.25">
      <c r="A316" s="170">
        <v>42467</v>
      </c>
      <c r="B316" s="116">
        <v>2.4058347010316798</v>
      </c>
      <c r="C316" s="116">
        <v>2.30130205437725</v>
      </c>
      <c r="D316" s="116">
        <v>2.24903573105003</v>
      </c>
      <c r="E316" s="116">
        <v>2.3408977538675599</v>
      </c>
      <c r="F316" s="116">
        <v>145.30000000000001</v>
      </c>
      <c r="G316">
        <v>4187</v>
      </c>
      <c r="H316" s="116"/>
      <c r="I316" s="116"/>
      <c r="L316" s="170">
        <v>45961</v>
      </c>
      <c r="M316" s="116">
        <v>171.55</v>
      </c>
      <c r="N316" s="116">
        <v>176.25</v>
      </c>
      <c r="O316" s="116">
        <v>170.82</v>
      </c>
      <c r="P316" s="116">
        <v>175</v>
      </c>
      <c r="Q316" s="116">
        <v>171.55</v>
      </c>
      <c r="R316">
        <v>1062030</v>
      </c>
    </row>
    <row r="317" spans="1:18" x14ac:dyDescent="0.25">
      <c r="A317" s="170">
        <v>42468</v>
      </c>
      <c r="B317" s="116">
        <v>2.3994993891132301</v>
      </c>
      <c r="C317" s="116">
        <v>2.26804166680538</v>
      </c>
      <c r="D317" s="116">
        <v>2.26487401084615</v>
      </c>
      <c r="E317" s="116">
        <v>2.2807122906422799</v>
      </c>
      <c r="F317" s="116">
        <v>143.19999999999999</v>
      </c>
      <c r="G317">
        <v>533</v>
      </c>
      <c r="H317" s="116"/>
      <c r="I317" s="116"/>
      <c r="L317" s="170">
        <v>45964</v>
      </c>
      <c r="M317" s="116">
        <v>169.1</v>
      </c>
      <c r="N317" s="116">
        <v>172.5</v>
      </c>
      <c r="O317" s="116">
        <v>168.59</v>
      </c>
      <c r="P317" s="116">
        <v>171.99</v>
      </c>
      <c r="Q317" s="116">
        <v>169.1</v>
      </c>
      <c r="R317">
        <v>1531129</v>
      </c>
    </row>
    <row r="318" spans="1:18" x14ac:dyDescent="0.25">
      <c r="A318" s="170">
        <v>42471</v>
      </c>
      <c r="B318" s="116">
        <v>2.24903573105003</v>
      </c>
      <c r="C318" s="116">
        <v>2.2078562035800999</v>
      </c>
      <c r="D318" s="116">
        <v>2.1492545683344302</v>
      </c>
      <c r="E318" s="116">
        <v>2.1571737082324902</v>
      </c>
      <c r="F318" s="116">
        <v>139.4</v>
      </c>
      <c r="G318">
        <v>802</v>
      </c>
      <c r="H318" s="116"/>
      <c r="I318" s="116"/>
      <c r="L318" s="170">
        <v>45965</v>
      </c>
      <c r="M318" s="116">
        <v>167.87</v>
      </c>
      <c r="N318" s="116">
        <v>171.29</v>
      </c>
      <c r="O318" s="116">
        <v>166.5</v>
      </c>
      <c r="P318" s="116">
        <v>169.9</v>
      </c>
      <c r="Q318" s="116">
        <v>167.87</v>
      </c>
      <c r="R318">
        <v>1088570</v>
      </c>
    </row>
    <row r="319" spans="1:18" x14ac:dyDescent="0.25">
      <c r="A319" s="170">
        <v>42472</v>
      </c>
      <c r="B319" s="116">
        <v>2.34248158184718</v>
      </c>
      <c r="C319" s="116">
        <v>2.2284459673150598</v>
      </c>
      <c r="D319" s="116">
        <v>2.11282652480334</v>
      </c>
      <c r="E319" s="116">
        <v>2.11282652480334</v>
      </c>
      <c r="F319" s="116">
        <v>140.69999999999999</v>
      </c>
      <c r="G319">
        <v>3721</v>
      </c>
      <c r="H319" s="116"/>
      <c r="I319" s="116"/>
      <c r="L319" s="170">
        <v>45967</v>
      </c>
      <c r="M319" s="116">
        <v>162.24</v>
      </c>
      <c r="N319" s="116">
        <v>168.44</v>
      </c>
      <c r="O319" s="116">
        <v>161.56</v>
      </c>
      <c r="P319" s="116">
        <v>168</v>
      </c>
      <c r="Q319" s="116">
        <v>162.24</v>
      </c>
      <c r="R319">
        <v>1387163</v>
      </c>
    </row>
    <row r="320" spans="1:18" x14ac:dyDescent="0.25">
      <c r="A320" s="170">
        <v>42473</v>
      </c>
      <c r="B320" s="116">
        <v>2.2617063548869298</v>
      </c>
      <c r="C320" s="116">
        <v>2.1840987838859101</v>
      </c>
      <c r="D320" s="116">
        <v>2.1635090201509399</v>
      </c>
      <c r="E320" s="116">
        <v>2.2173591714577698</v>
      </c>
      <c r="F320" s="116">
        <v>137.9</v>
      </c>
      <c r="G320">
        <v>7142</v>
      </c>
      <c r="H320" s="116"/>
      <c r="I320" s="116"/>
      <c r="L320" s="170">
        <v>45968</v>
      </c>
      <c r="M320" s="116">
        <v>162.69</v>
      </c>
      <c r="N320" s="116">
        <v>164.02</v>
      </c>
      <c r="O320" s="116">
        <v>160.1</v>
      </c>
      <c r="P320" s="116">
        <v>161.94999999999999</v>
      </c>
      <c r="Q320" s="116">
        <v>162.69</v>
      </c>
      <c r="R320">
        <v>1360722</v>
      </c>
    </row>
    <row r="321" spans="1:18" x14ac:dyDescent="0.25">
      <c r="A321" s="170">
        <v>42478</v>
      </c>
      <c r="B321" s="116">
        <v>2.2173591714577698</v>
      </c>
      <c r="C321" s="116">
        <v>2.1350001165179102</v>
      </c>
      <c r="D321" s="116">
        <v>2.1064912128848801</v>
      </c>
      <c r="E321" s="116">
        <v>2.2173591714577698</v>
      </c>
      <c r="F321" s="116">
        <v>134.80000000000001</v>
      </c>
      <c r="G321">
        <v>2399</v>
      </c>
      <c r="H321" s="116"/>
      <c r="I321" s="116"/>
      <c r="L321" s="170">
        <v>45971</v>
      </c>
      <c r="M321" s="116">
        <v>160.74</v>
      </c>
      <c r="N321" s="116">
        <v>164.59</v>
      </c>
      <c r="O321" s="116">
        <v>160.05000000000001</v>
      </c>
      <c r="P321" s="116">
        <v>163</v>
      </c>
      <c r="Q321" s="116">
        <v>160.74</v>
      </c>
      <c r="R321">
        <v>1121890</v>
      </c>
    </row>
    <row r="322" spans="1:18" x14ac:dyDescent="0.25">
      <c r="A322" s="170">
        <v>42480</v>
      </c>
      <c r="B322" s="116">
        <v>2.4913614119307699</v>
      </c>
      <c r="C322" s="116">
        <v>2.4311759487054898</v>
      </c>
      <c r="D322" s="116">
        <v>2.1381677724771402</v>
      </c>
      <c r="E322" s="116">
        <v>2.2205268274169998</v>
      </c>
      <c r="F322" s="116">
        <v>153.5</v>
      </c>
      <c r="G322">
        <v>41054</v>
      </c>
      <c r="H322" s="116"/>
      <c r="I322" s="116"/>
      <c r="L322" s="170">
        <v>45972</v>
      </c>
      <c r="M322" s="116">
        <v>164.61</v>
      </c>
      <c r="N322" s="116">
        <v>167</v>
      </c>
      <c r="O322" s="116">
        <v>160</v>
      </c>
      <c r="P322" s="116">
        <v>160</v>
      </c>
      <c r="Q322" s="116">
        <v>164.61</v>
      </c>
      <c r="R322">
        <v>1512588</v>
      </c>
    </row>
    <row r="323" spans="1:18" x14ac:dyDescent="0.25">
      <c r="A323" s="170">
        <v>42481</v>
      </c>
      <c r="B323" s="116">
        <v>2.4549333683996801</v>
      </c>
      <c r="C323" s="116">
        <v>2.3994993891132301</v>
      </c>
      <c r="D323" s="116">
        <v>2.3678228295209802</v>
      </c>
      <c r="E323" s="116">
        <v>2.4216729808278101</v>
      </c>
      <c r="F323" s="116">
        <v>151.5</v>
      </c>
      <c r="G323">
        <v>13140</v>
      </c>
      <c r="H323" s="116"/>
      <c r="I323" s="116"/>
      <c r="L323" s="170">
        <v>45973</v>
      </c>
      <c r="M323" s="116">
        <v>164.43</v>
      </c>
      <c r="N323" s="116">
        <v>168.25</v>
      </c>
      <c r="O323" s="116">
        <v>163.91</v>
      </c>
      <c r="P323" s="116">
        <v>165.65</v>
      </c>
      <c r="Q323" s="116">
        <v>164.43</v>
      </c>
      <c r="R323">
        <v>1062873</v>
      </c>
    </row>
    <row r="324" spans="1:18" x14ac:dyDescent="0.25">
      <c r="A324" s="170">
        <v>42482</v>
      </c>
      <c r="B324" s="116">
        <v>2.4280082927462598</v>
      </c>
      <c r="C324" s="116">
        <v>2.3044697103364702</v>
      </c>
      <c r="D324" s="116">
        <v>2.2807122906422799</v>
      </c>
      <c r="E324" s="116">
        <v>2.4074185290112999</v>
      </c>
      <c r="F324" s="116">
        <v>145.5</v>
      </c>
      <c r="G324">
        <v>7088</v>
      </c>
      <c r="H324" s="116"/>
      <c r="I324" s="116"/>
      <c r="L324" s="170">
        <v>45974</v>
      </c>
      <c r="M324" s="116">
        <v>162.29</v>
      </c>
      <c r="N324" s="116">
        <v>166.32</v>
      </c>
      <c r="O324" s="116">
        <v>161.72999999999999</v>
      </c>
      <c r="P324" s="116">
        <v>164.9</v>
      </c>
      <c r="Q324" s="116">
        <v>162.29</v>
      </c>
      <c r="R324">
        <v>815112</v>
      </c>
    </row>
    <row r="325" spans="1:18" x14ac:dyDescent="0.25">
      <c r="A325" s="170">
        <v>42485</v>
      </c>
      <c r="B325" s="116">
        <v>2.3440654098267899</v>
      </c>
      <c r="C325" s="116">
        <v>2.33139478598989</v>
      </c>
      <c r="D325" s="116">
        <v>2.20468854762087</v>
      </c>
      <c r="E325" s="116">
        <v>2.2506195590296398</v>
      </c>
      <c r="F325" s="116">
        <v>147.19999999999999</v>
      </c>
      <c r="G325">
        <v>4533</v>
      </c>
      <c r="H325" s="116"/>
      <c r="I325" s="116"/>
      <c r="L325" s="170">
        <v>45975</v>
      </c>
      <c r="M325" s="116">
        <v>164.07</v>
      </c>
      <c r="N325" s="116">
        <v>167.19</v>
      </c>
      <c r="O325" s="116">
        <v>162.13</v>
      </c>
      <c r="P325" s="116">
        <v>162.29</v>
      </c>
      <c r="Q325" s="116">
        <v>164.07</v>
      </c>
      <c r="R325">
        <v>1079422</v>
      </c>
    </row>
    <row r="326" spans="1:18" x14ac:dyDescent="0.25">
      <c r="A326" s="170">
        <v>42486</v>
      </c>
      <c r="B326" s="116">
        <v>2.4200891528481998</v>
      </c>
      <c r="C326" s="116">
        <v>2.2506195590296398</v>
      </c>
      <c r="D326" s="116">
        <v>2.1413354284363599</v>
      </c>
      <c r="E326" s="116">
        <v>2.1413354284363599</v>
      </c>
      <c r="F326" s="116">
        <v>142.1</v>
      </c>
      <c r="G326">
        <v>3165</v>
      </c>
      <c r="H326" s="116"/>
      <c r="I326" s="116"/>
      <c r="L326" s="170">
        <v>45978</v>
      </c>
      <c r="M326" s="116">
        <v>161.66</v>
      </c>
      <c r="N326" s="116">
        <v>165.8</v>
      </c>
      <c r="O326" s="116">
        <v>161.01</v>
      </c>
      <c r="P326" s="116">
        <v>164.49</v>
      </c>
      <c r="Q326" s="116">
        <v>161.66</v>
      </c>
      <c r="R326">
        <v>726316</v>
      </c>
    </row>
    <row r="327" spans="1:18" x14ac:dyDescent="0.25">
      <c r="A327" s="170">
        <v>42487</v>
      </c>
      <c r="B327" s="116">
        <v>2.40425087305207</v>
      </c>
      <c r="C327" s="116">
        <v>2.2807122906422799</v>
      </c>
      <c r="D327" s="116">
        <v>2.2553710429684801</v>
      </c>
      <c r="E327" s="116">
        <v>2.2965505704384102</v>
      </c>
      <c r="F327" s="116">
        <v>144</v>
      </c>
      <c r="G327">
        <v>16274</v>
      </c>
      <c r="H327" s="116"/>
      <c r="I327" s="116"/>
      <c r="L327" s="170">
        <v>45979</v>
      </c>
      <c r="M327" s="116">
        <v>160.69999999999999</v>
      </c>
      <c r="N327" s="116">
        <v>162.29</v>
      </c>
      <c r="O327" s="116">
        <v>159.36000000000001</v>
      </c>
      <c r="P327" s="116">
        <v>162</v>
      </c>
      <c r="Q327" s="116">
        <v>160.69999999999999</v>
      </c>
      <c r="R327">
        <v>887243</v>
      </c>
    </row>
    <row r="328" spans="1:18" x14ac:dyDescent="0.25">
      <c r="A328" s="170">
        <v>42488</v>
      </c>
      <c r="B328" s="116">
        <v>2.3915802492151701</v>
      </c>
      <c r="C328" s="116">
        <v>2.1967694077228099</v>
      </c>
      <c r="D328" s="116">
        <v>2.1540060522732598</v>
      </c>
      <c r="E328" s="116">
        <v>2.3915802492151701</v>
      </c>
      <c r="F328" s="116">
        <v>138.69999999999999</v>
      </c>
      <c r="G328">
        <v>9371</v>
      </c>
      <c r="H328" s="116"/>
      <c r="I328" s="116"/>
      <c r="L328" s="170">
        <v>45980</v>
      </c>
      <c r="M328" s="116">
        <v>157.68</v>
      </c>
      <c r="N328" s="116">
        <v>160.51</v>
      </c>
      <c r="O328" s="116">
        <v>156.97999999999999</v>
      </c>
      <c r="P328" s="116">
        <v>160.51</v>
      </c>
      <c r="Q328" s="116">
        <v>157.68</v>
      </c>
      <c r="R328">
        <v>813479</v>
      </c>
    </row>
    <row r="329" spans="1:18" x14ac:dyDescent="0.25">
      <c r="A329" s="170">
        <v>42489</v>
      </c>
      <c r="B329" s="116">
        <v>2.2617063548869298</v>
      </c>
      <c r="C329" s="116">
        <v>2.2189429994373899</v>
      </c>
      <c r="D329" s="116">
        <v>2.1540060522732598</v>
      </c>
      <c r="E329" s="116">
        <v>2.1540060522732598</v>
      </c>
      <c r="F329" s="116">
        <v>140.1</v>
      </c>
      <c r="G329">
        <v>5067</v>
      </c>
      <c r="H329" s="116"/>
      <c r="I329" s="116"/>
      <c r="L329" s="170">
        <v>45981</v>
      </c>
      <c r="M329" s="116">
        <v>159.33000000000001</v>
      </c>
      <c r="N329" s="116">
        <v>163.35</v>
      </c>
      <c r="O329" s="116">
        <v>157.71</v>
      </c>
      <c r="P329" s="116">
        <v>158</v>
      </c>
      <c r="Q329" s="116">
        <v>159.33000000000001</v>
      </c>
      <c r="R329">
        <v>1197478</v>
      </c>
    </row>
    <row r="330" spans="1:18" x14ac:dyDescent="0.25">
      <c r="A330" s="170">
        <v>42492</v>
      </c>
      <c r="B330" s="116">
        <v>2.2727931507442198</v>
      </c>
      <c r="C330" s="116">
        <v>2.1888502678247401</v>
      </c>
      <c r="D330" s="116">
        <v>2.171428160049</v>
      </c>
      <c r="E330" s="116">
        <v>2.171428160049</v>
      </c>
      <c r="F330" s="116">
        <v>138.19999999999999</v>
      </c>
      <c r="G330">
        <v>1894</v>
      </c>
      <c r="H330" s="116"/>
      <c r="I330" s="116"/>
      <c r="L330" s="170">
        <v>45982</v>
      </c>
      <c r="M330" s="116">
        <v>154.91999999999999</v>
      </c>
      <c r="N330" s="116">
        <v>158.79</v>
      </c>
      <c r="O330" s="116">
        <v>154.15</v>
      </c>
      <c r="P330" s="116">
        <v>158.25</v>
      </c>
      <c r="Q330" s="116">
        <v>154.91999999999999</v>
      </c>
      <c r="R330">
        <v>849280</v>
      </c>
    </row>
    <row r="331" spans="1:18" x14ac:dyDescent="0.25">
      <c r="A331" s="170">
        <v>42493</v>
      </c>
      <c r="B331" s="116">
        <v>2.2807122906422799</v>
      </c>
      <c r="C331" s="116">
        <v>2.2173591714577698</v>
      </c>
      <c r="D331" s="116">
        <v>2.1698443320693901</v>
      </c>
      <c r="E331" s="116">
        <v>2.2458680750908</v>
      </c>
      <c r="F331" s="116">
        <v>140</v>
      </c>
      <c r="G331">
        <v>4621</v>
      </c>
      <c r="H331" s="116"/>
      <c r="I331" s="116"/>
      <c r="L331" s="170">
        <v>45985</v>
      </c>
      <c r="M331" s="116">
        <v>149.93</v>
      </c>
      <c r="N331" s="116">
        <v>155.99</v>
      </c>
      <c r="O331" s="116">
        <v>148</v>
      </c>
      <c r="P331" s="116">
        <v>155.99</v>
      </c>
      <c r="Q331" s="116">
        <v>149.93</v>
      </c>
      <c r="R331">
        <v>1384211</v>
      </c>
    </row>
    <row r="332" spans="1:18" x14ac:dyDescent="0.25">
      <c r="A332" s="170">
        <v>42494</v>
      </c>
      <c r="B332" s="116">
        <v>2.2474519030704099</v>
      </c>
      <c r="C332" s="116">
        <v>2.1571737082324902</v>
      </c>
      <c r="D332" s="116">
        <v>2.1381677724771402</v>
      </c>
      <c r="E332" s="116">
        <v>2.2015208916616502</v>
      </c>
      <c r="F332" s="116">
        <v>136.19999999999999</v>
      </c>
      <c r="G332">
        <v>1330</v>
      </c>
      <c r="H332" s="116"/>
      <c r="I332" s="116"/>
      <c r="L332" s="170">
        <v>45986</v>
      </c>
      <c r="M332" s="116">
        <v>151.21</v>
      </c>
      <c r="N332" s="116">
        <v>154.38</v>
      </c>
      <c r="O332" s="116">
        <v>148.21</v>
      </c>
      <c r="P332" s="116">
        <v>148.81</v>
      </c>
      <c r="Q332" s="116">
        <v>151.21</v>
      </c>
      <c r="R332">
        <v>1297248</v>
      </c>
    </row>
    <row r="333" spans="1:18" x14ac:dyDescent="0.25">
      <c r="A333" s="170">
        <v>42495</v>
      </c>
      <c r="B333" s="116">
        <v>2.22369448337622</v>
      </c>
      <c r="C333" s="116">
        <v>2.1254971486402399</v>
      </c>
      <c r="D333" s="116">
        <v>2.1064912128848801</v>
      </c>
      <c r="E333" s="116">
        <v>2.1460869123752002</v>
      </c>
      <c r="F333" s="116">
        <v>134.19999999999999</v>
      </c>
      <c r="G333">
        <v>2267</v>
      </c>
      <c r="H333" s="116"/>
      <c r="I333" s="116"/>
      <c r="L333" s="170">
        <v>45987</v>
      </c>
      <c r="M333" s="116">
        <v>153.69999999999999</v>
      </c>
      <c r="N333" s="116">
        <v>160</v>
      </c>
      <c r="O333" s="116">
        <v>150</v>
      </c>
      <c r="P333" s="116">
        <v>160</v>
      </c>
      <c r="Q333" s="116">
        <v>153.69999999999999</v>
      </c>
      <c r="R333">
        <v>1657253</v>
      </c>
    </row>
    <row r="334" spans="1:18" x14ac:dyDescent="0.25">
      <c r="A334" s="170">
        <v>42496</v>
      </c>
      <c r="B334" s="116">
        <v>2.1856826118655199</v>
      </c>
      <c r="C334" s="116">
        <v>2.1587575362121001</v>
      </c>
      <c r="D334" s="116">
        <v>2.1223294926810099</v>
      </c>
      <c r="E334" s="116">
        <v>2.1745958160082299</v>
      </c>
      <c r="F334" s="116">
        <v>136.30000000000001</v>
      </c>
      <c r="G334">
        <v>2006</v>
      </c>
      <c r="H334" s="116"/>
      <c r="I334" s="116"/>
      <c r="L334" s="170">
        <v>45988</v>
      </c>
      <c r="M334" s="116">
        <v>154.57</v>
      </c>
      <c r="N334" s="116">
        <v>158.38999999999999</v>
      </c>
      <c r="O334" s="116">
        <v>154</v>
      </c>
      <c r="P334" s="116">
        <v>154.80000000000001</v>
      </c>
      <c r="Q334" s="116">
        <v>154.57</v>
      </c>
      <c r="R334">
        <v>1052212</v>
      </c>
    </row>
    <row r="335" spans="1:18" x14ac:dyDescent="0.25">
      <c r="A335" s="170">
        <v>42499</v>
      </c>
      <c r="B335" s="116">
        <v>2.2300297952946702</v>
      </c>
      <c r="C335" s="116">
        <v>2.1983532357024198</v>
      </c>
      <c r="D335" s="116">
        <v>2.1619251921713301</v>
      </c>
      <c r="E335" s="116">
        <v>2.2284459673150598</v>
      </c>
      <c r="F335" s="116">
        <v>138.80000000000001</v>
      </c>
      <c r="G335">
        <v>1845</v>
      </c>
      <c r="H335" s="116"/>
      <c r="I335" s="116"/>
      <c r="L335" s="170">
        <v>45989</v>
      </c>
      <c r="M335" s="116">
        <v>155.54</v>
      </c>
      <c r="N335" s="116">
        <v>157.5</v>
      </c>
      <c r="O335" s="116">
        <v>151.75</v>
      </c>
      <c r="P335" s="116">
        <v>153.57</v>
      </c>
      <c r="Q335" s="116">
        <v>155.54</v>
      </c>
      <c r="R335">
        <v>752458</v>
      </c>
    </row>
    <row r="336" spans="1:18" x14ac:dyDescent="0.25">
      <c r="A336" s="170">
        <v>42500</v>
      </c>
      <c r="B336" s="116">
        <v>2.2173591714577698</v>
      </c>
      <c r="C336" s="116">
        <v>2.1650928481305498</v>
      </c>
      <c r="D336" s="116">
        <v>2.1381677724771402</v>
      </c>
      <c r="E336" s="116">
        <v>2.2110238595393201</v>
      </c>
      <c r="F336" s="116">
        <v>136.69999999999999</v>
      </c>
      <c r="G336">
        <v>1529</v>
      </c>
      <c r="H336" s="116"/>
      <c r="I336" s="116"/>
      <c r="L336" s="170">
        <v>45992</v>
      </c>
      <c r="M336" s="116">
        <v>156.4</v>
      </c>
      <c r="N336" s="116">
        <v>160.56</v>
      </c>
      <c r="O336" s="116">
        <v>156</v>
      </c>
      <c r="P336" s="116">
        <v>157</v>
      </c>
      <c r="Q336" s="116">
        <v>156.4</v>
      </c>
      <c r="R336">
        <v>1022869</v>
      </c>
    </row>
    <row r="337" spans="1:18" x14ac:dyDescent="0.25">
      <c r="A337" s="170">
        <v>42501</v>
      </c>
      <c r="B337" s="116">
        <v>2.2173591714577698</v>
      </c>
      <c r="C337" s="116">
        <v>2.1872664398451298</v>
      </c>
      <c r="D337" s="116">
        <v>2.06056020147612</v>
      </c>
      <c r="E337" s="116">
        <v>2.13183246055869</v>
      </c>
      <c r="F337" s="116">
        <v>138.1</v>
      </c>
      <c r="G337">
        <v>6603</v>
      </c>
      <c r="H337" s="116"/>
      <c r="I337" s="116"/>
      <c r="L337" s="170">
        <v>45993</v>
      </c>
      <c r="M337" s="116">
        <v>158.71</v>
      </c>
      <c r="N337" s="116">
        <v>159.5</v>
      </c>
      <c r="O337" s="116">
        <v>155.35</v>
      </c>
      <c r="P337" s="116">
        <v>156.15</v>
      </c>
      <c r="Q337" s="116">
        <v>158.71</v>
      </c>
      <c r="R337">
        <v>983282</v>
      </c>
    </row>
    <row r="338" spans="1:18" x14ac:dyDescent="0.25">
      <c r="A338" s="170">
        <v>42502</v>
      </c>
      <c r="B338" s="116">
        <v>2.2015208916616502</v>
      </c>
      <c r="C338" s="116">
        <v>2.1635090201509399</v>
      </c>
      <c r="D338" s="116">
        <v>2.1064912128848801</v>
      </c>
      <c r="E338" s="116">
        <v>2.1080750408645001</v>
      </c>
      <c r="F338" s="116">
        <v>136.6</v>
      </c>
      <c r="G338">
        <v>3307</v>
      </c>
      <c r="H338" s="116"/>
      <c r="I338" s="116"/>
      <c r="L338" s="170">
        <v>45994</v>
      </c>
      <c r="M338" s="116">
        <v>153.05000000000001</v>
      </c>
      <c r="N338" s="116">
        <v>159.38999999999999</v>
      </c>
      <c r="O338" s="116">
        <v>152.19999999999999</v>
      </c>
      <c r="P338" s="116">
        <v>158.99</v>
      </c>
      <c r="Q338" s="116">
        <v>153.05000000000001</v>
      </c>
      <c r="R338">
        <v>901462</v>
      </c>
    </row>
    <row r="339" spans="1:18" x14ac:dyDescent="0.25">
      <c r="A339" s="170">
        <v>42503</v>
      </c>
      <c r="B339" s="116">
        <v>2.1698443320693901</v>
      </c>
      <c r="C339" s="116">
        <v>2.06847934137418</v>
      </c>
      <c r="D339" s="116">
        <v>2.0589763734964999</v>
      </c>
      <c r="E339" s="116">
        <v>2.1144103527829499</v>
      </c>
      <c r="F339" s="116">
        <v>130.6</v>
      </c>
      <c r="G339">
        <v>2936</v>
      </c>
      <c r="H339" s="116"/>
      <c r="I339" s="116"/>
      <c r="L339" s="170">
        <v>45995</v>
      </c>
      <c r="M339" s="116">
        <v>151.18</v>
      </c>
      <c r="N339" s="116">
        <v>154.88</v>
      </c>
      <c r="O339" s="116">
        <v>145.35</v>
      </c>
      <c r="P339" s="116">
        <v>153.19999999999999</v>
      </c>
      <c r="Q339" s="116">
        <v>151.18</v>
      </c>
      <c r="R339">
        <v>1065718</v>
      </c>
    </row>
    <row r="340" spans="1:18" x14ac:dyDescent="0.25">
      <c r="A340" s="170">
        <v>42506</v>
      </c>
      <c r="B340" s="116">
        <v>2.09065293308876</v>
      </c>
      <c r="C340" s="116">
        <v>2.0827337931906902</v>
      </c>
      <c r="D340" s="116">
        <v>1.90217740351485</v>
      </c>
      <c r="E340" s="116">
        <v>1.90217740351485</v>
      </c>
      <c r="F340" s="116">
        <v>131.5</v>
      </c>
      <c r="G340">
        <v>2410</v>
      </c>
      <c r="H340" s="116"/>
      <c r="I340" s="116"/>
      <c r="L340" s="170">
        <v>45996</v>
      </c>
      <c r="M340" s="116">
        <v>147.99</v>
      </c>
      <c r="N340" s="116">
        <v>151.5</v>
      </c>
      <c r="O340" s="116">
        <v>147.19999999999999</v>
      </c>
      <c r="P340" s="116">
        <v>149.99</v>
      </c>
      <c r="Q340" s="116">
        <v>147.99</v>
      </c>
      <c r="R340">
        <v>682168</v>
      </c>
    </row>
    <row r="341" spans="1:18" x14ac:dyDescent="0.25">
      <c r="A341" s="170">
        <v>42507</v>
      </c>
      <c r="B341" s="116">
        <v>2.1223294926810099</v>
      </c>
      <c r="C341" s="116">
        <v>2.0779823092518601</v>
      </c>
      <c r="D341" s="116">
        <v>1.96553052269935</v>
      </c>
      <c r="E341" s="116">
        <v>2.1223294926810099</v>
      </c>
      <c r="F341" s="116">
        <v>131.19999999999999</v>
      </c>
      <c r="G341">
        <v>1998</v>
      </c>
      <c r="H341" s="116"/>
      <c r="I341" s="116"/>
      <c r="L341" s="170">
        <v>45999</v>
      </c>
      <c r="M341" s="116">
        <v>142.5</v>
      </c>
      <c r="N341" s="116">
        <v>150.15</v>
      </c>
      <c r="O341" s="116">
        <v>141</v>
      </c>
      <c r="P341" s="116">
        <v>148.19</v>
      </c>
      <c r="Q341" s="116">
        <v>142.5</v>
      </c>
      <c r="R341">
        <v>1241528</v>
      </c>
    </row>
    <row r="342" spans="1:18" x14ac:dyDescent="0.25">
      <c r="A342" s="170">
        <v>42508</v>
      </c>
      <c r="B342" s="116">
        <v>2.0890691051091399</v>
      </c>
      <c r="C342" s="116">
        <v>2.0510572335984398</v>
      </c>
      <c r="D342" s="116">
        <v>1.9512760708828401</v>
      </c>
      <c r="E342" s="116">
        <v>2.03521895380231</v>
      </c>
      <c r="F342" s="116">
        <v>129.5</v>
      </c>
      <c r="G342">
        <v>3355</v>
      </c>
      <c r="H342" s="116"/>
      <c r="I342" s="116"/>
      <c r="L342" s="170">
        <v>46000</v>
      </c>
      <c r="M342" s="116">
        <v>142.54</v>
      </c>
      <c r="N342" s="116">
        <v>143.75</v>
      </c>
      <c r="O342" s="116">
        <v>136.91999999999999</v>
      </c>
      <c r="P342" s="116">
        <v>140.6</v>
      </c>
      <c r="Q342" s="116">
        <v>142.54</v>
      </c>
      <c r="R342">
        <v>1715012</v>
      </c>
    </row>
    <row r="343" spans="1:18" x14ac:dyDescent="0.25">
      <c r="A343" s="170">
        <v>42509</v>
      </c>
      <c r="B343" s="116">
        <v>2.1223294926810099</v>
      </c>
      <c r="C343" s="116">
        <v>2.0431380937003798</v>
      </c>
      <c r="D343" s="116">
        <v>1.9639466947197399</v>
      </c>
      <c r="E343" s="116">
        <v>2.0843176211703098</v>
      </c>
      <c r="F343" s="116">
        <v>129</v>
      </c>
      <c r="G343">
        <v>3612</v>
      </c>
      <c r="H343" s="116"/>
      <c r="I343" s="116"/>
      <c r="L343" s="170">
        <v>46001</v>
      </c>
      <c r="M343" s="116">
        <v>144.58000000000001</v>
      </c>
      <c r="N343" s="116">
        <v>147.9</v>
      </c>
      <c r="O343" s="116">
        <v>142.62</v>
      </c>
      <c r="P343" s="116">
        <v>143.1</v>
      </c>
      <c r="Q343" s="116">
        <v>144.58000000000001</v>
      </c>
      <c r="R343">
        <v>1528663</v>
      </c>
    </row>
    <row r="344" spans="1:18" x14ac:dyDescent="0.25">
      <c r="A344" s="170">
        <v>42510</v>
      </c>
      <c r="B344" s="116">
        <v>2.05739254551689</v>
      </c>
      <c r="C344" s="116">
        <v>1.97978497451587</v>
      </c>
      <c r="D344" s="116">
        <v>1.97661731855664</v>
      </c>
      <c r="E344" s="116">
        <v>2.0114615341081201</v>
      </c>
      <c r="F344" s="116">
        <v>125</v>
      </c>
      <c r="G344">
        <v>1577</v>
      </c>
      <c r="H344" s="116"/>
      <c r="I344" s="116"/>
      <c r="L344" s="170">
        <v>46002</v>
      </c>
      <c r="M344" s="116">
        <v>147.41</v>
      </c>
      <c r="N344" s="116">
        <v>151.94999999999999</v>
      </c>
      <c r="O344" s="116">
        <v>142.22</v>
      </c>
      <c r="P344" s="116">
        <v>144.63999999999999</v>
      </c>
      <c r="Q344" s="116">
        <v>147.41</v>
      </c>
      <c r="R344">
        <v>1572263</v>
      </c>
    </row>
    <row r="345" spans="1:18" x14ac:dyDescent="0.25">
      <c r="A345" s="170">
        <v>42513</v>
      </c>
      <c r="B345" s="116">
        <v>2.0177968460265698</v>
      </c>
      <c r="C345" s="116">
        <v>1.9663224366891601</v>
      </c>
      <c r="D345" s="116">
        <v>1.96553052269935</v>
      </c>
      <c r="E345" s="116">
        <v>1.995623254312</v>
      </c>
      <c r="F345" s="116">
        <v>124.15</v>
      </c>
      <c r="G345">
        <v>2020</v>
      </c>
      <c r="H345" s="116"/>
      <c r="I345" s="116"/>
      <c r="L345" s="170">
        <v>46003</v>
      </c>
      <c r="M345" s="116">
        <v>152.43</v>
      </c>
      <c r="N345" s="116">
        <v>153.75</v>
      </c>
      <c r="O345" s="116">
        <v>148.09</v>
      </c>
      <c r="P345" s="116">
        <v>148.09</v>
      </c>
      <c r="Q345" s="116">
        <v>152.43</v>
      </c>
      <c r="R345">
        <v>1601556</v>
      </c>
    </row>
    <row r="346" spans="1:18" x14ac:dyDescent="0.25">
      <c r="A346" s="170">
        <v>42514</v>
      </c>
      <c r="B346" s="116">
        <v>2.0098777061285098</v>
      </c>
      <c r="C346" s="116">
        <v>1.9338539631070999</v>
      </c>
      <c r="D346" s="116">
        <v>1.9338539631070999</v>
      </c>
      <c r="E346" s="116">
        <v>1.9639466947197399</v>
      </c>
      <c r="F346" s="116">
        <v>122.1</v>
      </c>
      <c r="G346">
        <v>309</v>
      </c>
      <c r="H346" s="116"/>
      <c r="I346" s="116"/>
      <c r="L346" s="170">
        <v>46006</v>
      </c>
      <c r="M346" s="116">
        <v>153.03</v>
      </c>
      <c r="N346" s="116">
        <v>153.69999999999999</v>
      </c>
      <c r="O346" s="116">
        <v>150.25</v>
      </c>
      <c r="P346" s="116">
        <v>153</v>
      </c>
      <c r="Q346" s="116">
        <v>153.03</v>
      </c>
      <c r="R346">
        <v>946384</v>
      </c>
    </row>
    <row r="347" spans="1:18" x14ac:dyDescent="0.25">
      <c r="A347" s="170">
        <v>42515</v>
      </c>
      <c r="B347" s="116">
        <v>2.0114615341081201</v>
      </c>
      <c r="C347" s="116">
        <v>1.97661731855664</v>
      </c>
      <c r="D347" s="116">
        <v>1.8293213164526601</v>
      </c>
      <c r="E347" s="116">
        <v>1.9045531454842699</v>
      </c>
      <c r="F347" s="116">
        <v>124.8</v>
      </c>
      <c r="G347">
        <v>2946</v>
      </c>
      <c r="H347" s="116"/>
      <c r="I347" s="116"/>
      <c r="L347" s="170">
        <v>46007</v>
      </c>
      <c r="M347" s="116">
        <v>149.72</v>
      </c>
      <c r="N347" s="116">
        <v>153.1</v>
      </c>
      <c r="O347" s="116">
        <v>149.01</v>
      </c>
      <c r="P347" s="116">
        <v>152.25</v>
      </c>
      <c r="Q347" s="116">
        <v>149.72</v>
      </c>
      <c r="R347">
        <v>519728</v>
      </c>
    </row>
    <row r="348" spans="1:18" x14ac:dyDescent="0.25">
      <c r="A348" s="170">
        <v>42516</v>
      </c>
      <c r="B348" s="116">
        <v>2.0193806740061899</v>
      </c>
      <c r="C348" s="116">
        <v>1.9663224366891601</v>
      </c>
      <c r="D348" s="116">
        <v>1.9481084149236101</v>
      </c>
      <c r="E348" s="116">
        <v>2.0035423942100601</v>
      </c>
      <c r="F348" s="116">
        <v>124.15</v>
      </c>
      <c r="G348">
        <v>1885</v>
      </c>
      <c r="H348" s="116"/>
      <c r="I348" s="116"/>
      <c r="L348" s="170">
        <v>46008</v>
      </c>
      <c r="M348" s="116">
        <v>146.66999999999999</v>
      </c>
      <c r="N348" s="116">
        <v>150</v>
      </c>
      <c r="O348" s="116">
        <v>145.61000000000001</v>
      </c>
      <c r="P348" s="116">
        <v>149.6</v>
      </c>
      <c r="Q348" s="116">
        <v>146.66999999999999</v>
      </c>
      <c r="R348">
        <v>704093</v>
      </c>
    </row>
    <row r="349" spans="1:18" x14ac:dyDescent="0.25">
      <c r="A349" s="170">
        <v>42517</v>
      </c>
      <c r="B349" s="116">
        <v>2.0090857921387002</v>
      </c>
      <c r="C349" s="116">
        <v>1.9789930605260599</v>
      </c>
      <c r="D349" s="116">
        <v>1.96473860870955</v>
      </c>
      <c r="E349" s="116">
        <v>2.0090857921387002</v>
      </c>
      <c r="F349" s="116">
        <v>124.95</v>
      </c>
      <c r="G349">
        <v>1660</v>
      </c>
      <c r="H349" s="116"/>
      <c r="I349" s="116"/>
      <c r="L349" s="170">
        <v>46009</v>
      </c>
      <c r="M349" s="116">
        <v>146.5</v>
      </c>
      <c r="N349" s="116">
        <v>150.25</v>
      </c>
      <c r="O349" s="116">
        <v>145.66999999999999</v>
      </c>
      <c r="P349" s="116">
        <v>147.15</v>
      </c>
      <c r="Q349" s="116">
        <v>146.5</v>
      </c>
      <c r="R349">
        <v>982167</v>
      </c>
    </row>
    <row r="350" spans="1:18" x14ac:dyDescent="0.25">
      <c r="A350" s="170">
        <v>42520</v>
      </c>
      <c r="B350" s="116">
        <v>2.0431380937003798</v>
      </c>
      <c r="C350" s="116">
        <v>2.0122534480979302</v>
      </c>
      <c r="D350" s="116">
        <v>1.90217740351485</v>
      </c>
      <c r="E350" s="116">
        <v>1.97978497451587</v>
      </c>
      <c r="F350" s="116">
        <v>127.05</v>
      </c>
      <c r="G350">
        <v>4134</v>
      </c>
      <c r="H350" s="116"/>
      <c r="I350" s="116"/>
      <c r="L350" s="170">
        <v>46010</v>
      </c>
      <c r="M350" s="116">
        <v>153.58000000000001</v>
      </c>
      <c r="N350" s="116">
        <v>155.69999999999999</v>
      </c>
      <c r="O350" s="116">
        <v>146.55000000000001</v>
      </c>
      <c r="P350" s="116">
        <v>149.9</v>
      </c>
      <c r="Q350" s="116">
        <v>153.58000000000001</v>
      </c>
      <c r="R350">
        <v>1964328</v>
      </c>
    </row>
    <row r="351" spans="1:18" x14ac:dyDescent="0.25">
      <c r="A351" s="170">
        <v>42521</v>
      </c>
      <c r="B351" s="116">
        <v>2.05422488955766</v>
      </c>
      <c r="C351" s="116">
        <v>1.9568194688114799</v>
      </c>
      <c r="D351" s="116">
        <v>1.9180156833109701</v>
      </c>
      <c r="E351" s="116">
        <v>1.9639466947197399</v>
      </c>
      <c r="F351" s="116">
        <v>123.55</v>
      </c>
      <c r="G351">
        <v>5070</v>
      </c>
      <c r="H351" s="116"/>
      <c r="I351" s="116"/>
      <c r="L351" s="170">
        <v>46013</v>
      </c>
      <c r="M351" s="116">
        <v>159.16</v>
      </c>
      <c r="N351" s="116">
        <v>160.5</v>
      </c>
      <c r="O351" s="116">
        <v>154.84</v>
      </c>
      <c r="P351" s="116">
        <v>155.05000000000001</v>
      </c>
      <c r="Q351" s="116">
        <v>159.16</v>
      </c>
      <c r="R351">
        <v>1797245</v>
      </c>
    </row>
    <row r="352" spans="1:18" x14ac:dyDescent="0.25">
      <c r="A352" s="170">
        <v>42522</v>
      </c>
      <c r="B352" s="116">
        <v>1.99087177037316</v>
      </c>
      <c r="C352" s="116">
        <v>1.9417731030051599</v>
      </c>
      <c r="D352" s="116">
        <v>1.9195995112905899</v>
      </c>
      <c r="E352" s="116">
        <v>1.94969224290323</v>
      </c>
      <c r="F352" s="116">
        <v>122.6</v>
      </c>
      <c r="G352">
        <v>522</v>
      </c>
      <c r="H352" s="116"/>
      <c r="I352" s="116"/>
      <c r="L352" s="170">
        <v>46014</v>
      </c>
      <c r="M352" s="116">
        <v>162.49</v>
      </c>
      <c r="N352" s="116">
        <v>163.5</v>
      </c>
      <c r="O352" s="116">
        <v>158.41</v>
      </c>
      <c r="P352" s="116">
        <v>160.25</v>
      </c>
      <c r="Q352" s="116">
        <v>162.49</v>
      </c>
      <c r="R352">
        <v>2542476</v>
      </c>
    </row>
    <row r="353" spans="1:18" x14ac:dyDescent="0.25">
      <c r="A353" s="170">
        <v>42523</v>
      </c>
      <c r="B353" s="116">
        <v>2.0589763734964999</v>
      </c>
      <c r="C353" s="116">
        <v>1.91643185533136</v>
      </c>
      <c r="D353" s="116">
        <v>1.9085127154332999</v>
      </c>
      <c r="E353" s="116">
        <v>2.0114615341081201</v>
      </c>
      <c r="F353" s="116">
        <v>121</v>
      </c>
      <c r="G353">
        <v>1571</v>
      </c>
      <c r="H353" s="116"/>
      <c r="I353" s="116"/>
      <c r="L353" s="170">
        <v>46015</v>
      </c>
      <c r="M353" s="116">
        <v>161.54</v>
      </c>
      <c r="N353" s="116">
        <v>164.4</v>
      </c>
      <c r="O353" s="116">
        <v>160.5</v>
      </c>
      <c r="P353" s="116">
        <v>164</v>
      </c>
      <c r="Q353" s="116">
        <v>161.54</v>
      </c>
      <c r="R353">
        <v>1151022</v>
      </c>
    </row>
    <row r="354" spans="1:18" x14ac:dyDescent="0.25">
      <c r="A354" s="170">
        <v>42524</v>
      </c>
      <c r="B354" s="116">
        <v>1.97978497451587</v>
      </c>
      <c r="C354" s="116">
        <v>1.96869817865858</v>
      </c>
      <c r="D354" s="116">
        <v>1.91643185533136</v>
      </c>
      <c r="E354" s="116">
        <v>1.93227013512749</v>
      </c>
      <c r="F354" s="116">
        <v>124.3</v>
      </c>
      <c r="G354">
        <v>907</v>
      </c>
      <c r="H354" s="116"/>
      <c r="I354" s="116"/>
      <c r="L354" s="170">
        <v>46017</v>
      </c>
      <c r="M354" s="116">
        <v>159.94999999999999</v>
      </c>
      <c r="N354" s="116">
        <v>163.6</v>
      </c>
      <c r="O354" s="116">
        <v>158.65</v>
      </c>
      <c r="P354" s="116">
        <v>162</v>
      </c>
      <c r="Q354" s="116">
        <v>159.94999999999999</v>
      </c>
      <c r="R354">
        <v>878742</v>
      </c>
    </row>
    <row r="355" spans="1:18" x14ac:dyDescent="0.25">
      <c r="A355" s="170">
        <v>42527</v>
      </c>
      <c r="B355" s="116">
        <v>1.93860544704594</v>
      </c>
      <c r="C355" s="116">
        <v>1.9148480273517501</v>
      </c>
      <c r="D355" s="116">
        <v>1.8451595962487899</v>
      </c>
      <c r="E355" s="116">
        <v>1.85783022008569</v>
      </c>
      <c r="F355" s="116">
        <v>120.9</v>
      </c>
      <c r="G355">
        <v>2272</v>
      </c>
      <c r="H355" s="116"/>
      <c r="I355" s="116"/>
      <c r="L355" s="170">
        <v>46020</v>
      </c>
      <c r="M355" s="116">
        <v>155.62</v>
      </c>
      <c r="N355" s="116">
        <v>162.22999999999999</v>
      </c>
      <c r="O355" s="116">
        <v>153.22</v>
      </c>
      <c r="P355" s="116">
        <v>161.05000000000001</v>
      </c>
      <c r="Q355" s="116">
        <v>155.62</v>
      </c>
      <c r="R355">
        <v>1310484</v>
      </c>
    </row>
    <row r="356" spans="1:18" x14ac:dyDescent="0.25">
      <c r="A356" s="170">
        <v>42528</v>
      </c>
      <c r="B356" s="116">
        <v>1.9639466947197399</v>
      </c>
      <c r="C356" s="116">
        <v>1.8863391237187199</v>
      </c>
      <c r="D356" s="116">
        <v>1.86574935998375</v>
      </c>
      <c r="E356" s="116">
        <v>1.9481084149236101</v>
      </c>
      <c r="F356" s="116">
        <v>119.1</v>
      </c>
      <c r="G356">
        <v>3367</v>
      </c>
      <c r="H356" s="116"/>
      <c r="I356" s="116"/>
      <c r="L356" s="170">
        <v>46021</v>
      </c>
      <c r="M356" s="116">
        <v>155.53</v>
      </c>
      <c r="N356" s="116">
        <v>157.59</v>
      </c>
      <c r="O356" s="116">
        <v>154.01</v>
      </c>
      <c r="P356" s="116">
        <v>156.19</v>
      </c>
      <c r="Q356" s="116">
        <v>155.53</v>
      </c>
      <c r="R356">
        <v>809836</v>
      </c>
    </row>
    <row r="357" spans="1:18" x14ac:dyDescent="0.25">
      <c r="A357" s="170">
        <v>42529</v>
      </c>
      <c r="B357" s="116">
        <v>2.18251495590629</v>
      </c>
      <c r="C357" s="116">
        <v>2.0225483299654101</v>
      </c>
      <c r="D357" s="116">
        <v>1.93227013512749</v>
      </c>
      <c r="E357" s="116">
        <v>1.99403942633238</v>
      </c>
      <c r="F357" s="116">
        <v>127.7</v>
      </c>
      <c r="G357">
        <v>14733</v>
      </c>
      <c r="H357" s="116"/>
      <c r="I357" s="116"/>
      <c r="L357" s="170">
        <v>46022</v>
      </c>
      <c r="M357" s="116">
        <v>157.69</v>
      </c>
      <c r="N357" s="116">
        <v>159.30000000000001</v>
      </c>
      <c r="O357" s="116">
        <v>155.22</v>
      </c>
      <c r="P357" s="116">
        <v>155.6</v>
      </c>
      <c r="Q357" s="116">
        <v>157.69</v>
      </c>
      <c r="R357">
        <v>833020</v>
      </c>
    </row>
    <row r="358" spans="1:18" x14ac:dyDescent="0.25">
      <c r="A358" s="170">
        <v>42530</v>
      </c>
      <c r="B358" s="116">
        <v>2.1064912128848801</v>
      </c>
      <c r="C358" s="116">
        <v>1.96949009264839</v>
      </c>
      <c r="D358" s="116">
        <v>1.9552356408318701</v>
      </c>
      <c r="E358" s="116">
        <v>2.1064912128848801</v>
      </c>
      <c r="F358" s="116">
        <v>124.35</v>
      </c>
      <c r="G358">
        <v>2152</v>
      </c>
      <c r="H358" s="116"/>
      <c r="I358" s="116"/>
      <c r="L358" s="170">
        <v>46023</v>
      </c>
      <c r="M358" s="116">
        <v>156.47999999999999</v>
      </c>
      <c r="N358" s="116">
        <v>159.88</v>
      </c>
      <c r="O358" s="116">
        <v>153.4</v>
      </c>
      <c r="P358" s="116">
        <v>153.80000000000001</v>
      </c>
      <c r="Q358" s="116">
        <v>156.47999999999999</v>
      </c>
      <c r="R358">
        <v>704673</v>
      </c>
    </row>
    <row r="359" spans="1:18" x14ac:dyDescent="0.25">
      <c r="A359" s="170">
        <v>42531</v>
      </c>
      <c r="B359" s="116">
        <v>2.0035423942100601</v>
      </c>
      <c r="C359" s="116">
        <v>1.99483134032219</v>
      </c>
      <c r="D359" s="116">
        <v>1.97978497451587</v>
      </c>
      <c r="E359" s="116">
        <v>1.97978497451587</v>
      </c>
      <c r="F359" s="116">
        <v>125.95</v>
      </c>
      <c r="G359">
        <v>998</v>
      </c>
      <c r="H359" s="116"/>
      <c r="I359" s="116"/>
      <c r="L359" s="170">
        <v>46024</v>
      </c>
      <c r="M359" s="116">
        <v>157.66999999999999</v>
      </c>
      <c r="N359" s="116">
        <v>159.35</v>
      </c>
      <c r="O359" s="116">
        <v>155</v>
      </c>
      <c r="P359" s="116">
        <v>155</v>
      </c>
      <c r="Q359" s="116">
        <v>157.66999999999999</v>
      </c>
      <c r="R359">
        <v>820637</v>
      </c>
    </row>
    <row r="360" spans="1:18" x14ac:dyDescent="0.25">
      <c r="A360" s="170">
        <v>42534</v>
      </c>
      <c r="B360" s="116">
        <v>1.9750334905770299</v>
      </c>
      <c r="C360" s="116">
        <v>1.9584032967911</v>
      </c>
      <c r="D360" s="116">
        <v>1.9180156833109701</v>
      </c>
      <c r="E360" s="116">
        <v>1.93227013512749</v>
      </c>
      <c r="F360" s="116">
        <v>123.65</v>
      </c>
      <c r="G360">
        <v>2252</v>
      </c>
      <c r="H360" s="116"/>
      <c r="I360" s="116"/>
      <c r="L360" s="170">
        <v>46027</v>
      </c>
      <c r="M360" s="116">
        <v>157.44</v>
      </c>
      <c r="N360" s="116">
        <v>161.49</v>
      </c>
      <c r="O360" s="116">
        <v>156.81</v>
      </c>
      <c r="P360" s="116">
        <v>158.69</v>
      </c>
      <c r="Q360" s="116">
        <v>157.44</v>
      </c>
      <c r="R360">
        <v>1044877</v>
      </c>
    </row>
    <row r="361" spans="1:18" x14ac:dyDescent="0.25">
      <c r="A361" s="170">
        <v>42535</v>
      </c>
      <c r="B361" s="116">
        <v>2.0114615341081201</v>
      </c>
      <c r="C361" s="116">
        <v>1.9512760708828401</v>
      </c>
      <c r="D361" s="116">
        <v>1.93543779108671</v>
      </c>
      <c r="E361" s="116">
        <v>1.93543779108671</v>
      </c>
      <c r="F361" s="116">
        <v>123.2</v>
      </c>
      <c r="G361">
        <v>999</v>
      </c>
      <c r="H361" s="116"/>
      <c r="I361" s="116"/>
      <c r="L361" s="170">
        <v>46028</v>
      </c>
      <c r="M361" s="116">
        <v>155.87</v>
      </c>
      <c r="N361" s="116">
        <v>157.80000000000001</v>
      </c>
      <c r="O361" s="116">
        <v>154.47999999999999</v>
      </c>
      <c r="P361" s="116">
        <v>157.80000000000001</v>
      </c>
      <c r="Q361" s="116">
        <v>155.87</v>
      </c>
      <c r="R361">
        <v>671458</v>
      </c>
    </row>
    <row r="362" spans="1:18" x14ac:dyDescent="0.25">
      <c r="A362" s="170">
        <v>42536</v>
      </c>
      <c r="B362" s="116">
        <v>2.0431380937003798</v>
      </c>
      <c r="C362" s="116">
        <v>2.0035423942100601</v>
      </c>
      <c r="D362" s="116">
        <v>1.96157095275032</v>
      </c>
      <c r="E362" s="116">
        <v>2.0106696201183198</v>
      </c>
      <c r="F362" s="116">
        <v>126.5</v>
      </c>
      <c r="G362">
        <v>3050</v>
      </c>
      <c r="H362" s="116"/>
      <c r="I362" s="116"/>
      <c r="L362" s="170">
        <v>46029</v>
      </c>
      <c r="M362" s="116">
        <v>163.82</v>
      </c>
      <c r="N362" s="116">
        <v>164.85</v>
      </c>
      <c r="O362" s="116">
        <v>154.19999999999999</v>
      </c>
      <c r="P362" s="116">
        <v>155.80000000000001</v>
      </c>
      <c r="Q362" s="116">
        <v>163.82</v>
      </c>
      <c r="R362">
        <v>2728963</v>
      </c>
    </row>
    <row r="363" spans="1:18" x14ac:dyDescent="0.25">
      <c r="A363" s="170">
        <v>42537</v>
      </c>
      <c r="B363" s="116">
        <v>2.0510572335984398</v>
      </c>
      <c r="C363" s="116">
        <v>2.0090857921387002</v>
      </c>
      <c r="D363" s="116">
        <v>1.9401892750255501</v>
      </c>
      <c r="E363" s="116">
        <v>1.99087177037316</v>
      </c>
      <c r="F363" s="116">
        <v>126.85</v>
      </c>
      <c r="G363">
        <v>2456</v>
      </c>
      <c r="H363" s="116"/>
      <c r="I363" s="116"/>
      <c r="L363" s="170">
        <v>46030</v>
      </c>
      <c r="M363" s="116">
        <v>164.1</v>
      </c>
      <c r="N363" s="116">
        <v>169.4</v>
      </c>
      <c r="O363" s="116">
        <v>161.36000000000001</v>
      </c>
      <c r="P363" s="116">
        <v>163.69999999999999</v>
      </c>
      <c r="Q363" s="116">
        <v>164.1</v>
      </c>
      <c r="R363">
        <v>3340921</v>
      </c>
    </row>
    <row r="364" spans="1:18" x14ac:dyDescent="0.25">
      <c r="A364" s="170">
        <v>42538</v>
      </c>
      <c r="B364" s="116">
        <v>2.06847934137418</v>
      </c>
      <c r="C364" s="116">
        <v>1.98295263047509</v>
      </c>
      <c r="D364" s="116">
        <v>1.9639466947197399</v>
      </c>
      <c r="E364" s="116">
        <v>1.995623254312</v>
      </c>
      <c r="F364" s="116">
        <v>125.2</v>
      </c>
      <c r="G364">
        <v>3784</v>
      </c>
      <c r="H364" s="116"/>
      <c r="I364" s="116"/>
      <c r="L364" s="170">
        <v>46031</v>
      </c>
      <c r="M364" s="116">
        <v>156.41</v>
      </c>
      <c r="N364" s="116">
        <v>164.25</v>
      </c>
      <c r="O364" s="116">
        <v>155.25</v>
      </c>
      <c r="P364" s="116">
        <v>162.1</v>
      </c>
      <c r="Q364" s="116">
        <v>156.41</v>
      </c>
      <c r="R364">
        <v>1627300</v>
      </c>
    </row>
    <row r="365" spans="1:18" x14ac:dyDescent="0.25">
      <c r="A365" s="170">
        <v>42541</v>
      </c>
      <c r="B365" s="116">
        <v>2.0589763734964999</v>
      </c>
      <c r="C365" s="116">
        <v>2.0581844595067</v>
      </c>
      <c r="D365" s="116">
        <v>1.91643185533136</v>
      </c>
      <c r="E365" s="116">
        <v>1.93227013512749</v>
      </c>
      <c r="F365" s="116">
        <v>129.94999999999999</v>
      </c>
      <c r="G365">
        <v>7760</v>
      </c>
      <c r="H365" s="116"/>
      <c r="I365" s="116"/>
      <c r="L365" s="170">
        <v>46034</v>
      </c>
      <c r="M365" s="116">
        <v>155.49</v>
      </c>
      <c r="N365" s="116">
        <v>157.30000000000001</v>
      </c>
      <c r="O365" s="116">
        <v>151.51</v>
      </c>
      <c r="P365" s="116">
        <v>155.4</v>
      </c>
      <c r="Q365" s="116">
        <v>155.49</v>
      </c>
      <c r="R365">
        <v>1466929</v>
      </c>
    </row>
    <row r="366" spans="1:18" x14ac:dyDescent="0.25">
      <c r="A366" s="170">
        <v>42542</v>
      </c>
      <c r="B366" s="116">
        <v>2.0589763734964999</v>
      </c>
      <c r="C366" s="116">
        <v>2.0304674698634702</v>
      </c>
      <c r="D366" s="116">
        <v>1.995623254312</v>
      </c>
      <c r="E366" s="116">
        <v>2.0589763734964999</v>
      </c>
      <c r="F366" s="116">
        <v>128.19999999999999</v>
      </c>
      <c r="G366">
        <v>3221</v>
      </c>
      <c r="H366" s="116"/>
      <c r="I366" s="116"/>
      <c r="L366" s="170">
        <v>46035</v>
      </c>
      <c r="M366" s="116">
        <v>152.9</v>
      </c>
      <c r="N366" s="116">
        <v>158.57</v>
      </c>
      <c r="O366" s="116">
        <v>152</v>
      </c>
      <c r="P366" s="116">
        <v>155.5</v>
      </c>
      <c r="Q366" s="116">
        <v>152.9</v>
      </c>
      <c r="R366">
        <v>653556</v>
      </c>
    </row>
    <row r="367" spans="1:18" x14ac:dyDescent="0.25">
      <c r="A367" s="170">
        <v>42543</v>
      </c>
      <c r="B367" s="116">
        <v>2.02809172789406</v>
      </c>
      <c r="C367" s="116">
        <v>1.9671143506789699</v>
      </c>
      <c r="D367" s="116">
        <v>1.96553052269935</v>
      </c>
      <c r="E367" s="116">
        <v>2.02809172789406</v>
      </c>
      <c r="F367" s="116">
        <v>124.2</v>
      </c>
      <c r="G367">
        <v>5236</v>
      </c>
      <c r="H367" s="116"/>
      <c r="I367" s="116"/>
      <c r="L367" s="170">
        <v>46036</v>
      </c>
      <c r="M367" s="116">
        <v>152.15</v>
      </c>
      <c r="N367" s="116">
        <v>154.19999999999999</v>
      </c>
      <c r="O367" s="116">
        <v>151.12</v>
      </c>
      <c r="P367" s="116">
        <v>152.6</v>
      </c>
      <c r="Q367" s="116">
        <v>152.15</v>
      </c>
      <c r="R367">
        <v>590835</v>
      </c>
    </row>
    <row r="368" spans="1:18" x14ac:dyDescent="0.25">
      <c r="A368" s="170">
        <v>42544</v>
      </c>
      <c r="B368" s="116">
        <v>1.97978497451587</v>
      </c>
      <c r="C368" s="116">
        <v>1.97978497451587</v>
      </c>
      <c r="D368" s="116">
        <v>1.9639466947197399</v>
      </c>
      <c r="E368" s="116">
        <v>1.97186583461781</v>
      </c>
      <c r="F368" s="116">
        <v>125</v>
      </c>
      <c r="G368">
        <v>626</v>
      </c>
      <c r="H368" s="116"/>
      <c r="I368" s="116"/>
      <c r="L368" s="170">
        <v>46038</v>
      </c>
      <c r="M368" s="116">
        <v>150.38999999999999</v>
      </c>
      <c r="N368" s="116">
        <v>153.44999999999999</v>
      </c>
      <c r="O368" s="116">
        <v>149.31</v>
      </c>
      <c r="P368" s="116">
        <v>153</v>
      </c>
      <c r="Q368" s="116">
        <v>150.38999999999999</v>
      </c>
      <c r="R368">
        <v>804427</v>
      </c>
    </row>
    <row r="369" spans="1:18" x14ac:dyDescent="0.25">
      <c r="A369" s="170">
        <v>42545</v>
      </c>
      <c r="B369" s="116">
        <v>1.9599871247707099</v>
      </c>
      <c r="C369" s="116">
        <v>1.9291024791682601</v>
      </c>
      <c r="D369" s="116">
        <v>1.7754711651458299</v>
      </c>
      <c r="E369" s="116">
        <v>1.92435099522942</v>
      </c>
      <c r="F369" s="116">
        <v>121.8</v>
      </c>
      <c r="G369">
        <v>1426</v>
      </c>
      <c r="H369" s="116"/>
      <c r="I369" s="116"/>
      <c r="L369" s="170">
        <v>46041</v>
      </c>
      <c r="M369" s="116">
        <v>146.99</v>
      </c>
      <c r="N369" s="116">
        <v>150.12</v>
      </c>
      <c r="O369" s="116">
        <v>146.32</v>
      </c>
      <c r="P369" s="116">
        <v>149</v>
      </c>
      <c r="Q369" s="116">
        <v>146.99</v>
      </c>
      <c r="R369">
        <v>767751</v>
      </c>
    </row>
    <row r="370" spans="1:18" x14ac:dyDescent="0.25">
      <c r="A370" s="170">
        <v>42548</v>
      </c>
      <c r="B370" s="116">
        <v>2.0890691051091399</v>
      </c>
      <c r="C370" s="116">
        <v>2.0478895776392099</v>
      </c>
      <c r="D370" s="116">
        <v>1.9306863071478799</v>
      </c>
      <c r="E370" s="116">
        <v>1.93147822113768</v>
      </c>
      <c r="F370" s="116">
        <v>129.30000000000001</v>
      </c>
      <c r="G370">
        <v>4386</v>
      </c>
      <c r="H370" s="116"/>
      <c r="I370" s="116"/>
      <c r="L370" s="170">
        <v>46042</v>
      </c>
      <c r="M370" s="116">
        <v>138.13999999999999</v>
      </c>
      <c r="N370" s="116">
        <v>147.34</v>
      </c>
      <c r="O370" s="116">
        <v>136</v>
      </c>
      <c r="P370" s="116">
        <v>147</v>
      </c>
      <c r="Q370" s="116">
        <v>138.13999999999999</v>
      </c>
      <c r="R370">
        <v>1914043</v>
      </c>
    </row>
    <row r="371" spans="1:18" x14ac:dyDescent="0.25">
      <c r="A371" s="170">
        <v>42549</v>
      </c>
      <c r="B371" s="116">
        <v>2.0035423942100601</v>
      </c>
      <c r="C371" s="116">
        <v>1.9750334905770299</v>
      </c>
      <c r="D371" s="116">
        <v>1.9671143506789699</v>
      </c>
      <c r="E371" s="116">
        <v>1.9892879423935399</v>
      </c>
      <c r="F371" s="116">
        <v>124.7</v>
      </c>
      <c r="G371">
        <v>5826</v>
      </c>
      <c r="H371" s="116"/>
      <c r="I371" s="116"/>
      <c r="L371" s="170">
        <v>46043</v>
      </c>
      <c r="M371" s="116">
        <v>134.38</v>
      </c>
      <c r="N371" s="116">
        <v>140.05000000000001</v>
      </c>
      <c r="O371" s="116">
        <v>133.5</v>
      </c>
      <c r="P371" s="116">
        <v>138.1</v>
      </c>
      <c r="Q371" s="116">
        <v>134.38</v>
      </c>
      <c r="R371">
        <v>1876534</v>
      </c>
    </row>
    <row r="372" spans="1:18" x14ac:dyDescent="0.25">
      <c r="A372" s="170">
        <v>42550</v>
      </c>
      <c r="B372" s="116">
        <v>2.0589763734964999</v>
      </c>
      <c r="C372" s="116">
        <v>1.9742415765872201</v>
      </c>
      <c r="D372" s="116">
        <v>1.9195995112905899</v>
      </c>
      <c r="E372" s="116">
        <v>1.9663224366891601</v>
      </c>
      <c r="F372" s="116">
        <v>124.65</v>
      </c>
      <c r="G372">
        <v>8390</v>
      </c>
      <c r="H372" s="116"/>
      <c r="I372" s="116"/>
      <c r="L372" s="170">
        <v>46044</v>
      </c>
      <c r="M372" s="116">
        <v>141.83000000000001</v>
      </c>
      <c r="N372" s="116">
        <v>144.30000000000001</v>
      </c>
      <c r="O372" s="116">
        <v>135.35</v>
      </c>
      <c r="P372" s="116">
        <v>136</v>
      </c>
      <c r="Q372" s="116">
        <v>141.83000000000001</v>
      </c>
      <c r="R372">
        <v>2063668</v>
      </c>
    </row>
    <row r="373" spans="1:18" x14ac:dyDescent="0.25">
      <c r="A373" s="170">
        <v>42551</v>
      </c>
      <c r="B373" s="116">
        <v>2.0510572335984398</v>
      </c>
      <c r="C373" s="116">
        <v>2.02729981390425</v>
      </c>
      <c r="D373" s="116">
        <v>1.9813688024954801</v>
      </c>
      <c r="E373" s="116">
        <v>2.0415542657207602</v>
      </c>
      <c r="F373" s="116">
        <v>128</v>
      </c>
      <c r="G373">
        <v>4170</v>
      </c>
      <c r="H373" s="116"/>
      <c r="I373" s="116"/>
      <c r="L373" s="170">
        <v>46045</v>
      </c>
      <c r="M373" s="116">
        <v>136.22999999999999</v>
      </c>
      <c r="N373" s="116">
        <v>143.72</v>
      </c>
      <c r="O373" s="116">
        <v>134.4</v>
      </c>
      <c r="P373" s="116">
        <v>142.5</v>
      </c>
      <c r="Q373" s="116">
        <v>136.22999999999999</v>
      </c>
      <c r="R373">
        <v>1250485</v>
      </c>
    </row>
    <row r="374" spans="1:18" x14ac:dyDescent="0.25">
      <c r="A374" s="170">
        <v>42552</v>
      </c>
      <c r="B374" s="116">
        <v>2.0581844595067</v>
      </c>
      <c r="C374" s="116">
        <v>1.9782011465362599</v>
      </c>
      <c r="D374" s="116">
        <v>1.96553052269935</v>
      </c>
      <c r="E374" s="116">
        <v>1.9964151683018001</v>
      </c>
      <c r="F374" s="116">
        <v>124.9</v>
      </c>
      <c r="G374">
        <v>2950</v>
      </c>
      <c r="H374" s="116"/>
      <c r="I374" s="116"/>
      <c r="L374" s="170">
        <v>46049</v>
      </c>
      <c r="M374" s="116">
        <v>127.19</v>
      </c>
      <c r="N374" s="116">
        <v>130.9</v>
      </c>
      <c r="O374" s="116">
        <v>122.63</v>
      </c>
      <c r="P374" s="116">
        <v>125.52</v>
      </c>
      <c r="Q374" s="116">
        <v>127.19</v>
      </c>
      <c r="R374">
        <v>5113185</v>
      </c>
    </row>
    <row r="375" spans="1:18" x14ac:dyDescent="0.25">
      <c r="A375" s="170">
        <v>42555</v>
      </c>
      <c r="B375" s="116">
        <v>2.0201725879959902</v>
      </c>
      <c r="C375" s="116">
        <v>1.97661731855664</v>
      </c>
      <c r="D375" s="116">
        <v>1.9481084149236101</v>
      </c>
      <c r="E375" s="116">
        <v>1.97978497451587</v>
      </c>
      <c r="F375" s="116">
        <v>124.8</v>
      </c>
      <c r="G375">
        <v>10630</v>
      </c>
      <c r="H375" s="116"/>
      <c r="I375" s="116"/>
      <c r="L375" s="170">
        <v>46050</v>
      </c>
      <c r="M375" s="116">
        <v>143.49</v>
      </c>
      <c r="N375" s="116">
        <v>145.9</v>
      </c>
      <c r="O375" s="116">
        <v>127</v>
      </c>
      <c r="P375" s="116">
        <v>127</v>
      </c>
      <c r="Q375" s="116">
        <v>143.49</v>
      </c>
      <c r="R375">
        <v>5803232</v>
      </c>
    </row>
    <row r="376" spans="1:18" x14ac:dyDescent="0.25">
      <c r="A376" s="170">
        <v>42556</v>
      </c>
      <c r="B376" s="116">
        <v>2.0431380937003798</v>
      </c>
      <c r="C376" s="116">
        <v>2.0344270398125102</v>
      </c>
      <c r="D376" s="116">
        <v>1.96553052269935</v>
      </c>
      <c r="E376" s="116">
        <v>2.0257159859246401</v>
      </c>
      <c r="F376" s="116">
        <v>128.44999999999999</v>
      </c>
      <c r="G376">
        <v>3020</v>
      </c>
      <c r="H376" s="116"/>
      <c r="I376" s="116"/>
      <c r="L376" s="170">
        <v>46051</v>
      </c>
      <c r="M376" s="116">
        <v>148.75</v>
      </c>
      <c r="N376" s="116">
        <v>149.47999999999999</v>
      </c>
      <c r="O376" s="116">
        <v>141.66</v>
      </c>
      <c r="P376" s="116">
        <v>145</v>
      </c>
      <c r="Q376" s="116">
        <v>148.75</v>
      </c>
      <c r="R376">
        <v>2307280</v>
      </c>
    </row>
    <row r="377" spans="1:18" x14ac:dyDescent="0.25">
      <c r="A377" s="170">
        <v>42558</v>
      </c>
      <c r="B377" s="116">
        <v>2.0589763734964999</v>
      </c>
      <c r="C377" s="116">
        <v>2.05739254551689</v>
      </c>
      <c r="D377" s="116">
        <v>1.995623254312</v>
      </c>
      <c r="E377" s="116">
        <v>1.995623254312</v>
      </c>
      <c r="F377" s="116">
        <v>129.9</v>
      </c>
      <c r="G377">
        <v>3971</v>
      </c>
      <c r="H377" s="116"/>
      <c r="I377" s="116"/>
      <c r="L377" s="170">
        <v>46052</v>
      </c>
      <c r="M377" s="116">
        <v>155.41999999999999</v>
      </c>
      <c r="N377" s="116">
        <v>158</v>
      </c>
      <c r="O377" s="116">
        <v>146</v>
      </c>
      <c r="P377" s="116">
        <v>148.75</v>
      </c>
      <c r="Q377" s="116">
        <v>155.41999999999999</v>
      </c>
      <c r="R377">
        <v>3390637</v>
      </c>
    </row>
    <row r="378" spans="1:18" x14ac:dyDescent="0.25">
      <c r="A378" s="170">
        <v>42559</v>
      </c>
      <c r="B378" s="116">
        <v>2.0827337931906902</v>
      </c>
      <c r="C378" s="116">
        <v>2.0288836418838598</v>
      </c>
      <c r="D378" s="116">
        <v>1.9599871247707099</v>
      </c>
      <c r="E378" s="116">
        <v>1.9599871247707099</v>
      </c>
      <c r="F378" s="116">
        <v>128.1</v>
      </c>
      <c r="G378">
        <v>446</v>
      </c>
      <c r="H378" s="116"/>
      <c r="I378" s="116"/>
      <c r="L378" s="170">
        <v>46054</v>
      </c>
      <c r="M378" s="116">
        <v>146.76</v>
      </c>
      <c r="N378" s="116">
        <v>161.80000000000001</v>
      </c>
      <c r="O378" s="116">
        <v>140.16999999999999</v>
      </c>
      <c r="P378" s="116">
        <v>158</v>
      </c>
      <c r="Q378" s="116">
        <v>146.76</v>
      </c>
      <c r="R378">
        <v>3356960</v>
      </c>
    </row>
    <row r="379" spans="1:18" x14ac:dyDescent="0.25">
      <c r="A379" s="170">
        <v>42562</v>
      </c>
      <c r="B379" s="116">
        <v>2.0811499652110799</v>
      </c>
      <c r="C379" s="116">
        <v>2.0122534480979302</v>
      </c>
      <c r="D379" s="116">
        <v>1.9972070822916099</v>
      </c>
      <c r="E379" s="116">
        <v>2.0811499652110799</v>
      </c>
      <c r="F379" s="116">
        <v>127.05</v>
      </c>
      <c r="G379">
        <v>7810</v>
      </c>
      <c r="H379" s="116"/>
      <c r="I379" s="116"/>
      <c r="L379" s="170">
        <v>46055</v>
      </c>
      <c r="M379" s="116">
        <v>155.41999999999999</v>
      </c>
      <c r="N379" s="116">
        <v>156</v>
      </c>
      <c r="O379" s="116">
        <v>147.75</v>
      </c>
      <c r="P379" s="116">
        <v>148</v>
      </c>
      <c r="Q379" s="116">
        <v>155.41999999999999</v>
      </c>
      <c r="R379">
        <v>3314686</v>
      </c>
    </row>
    <row r="380" spans="1:18" x14ac:dyDescent="0.25">
      <c r="A380" s="170">
        <v>42563</v>
      </c>
      <c r="B380" s="116">
        <v>2.1064912128848801</v>
      </c>
      <c r="C380" s="116">
        <v>2.0882771911193401</v>
      </c>
      <c r="D380" s="116">
        <v>1.995623254312</v>
      </c>
      <c r="E380" s="116">
        <v>1.99799899628141</v>
      </c>
      <c r="F380" s="116">
        <v>131.85</v>
      </c>
      <c r="G380">
        <v>11640</v>
      </c>
      <c r="H380" s="116"/>
      <c r="I380" s="116"/>
      <c r="L380" s="170">
        <v>46056</v>
      </c>
      <c r="M380" s="116">
        <v>152.72</v>
      </c>
      <c r="N380" s="116">
        <v>162.55000000000001</v>
      </c>
      <c r="O380" s="116">
        <v>151.52000000000001</v>
      </c>
      <c r="P380" s="116">
        <v>162</v>
      </c>
      <c r="Q380" s="116">
        <v>152.72</v>
      </c>
      <c r="R380">
        <v>2424456</v>
      </c>
    </row>
    <row r="381" spans="1:18" x14ac:dyDescent="0.25">
      <c r="A381" s="170">
        <v>42564</v>
      </c>
      <c r="B381" s="116">
        <v>2.05739254551689</v>
      </c>
      <c r="C381" s="116">
        <v>2.0257159859246401</v>
      </c>
      <c r="D381" s="116">
        <v>2.0154211040571499</v>
      </c>
      <c r="E381" s="116">
        <v>2.0399704377411498</v>
      </c>
      <c r="F381" s="116">
        <v>127.9</v>
      </c>
      <c r="G381">
        <v>1270</v>
      </c>
      <c r="H381" s="116"/>
      <c r="I381" s="116"/>
      <c r="L381" s="170">
        <v>46057</v>
      </c>
      <c r="M381" s="116">
        <v>152.25</v>
      </c>
      <c r="N381" s="116">
        <v>156.5</v>
      </c>
      <c r="O381" s="116">
        <v>150.24</v>
      </c>
      <c r="P381" s="116">
        <v>152.4</v>
      </c>
      <c r="Q381" s="116">
        <v>152.25</v>
      </c>
      <c r="R381">
        <v>1360657</v>
      </c>
    </row>
    <row r="382" spans="1:18" x14ac:dyDescent="0.25">
      <c r="A382" s="170">
        <v>42565</v>
      </c>
      <c r="B382" s="116">
        <v>2.0748146532926302</v>
      </c>
      <c r="C382" s="116">
        <v>2.0288836418838598</v>
      </c>
      <c r="D382" s="116">
        <v>2.02729981390425</v>
      </c>
      <c r="E382" s="116">
        <v>2.0589763734964999</v>
      </c>
      <c r="F382" s="116">
        <v>128.1</v>
      </c>
      <c r="G382">
        <v>2854</v>
      </c>
      <c r="H382" s="116"/>
      <c r="I382" s="116"/>
      <c r="L382" s="170">
        <v>46058</v>
      </c>
      <c r="M382" s="116">
        <v>150.49</v>
      </c>
      <c r="N382" s="116">
        <v>152.99</v>
      </c>
      <c r="O382" s="116">
        <v>148.5</v>
      </c>
      <c r="P382" s="116">
        <v>151.88999999999999</v>
      </c>
      <c r="Q382" s="116">
        <v>150.49</v>
      </c>
      <c r="R382">
        <v>674406</v>
      </c>
    </row>
    <row r="383" spans="1:18" x14ac:dyDescent="0.25">
      <c r="A383" s="170">
        <v>42566</v>
      </c>
      <c r="B383" s="116">
        <v>2.0668955133945701</v>
      </c>
      <c r="C383" s="116">
        <v>1.9995828242610301</v>
      </c>
      <c r="D383" s="116">
        <v>1.995623254312</v>
      </c>
      <c r="E383" s="116">
        <v>2.06531168541495</v>
      </c>
      <c r="F383" s="116">
        <v>126.25</v>
      </c>
      <c r="G383">
        <v>5335</v>
      </c>
      <c r="H383" s="116"/>
      <c r="I383" s="116"/>
      <c r="L383" s="170">
        <v>46059</v>
      </c>
      <c r="M383" s="116">
        <v>148.66999999999999</v>
      </c>
      <c r="N383" s="116">
        <v>149.94999999999999</v>
      </c>
      <c r="O383" s="116">
        <v>144.79</v>
      </c>
      <c r="P383" s="116">
        <v>149.9</v>
      </c>
      <c r="Q383" s="116">
        <v>148.66999999999999</v>
      </c>
      <c r="R383">
        <v>994400</v>
      </c>
    </row>
    <row r="384" spans="1:18" x14ac:dyDescent="0.25">
      <c r="A384" s="170">
        <v>42569</v>
      </c>
      <c r="B384" s="116">
        <v>2.0257159859246401</v>
      </c>
      <c r="C384" s="116">
        <v>2.0098777061285098</v>
      </c>
      <c r="D384" s="116">
        <v>2.0067100501692798</v>
      </c>
      <c r="E384" s="116">
        <v>2.0067100501692798</v>
      </c>
      <c r="F384" s="116">
        <v>126.9</v>
      </c>
      <c r="G384">
        <v>992</v>
      </c>
      <c r="H384" s="116"/>
      <c r="I384" s="116"/>
      <c r="L384" s="170">
        <v>46062</v>
      </c>
      <c r="M384" s="116">
        <v>151.91999999999999</v>
      </c>
      <c r="N384" s="116">
        <v>154.1</v>
      </c>
      <c r="O384" s="116">
        <v>148.63</v>
      </c>
      <c r="P384" s="116">
        <v>150.55000000000001</v>
      </c>
      <c r="Q384" s="116">
        <v>151.91999999999999</v>
      </c>
      <c r="R384">
        <v>1062414</v>
      </c>
    </row>
    <row r="385" spans="1:18" x14ac:dyDescent="0.25">
      <c r="A385" s="170">
        <v>42570</v>
      </c>
      <c r="B385" s="116">
        <v>2.0193806740061899</v>
      </c>
      <c r="C385" s="116">
        <v>1.97186583461781</v>
      </c>
      <c r="D385" s="116">
        <v>1.9235590812396199</v>
      </c>
      <c r="E385" s="116">
        <v>2.0193806740061899</v>
      </c>
      <c r="F385" s="116">
        <v>124.5</v>
      </c>
      <c r="G385">
        <v>1179</v>
      </c>
      <c r="H385" s="116"/>
      <c r="I385" s="116"/>
      <c r="L385" s="170">
        <v>46063</v>
      </c>
      <c r="M385" s="116">
        <v>150.34</v>
      </c>
      <c r="N385" s="116">
        <v>154.51</v>
      </c>
      <c r="O385" s="116">
        <v>149.79</v>
      </c>
      <c r="P385" s="116">
        <v>152.01</v>
      </c>
      <c r="Q385" s="116">
        <v>150.34</v>
      </c>
      <c r="R385">
        <v>1144197</v>
      </c>
    </row>
    <row r="386" spans="1:18" x14ac:dyDescent="0.25">
      <c r="A386" s="170">
        <v>42571</v>
      </c>
      <c r="B386" s="116">
        <v>1.9837445444649</v>
      </c>
      <c r="C386" s="116">
        <v>1.9774092325464501</v>
      </c>
      <c r="D386" s="116">
        <v>1.95761138280129</v>
      </c>
      <c r="E386" s="116">
        <v>1.9837445444649</v>
      </c>
      <c r="F386" s="116">
        <v>124.85</v>
      </c>
      <c r="G386">
        <v>1602</v>
      </c>
      <c r="H386" s="116"/>
      <c r="I386" s="116"/>
      <c r="L386" s="170">
        <v>46064</v>
      </c>
      <c r="M386" s="116">
        <v>154.13</v>
      </c>
      <c r="N386" s="116">
        <v>161.80000000000001</v>
      </c>
      <c r="O386" s="116">
        <v>149.19999999999999</v>
      </c>
      <c r="P386" s="116">
        <v>151.19999999999999</v>
      </c>
      <c r="Q386" s="116">
        <v>154.13</v>
      </c>
      <c r="R386">
        <v>5098670</v>
      </c>
    </row>
    <row r="387" spans="1:18" x14ac:dyDescent="0.25">
      <c r="A387" s="170">
        <v>42572</v>
      </c>
      <c r="B387" s="116">
        <v>2.0035423942100601</v>
      </c>
      <c r="C387" s="116">
        <v>1.90296931750465</v>
      </c>
      <c r="D387" s="116">
        <v>1.8562463921060799</v>
      </c>
      <c r="E387" s="116">
        <v>1.9639466947197399</v>
      </c>
      <c r="F387" s="116">
        <v>120.15</v>
      </c>
      <c r="G387">
        <v>3118</v>
      </c>
      <c r="H387" s="116"/>
      <c r="I387" s="116"/>
      <c r="L387" s="170">
        <v>46065</v>
      </c>
      <c r="M387" s="116">
        <v>151.31</v>
      </c>
      <c r="N387" s="116">
        <v>154.80000000000001</v>
      </c>
      <c r="O387" s="116">
        <v>150.1</v>
      </c>
      <c r="P387" s="116">
        <v>154.80000000000001</v>
      </c>
      <c r="Q387" s="116">
        <v>151.31</v>
      </c>
      <c r="R387">
        <v>835185</v>
      </c>
    </row>
    <row r="388" spans="1:18" x14ac:dyDescent="0.25">
      <c r="A388" s="170">
        <v>42573</v>
      </c>
      <c r="B388" s="116">
        <v>1.9631547807299401</v>
      </c>
      <c r="C388" s="116">
        <v>1.90534505947407</v>
      </c>
      <c r="D388" s="116">
        <v>1.88475529573911</v>
      </c>
      <c r="E388" s="116">
        <v>1.96077903876052</v>
      </c>
      <c r="F388" s="116">
        <v>120.3</v>
      </c>
      <c r="G388">
        <v>4762</v>
      </c>
      <c r="H388" s="116"/>
      <c r="I388" s="116"/>
      <c r="L388" s="170">
        <v>46066</v>
      </c>
      <c r="M388" s="116">
        <v>151.99</v>
      </c>
      <c r="N388" s="116">
        <v>154.69999999999999</v>
      </c>
      <c r="O388" s="116">
        <v>147.11000000000001</v>
      </c>
      <c r="P388" s="116">
        <v>149.5</v>
      </c>
      <c r="Q388" s="116">
        <v>151.99</v>
      </c>
      <c r="R388">
        <v>1256643</v>
      </c>
    </row>
    <row r="389" spans="1:18" x14ac:dyDescent="0.25">
      <c r="A389" s="170">
        <v>42576</v>
      </c>
      <c r="B389" s="116">
        <v>1.9623628667401301</v>
      </c>
      <c r="C389" s="116">
        <v>1.92435099522942</v>
      </c>
      <c r="D389" s="116">
        <v>1.9180156833109701</v>
      </c>
      <c r="E389" s="116">
        <v>1.9481084149236101</v>
      </c>
      <c r="F389" s="116">
        <v>121.5</v>
      </c>
      <c r="G389">
        <v>4088</v>
      </c>
      <c r="H389" s="116"/>
      <c r="I389" s="116"/>
      <c r="L389" s="170">
        <v>46069</v>
      </c>
      <c r="M389" s="116">
        <v>150.09</v>
      </c>
      <c r="N389" s="116">
        <v>152.5</v>
      </c>
      <c r="O389" s="116">
        <v>149.22999999999999</v>
      </c>
      <c r="P389" s="116">
        <v>151.58000000000001</v>
      </c>
      <c r="Q389" s="116">
        <v>150.09</v>
      </c>
      <c r="R389">
        <v>531881</v>
      </c>
    </row>
    <row r="390" spans="1:18" x14ac:dyDescent="0.25">
      <c r="A390" s="170">
        <v>42577</v>
      </c>
      <c r="B390" s="116">
        <v>1.92435099522942</v>
      </c>
      <c r="C390" s="116">
        <v>1.9195995112905899</v>
      </c>
      <c r="D390" s="116">
        <v>1.9069288874536801</v>
      </c>
      <c r="E390" s="116">
        <v>1.9069288874536801</v>
      </c>
      <c r="F390" s="116">
        <v>121.2</v>
      </c>
      <c r="G390">
        <v>1090</v>
      </c>
      <c r="H390" s="116"/>
      <c r="I390" s="116"/>
      <c r="L390" s="170">
        <v>46070</v>
      </c>
      <c r="M390" s="116">
        <v>149.62</v>
      </c>
      <c r="N390" s="116">
        <v>152.24</v>
      </c>
      <c r="O390" s="116">
        <v>149.01</v>
      </c>
      <c r="P390" s="116">
        <v>149.44999999999999</v>
      </c>
      <c r="Q390" s="116">
        <v>149.62</v>
      </c>
      <c r="R390">
        <v>526015</v>
      </c>
    </row>
    <row r="391" spans="1:18" x14ac:dyDescent="0.25">
      <c r="A391" s="170">
        <v>42578</v>
      </c>
      <c r="B391" s="116">
        <v>2.0589763734964999</v>
      </c>
      <c r="C391" s="116">
        <v>1.96077903876052</v>
      </c>
      <c r="D391" s="116">
        <v>1.9005935755352299</v>
      </c>
      <c r="E391" s="116">
        <v>1.90534505947407</v>
      </c>
      <c r="F391" s="116">
        <v>123.8</v>
      </c>
      <c r="G391">
        <v>5928</v>
      </c>
      <c r="H391" s="116"/>
      <c r="I391" s="116"/>
      <c r="L391" s="170">
        <v>46071</v>
      </c>
      <c r="M391" s="116">
        <v>149.72999999999999</v>
      </c>
      <c r="N391" s="116">
        <v>151.15</v>
      </c>
      <c r="O391" s="116">
        <v>149.33000000000001</v>
      </c>
      <c r="P391" s="116">
        <v>150</v>
      </c>
      <c r="Q391" s="116">
        <v>149.72999999999999</v>
      </c>
      <c r="R391">
        <v>464730</v>
      </c>
    </row>
    <row r="392" spans="1:18" x14ac:dyDescent="0.25">
      <c r="A392" s="170">
        <v>42579</v>
      </c>
      <c r="B392" s="116">
        <v>2.1571737082324902</v>
      </c>
      <c r="C392" s="116">
        <v>2.0518491475882499</v>
      </c>
      <c r="D392" s="116">
        <v>1.97978497451587</v>
      </c>
      <c r="E392" s="116">
        <v>1.9813688024954801</v>
      </c>
      <c r="F392" s="116">
        <v>129.55000000000001</v>
      </c>
      <c r="G392">
        <v>12875</v>
      </c>
      <c r="H392" s="116"/>
      <c r="I392" s="116"/>
      <c r="L392" s="170">
        <v>46072</v>
      </c>
      <c r="M392" s="116">
        <v>147.03</v>
      </c>
      <c r="N392" s="116">
        <v>151.18</v>
      </c>
      <c r="O392" s="116">
        <v>145.25</v>
      </c>
      <c r="P392" s="116">
        <v>150</v>
      </c>
      <c r="Q392" s="116">
        <v>147.03</v>
      </c>
      <c r="R392">
        <v>621132</v>
      </c>
    </row>
    <row r="393" spans="1:18" x14ac:dyDescent="0.25">
      <c r="A393" s="170">
        <v>42580</v>
      </c>
      <c r="B393" s="116">
        <v>2.1540060522732598</v>
      </c>
      <c r="C393" s="116">
        <v>2.0597682874863099</v>
      </c>
      <c r="D393" s="116">
        <v>1.995623254312</v>
      </c>
      <c r="E393" s="116">
        <v>1.995623254312</v>
      </c>
      <c r="F393" s="116">
        <v>130.05000000000001</v>
      </c>
      <c r="G393">
        <v>8046</v>
      </c>
      <c r="H393" s="116"/>
      <c r="I393" s="116"/>
      <c r="L393" s="170">
        <v>46073</v>
      </c>
      <c r="M393" s="116">
        <v>145.46</v>
      </c>
      <c r="N393" s="116">
        <v>149.80000000000001</v>
      </c>
      <c r="O393" s="116">
        <v>145</v>
      </c>
      <c r="P393" s="116">
        <v>147</v>
      </c>
      <c r="Q393" s="116">
        <v>145.46</v>
      </c>
      <c r="R393">
        <v>871714</v>
      </c>
    </row>
    <row r="394" spans="1:18" x14ac:dyDescent="0.25">
      <c r="A394" s="170">
        <v>42583</v>
      </c>
      <c r="B394" s="116">
        <v>2.0732308253130198</v>
      </c>
      <c r="C394" s="116">
        <v>2.0431380937003798</v>
      </c>
      <c r="D394" s="116">
        <v>2.0177968460265698</v>
      </c>
      <c r="E394" s="116">
        <v>2.0447219216799901</v>
      </c>
      <c r="F394" s="116">
        <v>129</v>
      </c>
      <c r="G394">
        <v>3975</v>
      </c>
      <c r="H394" s="116"/>
      <c r="I394" s="116"/>
      <c r="L394" s="170">
        <v>46076</v>
      </c>
      <c r="M394" s="116">
        <v>144.43</v>
      </c>
      <c r="N394" s="116">
        <v>147.4</v>
      </c>
      <c r="O394" s="116">
        <v>142.35</v>
      </c>
      <c r="P394" s="116">
        <v>146.75</v>
      </c>
      <c r="Q394" s="116">
        <v>144.43</v>
      </c>
      <c r="R394">
        <v>626784</v>
      </c>
    </row>
    <row r="395" spans="1:18" x14ac:dyDescent="0.25">
      <c r="A395" s="170">
        <v>42584</v>
      </c>
      <c r="B395" s="116">
        <v>2.0146291900673501</v>
      </c>
      <c r="C395" s="116">
        <v>1.9639466947197399</v>
      </c>
      <c r="D395" s="116">
        <v>1.9568194688114799</v>
      </c>
      <c r="E395" s="116">
        <v>2.0146291900673501</v>
      </c>
      <c r="F395" s="116">
        <v>124</v>
      </c>
      <c r="G395">
        <v>1698</v>
      </c>
      <c r="H395" s="116"/>
      <c r="I395" s="116"/>
      <c r="L395" s="170">
        <v>46077</v>
      </c>
      <c r="M395" s="116">
        <v>144.49</v>
      </c>
      <c r="N395" s="116">
        <v>145.74</v>
      </c>
      <c r="O395" s="116">
        <v>141.62</v>
      </c>
      <c r="P395" s="116">
        <v>143.30000000000001</v>
      </c>
      <c r="Q395" s="116">
        <v>144.49</v>
      </c>
      <c r="R395">
        <v>930441</v>
      </c>
    </row>
    <row r="396" spans="1:18" x14ac:dyDescent="0.25">
      <c r="A396" s="170">
        <v>42585</v>
      </c>
      <c r="B396" s="116">
        <v>1.97978497451587</v>
      </c>
      <c r="C396" s="116">
        <v>1.90534505947407</v>
      </c>
      <c r="D396" s="116">
        <v>1.88475529573911</v>
      </c>
      <c r="E396" s="116">
        <v>1.97978497451587</v>
      </c>
      <c r="F396" s="116">
        <v>120.3</v>
      </c>
      <c r="G396">
        <v>5680</v>
      </c>
      <c r="H396" s="116"/>
      <c r="I396" s="116"/>
      <c r="L396" s="170">
        <v>46078</v>
      </c>
      <c r="M396" s="116">
        <v>143.87</v>
      </c>
      <c r="N396" s="116">
        <v>145.96</v>
      </c>
      <c r="O396" s="116">
        <v>143.12</v>
      </c>
      <c r="P396" s="116">
        <v>144.9</v>
      </c>
      <c r="Q396" s="116">
        <v>143.87</v>
      </c>
      <c r="R396">
        <v>498803</v>
      </c>
    </row>
    <row r="397" spans="1:18" x14ac:dyDescent="0.25">
      <c r="A397" s="170">
        <v>42586</v>
      </c>
      <c r="B397" s="116">
        <v>1.9005935755352299</v>
      </c>
      <c r="C397" s="116">
        <v>1.8602059620551099</v>
      </c>
      <c r="D397" s="116">
        <v>1.8229860045342099</v>
      </c>
      <c r="E397" s="116">
        <v>1.9005935755352299</v>
      </c>
      <c r="F397" s="116">
        <v>117.45</v>
      </c>
      <c r="G397">
        <v>5481</v>
      </c>
      <c r="H397" s="116"/>
      <c r="I397" s="116"/>
      <c r="L397" s="170">
        <v>46079</v>
      </c>
      <c r="M397" s="116">
        <v>146.05000000000001</v>
      </c>
      <c r="N397" s="116">
        <v>148.38</v>
      </c>
      <c r="O397" s="116">
        <v>143.87</v>
      </c>
      <c r="P397" s="116">
        <v>144.30000000000001</v>
      </c>
      <c r="Q397" s="116">
        <v>146.05000000000001</v>
      </c>
      <c r="R397">
        <v>670476</v>
      </c>
    </row>
    <row r="398" spans="1:18" x14ac:dyDescent="0.25">
      <c r="A398" s="170">
        <v>42587</v>
      </c>
      <c r="B398" s="116">
        <v>1.9291024791682601</v>
      </c>
      <c r="C398" s="116">
        <v>1.89821783356581</v>
      </c>
      <c r="D398" s="116">
        <v>1.8855472097289101</v>
      </c>
      <c r="E398" s="116">
        <v>1.9291024791682601</v>
      </c>
      <c r="F398" s="116">
        <v>119.85</v>
      </c>
      <c r="G398">
        <v>274</v>
      </c>
      <c r="H398" s="116"/>
      <c r="I398" s="116"/>
      <c r="L398" s="170">
        <v>46080</v>
      </c>
      <c r="M398" s="116">
        <v>143.38</v>
      </c>
      <c r="N398" s="116">
        <v>147</v>
      </c>
      <c r="O398" s="116">
        <v>143</v>
      </c>
      <c r="P398" s="116">
        <v>145.75</v>
      </c>
      <c r="Q398" s="116">
        <v>143.38</v>
      </c>
      <c r="R398">
        <v>459311</v>
      </c>
    </row>
    <row r="399" spans="1:18" x14ac:dyDescent="0.25">
      <c r="A399" s="170">
        <v>42590</v>
      </c>
      <c r="B399" s="116">
        <v>1.9671143506789699</v>
      </c>
      <c r="C399" s="116">
        <v>1.8633736180143401</v>
      </c>
      <c r="D399" s="116">
        <v>1.81427495064634</v>
      </c>
      <c r="E399" s="116">
        <v>1.81427495064634</v>
      </c>
      <c r="F399" s="116">
        <v>117.65</v>
      </c>
      <c r="G399">
        <v>1218</v>
      </c>
      <c r="H399" s="116"/>
      <c r="I399" s="116"/>
      <c r="L399" s="170">
        <v>46083</v>
      </c>
      <c r="M399" s="116">
        <v>141.61000000000001</v>
      </c>
      <c r="N399" s="116">
        <v>146.88</v>
      </c>
      <c r="O399" s="116">
        <v>135.19999999999999</v>
      </c>
      <c r="P399" s="116">
        <v>135.19999999999999</v>
      </c>
      <c r="Q399" s="116">
        <v>141.61000000000001</v>
      </c>
      <c r="R399">
        <v>1812521</v>
      </c>
    </row>
    <row r="400" spans="1:18" x14ac:dyDescent="0.25">
      <c r="A400" s="170">
        <v>42591</v>
      </c>
      <c r="B400" s="116">
        <v>1.88000381180027</v>
      </c>
      <c r="C400" s="116">
        <v>1.8150668646361501</v>
      </c>
      <c r="D400" s="116">
        <v>1.79526901489099</v>
      </c>
      <c r="E400" s="116">
        <v>1.8380323703405299</v>
      </c>
      <c r="F400" s="116">
        <v>114.6</v>
      </c>
      <c r="G400">
        <v>6259</v>
      </c>
      <c r="H400" s="116"/>
      <c r="I400" s="116"/>
      <c r="L400" s="170">
        <v>46085</v>
      </c>
      <c r="M400" s="116">
        <v>140.69</v>
      </c>
      <c r="N400" s="116">
        <v>144.99</v>
      </c>
      <c r="O400" s="116">
        <v>139.86000000000001</v>
      </c>
      <c r="P400" s="116">
        <v>141</v>
      </c>
      <c r="Q400" s="116">
        <v>140.69</v>
      </c>
      <c r="R400">
        <v>1524797</v>
      </c>
    </row>
    <row r="401" spans="1:18" x14ac:dyDescent="0.25">
      <c r="A401" s="170">
        <v>42592</v>
      </c>
      <c r="B401" s="116">
        <v>1.8095234667075</v>
      </c>
      <c r="C401" s="116">
        <v>1.77388733716622</v>
      </c>
      <c r="D401" s="116">
        <v>1.7422107775739599</v>
      </c>
      <c r="E401" s="116">
        <v>1.80556389675847</v>
      </c>
      <c r="F401" s="116">
        <v>112</v>
      </c>
      <c r="G401">
        <v>6325</v>
      </c>
      <c r="H401" s="116"/>
      <c r="I401" s="116"/>
      <c r="L401" s="170">
        <v>46086</v>
      </c>
      <c r="M401" s="116">
        <v>142.66</v>
      </c>
      <c r="N401" s="116">
        <v>143.9</v>
      </c>
      <c r="O401" s="116">
        <v>140.85</v>
      </c>
      <c r="P401" s="116">
        <v>143.55000000000001</v>
      </c>
      <c r="Q401" s="116">
        <v>142.66</v>
      </c>
      <c r="R401">
        <v>797754</v>
      </c>
    </row>
    <row r="402" spans="1:18" x14ac:dyDescent="0.25">
      <c r="A402" s="170">
        <v>42593</v>
      </c>
      <c r="B402" s="116">
        <v>1.83565662837111</v>
      </c>
      <c r="C402" s="116">
        <v>1.81348303665654</v>
      </c>
      <c r="D402" s="116">
        <v>1.75804905737009</v>
      </c>
      <c r="E402" s="116">
        <v>1.75804905737009</v>
      </c>
      <c r="F402" s="116">
        <v>114.5</v>
      </c>
      <c r="G402">
        <v>4037</v>
      </c>
      <c r="H402" s="116"/>
      <c r="I402" s="116"/>
      <c r="L402" s="170">
        <v>46087</v>
      </c>
      <c r="M402" s="116">
        <v>145.11000000000001</v>
      </c>
      <c r="N402" s="116">
        <v>149.85</v>
      </c>
      <c r="O402" s="116">
        <v>141.99</v>
      </c>
      <c r="P402" s="116">
        <v>143.19</v>
      </c>
      <c r="Q402" s="116">
        <v>145.11000000000001</v>
      </c>
      <c r="R402">
        <v>1373327</v>
      </c>
    </row>
    <row r="403" spans="1:18" x14ac:dyDescent="0.25">
      <c r="A403" s="170">
        <v>42594</v>
      </c>
      <c r="B403" s="116">
        <v>1.8792118978104599</v>
      </c>
      <c r="C403" s="116">
        <v>1.72954015373706</v>
      </c>
      <c r="D403" s="116">
        <v>1.69548785217539</v>
      </c>
      <c r="E403" s="116">
        <v>1.8792118978104599</v>
      </c>
      <c r="F403" s="116">
        <v>109.2</v>
      </c>
      <c r="G403">
        <v>6665</v>
      </c>
      <c r="H403" s="116"/>
      <c r="I403" s="116"/>
      <c r="L403" s="170">
        <v>46090</v>
      </c>
      <c r="M403" s="116">
        <v>140.13</v>
      </c>
      <c r="N403" s="116">
        <v>144</v>
      </c>
      <c r="O403" s="116">
        <v>138.33000000000001</v>
      </c>
      <c r="P403" s="116">
        <v>144</v>
      </c>
      <c r="Q403" s="116">
        <v>140.13</v>
      </c>
      <c r="R403">
        <v>970250</v>
      </c>
    </row>
    <row r="404" spans="1:18" x14ac:dyDescent="0.25">
      <c r="A404" s="170">
        <v>42598</v>
      </c>
      <c r="B404" s="116">
        <v>1.8214021765546</v>
      </c>
      <c r="C404" s="116">
        <v>1.7778469071152501</v>
      </c>
      <c r="D404" s="116">
        <v>1.59966625940882</v>
      </c>
      <c r="E404" s="116">
        <v>1.66301937859333</v>
      </c>
      <c r="F404" s="116">
        <v>112.25</v>
      </c>
      <c r="G404">
        <v>5530</v>
      </c>
      <c r="H404" s="116"/>
      <c r="I404" s="116"/>
      <c r="L404" s="170">
        <v>46091</v>
      </c>
      <c r="M404" s="116">
        <v>146</v>
      </c>
      <c r="N404" s="116">
        <v>146.57</v>
      </c>
      <c r="O404" s="116">
        <v>140.44999999999999</v>
      </c>
      <c r="P404" s="116">
        <v>143.4</v>
      </c>
      <c r="Q404" s="116">
        <v>146</v>
      </c>
      <c r="R404">
        <v>951595</v>
      </c>
    </row>
    <row r="405" spans="1:18" x14ac:dyDescent="0.25">
      <c r="A405" s="170">
        <v>42599</v>
      </c>
      <c r="B405" s="116">
        <v>1.8372404563507301</v>
      </c>
      <c r="C405" s="116">
        <v>1.7604247993395099</v>
      </c>
      <c r="D405" s="116">
        <v>1.7572571433802799</v>
      </c>
      <c r="E405" s="116">
        <v>1.77388733716622</v>
      </c>
      <c r="F405" s="116">
        <v>111.15</v>
      </c>
      <c r="G405">
        <v>5801</v>
      </c>
      <c r="H405" s="116"/>
      <c r="I405" s="116"/>
      <c r="L405" s="170">
        <v>46092</v>
      </c>
      <c r="M405" s="116">
        <v>142.78</v>
      </c>
      <c r="N405" s="116">
        <v>148.76</v>
      </c>
      <c r="O405" s="116">
        <v>142</v>
      </c>
      <c r="P405" s="116">
        <v>146</v>
      </c>
      <c r="Q405" s="116">
        <v>142.78</v>
      </c>
      <c r="R405">
        <v>781095</v>
      </c>
    </row>
    <row r="406" spans="1:18" x14ac:dyDescent="0.25">
      <c r="A406" s="170">
        <v>42600</v>
      </c>
      <c r="B406" s="116">
        <v>1.7897256169623501</v>
      </c>
      <c r="C406" s="116">
        <v>1.7612167133293199</v>
      </c>
      <c r="D406" s="116">
        <v>1.7342916376759001</v>
      </c>
      <c r="E406" s="116">
        <v>1.76200862731912</v>
      </c>
      <c r="F406" s="116">
        <v>111.2</v>
      </c>
      <c r="G406">
        <v>3729</v>
      </c>
      <c r="H406" s="116"/>
      <c r="I406" s="116"/>
      <c r="L406" s="170">
        <v>46093</v>
      </c>
      <c r="M406" s="116">
        <v>143.94999999999999</v>
      </c>
      <c r="N406" s="116">
        <v>146.5</v>
      </c>
      <c r="O406" s="116">
        <v>138.6</v>
      </c>
      <c r="P406" s="116">
        <v>141.65</v>
      </c>
      <c r="Q406" s="116">
        <v>143.94999999999999</v>
      </c>
      <c r="R406">
        <v>1042993</v>
      </c>
    </row>
    <row r="407" spans="1:18" x14ac:dyDescent="0.25">
      <c r="A407" s="170">
        <v>42601</v>
      </c>
      <c r="B407" s="116">
        <v>1.77388733716622</v>
      </c>
      <c r="C407" s="116">
        <v>1.77309542317641</v>
      </c>
      <c r="D407" s="116">
        <v>1.73666737964532</v>
      </c>
      <c r="E407" s="116">
        <v>1.73666737964532</v>
      </c>
      <c r="F407" s="116">
        <v>111.95</v>
      </c>
      <c r="G407">
        <v>522</v>
      </c>
      <c r="H407" s="116"/>
      <c r="I407" s="116"/>
      <c r="L407" s="170">
        <v>46094</v>
      </c>
      <c r="M407" s="116">
        <v>134.59</v>
      </c>
      <c r="N407" s="116">
        <v>144.97999999999999</v>
      </c>
      <c r="O407" s="116">
        <v>133.1</v>
      </c>
      <c r="P407" s="116">
        <v>143</v>
      </c>
      <c r="Q407" s="116">
        <v>134.59</v>
      </c>
      <c r="R407">
        <v>1464429</v>
      </c>
    </row>
    <row r="408" spans="1:18" x14ac:dyDescent="0.25">
      <c r="A408" s="170">
        <v>42604</v>
      </c>
      <c r="B408" s="116">
        <v>1.8530787361468499</v>
      </c>
      <c r="C408" s="116">
        <v>1.8150668646361501</v>
      </c>
      <c r="D408" s="116">
        <v>1.7422107775739599</v>
      </c>
      <c r="E408" s="116">
        <v>1.75804905737009</v>
      </c>
      <c r="F408" s="116">
        <v>114.6</v>
      </c>
      <c r="G408">
        <v>5695</v>
      </c>
      <c r="H408" s="116"/>
      <c r="I408" s="116"/>
      <c r="L408" s="170">
        <v>46097</v>
      </c>
      <c r="M408" s="116">
        <v>130</v>
      </c>
      <c r="N408" s="116">
        <v>136.25</v>
      </c>
      <c r="O408" s="116">
        <v>126.97</v>
      </c>
      <c r="P408" s="116">
        <v>136.25</v>
      </c>
      <c r="Q408" s="116">
        <v>130</v>
      </c>
      <c r="R408">
        <v>2408240</v>
      </c>
    </row>
    <row r="409" spans="1:18" x14ac:dyDescent="0.25">
      <c r="A409" s="170">
        <v>42605</v>
      </c>
      <c r="B409" s="116">
        <v>1.8673331879633699</v>
      </c>
      <c r="C409" s="116">
        <v>1.7960609288808</v>
      </c>
      <c r="D409" s="116">
        <v>1.75408948742106</v>
      </c>
      <c r="E409" s="116">
        <v>1.8673331879633699</v>
      </c>
      <c r="F409" s="116">
        <v>113.4</v>
      </c>
      <c r="G409">
        <v>582</v>
      </c>
      <c r="H409" s="116"/>
      <c r="I409" s="116"/>
      <c r="L409" s="170">
        <v>46098</v>
      </c>
      <c r="M409" s="116">
        <v>127.62</v>
      </c>
      <c r="N409" s="116">
        <v>132.69</v>
      </c>
      <c r="O409" s="116">
        <v>127</v>
      </c>
      <c r="P409" s="116">
        <v>131.1</v>
      </c>
      <c r="Q409" s="116">
        <v>127.62</v>
      </c>
      <c r="R409">
        <v>1169527</v>
      </c>
    </row>
    <row r="410" spans="1:18" x14ac:dyDescent="0.25">
      <c r="A410" s="170">
        <v>42606</v>
      </c>
      <c r="B410" s="116">
        <v>1.8372404563507301</v>
      </c>
      <c r="C410" s="116">
        <v>1.7786388211050601</v>
      </c>
      <c r="D410" s="116">
        <v>1.75804905737009</v>
      </c>
      <c r="E410" s="116">
        <v>1.8039800687788601</v>
      </c>
      <c r="F410" s="116">
        <v>112.3</v>
      </c>
      <c r="G410">
        <v>7602</v>
      </c>
      <c r="H410" s="116"/>
      <c r="I410" s="116"/>
      <c r="L410" s="170">
        <v>46099</v>
      </c>
      <c r="M410" s="116">
        <v>133.08000000000001</v>
      </c>
      <c r="N410" s="116">
        <v>134.30000000000001</v>
      </c>
      <c r="O410" s="116">
        <v>128.19999999999999</v>
      </c>
      <c r="P410" s="116">
        <v>128.19999999999999</v>
      </c>
      <c r="Q410" s="116">
        <v>133.08000000000001</v>
      </c>
      <c r="R410">
        <v>1397605</v>
      </c>
    </row>
    <row r="411" spans="1:18" x14ac:dyDescent="0.25">
      <c r="A411" s="170">
        <v>42607</v>
      </c>
      <c r="B411" s="116">
        <v>1.7897256169623501</v>
      </c>
      <c r="C411" s="116">
        <v>1.7746792511560201</v>
      </c>
      <c r="D411" s="116">
        <v>1.75092183146183</v>
      </c>
      <c r="E411" s="116">
        <v>1.7897256169623501</v>
      </c>
      <c r="F411" s="116">
        <v>112.05</v>
      </c>
      <c r="G411">
        <v>1720</v>
      </c>
      <c r="H411" s="116"/>
      <c r="I411" s="116"/>
      <c r="L411" s="170">
        <v>46100</v>
      </c>
      <c r="M411" s="116">
        <v>126.97</v>
      </c>
      <c r="N411" s="116">
        <v>131</v>
      </c>
      <c r="O411" s="116">
        <v>126</v>
      </c>
      <c r="P411" s="116">
        <v>130</v>
      </c>
      <c r="Q411" s="116">
        <v>126.97</v>
      </c>
      <c r="R411">
        <v>1335525</v>
      </c>
    </row>
    <row r="412" spans="1:18" x14ac:dyDescent="0.25">
      <c r="A412" s="170">
        <v>42608</v>
      </c>
      <c r="B412" s="116">
        <v>1.8214021765546</v>
      </c>
      <c r="C412" s="116">
        <v>1.7778469071152501</v>
      </c>
      <c r="D412" s="116">
        <v>1.77388733716622</v>
      </c>
      <c r="E412" s="116">
        <v>1.80556389675847</v>
      </c>
      <c r="F412" s="116">
        <v>112.25</v>
      </c>
      <c r="G412">
        <v>5759</v>
      </c>
      <c r="H412" s="116"/>
      <c r="I412" s="116"/>
      <c r="L412" s="170">
        <v>46101</v>
      </c>
      <c r="M412" s="116">
        <v>127.38</v>
      </c>
      <c r="N412" s="116">
        <v>130.5</v>
      </c>
      <c r="O412" s="116">
        <v>127</v>
      </c>
      <c r="P412" s="116">
        <v>128.30000000000001</v>
      </c>
      <c r="Q412" s="116">
        <v>127.38</v>
      </c>
      <c r="R412">
        <v>886238</v>
      </c>
    </row>
    <row r="413" spans="1:18" x14ac:dyDescent="0.25">
      <c r="A413" s="170">
        <v>42611</v>
      </c>
      <c r="B413" s="116">
        <v>1.81348303665654</v>
      </c>
      <c r="C413" s="116">
        <v>1.7239967558084199</v>
      </c>
      <c r="D413" s="116">
        <v>1.70261507808365</v>
      </c>
      <c r="E413" s="116">
        <v>1.7905175309521499</v>
      </c>
      <c r="F413" s="116">
        <v>108.85</v>
      </c>
      <c r="G413">
        <v>3393</v>
      </c>
      <c r="H413" s="116"/>
      <c r="I413" s="116"/>
      <c r="L413" s="170">
        <v>46104</v>
      </c>
      <c r="M413" s="116">
        <v>118.29</v>
      </c>
      <c r="N413" s="116">
        <v>126.45</v>
      </c>
      <c r="O413" s="116">
        <v>117.05</v>
      </c>
      <c r="P413" s="116">
        <v>125</v>
      </c>
      <c r="Q413" s="116">
        <v>118.29</v>
      </c>
      <c r="R413">
        <v>1635701</v>
      </c>
    </row>
    <row r="414" spans="1:18" x14ac:dyDescent="0.25">
      <c r="A414" s="170">
        <v>42612</v>
      </c>
      <c r="B414" s="116">
        <v>1.7865579610031199</v>
      </c>
      <c r="C414" s="116">
        <v>1.75804905737009</v>
      </c>
      <c r="D414" s="116">
        <v>1.7422107775739599</v>
      </c>
      <c r="E414" s="116">
        <v>1.7422107775739599</v>
      </c>
      <c r="F414" s="116">
        <v>111</v>
      </c>
      <c r="G414">
        <v>1235</v>
      </c>
      <c r="H414" s="116"/>
      <c r="I414" s="116"/>
      <c r="L414" s="170">
        <v>46105</v>
      </c>
      <c r="M414" s="116">
        <v>121.03</v>
      </c>
      <c r="N414" s="116">
        <v>124.5</v>
      </c>
      <c r="O414" s="116">
        <v>118.3</v>
      </c>
      <c r="P414" s="116">
        <v>122</v>
      </c>
      <c r="Q414" s="116">
        <v>121.03</v>
      </c>
      <c r="R414">
        <v>1810375</v>
      </c>
    </row>
    <row r="415" spans="1:18" x14ac:dyDescent="0.25">
      <c r="A415" s="170">
        <v>42613</v>
      </c>
      <c r="B415" s="116">
        <v>1.7897256169623501</v>
      </c>
      <c r="C415" s="116">
        <v>1.7081584760122901</v>
      </c>
      <c r="D415" s="116">
        <v>1.68044148636907</v>
      </c>
      <c r="E415" s="116">
        <v>1.75804905737009</v>
      </c>
      <c r="F415" s="116">
        <v>107.85</v>
      </c>
      <c r="G415">
        <v>4713</v>
      </c>
      <c r="H415" s="116"/>
      <c r="I415" s="116"/>
      <c r="L415" s="170">
        <v>46106</v>
      </c>
      <c r="M415" s="116">
        <v>130.09</v>
      </c>
      <c r="N415" s="116">
        <v>138.81</v>
      </c>
      <c r="O415" s="116">
        <v>128.4</v>
      </c>
      <c r="P415" s="116">
        <v>131.01</v>
      </c>
      <c r="Q415" s="116">
        <v>130.09</v>
      </c>
      <c r="R415">
        <v>17940511</v>
      </c>
    </row>
    <row r="416" spans="1:18" x14ac:dyDescent="0.25">
      <c r="A416" s="170">
        <v>42614</v>
      </c>
      <c r="B416" s="116">
        <v>1.7263724977778401</v>
      </c>
      <c r="C416" s="116">
        <v>1.6978635941448099</v>
      </c>
      <c r="D416" s="116">
        <v>1.68044148636907</v>
      </c>
      <c r="E416" s="116">
        <v>1.72478866979822</v>
      </c>
      <c r="F416" s="116">
        <v>107.2</v>
      </c>
      <c r="G416">
        <v>4156</v>
      </c>
      <c r="H416" s="116"/>
      <c r="I416" s="116"/>
      <c r="L416" s="170">
        <v>46108</v>
      </c>
      <c r="M416" s="116">
        <v>124.12</v>
      </c>
      <c r="N416" s="116">
        <v>129.76</v>
      </c>
      <c r="O416" s="116">
        <v>123.35</v>
      </c>
      <c r="P416" s="116">
        <v>129.76</v>
      </c>
      <c r="Q416" s="116">
        <v>124.12</v>
      </c>
      <c r="R416">
        <v>2639180</v>
      </c>
    </row>
    <row r="417" spans="1:18" x14ac:dyDescent="0.25">
      <c r="A417" s="170">
        <v>42615</v>
      </c>
      <c r="B417" s="116">
        <v>1.69469593818558</v>
      </c>
      <c r="C417" s="116">
        <v>1.69469593818558</v>
      </c>
      <c r="D417" s="116">
        <v>1.69469593818558</v>
      </c>
      <c r="E417" s="116">
        <v>1.69469593818558</v>
      </c>
      <c r="F417" s="116">
        <v>107</v>
      </c>
      <c r="G417">
        <v>712</v>
      </c>
      <c r="H417" s="116"/>
      <c r="I417" s="116"/>
      <c r="L417" s="170">
        <v>46111</v>
      </c>
      <c r="M417" s="116">
        <v>126.56</v>
      </c>
      <c r="N417" s="116">
        <v>129.4</v>
      </c>
      <c r="O417" s="116">
        <v>122.08</v>
      </c>
      <c r="P417" s="116">
        <v>124.83</v>
      </c>
      <c r="Q417" s="116">
        <v>126.56</v>
      </c>
      <c r="R417">
        <v>3817038</v>
      </c>
    </row>
    <row r="418" spans="1:18" x14ac:dyDescent="0.25">
      <c r="A418" s="170">
        <v>42619</v>
      </c>
      <c r="B418" s="116">
        <v>1.8293213164526601</v>
      </c>
      <c r="C418" s="116">
        <v>1.8111072946871201</v>
      </c>
      <c r="D418" s="116">
        <v>1.66301937859333</v>
      </c>
      <c r="E418" s="116">
        <v>1.6788576583894601</v>
      </c>
      <c r="F418" s="116">
        <v>114.35</v>
      </c>
      <c r="G418">
        <v>8782</v>
      </c>
      <c r="H418" s="116"/>
      <c r="I418" s="116"/>
      <c r="L418" s="170">
        <v>46113</v>
      </c>
      <c r="M418" s="116">
        <v>134.28</v>
      </c>
      <c r="N418" s="116">
        <v>136.57</v>
      </c>
      <c r="O418" s="116">
        <v>128.5</v>
      </c>
      <c r="P418" s="116">
        <v>132.94999999999999</v>
      </c>
      <c r="Q418" s="116">
        <v>134.28</v>
      </c>
      <c r="R418">
        <v>2730189</v>
      </c>
    </row>
    <row r="419" spans="1:18" x14ac:dyDescent="0.25">
      <c r="A419" s="170">
        <v>42620</v>
      </c>
      <c r="B419" s="116">
        <v>1.8467434242284</v>
      </c>
      <c r="C419" s="116">
        <v>1.83565662837111</v>
      </c>
      <c r="D419" s="116">
        <v>1.77388733716622</v>
      </c>
      <c r="E419" s="116">
        <v>1.77388733716622</v>
      </c>
      <c r="F419" s="116">
        <v>115.9</v>
      </c>
      <c r="G419">
        <v>3876</v>
      </c>
      <c r="H419" s="116"/>
      <c r="I419" s="116"/>
      <c r="L419" s="170">
        <v>46114</v>
      </c>
      <c r="M419" s="116">
        <v>134.09</v>
      </c>
      <c r="N419" s="116">
        <v>135.27000000000001</v>
      </c>
      <c r="O419" s="116">
        <v>129.4</v>
      </c>
      <c r="P419" s="116">
        <v>131.5</v>
      </c>
      <c r="Q419" s="116">
        <v>134.09</v>
      </c>
      <c r="R419">
        <v>1255209</v>
      </c>
    </row>
    <row r="420" spans="1:18" x14ac:dyDescent="0.25">
      <c r="A420" s="170">
        <v>42621</v>
      </c>
      <c r="B420" s="116">
        <v>1.8998016615454301</v>
      </c>
      <c r="C420" s="116">
        <v>1.8000204988298301</v>
      </c>
      <c r="D420" s="116">
        <v>1.7905175309521499</v>
      </c>
      <c r="E420" s="116">
        <v>1.83565662837111</v>
      </c>
      <c r="F420" s="116">
        <v>113.65</v>
      </c>
      <c r="G420">
        <v>1997</v>
      </c>
      <c r="H420" s="116"/>
      <c r="I420" s="116"/>
      <c r="L420" s="170">
        <v>46118</v>
      </c>
      <c r="M420" s="116">
        <v>136.07</v>
      </c>
      <c r="N420" s="116">
        <v>136.99</v>
      </c>
      <c r="O420" s="116">
        <v>131.55000000000001</v>
      </c>
      <c r="P420" s="116">
        <v>135.75</v>
      </c>
      <c r="Q420" s="116">
        <v>136.07</v>
      </c>
      <c r="R420">
        <v>1412895</v>
      </c>
    </row>
    <row r="421" spans="1:18" x14ac:dyDescent="0.25">
      <c r="A421" s="170">
        <v>42622</v>
      </c>
      <c r="B421" s="116">
        <v>1.77388733716622</v>
      </c>
      <c r="C421" s="116">
        <v>1.7675520252477701</v>
      </c>
      <c r="D421" s="116">
        <v>1.7643843692885399</v>
      </c>
      <c r="E421" s="116">
        <v>1.76596819726815</v>
      </c>
      <c r="F421" s="116">
        <v>111.6</v>
      </c>
      <c r="G421">
        <v>840</v>
      </c>
      <c r="H421" s="116"/>
      <c r="I421" s="116"/>
      <c r="L421" s="170">
        <v>46119</v>
      </c>
      <c r="M421" s="116">
        <v>136.03</v>
      </c>
      <c r="N421" s="116">
        <v>138.88999999999999</v>
      </c>
      <c r="O421" s="116">
        <v>134.16</v>
      </c>
      <c r="P421" s="116">
        <v>136</v>
      </c>
      <c r="Q421" s="116">
        <v>136.03</v>
      </c>
      <c r="R421">
        <v>1176278</v>
      </c>
    </row>
    <row r="422" spans="1:18" x14ac:dyDescent="0.25">
      <c r="A422" s="170">
        <v>42625</v>
      </c>
      <c r="B422" s="116">
        <v>1.8008124128196299</v>
      </c>
      <c r="C422" s="116">
        <v>1.75171374545164</v>
      </c>
      <c r="D422" s="116">
        <v>1.6788576583894601</v>
      </c>
      <c r="E422" s="116">
        <v>1.6788576583894601</v>
      </c>
      <c r="F422" s="116">
        <v>110.6</v>
      </c>
      <c r="G422">
        <v>2171</v>
      </c>
      <c r="H422" s="116"/>
      <c r="I422" s="116"/>
      <c r="L422" s="170">
        <v>46120</v>
      </c>
      <c r="M422" s="116">
        <v>143.57</v>
      </c>
      <c r="N422" s="116">
        <v>144</v>
      </c>
      <c r="O422" s="116">
        <v>139.1</v>
      </c>
      <c r="P422" s="116">
        <v>141.5</v>
      </c>
      <c r="Q422" s="116">
        <v>143.57</v>
      </c>
      <c r="R422">
        <v>1534593</v>
      </c>
    </row>
    <row r="423" spans="1:18" x14ac:dyDescent="0.25">
      <c r="A423" s="170">
        <v>42627</v>
      </c>
      <c r="B423" s="116">
        <v>1.8665412739735601</v>
      </c>
      <c r="C423" s="116">
        <v>1.8348647143813099</v>
      </c>
      <c r="D423" s="116">
        <v>1.7232048418186099</v>
      </c>
      <c r="E423" s="116">
        <v>1.75171374545164</v>
      </c>
      <c r="F423" s="116">
        <v>115.85</v>
      </c>
      <c r="G423">
        <v>780</v>
      </c>
      <c r="H423" s="116"/>
      <c r="I423" s="116"/>
      <c r="L423" s="170">
        <v>46121</v>
      </c>
      <c r="M423" s="116">
        <v>147.74</v>
      </c>
      <c r="N423" s="116">
        <v>149.99</v>
      </c>
      <c r="O423" s="116">
        <v>142</v>
      </c>
      <c r="P423" s="116">
        <v>143.57</v>
      </c>
      <c r="Q423" s="116">
        <v>147.74</v>
      </c>
      <c r="R423">
        <v>2185743</v>
      </c>
    </row>
    <row r="424" spans="1:18" x14ac:dyDescent="0.25">
      <c r="A424" s="170">
        <v>42628</v>
      </c>
      <c r="B424" s="116">
        <v>1.8998016615454301</v>
      </c>
      <c r="C424" s="116">
        <v>1.87208467190221</v>
      </c>
      <c r="D424" s="116">
        <v>1.79922858484002</v>
      </c>
      <c r="E424" s="116">
        <v>1.79922858484002</v>
      </c>
      <c r="F424" s="116">
        <v>118.2</v>
      </c>
      <c r="G424">
        <v>1468</v>
      </c>
      <c r="H424" s="116"/>
      <c r="I424" s="116"/>
      <c r="L424" s="170">
        <v>46122</v>
      </c>
      <c r="M424" s="116">
        <v>152.69</v>
      </c>
      <c r="N424" s="116">
        <v>154.35</v>
      </c>
      <c r="O424" s="116">
        <v>148.69999999999999</v>
      </c>
      <c r="P424" s="116">
        <v>148.75</v>
      </c>
      <c r="Q424" s="116">
        <v>152.69</v>
      </c>
      <c r="R424">
        <v>2084905</v>
      </c>
    </row>
    <row r="425" spans="1:18" x14ac:dyDescent="0.25">
      <c r="A425" s="170">
        <v>42629</v>
      </c>
      <c r="B425" s="116">
        <v>1.88475529573911</v>
      </c>
      <c r="C425" s="116">
        <v>1.8309051444322799</v>
      </c>
      <c r="D425" s="116">
        <v>1.78497413302351</v>
      </c>
      <c r="E425" s="116">
        <v>1.78497413302351</v>
      </c>
      <c r="F425" s="116">
        <v>115.6</v>
      </c>
      <c r="G425">
        <v>1550</v>
      </c>
      <c r="H425" s="116"/>
      <c r="I425" s="116"/>
      <c r="L425" s="170">
        <v>46125</v>
      </c>
      <c r="M425" s="116">
        <v>150.69</v>
      </c>
      <c r="N425" s="116">
        <v>153.85</v>
      </c>
      <c r="O425" s="116">
        <v>144.27000000000001</v>
      </c>
      <c r="P425" s="116">
        <v>147.97999999999999</v>
      </c>
      <c r="Q425" s="116">
        <v>150.69</v>
      </c>
      <c r="R425">
        <v>2018575</v>
      </c>
    </row>
    <row r="426" spans="1:18" x14ac:dyDescent="0.25">
      <c r="A426" s="170">
        <v>42632</v>
      </c>
      <c r="B426" s="116">
        <v>1.8530787361468499</v>
      </c>
      <c r="C426" s="116">
        <v>1.8111072946871201</v>
      </c>
      <c r="D426" s="116">
        <v>1.7897256169623501</v>
      </c>
      <c r="E426" s="116">
        <v>1.8530787361468499</v>
      </c>
      <c r="F426" s="116">
        <v>114.35</v>
      </c>
      <c r="G426">
        <v>2115</v>
      </c>
      <c r="H426" s="116"/>
      <c r="I426" s="116"/>
      <c r="L426" s="170">
        <v>46127</v>
      </c>
      <c r="M426" s="116">
        <v>153.81</v>
      </c>
      <c r="N426" s="116">
        <v>154.94999999999999</v>
      </c>
      <c r="O426" s="116">
        <v>151.6</v>
      </c>
      <c r="P426" s="116">
        <v>153.44999999999999</v>
      </c>
      <c r="Q426" s="116">
        <v>153.81</v>
      </c>
      <c r="R426">
        <v>1363605</v>
      </c>
    </row>
    <row r="427" spans="1:18" x14ac:dyDescent="0.25">
      <c r="A427" s="170">
        <v>42633</v>
      </c>
      <c r="B427" s="116">
        <v>1.8530787361468499</v>
      </c>
      <c r="C427" s="116">
        <v>1.77626307913564</v>
      </c>
      <c r="D427" s="116">
        <v>1.7453784335331901</v>
      </c>
      <c r="E427" s="116">
        <v>1.8372404563507301</v>
      </c>
      <c r="F427" s="116">
        <v>112.15</v>
      </c>
      <c r="G427">
        <v>1737</v>
      </c>
      <c r="H427" s="116"/>
      <c r="I427" s="116"/>
      <c r="L427" s="170">
        <v>46128</v>
      </c>
      <c r="M427" s="116">
        <v>155.22</v>
      </c>
      <c r="N427" s="116">
        <v>157.19999999999999</v>
      </c>
      <c r="O427" s="116">
        <v>152.4</v>
      </c>
      <c r="P427" s="116">
        <v>154.85</v>
      </c>
      <c r="Q427" s="116">
        <v>155.22</v>
      </c>
      <c r="R427">
        <v>1596687</v>
      </c>
    </row>
    <row r="428" spans="1:18" x14ac:dyDescent="0.25">
      <c r="A428" s="170">
        <v>42634</v>
      </c>
      <c r="B428" s="116">
        <v>1.8332808864016901</v>
      </c>
      <c r="C428" s="116">
        <v>1.8237779185240199</v>
      </c>
      <c r="D428" s="116">
        <v>1.77388733716622</v>
      </c>
      <c r="E428" s="116">
        <v>1.77388733716622</v>
      </c>
      <c r="F428" s="116">
        <v>115.15</v>
      </c>
      <c r="G428">
        <v>2524</v>
      </c>
      <c r="H428" s="116"/>
      <c r="I428" s="116"/>
      <c r="L428" s="170">
        <v>46129</v>
      </c>
      <c r="M428" s="116">
        <v>160.30000000000001</v>
      </c>
      <c r="N428" s="116">
        <v>162.27000000000001</v>
      </c>
      <c r="O428" s="116">
        <v>154.49</v>
      </c>
      <c r="P428" s="116">
        <v>154.5</v>
      </c>
      <c r="Q428" s="116">
        <v>160.30000000000001</v>
      </c>
      <c r="R428">
        <v>3879009</v>
      </c>
    </row>
    <row r="429" spans="1:18" x14ac:dyDescent="0.25">
      <c r="A429" s="170">
        <v>42635</v>
      </c>
      <c r="B429" s="116">
        <v>1.89900974755562</v>
      </c>
      <c r="C429" s="116">
        <v>1.80556389675847</v>
      </c>
      <c r="D429" s="116">
        <v>1.7905175309521499</v>
      </c>
      <c r="E429" s="116">
        <v>1.89900974755562</v>
      </c>
      <c r="F429" s="116">
        <v>114</v>
      </c>
      <c r="G429">
        <v>1702</v>
      </c>
      <c r="H429" s="116"/>
      <c r="I429" s="116"/>
      <c r="L429" s="170">
        <v>46132</v>
      </c>
      <c r="M429" s="116">
        <v>157.12</v>
      </c>
      <c r="N429" s="116">
        <v>161</v>
      </c>
      <c r="O429" s="116">
        <v>156.19999999999999</v>
      </c>
      <c r="P429" s="116">
        <v>160.47999999999999</v>
      </c>
      <c r="Q429" s="116">
        <v>157.12</v>
      </c>
      <c r="R429">
        <v>1658050</v>
      </c>
    </row>
    <row r="430" spans="1:18" x14ac:dyDescent="0.25">
      <c r="A430" s="170">
        <v>42636</v>
      </c>
      <c r="B430" s="116">
        <v>1.97186583461781</v>
      </c>
      <c r="C430" s="116">
        <v>1.89821783356581</v>
      </c>
      <c r="D430" s="116">
        <v>1.84357576826918</v>
      </c>
      <c r="E430" s="116">
        <v>1.8641655320041399</v>
      </c>
      <c r="F430" s="116">
        <v>119.85</v>
      </c>
      <c r="G430">
        <v>6425</v>
      </c>
      <c r="H430" s="116"/>
      <c r="I430" s="116"/>
      <c r="L430" s="170">
        <v>46133</v>
      </c>
      <c r="M430" s="116">
        <v>157.91</v>
      </c>
      <c r="N430" s="116">
        <v>160.21</v>
      </c>
      <c r="O430" s="116">
        <v>156.36000000000001</v>
      </c>
      <c r="P430" s="116">
        <v>157.88999999999999</v>
      </c>
      <c r="Q430" s="116">
        <v>157.91</v>
      </c>
      <c r="R430">
        <v>1456141</v>
      </c>
    </row>
    <row r="431" spans="1:18" x14ac:dyDescent="0.25">
      <c r="A431" s="170">
        <v>42639</v>
      </c>
      <c r="B431" s="116">
        <v>1.8776280698308501</v>
      </c>
      <c r="C431" s="116">
        <v>1.8594140480653001</v>
      </c>
      <c r="D431" s="116">
        <v>1.8594140480653001</v>
      </c>
      <c r="E431" s="116">
        <v>1.8712927579123999</v>
      </c>
      <c r="F431" s="116">
        <v>117.4</v>
      </c>
      <c r="G431">
        <v>1924</v>
      </c>
      <c r="H431" s="116"/>
      <c r="I431" s="116"/>
      <c r="L431" s="170">
        <v>46134</v>
      </c>
      <c r="M431" s="116">
        <v>158.04</v>
      </c>
      <c r="N431" s="116">
        <v>161.79</v>
      </c>
      <c r="O431" s="116">
        <v>157</v>
      </c>
      <c r="P431" s="116">
        <v>157</v>
      </c>
      <c r="Q431" s="116">
        <v>158.04</v>
      </c>
      <c r="R431">
        <v>1582699</v>
      </c>
    </row>
    <row r="432" spans="1:18" x14ac:dyDescent="0.25">
      <c r="A432" s="170">
        <v>42640</v>
      </c>
      <c r="B432" s="116">
        <v>1.93543779108671</v>
      </c>
      <c r="C432" s="116">
        <v>1.8293213164526601</v>
      </c>
      <c r="D432" s="116">
        <v>1.80635581074828</v>
      </c>
      <c r="E432" s="116">
        <v>1.8562463921060799</v>
      </c>
      <c r="F432" s="116">
        <v>115.5</v>
      </c>
      <c r="G432">
        <v>3098</v>
      </c>
      <c r="H432" s="116"/>
      <c r="I432" s="116"/>
      <c r="L432" s="170">
        <v>46135</v>
      </c>
      <c r="M432" s="116">
        <v>158.96</v>
      </c>
      <c r="N432" s="116">
        <v>161.84</v>
      </c>
      <c r="O432" s="116">
        <v>156.85</v>
      </c>
      <c r="P432" s="116">
        <v>158</v>
      </c>
      <c r="Q432" s="116">
        <v>158.96</v>
      </c>
      <c r="R432">
        <v>2572864</v>
      </c>
    </row>
    <row r="433" spans="1:18" x14ac:dyDescent="0.25">
      <c r="A433" s="170">
        <v>42641</v>
      </c>
      <c r="B433" s="116">
        <v>1.89900974755562</v>
      </c>
      <c r="C433" s="116">
        <v>1.8404081123099501</v>
      </c>
      <c r="D433" s="116">
        <v>1.82773748847305</v>
      </c>
      <c r="E433" s="116">
        <v>1.8293213164526601</v>
      </c>
      <c r="F433" s="116">
        <v>116.2</v>
      </c>
      <c r="G433">
        <v>1036</v>
      </c>
      <c r="H433" s="116"/>
      <c r="I433" s="116"/>
      <c r="L433" s="170">
        <v>46136</v>
      </c>
      <c r="M433" s="116">
        <v>154.16</v>
      </c>
      <c r="N433" s="116">
        <v>159.6</v>
      </c>
      <c r="O433" s="116">
        <v>152.5</v>
      </c>
      <c r="P433" s="116">
        <v>159.5</v>
      </c>
      <c r="Q433" s="116">
        <v>154.16</v>
      </c>
      <c r="R433">
        <v>1794702</v>
      </c>
    </row>
    <row r="434" spans="1:18" x14ac:dyDescent="0.25">
      <c r="A434" s="170">
        <v>42642</v>
      </c>
      <c r="B434" s="116">
        <v>1.8039800687788601</v>
      </c>
      <c r="C434" s="116">
        <v>1.69232019621616</v>
      </c>
      <c r="D434" s="116">
        <v>1.66301937859333</v>
      </c>
      <c r="E434" s="116">
        <v>1.7976447568604099</v>
      </c>
      <c r="F434" s="116">
        <v>106.85</v>
      </c>
      <c r="G434">
        <v>3230</v>
      </c>
      <c r="H434" s="116"/>
      <c r="I434" s="116"/>
      <c r="L434" s="170">
        <v>46139</v>
      </c>
      <c r="M434" s="116">
        <v>156.69999999999999</v>
      </c>
      <c r="N434" s="116">
        <v>157.83000000000001</v>
      </c>
      <c r="O434" s="116">
        <v>147.82</v>
      </c>
      <c r="P434" s="116">
        <v>150</v>
      </c>
      <c r="Q434" s="116">
        <v>156.69999999999999</v>
      </c>
      <c r="R434">
        <v>3431837</v>
      </c>
    </row>
    <row r="435" spans="1:18" x14ac:dyDescent="0.25">
      <c r="A435" s="170">
        <v>42643</v>
      </c>
      <c r="B435" s="116">
        <v>1.80556389675847</v>
      </c>
      <c r="C435" s="116">
        <v>1.7754711651458299</v>
      </c>
      <c r="D435" s="116">
        <v>1.7422107775739599</v>
      </c>
      <c r="E435" s="116">
        <v>1.7556733154006701</v>
      </c>
      <c r="F435" s="116">
        <v>112.1</v>
      </c>
      <c r="G435">
        <v>1745</v>
      </c>
      <c r="H435" s="116"/>
      <c r="I435" s="116"/>
      <c r="L435" s="170">
        <v>46140</v>
      </c>
      <c r="M435" s="116">
        <v>151.27000000000001</v>
      </c>
      <c r="N435" s="116">
        <v>158.69999999999999</v>
      </c>
      <c r="O435" s="116">
        <v>150.51</v>
      </c>
      <c r="P435" s="116">
        <v>156.85</v>
      </c>
      <c r="Q435" s="116">
        <v>151.27000000000001</v>
      </c>
      <c r="R435">
        <v>2214580</v>
      </c>
    </row>
    <row r="436" spans="1:18" x14ac:dyDescent="0.25">
      <c r="A436" s="170">
        <v>42646</v>
      </c>
      <c r="B436" s="116">
        <v>1.82061026256479</v>
      </c>
      <c r="C436" s="116">
        <v>1.82061026256479</v>
      </c>
      <c r="D436" s="116">
        <v>1.75171374545164</v>
      </c>
      <c r="E436" s="116">
        <v>1.75171374545164</v>
      </c>
      <c r="F436" s="116">
        <v>114.95</v>
      </c>
      <c r="G436">
        <v>2007</v>
      </c>
      <c r="H436" s="116"/>
      <c r="I436" s="116"/>
      <c r="L436" s="170">
        <v>46141</v>
      </c>
      <c r="M436" s="116">
        <v>150.16999999999999</v>
      </c>
      <c r="N436" s="116">
        <v>155.55000000000001</v>
      </c>
      <c r="O436" s="116">
        <v>149.4</v>
      </c>
      <c r="P436" s="116">
        <v>153</v>
      </c>
      <c r="Q436" s="116">
        <v>150.16999999999999</v>
      </c>
      <c r="R436">
        <v>1705819</v>
      </c>
    </row>
    <row r="437" spans="1:18" x14ac:dyDescent="0.25">
      <c r="A437" s="170">
        <v>42647</v>
      </c>
      <c r="B437" s="116">
        <v>1.84991108018763</v>
      </c>
      <c r="C437" s="116">
        <v>1.7976447568604099</v>
      </c>
      <c r="D437" s="116">
        <v>1.77388733716622</v>
      </c>
      <c r="E437" s="116">
        <v>1.8214021765546</v>
      </c>
      <c r="F437" s="116">
        <v>113.5</v>
      </c>
      <c r="G437">
        <v>6109</v>
      </c>
      <c r="H437" s="116"/>
      <c r="I437" s="116"/>
      <c r="L437" s="170">
        <v>46142</v>
      </c>
      <c r="M437" s="116">
        <v>148.74</v>
      </c>
      <c r="N437" s="116">
        <v>150.44999999999999</v>
      </c>
      <c r="O437" s="116">
        <v>147</v>
      </c>
      <c r="P437" s="116">
        <v>150.16</v>
      </c>
      <c r="Q437" s="116">
        <v>148.74</v>
      </c>
      <c r="R437">
        <v>1038627</v>
      </c>
    </row>
    <row r="438" spans="1:18" x14ac:dyDescent="0.25">
      <c r="A438" s="170">
        <v>42648</v>
      </c>
      <c r="B438" s="116">
        <v>1.8372404563507301</v>
      </c>
      <c r="C438" s="116">
        <v>1.8269455744832399</v>
      </c>
      <c r="D438" s="116">
        <v>1.75804905737009</v>
      </c>
      <c r="E438" s="116">
        <v>1.75804905737009</v>
      </c>
      <c r="F438" s="116">
        <v>115.35</v>
      </c>
      <c r="G438">
        <v>2694</v>
      </c>
      <c r="H438" s="116"/>
      <c r="I438" s="116"/>
      <c r="L438" s="170">
        <v>46146</v>
      </c>
      <c r="M438" s="116">
        <v>149.38999999999999</v>
      </c>
      <c r="N438" s="116">
        <v>152.66999999999999</v>
      </c>
      <c r="O438" s="116">
        <v>147.1</v>
      </c>
      <c r="P438" s="116">
        <v>150.9</v>
      </c>
      <c r="Q438" s="116">
        <v>149.38999999999999</v>
      </c>
      <c r="R438">
        <v>1401353</v>
      </c>
    </row>
    <row r="439" spans="1:18" x14ac:dyDescent="0.25">
      <c r="A439" s="170">
        <v>42649</v>
      </c>
      <c r="B439" s="116">
        <v>1.84991108018763</v>
      </c>
      <c r="C439" s="116">
        <v>1.8047719827686699</v>
      </c>
      <c r="D439" s="116">
        <v>1.7786388211050601</v>
      </c>
      <c r="E439" s="116">
        <v>1.7786388211050601</v>
      </c>
      <c r="F439" s="116">
        <v>113.95</v>
      </c>
      <c r="G439">
        <v>867</v>
      </c>
      <c r="H439" s="116"/>
      <c r="I439" s="116"/>
      <c r="L439" s="170">
        <v>46147</v>
      </c>
      <c r="M439" s="116">
        <v>151.29</v>
      </c>
      <c r="N439" s="116">
        <v>154.83000000000001</v>
      </c>
      <c r="O439" s="116">
        <v>149.44999999999999</v>
      </c>
      <c r="P439" s="116">
        <v>149.44999999999999</v>
      </c>
      <c r="Q439" s="116">
        <v>151.29</v>
      </c>
      <c r="R439">
        <v>1640686</v>
      </c>
    </row>
    <row r="440" spans="1:18" x14ac:dyDescent="0.25">
      <c r="A440" s="170">
        <v>42650</v>
      </c>
      <c r="B440" s="116">
        <v>1.7818064770642801</v>
      </c>
      <c r="C440" s="116">
        <v>1.77388733716622</v>
      </c>
      <c r="D440" s="116">
        <v>1.75804905737009</v>
      </c>
      <c r="E440" s="116">
        <v>1.7818064770642801</v>
      </c>
      <c r="F440" s="116">
        <v>112</v>
      </c>
      <c r="G440">
        <v>3565</v>
      </c>
      <c r="H440" s="116"/>
      <c r="I440" s="116"/>
      <c r="L440" s="170">
        <v>46148</v>
      </c>
      <c r="M440" s="116">
        <v>156.71</v>
      </c>
      <c r="N440" s="116">
        <v>157.99</v>
      </c>
      <c r="O440" s="116">
        <v>152.30000000000001</v>
      </c>
      <c r="P440" s="116">
        <v>152.80000000000001</v>
      </c>
      <c r="Q440" s="116">
        <v>156.71</v>
      </c>
      <c r="R440">
        <v>3066352</v>
      </c>
    </row>
    <row r="441" spans="1:18" x14ac:dyDescent="0.25">
      <c r="A441" s="170">
        <v>42653</v>
      </c>
      <c r="B441" s="116">
        <v>1.995623254312</v>
      </c>
      <c r="C441" s="116">
        <v>1.91326419937214</v>
      </c>
      <c r="D441" s="116">
        <v>1.7422107775739599</v>
      </c>
      <c r="E441" s="116">
        <v>1.7422107775739599</v>
      </c>
      <c r="F441" s="116">
        <v>120.8</v>
      </c>
      <c r="G441">
        <v>9718</v>
      </c>
      <c r="H441" s="116"/>
      <c r="I441" s="116"/>
      <c r="L441" s="170">
        <v>46149</v>
      </c>
      <c r="M441" s="116">
        <v>156.97999999999999</v>
      </c>
      <c r="N441" s="116">
        <v>159.75</v>
      </c>
      <c r="O441" s="116">
        <v>154.4</v>
      </c>
      <c r="P441" s="116">
        <v>156.94999999999999</v>
      </c>
      <c r="Q441" s="116">
        <v>156.97999999999999</v>
      </c>
      <c r="R441">
        <v>1823601</v>
      </c>
    </row>
    <row r="442" spans="1:18" x14ac:dyDescent="0.25">
      <c r="A442" s="170">
        <v>42656</v>
      </c>
      <c r="B442" s="116">
        <v>1.86891701594298</v>
      </c>
      <c r="C442" s="116">
        <v>1.8372404563507301</v>
      </c>
      <c r="D442" s="116">
        <v>1.8087315527176999</v>
      </c>
      <c r="E442" s="116">
        <v>1.8214021765546</v>
      </c>
      <c r="F442" s="116">
        <v>116</v>
      </c>
      <c r="G442">
        <v>2400</v>
      </c>
      <c r="H442" s="116"/>
      <c r="I442" s="116"/>
      <c r="L442" s="170">
        <v>46150</v>
      </c>
      <c r="M442" s="116">
        <v>164.34</v>
      </c>
      <c r="N442" s="116">
        <v>166.1</v>
      </c>
      <c r="O442" s="116">
        <v>154.69999999999999</v>
      </c>
      <c r="P442" s="116">
        <v>157</v>
      </c>
      <c r="Q442" s="116">
        <v>164.34</v>
      </c>
      <c r="R442">
        <v>5098880</v>
      </c>
    </row>
    <row r="443" spans="1:18" x14ac:dyDescent="0.25">
      <c r="A443" s="170">
        <v>42657</v>
      </c>
      <c r="B443" s="116">
        <v>1.86891701594298</v>
      </c>
      <c r="C443" s="116">
        <v>1.8158587786259499</v>
      </c>
      <c r="D443" s="116">
        <v>1.8071477247380801</v>
      </c>
      <c r="E443" s="116">
        <v>1.86099787604492</v>
      </c>
      <c r="F443" s="116">
        <v>114.65</v>
      </c>
      <c r="G443">
        <v>2500</v>
      </c>
      <c r="H443" s="116"/>
      <c r="I443" s="116"/>
      <c r="L443" s="170">
        <v>46153</v>
      </c>
      <c r="M443" s="116">
        <v>166.33</v>
      </c>
      <c r="N443" s="116">
        <v>173.44</v>
      </c>
      <c r="O443" s="116">
        <v>161.76</v>
      </c>
      <c r="P443" s="116">
        <v>165.16</v>
      </c>
      <c r="Q443" s="116">
        <v>166.33</v>
      </c>
      <c r="R443">
        <v>7194923</v>
      </c>
    </row>
    <row r="444" spans="1:18" x14ac:dyDescent="0.25">
      <c r="A444" s="170">
        <v>42660</v>
      </c>
      <c r="B444" s="116">
        <v>1.9085127154332999</v>
      </c>
      <c r="C444" s="116">
        <v>1.83169705842208</v>
      </c>
      <c r="D444" s="116">
        <v>1.82536174650363</v>
      </c>
      <c r="E444" s="116">
        <v>1.86258170402453</v>
      </c>
      <c r="F444" s="116">
        <v>115.65</v>
      </c>
      <c r="G444">
        <v>3815</v>
      </c>
      <c r="H444" s="116"/>
      <c r="I444" s="116"/>
      <c r="L444" s="170">
        <v>46154</v>
      </c>
      <c r="M444" s="116">
        <v>157.01</v>
      </c>
      <c r="N444" s="116">
        <v>169</v>
      </c>
      <c r="O444" s="116">
        <v>156.19999999999999</v>
      </c>
      <c r="P444" s="116">
        <v>166.7</v>
      </c>
      <c r="Q444" s="116">
        <v>157.01</v>
      </c>
      <c r="R444">
        <v>3651144</v>
      </c>
    </row>
    <row r="445" spans="1:18" x14ac:dyDescent="0.25">
      <c r="A445" s="170">
        <v>42661</v>
      </c>
      <c r="B445" s="116">
        <v>1.8214021765546</v>
      </c>
      <c r="C445" s="116">
        <v>1.78101456307448</v>
      </c>
      <c r="D445" s="116">
        <v>1.76200862731912</v>
      </c>
      <c r="E445" s="116">
        <v>1.8087315527176999</v>
      </c>
      <c r="F445" s="116">
        <v>112.45</v>
      </c>
      <c r="G445">
        <v>5640</v>
      </c>
      <c r="H445" s="116"/>
      <c r="I445" s="116"/>
      <c r="L445" s="170">
        <v>46155</v>
      </c>
      <c r="M445" s="116">
        <v>156.05000000000001</v>
      </c>
      <c r="N445" s="116">
        <v>160</v>
      </c>
      <c r="O445" s="116">
        <v>155.01</v>
      </c>
      <c r="P445" s="116">
        <v>157</v>
      </c>
      <c r="Q445" s="116">
        <v>156.05000000000001</v>
      </c>
      <c r="R445">
        <v>1781833</v>
      </c>
    </row>
    <row r="446" spans="1:18" x14ac:dyDescent="0.25">
      <c r="A446" s="170">
        <v>42662</v>
      </c>
      <c r="B446" s="116">
        <v>1.8926744356371701</v>
      </c>
      <c r="C446" s="116">
        <v>1.8126911226667299</v>
      </c>
      <c r="D446" s="116">
        <v>1.79843667085021</v>
      </c>
      <c r="E446" s="116">
        <v>1.79843667085021</v>
      </c>
      <c r="F446" s="116">
        <v>114.45</v>
      </c>
      <c r="G446">
        <v>2274</v>
      </c>
      <c r="H446" s="116"/>
      <c r="I446" s="116"/>
      <c r="L446" s="170">
        <v>46156</v>
      </c>
      <c r="M446" s="116">
        <v>155.87</v>
      </c>
      <c r="N446" s="116">
        <v>158.30000000000001</v>
      </c>
      <c r="O446" s="116">
        <v>150.47999999999999</v>
      </c>
      <c r="P446" s="116">
        <v>156.5</v>
      </c>
      <c r="Q446" s="116">
        <v>155.87</v>
      </c>
      <c r="R446">
        <v>1975505</v>
      </c>
    </row>
    <row r="447" spans="1:18" x14ac:dyDescent="0.25">
      <c r="A447" s="170">
        <v>42663</v>
      </c>
      <c r="B447" s="116">
        <v>1.93227013512749</v>
      </c>
      <c r="C447" s="116">
        <v>1.85387065013666</v>
      </c>
      <c r="D447" s="116">
        <v>1.8269455744832399</v>
      </c>
      <c r="E447" s="116">
        <v>1.8269455744832399</v>
      </c>
      <c r="F447" s="116">
        <v>117.05</v>
      </c>
      <c r="G447">
        <v>13761</v>
      </c>
      <c r="H447" s="116"/>
      <c r="I447" s="116"/>
      <c r="L447" s="170">
        <v>46157</v>
      </c>
      <c r="M447" s="116">
        <v>150.33000000000001</v>
      </c>
      <c r="N447" s="116">
        <v>155.87</v>
      </c>
      <c r="O447" s="116">
        <v>149.5</v>
      </c>
      <c r="P447" s="116">
        <v>155.66999999999999</v>
      </c>
      <c r="Q447" s="116">
        <v>150.33000000000001</v>
      </c>
      <c r="R447">
        <v>1657590</v>
      </c>
    </row>
    <row r="448" spans="1:18" x14ac:dyDescent="0.25">
      <c r="A448" s="170">
        <v>42664</v>
      </c>
      <c r="B448" s="116">
        <v>1.9291024791682601</v>
      </c>
      <c r="C448" s="116">
        <v>1.9013854895250399</v>
      </c>
      <c r="D448" s="116">
        <v>1.89188252164736</v>
      </c>
      <c r="E448" s="116">
        <v>1.89188252164736</v>
      </c>
      <c r="F448" s="116">
        <v>120.05</v>
      </c>
      <c r="G448">
        <v>2181</v>
      </c>
      <c r="H448" s="116"/>
      <c r="I448" s="116"/>
      <c r="L448" s="170">
        <v>46160</v>
      </c>
      <c r="M448" s="116">
        <v>148.15</v>
      </c>
      <c r="N448" s="116">
        <v>149.47999999999999</v>
      </c>
      <c r="O448" s="116">
        <v>144.16</v>
      </c>
      <c r="P448" s="116">
        <v>147</v>
      </c>
      <c r="Q448" s="116">
        <v>148.15</v>
      </c>
      <c r="R448">
        <v>1868572</v>
      </c>
    </row>
    <row r="449" spans="1:18" x14ac:dyDescent="0.25">
      <c r="A449" s="170">
        <v>42667</v>
      </c>
      <c r="B449" s="116">
        <v>1.995623254312</v>
      </c>
      <c r="C449" s="116">
        <v>1.8887148656881401</v>
      </c>
      <c r="D449" s="116">
        <v>1.86970892993279</v>
      </c>
      <c r="E449" s="116">
        <v>1.92039142528039</v>
      </c>
      <c r="F449" s="116">
        <v>119.25</v>
      </c>
      <c r="G449">
        <v>3020</v>
      </c>
      <c r="H449" s="116"/>
      <c r="I449" s="116"/>
      <c r="L449" s="170">
        <v>46161</v>
      </c>
      <c r="M449" s="116">
        <v>151.34</v>
      </c>
      <c r="N449" s="116">
        <v>156.80000000000001</v>
      </c>
      <c r="O449" s="116">
        <v>148.15</v>
      </c>
      <c r="P449" s="116">
        <v>148.15</v>
      </c>
      <c r="Q449" s="116">
        <v>151.34</v>
      </c>
      <c r="R449">
        <v>2276498</v>
      </c>
    </row>
    <row r="450" spans="1:18" x14ac:dyDescent="0.25">
      <c r="A450" s="170">
        <v>42668</v>
      </c>
      <c r="B450" s="116">
        <v>1.9591952107809001</v>
      </c>
      <c r="C450" s="116">
        <v>1.90296931750465</v>
      </c>
      <c r="D450" s="116">
        <v>1.8887148656881401</v>
      </c>
      <c r="E450" s="116">
        <v>1.93227013512749</v>
      </c>
      <c r="F450" s="116">
        <v>120.15</v>
      </c>
      <c r="G450">
        <v>4731</v>
      </c>
      <c r="H450" s="116"/>
      <c r="I450" s="116"/>
      <c r="L450" s="170">
        <v>46162</v>
      </c>
      <c r="M450" s="116">
        <v>154.68</v>
      </c>
      <c r="N450" s="116">
        <v>155.29</v>
      </c>
      <c r="O450" s="116">
        <v>148.41</v>
      </c>
      <c r="P450" s="116">
        <v>150</v>
      </c>
      <c r="Q450" s="116">
        <v>154.68</v>
      </c>
      <c r="R450">
        <v>1705574</v>
      </c>
    </row>
    <row r="451" spans="1:18" x14ac:dyDescent="0.25">
      <c r="A451" s="170">
        <v>42669</v>
      </c>
      <c r="B451" s="116">
        <v>1.93227013512749</v>
      </c>
      <c r="C451" s="116">
        <v>1.9005935755352299</v>
      </c>
      <c r="D451" s="116">
        <v>1.9005935755352299</v>
      </c>
      <c r="E451" s="116">
        <v>1.90217740351485</v>
      </c>
      <c r="F451" s="116">
        <v>120</v>
      </c>
      <c r="G451">
        <v>760</v>
      </c>
      <c r="H451" s="116"/>
      <c r="I451" s="116"/>
      <c r="L451" s="170">
        <v>46163</v>
      </c>
      <c r="M451" s="116">
        <v>162.16</v>
      </c>
      <c r="N451" s="116">
        <v>165.47</v>
      </c>
      <c r="O451" s="116">
        <v>155.9</v>
      </c>
      <c r="P451" s="116">
        <v>155.9</v>
      </c>
      <c r="Q451" s="116">
        <v>162.16</v>
      </c>
      <c r="R451">
        <v>3926799</v>
      </c>
    </row>
    <row r="452" spans="1:18" x14ac:dyDescent="0.25">
      <c r="A452" s="170">
        <v>42670</v>
      </c>
      <c r="B452" s="116">
        <v>1.93227013512749</v>
      </c>
      <c r="C452" s="116">
        <v>1.8483272522080101</v>
      </c>
      <c r="D452" s="116">
        <v>1.8372404563507301</v>
      </c>
      <c r="E452" s="116">
        <v>1.93227013512749</v>
      </c>
      <c r="F452" s="116">
        <v>116.7</v>
      </c>
      <c r="G452">
        <v>208</v>
      </c>
      <c r="H452" s="116"/>
      <c r="I452" s="116"/>
      <c r="L452" s="170">
        <v>46164</v>
      </c>
      <c r="M452" s="116">
        <v>162.27000000000001</v>
      </c>
      <c r="N452" s="116">
        <v>170.98</v>
      </c>
      <c r="O452" s="116">
        <v>161</v>
      </c>
      <c r="P452" s="116">
        <v>163.75</v>
      </c>
      <c r="Q452" s="116">
        <v>162.27000000000001</v>
      </c>
      <c r="R452">
        <v>6422581</v>
      </c>
    </row>
    <row r="453" spans="1:18" x14ac:dyDescent="0.25">
      <c r="A453" s="170">
        <v>42671</v>
      </c>
      <c r="B453" s="116">
        <v>1.9037612314944601</v>
      </c>
      <c r="C453" s="116">
        <v>1.85387065013666</v>
      </c>
      <c r="D453" s="116">
        <v>1.84753533821821</v>
      </c>
      <c r="E453" s="116">
        <v>1.8998016615454301</v>
      </c>
      <c r="F453" s="116">
        <v>117.05</v>
      </c>
      <c r="G453">
        <v>152</v>
      </c>
      <c r="H453" s="116"/>
      <c r="I453" s="116"/>
      <c r="L453" s="170">
        <v>46167</v>
      </c>
      <c r="M453" s="116">
        <v>171.7</v>
      </c>
      <c r="N453" s="116">
        <v>172.7</v>
      </c>
      <c r="O453" s="116">
        <v>163.1</v>
      </c>
      <c r="P453" s="116">
        <v>164.5</v>
      </c>
      <c r="Q453" s="116">
        <v>171.7</v>
      </c>
      <c r="R453">
        <v>5340519</v>
      </c>
    </row>
    <row r="454" spans="1:18" x14ac:dyDescent="0.25">
      <c r="A454" s="170">
        <v>42673</v>
      </c>
      <c r="B454" s="116">
        <v>1.946524586944</v>
      </c>
      <c r="C454" s="116">
        <v>1.8792118978104599</v>
      </c>
      <c r="D454" s="116">
        <v>1.87683615584104</v>
      </c>
      <c r="E454" s="116">
        <v>1.946524586944</v>
      </c>
      <c r="F454" s="116">
        <v>118.65</v>
      </c>
      <c r="G454">
        <v>280</v>
      </c>
      <c r="H454" s="116"/>
      <c r="I454" s="116"/>
      <c r="L454" s="170">
        <v>46168</v>
      </c>
      <c r="M454" s="116">
        <v>176.83</v>
      </c>
      <c r="N454" s="116">
        <v>177.86</v>
      </c>
      <c r="O454" s="116">
        <v>170.65</v>
      </c>
      <c r="P454" s="116">
        <v>172.9</v>
      </c>
      <c r="Q454" s="116">
        <v>176.83</v>
      </c>
      <c r="R454">
        <v>6168103</v>
      </c>
    </row>
    <row r="455" spans="1:18" x14ac:dyDescent="0.25">
      <c r="A455" s="170">
        <v>42675</v>
      </c>
      <c r="B455" s="116">
        <v>1.8451595962487899</v>
      </c>
      <c r="C455" s="116">
        <v>1.8451595962487899</v>
      </c>
      <c r="D455" s="116">
        <v>1.6788576583894601</v>
      </c>
      <c r="E455" s="116">
        <v>1.78339030504389</v>
      </c>
      <c r="F455" s="116">
        <v>116.5</v>
      </c>
      <c r="G455">
        <v>1730</v>
      </c>
      <c r="H455" s="116"/>
      <c r="I455" s="116"/>
      <c r="L455" s="170">
        <v>46169</v>
      </c>
      <c r="M455" s="116">
        <v>180.75</v>
      </c>
      <c r="N455" s="116">
        <v>188.3</v>
      </c>
      <c r="O455" s="116">
        <v>176.2</v>
      </c>
      <c r="P455" s="116">
        <v>178.4</v>
      </c>
      <c r="Q455" s="116">
        <v>180.75</v>
      </c>
      <c r="R455">
        <v>7297733</v>
      </c>
    </row>
    <row r="456" spans="1:18" x14ac:dyDescent="0.25">
      <c r="A456" s="170">
        <v>42676</v>
      </c>
      <c r="B456" s="116">
        <v>1.8491191661978199</v>
      </c>
      <c r="C456" s="116">
        <v>1.8491191661978199</v>
      </c>
      <c r="D456" s="116">
        <v>1.76913585322738</v>
      </c>
      <c r="E456" s="116">
        <v>1.82061026256479</v>
      </c>
      <c r="F456" s="116">
        <v>116.75</v>
      </c>
      <c r="G456">
        <v>1954</v>
      </c>
      <c r="H456" s="116"/>
      <c r="I456" s="116"/>
      <c r="L456" s="170">
        <v>46171</v>
      </c>
      <c r="M456" s="116">
        <v>177.38</v>
      </c>
      <c r="N456" s="116">
        <v>184</v>
      </c>
      <c r="O456" s="116">
        <v>176</v>
      </c>
      <c r="P456" s="116">
        <v>182</v>
      </c>
      <c r="Q456" s="116">
        <v>177.38</v>
      </c>
      <c r="R456">
        <v>3226961</v>
      </c>
    </row>
    <row r="457" spans="1:18" x14ac:dyDescent="0.25">
      <c r="A457" s="170">
        <v>42677</v>
      </c>
      <c r="B457" s="116">
        <v>2.0748146532926302</v>
      </c>
      <c r="C457" s="116">
        <v>2.0114615341081201</v>
      </c>
      <c r="D457" s="116">
        <v>1.8214021765546</v>
      </c>
      <c r="E457" s="116">
        <v>1.8530787361468499</v>
      </c>
      <c r="F457" s="116">
        <v>127</v>
      </c>
      <c r="G457">
        <v>10936</v>
      </c>
      <c r="H457" s="116"/>
      <c r="I457" s="116"/>
      <c r="L457" s="170">
        <v>46174</v>
      </c>
      <c r="M457" s="116">
        <v>173.41</v>
      </c>
      <c r="N457" s="116">
        <v>181.75</v>
      </c>
      <c r="O457" s="116">
        <v>171.25</v>
      </c>
      <c r="P457" s="116">
        <v>177.51</v>
      </c>
      <c r="Q457" s="116">
        <v>173.41</v>
      </c>
      <c r="R457">
        <v>2628824</v>
      </c>
    </row>
    <row r="458" spans="1:18" x14ac:dyDescent="0.25">
      <c r="A458" s="170">
        <v>42678</v>
      </c>
      <c r="B458" s="116">
        <v>1.9631547807299401</v>
      </c>
      <c r="C458" s="116">
        <v>1.89821783356581</v>
      </c>
      <c r="D458" s="116">
        <v>1.85466256412647</v>
      </c>
      <c r="E458" s="116">
        <v>1.9631547807299401</v>
      </c>
      <c r="F458" s="116">
        <v>119.85</v>
      </c>
      <c r="G458">
        <v>348</v>
      </c>
      <c r="H458" s="116"/>
      <c r="I458" s="116"/>
      <c r="L458" s="170">
        <v>46175</v>
      </c>
      <c r="M458" s="116">
        <v>176.14</v>
      </c>
      <c r="N458" s="116">
        <v>177.7</v>
      </c>
      <c r="O458" s="116">
        <v>169.32</v>
      </c>
      <c r="P458" s="116">
        <v>171</v>
      </c>
      <c r="Q458" s="116">
        <v>176.14</v>
      </c>
      <c r="R458">
        <v>1941394</v>
      </c>
    </row>
    <row r="459" spans="1:18" x14ac:dyDescent="0.25">
      <c r="A459" s="170">
        <v>42681</v>
      </c>
      <c r="B459" s="116">
        <v>1.9639466947197399</v>
      </c>
      <c r="C459" s="116">
        <v>1.89109060765756</v>
      </c>
      <c r="D459" s="116">
        <v>1.8483272522080101</v>
      </c>
      <c r="E459" s="116">
        <v>1.9639466947197399</v>
      </c>
      <c r="F459" s="116">
        <v>119.4</v>
      </c>
      <c r="G459">
        <v>11065</v>
      </c>
      <c r="H459" s="116"/>
      <c r="I459" s="116"/>
      <c r="L459" s="170">
        <v>46176</v>
      </c>
      <c r="M459" s="116">
        <v>175.7</v>
      </c>
      <c r="N459" s="116">
        <v>177.19</v>
      </c>
      <c r="O459" s="116">
        <v>171.81</v>
      </c>
      <c r="P459" s="116">
        <v>176.14</v>
      </c>
      <c r="Q459" s="116">
        <v>175.7</v>
      </c>
      <c r="R459">
        <v>1610638</v>
      </c>
    </row>
    <row r="460" spans="1:18" x14ac:dyDescent="0.25">
      <c r="A460" s="170">
        <v>42682</v>
      </c>
      <c r="B460" s="116">
        <v>1.9005935755352299</v>
      </c>
      <c r="C460" s="116">
        <v>1.82773748847305</v>
      </c>
      <c r="D460" s="116">
        <v>1.7936851869113799</v>
      </c>
      <c r="E460" s="116">
        <v>1.85466256412647</v>
      </c>
      <c r="F460" s="116">
        <v>115.4</v>
      </c>
      <c r="G460">
        <v>5446</v>
      </c>
      <c r="H460" s="116"/>
      <c r="I460" s="116"/>
      <c r="L460" s="170">
        <v>46177</v>
      </c>
      <c r="M460" s="116">
        <v>176</v>
      </c>
      <c r="N460" s="116">
        <v>180.75</v>
      </c>
      <c r="O460" s="116">
        <v>174.7</v>
      </c>
      <c r="P460" s="116">
        <v>174.7</v>
      </c>
      <c r="Q460" s="116">
        <v>176</v>
      </c>
      <c r="R460">
        <v>1990127</v>
      </c>
    </row>
    <row r="461" spans="1:18" x14ac:dyDescent="0.25">
      <c r="A461" s="170">
        <v>42683</v>
      </c>
      <c r="B461" s="116">
        <v>1.9924555983527701</v>
      </c>
      <c r="C461" s="116">
        <v>1.79130944494196</v>
      </c>
      <c r="D461" s="116">
        <v>1.7121180459613199</v>
      </c>
      <c r="E461" s="116">
        <v>1.7121180459613199</v>
      </c>
      <c r="F461" s="116">
        <v>113.1</v>
      </c>
      <c r="G461">
        <v>4170</v>
      </c>
      <c r="H461" s="116"/>
      <c r="I461" s="116"/>
      <c r="L461" s="170">
        <v>46178</v>
      </c>
      <c r="M461" s="116">
        <v>169.94</v>
      </c>
      <c r="N461" s="116">
        <v>176.89</v>
      </c>
      <c r="O461" s="116">
        <v>168.5</v>
      </c>
      <c r="P461" s="116">
        <v>176</v>
      </c>
      <c r="Q461" s="116">
        <v>169.94</v>
      </c>
      <c r="R461">
        <v>1890524</v>
      </c>
    </row>
    <row r="462" spans="1:18" x14ac:dyDescent="0.25">
      <c r="A462" s="170">
        <v>42684</v>
      </c>
      <c r="B462" s="116">
        <v>1.8530787361468499</v>
      </c>
      <c r="C462" s="116">
        <v>1.83882428433034</v>
      </c>
      <c r="D462" s="116">
        <v>1.8348647143813099</v>
      </c>
      <c r="E462" s="116">
        <v>1.8380323703405299</v>
      </c>
      <c r="F462" s="116">
        <v>116.1</v>
      </c>
      <c r="G462">
        <v>263</v>
      </c>
      <c r="H462" s="116"/>
      <c r="I462" s="116"/>
      <c r="L462" s="170">
        <v>46181</v>
      </c>
      <c r="M462" s="116">
        <v>160.97</v>
      </c>
      <c r="N462" s="116">
        <v>168.6</v>
      </c>
      <c r="O462" s="116">
        <v>159.6</v>
      </c>
      <c r="P462" s="116">
        <v>166.1</v>
      </c>
      <c r="Q462" s="116">
        <v>160.97</v>
      </c>
      <c r="R462">
        <v>1793526</v>
      </c>
    </row>
    <row r="463" spans="1:18" x14ac:dyDescent="0.25">
      <c r="A463" s="170">
        <v>42685</v>
      </c>
      <c r="B463" s="116">
        <v>1.9148480273517501</v>
      </c>
      <c r="C463" s="116">
        <v>1.9148480273517501</v>
      </c>
      <c r="D463" s="116">
        <v>1.7897256169623501</v>
      </c>
      <c r="E463" s="116">
        <v>1.7976447568604099</v>
      </c>
      <c r="F463" s="116">
        <v>120.9</v>
      </c>
      <c r="G463">
        <v>1002</v>
      </c>
      <c r="H463" s="116"/>
      <c r="I463" s="116"/>
      <c r="L463" s="170">
        <v>46182</v>
      </c>
      <c r="M463" s="116">
        <v>167.98</v>
      </c>
      <c r="N463" s="116">
        <v>170</v>
      </c>
      <c r="O463" s="116">
        <v>162.30000000000001</v>
      </c>
      <c r="P463" s="116">
        <v>162.30000000000001</v>
      </c>
      <c r="Q463" s="116">
        <v>167.98</v>
      </c>
      <c r="R463">
        <v>1844065</v>
      </c>
    </row>
    <row r="464" spans="1:18" x14ac:dyDescent="0.25">
      <c r="A464" s="170">
        <v>42689</v>
      </c>
      <c r="B464" s="116">
        <v>1.77388733716622</v>
      </c>
      <c r="C464" s="116">
        <v>1.74062694959435</v>
      </c>
      <c r="D464" s="116">
        <v>1.6646032065729399</v>
      </c>
      <c r="E464" s="116">
        <v>1.74300269156377</v>
      </c>
      <c r="F464" s="116">
        <v>109.9</v>
      </c>
      <c r="G464">
        <v>2215</v>
      </c>
      <c r="H464" s="116"/>
      <c r="I464" s="116"/>
      <c r="L464" s="170">
        <v>46183</v>
      </c>
      <c r="M464" s="116">
        <v>161.97</v>
      </c>
      <c r="N464" s="116">
        <v>168.9</v>
      </c>
      <c r="O464" s="116">
        <v>161.03</v>
      </c>
      <c r="P464" s="116">
        <v>167.7</v>
      </c>
      <c r="Q464" s="116">
        <v>161.97</v>
      </c>
      <c r="R464">
        <v>1041166</v>
      </c>
    </row>
    <row r="465" spans="1:18" x14ac:dyDescent="0.25">
      <c r="A465" s="170">
        <v>42690</v>
      </c>
      <c r="B465" s="116">
        <v>1.7200371858593899</v>
      </c>
      <c r="C465" s="116">
        <v>1.71845335787977</v>
      </c>
      <c r="D465" s="116">
        <v>1.71845335787977</v>
      </c>
      <c r="E465" s="116">
        <v>1.7200371858593899</v>
      </c>
      <c r="F465" s="116">
        <v>108.5</v>
      </c>
      <c r="G465">
        <v>1053</v>
      </c>
      <c r="H465" s="116"/>
      <c r="I465" s="116"/>
      <c r="L465" s="170">
        <v>46184</v>
      </c>
      <c r="M465" s="116">
        <v>157.16</v>
      </c>
      <c r="N465" s="116">
        <v>161.47999999999999</v>
      </c>
      <c r="O465" s="116">
        <v>155.52000000000001</v>
      </c>
      <c r="P465" s="116">
        <v>161</v>
      </c>
      <c r="Q465" s="116">
        <v>157.16</v>
      </c>
      <c r="R465">
        <v>1459031</v>
      </c>
    </row>
    <row r="466" spans="1:18" x14ac:dyDescent="0.25">
      <c r="A466" s="170">
        <v>42691</v>
      </c>
      <c r="B466" s="116">
        <v>1.76992776721719</v>
      </c>
      <c r="C466" s="116">
        <v>1.76992776721719</v>
      </c>
      <c r="D466" s="116">
        <v>1.76992776721719</v>
      </c>
      <c r="E466" s="116">
        <v>1.76992776721719</v>
      </c>
      <c r="F466" s="116">
        <v>111.75</v>
      </c>
      <c r="G466">
        <v>2</v>
      </c>
      <c r="H466" s="116"/>
      <c r="I466" s="116"/>
      <c r="L466" s="170">
        <v>46185</v>
      </c>
      <c r="M466" s="116">
        <v>166.53</v>
      </c>
      <c r="N466" s="116">
        <v>167.5</v>
      </c>
      <c r="O466" s="116">
        <v>161.02000000000001</v>
      </c>
      <c r="P466" s="116">
        <v>161.02000000000001</v>
      </c>
      <c r="Q466" s="116">
        <v>166.53</v>
      </c>
      <c r="R466">
        <v>1526279</v>
      </c>
    </row>
    <row r="467" spans="1:18" x14ac:dyDescent="0.25">
      <c r="A467" s="170">
        <v>42692</v>
      </c>
      <c r="B467" s="116">
        <v>1.6638112925831401</v>
      </c>
      <c r="C467" s="116">
        <v>1.62975899102146</v>
      </c>
      <c r="D467" s="116">
        <v>1.6155045392049501</v>
      </c>
      <c r="E467" s="116">
        <v>1.6638112925831401</v>
      </c>
      <c r="F467" s="116">
        <v>102.9</v>
      </c>
      <c r="G467">
        <v>969</v>
      </c>
      <c r="H467" s="116"/>
      <c r="I467" s="116"/>
      <c r="L467" s="170">
        <v>46188</v>
      </c>
      <c r="M467" s="116">
        <v>167.06</v>
      </c>
      <c r="N467" s="116">
        <v>172.59</v>
      </c>
      <c r="O467" s="116">
        <v>166.41</v>
      </c>
      <c r="P467" s="116">
        <v>170.3</v>
      </c>
      <c r="Q467" s="116">
        <v>167.06</v>
      </c>
      <c r="R467">
        <v>1289612</v>
      </c>
    </row>
    <row r="468" spans="1:18" x14ac:dyDescent="0.25">
      <c r="A468" s="170">
        <v>42695</v>
      </c>
      <c r="B468" s="116">
        <v>1.71053421798171</v>
      </c>
      <c r="C468" s="116">
        <v>1.6471810987972</v>
      </c>
      <c r="D468" s="116">
        <v>1.6471810987972</v>
      </c>
      <c r="E468" s="116">
        <v>1.71053421798171</v>
      </c>
      <c r="F468" s="116">
        <v>104</v>
      </c>
      <c r="G468">
        <v>400</v>
      </c>
      <c r="H468" s="116"/>
      <c r="I468" s="116"/>
      <c r="L468" s="170">
        <v>46189</v>
      </c>
      <c r="M468" s="116">
        <v>169.42</v>
      </c>
      <c r="N468" s="116">
        <v>173.96</v>
      </c>
      <c r="O468" s="116">
        <v>166</v>
      </c>
      <c r="P468" s="116">
        <v>167.9</v>
      </c>
      <c r="Q468" s="116">
        <v>169.42</v>
      </c>
      <c r="R468">
        <v>1537934</v>
      </c>
    </row>
    <row r="469" spans="1:18" x14ac:dyDescent="0.25">
      <c r="A469" s="170">
        <v>42696</v>
      </c>
      <c r="B469" s="116">
        <v>1.8047719827686699</v>
      </c>
      <c r="C469" s="116">
        <v>1.8047719827686699</v>
      </c>
      <c r="D469" s="116">
        <v>1.8039800687788601</v>
      </c>
      <c r="E469" s="116">
        <v>1.8047719827686699</v>
      </c>
      <c r="F469" s="116">
        <v>113.95</v>
      </c>
      <c r="G469">
        <v>2</v>
      </c>
      <c r="H469" s="116"/>
      <c r="I469" s="116"/>
      <c r="L469" s="170"/>
    </row>
    <row r="470" spans="1:18" x14ac:dyDescent="0.25">
      <c r="A470" s="170">
        <v>42697</v>
      </c>
      <c r="B470" s="116">
        <v>1.79210135893176</v>
      </c>
      <c r="C470" s="116">
        <v>1.79210135893176</v>
      </c>
      <c r="D470" s="116">
        <v>1.79130944494196</v>
      </c>
      <c r="E470" s="116">
        <v>1.79210135893176</v>
      </c>
      <c r="F470" s="116">
        <v>113.15</v>
      </c>
      <c r="G470">
        <v>2</v>
      </c>
      <c r="H470" s="116"/>
      <c r="I470" s="116"/>
      <c r="L470" s="170"/>
    </row>
    <row r="471" spans="1:18" x14ac:dyDescent="0.25">
      <c r="A471" s="170">
        <v>42698</v>
      </c>
      <c r="B471" s="116">
        <v>1.7414188635841601</v>
      </c>
      <c r="C471" s="116">
        <v>1.7382512076249299</v>
      </c>
      <c r="D471" s="116">
        <v>1.61788028117437</v>
      </c>
      <c r="E471" s="116">
        <v>1.7414188635841601</v>
      </c>
      <c r="F471" s="116">
        <v>109.75</v>
      </c>
      <c r="G471">
        <v>230</v>
      </c>
      <c r="H471" s="116"/>
      <c r="I471" s="116"/>
      <c r="L471" s="170"/>
    </row>
    <row r="472" spans="1:18" x14ac:dyDescent="0.25">
      <c r="A472" s="170">
        <v>42699</v>
      </c>
      <c r="B472" s="116">
        <v>1.7263724977778401</v>
      </c>
      <c r="C472" s="116">
        <v>1.69548785217539</v>
      </c>
      <c r="D472" s="116">
        <v>1.6234236791030101</v>
      </c>
      <c r="E472" s="116">
        <v>1.6234236791030101</v>
      </c>
      <c r="F472" s="116">
        <v>107.05</v>
      </c>
      <c r="G472">
        <v>700</v>
      </c>
      <c r="H472" s="116"/>
      <c r="I472" s="116"/>
      <c r="L472" s="170"/>
    </row>
    <row r="473" spans="1:18" x14ac:dyDescent="0.25">
      <c r="A473" s="170">
        <v>42702</v>
      </c>
      <c r="B473" s="116">
        <v>1.7422107775739599</v>
      </c>
      <c r="C473" s="116">
        <v>1.7018231640938399</v>
      </c>
      <c r="D473" s="116">
        <v>1.66935469051178</v>
      </c>
      <c r="E473" s="116">
        <v>1.6709385184913901</v>
      </c>
      <c r="F473" s="116">
        <v>107.45</v>
      </c>
      <c r="G473">
        <v>7175</v>
      </c>
      <c r="H473" s="116"/>
      <c r="I473" s="116"/>
      <c r="L473" s="170"/>
    </row>
    <row r="474" spans="1:18" x14ac:dyDescent="0.25">
      <c r="A474" s="170">
        <v>42703</v>
      </c>
      <c r="B474" s="116">
        <v>1.7342916376759001</v>
      </c>
      <c r="C474" s="116">
        <v>1.6788576583894601</v>
      </c>
      <c r="D474" s="116">
        <v>1.6788576583894601</v>
      </c>
      <c r="E474" s="116">
        <v>1.7113261319715201</v>
      </c>
      <c r="F474" s="116">
        <v>106</v>
      </c>
      <c r="G474">
        <v>503</v>
      </c>
      <c r="H474" s="116"/>
      <c r="I474" s="116"/>
      <c r="L474" s="170"/>
    </row>
    <row r="475" spans="1:18" x14ac:dyDescent="0.25">
      <c r="A475" s="170">
        <v>42704</v>
      </c>
      <c r="B475" s="116">
        <v>1.7263724977778401</v>
      </c>
      <c r="C475" s="116">
        <v>1.69232019621616</v>
      </c>
      <c r="D475" s="116">
        <v>1.6788576583894601</v>
      </c>
      <c r="E475" s="116">
        <v>1.6788576583894601</v>
      </c>
      <c r="F475" s="116">
        <v>106.85</v>
      </c>
      <c r="G475">
        <v>3163</v>
      </c>
      <c r="H475" s="116"/>
      <c r="I475" s="116"/>
      <c r="L475" s="170"/>
    </row>
    <row r="476" spans="1:18" x14ac:dyDescent="0.25">
      <c r="A476" s="170">
        <v>42705</v>
      </c>
      <c r="B476" s="116">
        <v>1.8150668646361501</v>
      </c>
      <c r="C476" s="116">
        <v>1.68360914232829</v>
      </c>
      <c r="D476" s="116">
        <v>1.6788576583894601</v>
      </c>
      <c r="E476" s="116">
        <v>1.8150668646361501</v>
      </c>
      <c r="F476" s="116">
        <v>106.3</v>
      </c>
      <c r="G476">
        <v>816</v>
      </c>
      <c r="H476" s="116"/>
      <c r="I476" s="116"/>
      <c r="L476" s="170"/>
    </row>
    <row r="477" spans="1:18" x14ac:dyDescent="0.25">
      <c r="A477" s="170">
        <v>42706</v>
      </c>
      <c r="B477" s="116">
        <v>1.69469593818558</v>
      </c>
      <c r="C477" s="116">
        <v>1.69469593818558</v>
      </c>
      <c r="D477" s="116">
        <v>1.6558921526850701</v>
      </c>
      <c r="E477" s="116">
        <v>1.6558921526850701</v>
      </c>
      <c r="F477" s="116">
        <v>107</v>
      </c>
      <c r="G477">
        <v>222</v>
      </c>
      <c r="H477" s="116"/>
      <c r="I477" s="116"/>
      <c r="L477" s="170"/>
    </row>
    <row r="478" spans="1:18" x14ac:dyDescent="0.25">
      <c r="A478" s="170">
        <v>42709</v>
      </c>
      <c r="B478" s="116">
        <v>1.8016043268094399</v>
      </c>
      <c r="C478" s="116">
        <v>1.8016043268094399</v>
      </c>
      <c r="D478" s="116">
        <v>1.6867767982875199</v>
      </c>
      <c r="E478" s="116">
        <v>1.6867767982875199</v>
      </c>
      <c r="F478" s="116">
        <v>113.75</v>
      </c>
      <c r="G478">
        <v>17</v>
      </c>
      <c r="H478" s="116"/>
      <c r="I478" s="116"/>
      <c r="L478" s="170"/>
    </row>
    <row r="479" spans="1:18" x14ac:dyDescent="0.25">
      <c r="A479" s="170">
        <v>42710</v>
      </c>
      <c r="B479" s="116">
        <v>1.7897256169623501</v>
      </c>
      <c r="C479" s="116">
        <v>1.7422107775739599</v>
      </c>
      <c r="D479" s="116">
        <v>1.71053421798171</v>
      </c>
      <c r="E479" s="116">
        <v>1.7897256169623501</v>
      </c>
      <c r="F479" s="116">
        <v>110</v>
      </c>
      <c r="G479">
        <v>1475</v>
      </c>
      <c r="H479" s="116"/>
      <c r="I479" s="116"/>
      <c r="L479" s="170"/>
    </row>
    <row r="480" spans="1:18" x14ac:dyDescent="0.25">
      <c r="A480" s="170">
        <v>42711</v>
      </c>
      <c r="B480" s="116">
        <v>1.7422107775739599</v>
      </c>
      <c r="C480" s="116">
        <v>1.6891525402569401</v>
      </c>
      <c r="D480" s="116">
        <v>1.6828172283384899</v>
      </c>
      <c r="E480" s="116">
        <v>1.7422107775739599</v>
      </c>
      <c r="F480" s="116">
        <v>106.65</v>
      </c>
      <c r="G480">
        <v>623</v>
      </c>
      <c r="H480" s="116"/>
      <c r="I480" s="116"/>
      <c r="L480" s="170"/>
    </row>
    <row r="481" spans="1:12" x14ac:dyDescent="0.25">
      <c r="A481" s="170">
        <v>42712</v>
      </c>
      <c r="B481" s="116">
        <v>1.8998016615454301</v>
      </c>
      <c r="C481" s="116">
        <v>1.71053421798171</v>
      </c>
      <c r="D481" s="116">
        <v>1.69469593818558</v>
      </c>
      <c r="E481" s="116">
        <v>1.69469593818558</v>
      </c>
      <c r="F481" s="116">
        <v>108</v>
      </c>
      <c r="G481">
        <v>5490</v>
      </c>
      <c r="H481" s="116"/>
      <c r="I481" s="116"/>
      <c r="L481" s="170"/>
    </row>
    <row r="482" spans="1:12" x14ac:dyDescent="0.25">
      <c r="A482" s="170">
        <v>42713</v>
      </c>
      <c r="B482" s="116">
        <v>1.7976447568604099</v>
      </c>
      <c r="C482" s="116">
        <v>1.79526901489099</v>
      </c>
      <c r="D482" s="116">
        <v>1.64797301278701</v>
      </c>
      <c r="E482" s="116">
        <v>1.64797301278701</v>
      </c>
      <c r="F482" s="116">
        <v>113.35</v>
      </c>
      <c r="G482">
        <v>2822</v>
      </c>
      <c r="H482" s="116"/>
      <c r="I482" s="116"/>
      <c r="L482" s="170"/>
    </row>
    <row r="483" spans="1:12" x14ac:dyDescent="0.25">
      <c r="A483" s="170">
        <v>42716</v>
      </c>
      <c r="B483" s="116">
        <v>1.9306863071478799</v>
      </c>
      <c r="C483" s="116">
        <v>1.9085127154332999</v>
      </c>
      <c r="D483" s="116">
        <v>1.74379460555358</v>
      </c>
      <c r="E483" s="116">
        <v>1.7897256169623501</v>
      </c>
      <c r="F483" s="116">
        <v>120.5</v>
      </c>
      <c r="G483">
        <v>6628</v>
      </c>
      <c r="H483" s="116"/>
      <c r="I483" s="116"/>
      <c r="L483" s="170"/>
    </row>
    <row r="484" spans="1:12" x14ac:dyDescent="0.25">
      <c r="A484" s="170">
        <v>42717</v>
      </c>
      <c r="B484" s="116">
        <v>2.09065293308876</v>
      </c>
      <c r="C484" s="116">
        <v>2.0486814916290199</v>
      </c>
      <c r="D484" s="116">
        <v>1.90296931750465</v>
      </c>
      <c r="E484" s="116">
        <v>1.94731650093381</v>
      </c>
      <c r="F484" s="116">
        <v>129.35</v>
      </c>
      <c r="G484">
        <v>15794</v>
      </c>
      <c r="H484" s="116"/>
      <c r="I484" s="116"/>
      <c r="L484" s="170"/>
    </row>
    <row r="485" spans="1:12" x14ac:dyDescent="0.25">
      <c r="A485" s="170">
        <v>42718</v>
      </c>
      <c r="B485" s="116">
        <v>2.27912846266267</v>
      </c>
      <c r="C485" s="116">
        <v>1.99799899628141</v>
      </c>
      <c r="D485" s="116">
        <v>1.9481084149236101</v>
      </c>
      <c r="E485" s="116">
        <v>2.1373758584873301</v>
      </c>
      <c r="F485" s="116">
        <v>126.15</v>
      </c>
      <c r="G485">
        <v>11091</v>
      </c>
      <c r="H485" s="116"/>
      <c r="I485" s="116"/>
      <c r="L485" s="170"/>
    </row>
    <row r="486" spans="1:12" x14ac:dyDescent="0.25">
      <c r="A486" s="170">
        <v>42719</v>
      </c>
      <c r="B486" s="116">
        <v>2.2640820968563502</v>
      </c>
      <c r="C486" s="116">
        <v>2.2173591714577698</v>
      </c>
      <c r="D486" s="116">
        <v>1.97186583461781</v>
      </c>
      <c r="E486" s="116">
        <v>1.995623254312</v>
      </c>
      <c r="F486" s="116">
        <v>140</v>
      </c>
      <c r="G486">
        <v>30594</v>
      </c>
      <c r="H486" s="116"/>
      <c r="I486" s="116"/>
      <c r="L486" s="170"/>
    </row>
    <row r="487" spans="1:12" x14ac:dyDescent="0.25">
      <c r="A487" s="170">
        <v>42720</v>
      </c>
      <c r="B487" s="116">
        <v>2.3741581414394299</v>
      </c>
      <c r="C487" s="116">
        <v>2.2110238595393201</v>
      </c>
      <c r="D487" s="116">
        <v>2.171428160049</v>
      </c>
      <c r="E487" s="116">
        <v>2.3123888502345298</v>
      </c>
      <c r="F487" s="116">
        <v>139.6</v>
      </c>
      <c r="G487">
        <v>19682</v>
      </c>
      <c r="H487" s="116"/>
      <c r="I487" s="116"/>
      <c r="L487" s="170"/>
    </row>
    <row r="488" spans="1:12" x14ac:dyDescent="0.25">
      <c r="A488" s="170">
        <v>42723</v>
      </c>
      <c r="B488" s="116">
        <v>2.3044697103364702</v>
      </c>
      <c r="C488" s="116">
        <v>2.2324055372640901</v>
      </c>
      <c r="D488" s="116">
        <v>2.1555898802528799</v>
      </c>
      <c r="E488" s="116">
        <v>2.3044697103364702</v>
      </c>
      <c r="F488" s="116">
        <v>140.94999999999999</v>
      </c>
      <c r="G488">
        <v>164</v>
      </c>
      <c r="H488" s="116"/>
      <c r="I488" s="116"/>
      <c r="L488" s="170"/>
    </row>
    <row r="489" spans="1:12" x14ac:dyDescent="0.25">
      <c r="A489" s="170">
        <v>42724</v>
      </c>
      <c r="B489" s="116">
        <v>2.1555898802528799</v>
      </c>
      <c r="C489" s="116">
        <v>2.14212734242617</v>
      </c>
      <c r="D489" s="116">
        <v>2.1381677724771402</v>
      </c>
      <c r="E489" s="116">
        <v>2.1381677724771402</v>
      </c>
      <c r="F489" s="116">
        <v>135.25</v>
      </c>
      <c r="G489">
        <v>1135</v>
      </c>
      <c r="H489" s="116"/>
      <c r="I489" s="116"/>
      <c r="L489" s="170"/>
    </row>
    <row r="490" spans="1:12" x14ac:dyDescent="0.25">
      <c r="A490" s="170">
        <v>42725</v>
      </c>
      <c r="B490" s="116">
        <v>2.1064912128848801</v>
      </c>
      <c r="C490" s="116">
        <v>2.0447219216799901</v>
      </c>
      <c r="D490" s="116">
        <v>1.9972070822916099</v>
      </c>
      <c r="E490" s="116">
        <v>2.0613521154659198</v>
      </c>
      <c r="F490" s="116">
        <v>129.1</v>
      </c>
      <c r="G490">
        <v>1941</v>
      </c>
      <c r="H490" s="116"/>
      <c r="I490" s="116"/>
      <c r="L490" s="170"/>
    </row>
    <row r="491" spans="1:12" x14ac:dyDescent="0.25">
      <c r="A491" s="170">
        <v>42726</v>
      </c>
      <c r="B491" s="116">
        <v>1.97978497451587</v>
      </c>
      <c r="C491" s="116">
        <v>1.94256501699497</v>
      </c>
      <c r="D491" s="116">
        <v>1.94256501699497</v>
      </c>
      <c r="E491" s="116">
        <v>1.97978497451587</v>
      </c>
      <c r="F491" s="116">
        <v>122.65</v>
      </c>
      <c r="G491">
        <v>2400</v>
      </c>
      <c r="H491" s="116"/>
      <c r="I491" s="116"/>
      <c r="L491" s="170"/>
    </row>
    <row r="492" spans="1:12" x14ac:dyDescent="0.25">
      <c r="A492" s="170">
        <v>42727</v>
      </c>
      <c r="B492" s="116">
        <v>1.91643185533136</v>
      </c>
      <c r="C492" s="116">
        <v>1.90217740351485</v>
      </c>
      <c r="D492" s="116">
        <v>1.9005935755352299</v>
      </c>
      <c r="E492" s="116">
        <v>1.9005935755352299</v>
      </c>
      <c r="F492" s="116">
        <v>120.1</v>
      </c>
      <c r="G492">
        <v>852</v>
      </c>
      <c r="H492" s="116"/>
      <c r="I492" s="116"/>
      <c r="L492" s="170"/>
    </row>
    <row r="493" spans="1:12" x14ac:dyDescent="0.25">
      <c r="A493" s="170">
        <v>42730</v>
      </c>
      <c r="B493" s="116">
        <v>1.97978497451587</v>
      </c>
      <c r="C493" s="116">
        <v>1.86970892993279</v>
      </c>
      <c r="D493" s="116">
        <v>1.86891701594298</v>
      </c>
      <c r="E493" s="116">
        <v>1.9639466947197399</v>
      </c>
      <c r="F493" s="116">
        <v>118.05</v>
      </c>
      <c r="G493">
        <v>1125</v>
      </c>
      <c r="H493" s="116"/>
      <c r="I493" s="116"/>
      <c r="L493" s="170"/>
    </row>
    <row r="494" spans="1:12" x14ac:dyDescent="0.25">
      <c r="A494" s="170">
        <v>42731</v>
      </c>
      <c r="B494" s="116">
        <v>1.9631547807299401</v>
      </c>
      <c r="C494" s="116">
        <v>1.9631547807299401</v>
      </c>
      <c r="D494" s="116">
        <v>1.8530787361468499</v>
      </c>
      <c r="E494" s="116">
        <v>1.94731650093381</v>
      </c>
      <c r="F494" s="116">
        <v>123.95</v>
      </c>
      <c r="G494">
        <v>4049</v>
      </c>
      <c r="H494" s="116"/>
      <c r="I494" s="116"/>
      <c r="L494" s="170"/>
    </row>
    <row r="495" spans="1:12" x14ac:dyDescent="0.25">
      <c r="A495" s="170">
        <v>42732</v>
      </c>
      <c r="B495" s="116">
        <v>2.06056020147612</v>
      </c>
      <c r="C495" s="116">
        <v>2.0589763734964999</v>
      </c>
      <c r="D495" s="116">
        <v>2.0106696201183198</v>
      </c>
      <c r="E495" s="116">
        <v>2.0114615341081201</v>
      </c>
      <c r="F495" s="116">
        <v>130</v>
      </c>
      <c r="G495">
        <v>3279</v>
      </c>
      <c r="H495" s="116"/>
      <c r="I495" s="116"/>
      <c r="L495" s="170"/>
    </row>
    <row r="496" spans="1:12" x14ac:dyDescent="0.25">
      <c r="A496" s="170">
        <v>42733</v>
      </c>
      <c r="B496" s="116">
        <v>2.1619251921713301</v>
      </c>
      <c r="C496" s="116">
        <v>2.03838660976154</v>
      </c>
      <c r="D496" s="116">
        <v>2.0193806740061899</v>
      </c>
      <c r="E496" s="116">
        <v>2.1619251921713301</v>
      </c>
      <c r="F496" s="116">
        <v>128.69999999999999</v>
      </c>
      <c r="G496">
        <v>3339</v>
      </c>
      <c r="H496" s="116"/>
      <c r="I496" s="116"/>
      <c r="L496" s="170"/>
    </row>
    <row r="497" spans="1:12" x14ac:dyDescent="0.25">
      <c r="A497" s="170">
        <v>42734</v>
      </c>
      <c r="B497" s="116">
        <v>2.1159941807625602</v>
      </c>
      <c r="C497" s="116">
        <v>2.1056992988950798</v>
      </c>
      <c r="D497" s="116">
        <v>2.0288836418838598</v>
      </c>
      <c r="E497" s="116">
        <v>2.0431380937003798</v>
      </c>
      <c r="F497" s="116">
        <v>132.94999999999999</v>
      </c>
      <c r="G497">
        <v>1732</v>
      </c>
      <c r="H497" s="116"/>
      <c r="I497" s="116"/>
      <c r="L497" s="170"/>
    </row>
    <row r="498" spans="1:12" x14ac:dyDescent="0.25">
      <c r="A498" s="170">
        <v>42737</v>
      </c>
      <c r="B498" s="116">
        <v>2.1262890626300401</v>
      </c>
      <c r="C498" s="116">
        <v>2.0708550833435999</v>
      </c>
      <c r="D498" s="116">
        <v>2.0193806740061899</v>
      </c>
      <c r="E498" s="116">
        <v>2.1223294926810099</v>
      </c>
      <c r="F498" s="116">
        <v>130.75</v>
      </c>
      <c r="G498">
        <v>380</v>
      </c>
      <c r="H498" s="116"/>
      <c r="I498" s="116"/>
      <c r="L498" s="170"/>
    </row>
    <row r="499" spans="1:12" x14ac:dyDescent="0.25">
      <c r="A499" s="170">
        <v>42738</v>
      </c>
      <c r="B499" s="116">
        <v>2.0748146532926302</v>
      </c>
      <c r="C499" s="116">
        <v>2.0637278574353402</v>
      </c>
      <c r="D499" s="116">
        <v>2.0114615341081201</v>
      </c>
      <c r="E499" s="116">
        <v>2.0114615341081201</v>
      </c>
      <c r="F499" s="116">
        <v>130.30000000000001</v>
      </c>
      <c r="G499">
        <v>1115</v>
      </c>
      <c r="H499" s="116"/>
      <c r="I499" s="116"/>
      <c r="L499" s="170"/>
    </row>
    <row r="500" spans="1:12" x14ac:dyDescent="0.25">
      <c r="A500" s="170">
        <v>42739</v>
      </c>
      <c r="B500" s="116">
        <v>2.0621440294557298</v>
      </c>
      <c r="C500" s="116">
        <v>2.02729981390425</v>
      </c>
      <c r="D500" s="116">
        <v>2.02729981390425</v>
      </c>
      <c r="E500" s="116">
        <v>2.02729981390425</v>
      </c>
      <c r="F500" s="116">
        <v>128</v>
      </c>
      <c r="G500">
        <v>1035</v>
      </c>
      <c r="H500" s="116"/>
      <c r="I500" s="116"/>
      <c r="L500" s="170"/>
    </row>
    <row r="501" spans="1:12" x14ac:dyDescent="0.25">
      <c r="A501" s="170">
        <v>42740</v>
      </c>
      <c r="B501" s="116">
        <v>2.0589763734964999</v>
      </c>
      <c r="C501" s="116">
        <v>2.0415542657207602</v>
      </c>
      <c r="D501" s="116">
        <v>1.9489003289134199</v>
      </c>
      <c r="E501" s="116">
        <v>1.9489003289134199</v>
      </c>
      <c r="F501" s="116">
        <v>128.9</v>
      </c>
      <c r="G501">
        <v>2710</v>
      </c>
      <c r="H501" s="116"/>
      <c r="I501" s="116"/>
      <c r="L501" s="170"/>
    </row>
    <row r="502" spans="1:12" x14ac:dyDescent="0.25">
      <c r="A502" s="170">
        <v>42741</v>
      </c>
      <c r="B502" s="116">
        <v>2.0589763734964999</v>
      </c>
      <c r="C502" s="116">
        <v>2.02729981390425</v>
      </c>
      <c r="D502" s="116">
        <v>1.97978497451587</v>
      </c>
      <c r="E502" s="116">
        <v>2.0589763734964999</v>
      </c>
      <c r="F502" s="116">
        <v>128</v>
      </c>
      <c r="G502">
        <v>825</v>
      </c>
      <c r="H502" s="116"/>
      <c r="I502" s="116"/>
      <c r="L502" s="170"/>
    </row>
    <row r="503" spans="1:12" x14ac:dyDescent="0.25">
      <c r="A503" s="170">
        <v>42744</v>
      </c>
      <c r="B503" s="116">
        <v>2.0257159859246401</v>
      </c>
      <c r="C503" s="116">
        <v>1.99166368436296</v>
      </c>
      <c r="D503" s="116">
        <v>1.9259348232090401</v>
      </c>
      <c r="E503" s="116">
        <v>1.97978497451587</v>
      </c>
      <c r="F503" s="116">
        <v>125.75</v>
      </c>
      <c r="G503">
        <v>5047</v>
      </c>
      <c r="H503" s="116"/>
      <c r="I503" s="116"/>
      <c r="L503" s="170"/>
    </row>
    <row r="504" spans="1:12" x14ac:dyDescent="0.25">
      <c r="A504" s="170">
        <v>42745</v>
      </c>
      <c r="B504" s="116">
        <v>2.09065293308876</v>
      </c>
      <c r="C504" s="116">
        <v>2.0082938781488999</v>
      </c>
      <c r="D504" s="116">
        <v>1.9037612314944601</v>
      </c>
      <c r="E504" s="116">
        <v>1.9037612314944601</v>
      </c>
      <c r="F504" s="116">
        <v>126.8</v>
      </c>
      <c r="G504">
        <v>2601</v>
      </c>
      <c r="H504" s="116"/>
      <c r="I504" s="116"/>
      <c r="L504" s="170"/>
    </row>
    <row r="505" spans="1:12" x14ac:dyDescent="0.25">
      <c r="A505" s="170">
        <v>42746</v>
      </c>
      <c r="B505" s="116">
        <v>2.10173972894605</v>
      </c>
      <c r="C505" s="116">
        <v>2.0898610190989499</v>
      </c>
      <c r="D505" s="116">
        <v>1.93543779108671</v>
      </c>
      <c r="E505" s="116">
        <v>2.0431380937003798</v>
      </c>
      <c r="F505" s="116">
        <v>131.94999999999999</v>
      </c>
      <c r="G505">
        <v>1410</v>
      </c>
      <c r="H505" s="116"/>
      <c r="I505" s="116"/>
      <c r="L505" s="170"/>
    </row>
    <row r="506" spans="1:12" x14ac:dyDescent="0.25">
      <c r="A506" s="170">
        <v>42747</v>
      </c>
      <c r="B506" s="116">
        <v>2.1381677724771402</v>
      </c>
      <c r="C506" s="116">
        <v>2.1270809766198502</v>
      </c>
      <c r="D506" s="116">
        <v>2.0003747382508301</v>
      </c>
      <c r="E506" s="116">
        <v>2.1373758584873301</v>
      </c>
      <c r="F506" s="116">
        <v>134.30000000000001</v>
      </c>
      <c r="G506">
        <v>1360</v>
      </c>
      <c r="H506" s="116"/>
      <c r="I506" s="116"/>
      <c r="L506" s="170"/>
    </row>
    <row r="507" spans="1:12" x14ac:dyDescent="0.25">
      <c r="A507" s="170">
        <v>42748</v>
      </c>
      <c r="B507" s="116">
        <v>2.1856826118655199</v>
      </c>
      <c r="C507" s="116">
        <v>2.0463057496596</v>
      </c>
      <c r="D507" s="116">
        <v>2.03521895380231</v>
      </c>
      <c r="E507" s="116">
        <v>2.1025316429358498</v>
      </c>
      <c r="F507" s="116">
        <v>129.19999999999999</v>
      </c>
      <c r="G507">
        <v>3232</v>
      </c>
      <c r="H507" s="116"/>
      <c r="I507" s="116"/>
      <c r="L507" s="170"/>
    </row>
    <row r="508" spans="1:12" x14ac:dyDescent="0.25">
      <c r="A508" s="170">
        <v>42751</v>
      </c>
      <c r="B508" s="116">
        <v>2.0827337931906902</v>
      </c>
      <c r="C508" s="116">
        <v>2.0122534480979302</v>
      </c>
      <c r="D508" s="116">
        <v>2.0114615341081201</v>
      </c>
      <c r="E508" s="116">
        <v>2.0589763734964999</v>
      </c>
      <c r="F508" s="116">
        <v>127.05</v>
      </c>
      <c r="G508">
        <v>1786</v>
      </c>
      <c r="H508" s="116"/>
      <c r="I508" s="116"/>
      <c r="L508" s="170"/>
    </row>
    <row r="509" spans="1:12" x14ac:dyDescent="0.25">
      <c r="A509" s="170">
        <v>42752</v>
      </c>
      <c r="B509" s="116">
        <v>2.11282652480334</v>
      </c>
      <c r="C509" s="116">
        <v>2.0969882450072101</v>
      </c>
      <c r="D509" s="116">
        <v>2.01304536208773</v>
      </c>
      <c r="E509" s="116">
        <v>2.0589763734964999</v>
      </c>
      <c r="F509" s="116">
        <v>132.4</v>
      </c>
      <c r="G509">
        <v>8026</v>
      </c>
      <c r="H509" s="116"/>
      <c r="I509" s="116"/>
      <c r="L509" s="170"/>
    </row>
    <row r="510" spans="1:12" x14ac:dyDescent="0.25">
      <c r="A510" s="170">
        <v>42753</v>
      </c>
      <c r="B510" s="116">
        <v>2.2015208916616502</v>
      </c>
      <c r="C510" s="116">
        <v>2.1460869123752002</v>
      </c>
      <c r="D510" s="116">
        <v>2.0154211040571499</v>
      </c>
      <c r="E510" s="116">
        <v>2.1064912128848801</v>
      </c>
      <c r="F510" s="116">
        <v>135.5</v>
      </c>
      <c r="G510">
        <v>4491</v>
      </c>
      <c r="H510" s="116"/>
      <c r="I510" s="116"/>
      <c r="L510" s="170"/>
    </row>
    <row r="511" spans="1:12" x14ac:dyDescent="0.25">
      <c r="A511" s="170">
        <v>42754</v>
      </c>
      <c r="B511" s="116">
        <v>2.24903573105003</v>
      </c>
      <c r="C511" s="116">
        <v>2.1112426968237199</v>
      </c>
      <c r="D511" s="116">
        <v>2.0597682874863099</v>
      </c>
      <c r="E511" s="116">
        <v>2.24903573105003</v>
      </c>
      <c r="F511" s="116">
        <v>133.30000000000001</v>
      </c>
      <c r="G511">
        <v>603</v>
      </c>
      <c r="H511" s="116"/>
      <c r="I511" s="116"/>
      <c r="L511" s="170"/>
    </row>
    <row r="512" spans="1:12" x14ac:dyDescent="0.25">
      <c r="A512" s="170">
        <v>42755</v>
      </c>
      <c r="B512" s="116">
        <v>2.1136184387931398</v>
      </c>
      <c r="C512" s="116">
        <v>2.06531168541495</v>
      </c>
      <c r="D512" s="116">
        <v>2.0447219216799901</v>
      </c>
      <c r="E512" s="116">
        <v>2.0447219216799901</v>
      </c>
      <c r="F512" s="116">
        <v>130.4</v>
      </c>
      <c r="G512">
        <v>401</v>
      </c>
      <c r="H512" s="116"/>
      <c r="I512" s="116"/>
      <c r="L512" s="170"/>
    </row>
    <row r="513" spans="1:12" x14ac:dyDescent="0.25">
      <c r="A513" s="170">
        <v>42758</v>
      </c>
      <c r="B513" s="116">
        <v>2.1674685900999702</v>
      </c>
      <c r="C513" s="116">
        <v>2.0961963310174001</v>
      </c>
      <c r="D513" s="116">
        <v>1.995623254312</v>
      </c>
      <c r="E513" s="116">
        <v>1.995623254312</v>
      </c>
      <c r="F513" s="116">
        <v>132.35</v>
      </c>
      <c r="G513">
        <v>1652</v>
      </c>
      <c r="H513" s="116"/>
      <c r="I513" s="116"/>
      <c r="L513" s="170"/>
    </row>
    <row r="514" spans="1:12" x14ac:dyDescent="0.25">
      <c r="A514" s="170">
        <v>42759</v>
      </c>
      <c r="B514" s="116">
        <v>2.1856826118655199</v>
      </c>
      <c r="C514" s="116">
        <v>2.1547979662630699</v>
      </c>
      <c r="D514" s="116">
        <v>2.09065293308876</v>
      </c>
      <c r="E514" s="116">
        <v>2.09778015899701</v>
      </c>
      <c r="F514" s="116">
        <v>136.05000000000001</v>
      </c>
      <c r="G514">
        <v>1505</v>
      </c>
      <c r="H514" s="116"/>
      <c r="I514" s="116"/>
      <c r="L514" s="170"/>
    </row>
    <row r="515" spans="1:12" x14ac:dyDescent="0.25">
      <c r="A515" s="170">
        <v>42760</v>
      </c>
      <c r="B515" s="116">
        <v>2.2141915154985501</v>
      </c>
      <c r="C515" s="116">
        <v>2.1183699227319801</v>
      </c>
      <c r="D515" s="116">
        <v>2.1072831268746901</v>
      </c>
      <c r="E515" s="116">
        <v>2.1540060522732598</v>
      </c>
      <c r="F515" s="116">
        <v>133.75</v>
      </c>
      <c r="G515">
        <v>2813</v>
      </c>
      <c r="H515" s="116"/>
      <c r="I515" s="116"/>
      <c r="L515" s="170"/>
    </row>
    <row r="516" spans="1:12" x14ac:dyDescent="0.25">
      <c r="A516" s="170">
        <v>42762</v>
      </c>
      <c r="B516" s="116">
        <v>2.1223294926810099</v>
      </c>
      <c r="C516" s="116">
        <v>2.1215375786911999</v>
      </c>
      <c r="D516" s="116">
        <v>2.01304536208773</v>
      </c>
      <c r="E516" s="116">
        <v>2.0922367610683699</v>
      </c>
      <c r="F516" s="116">
        <v>133.94999999999999</v>
      </c>
      <c r="G516">
        <v>8204</v>
      </c>
      <c r="H516" s="116"/>
      <c r="I516" s="116"/>
      <c r="L516" s="170"/>
    </row>
    <row r="517" spans="1:12" x14ac:dyDescent="0.25">
      <c r="A517" s="170">
        <v>42765</v>
      </c>
      <c r="B517" s="116">
        <v>2.1001559009664299</v>
      </c>
      <c r="C517" s="116">
        <v>2.1001559009664299</v>
      </c>
      <c r="D517" s="116">
        <v>2.0447219216799901</v>
      </c>
      <c r="E517" s="116">
        <v>2.0447219216799901</v>
      </c>
      <c r="F517" s="116">
        <v>132.6</v>
      </c>
      <c r="G517">
        <v>1243</v>
      </c>
      <c r="H517" s="116"/>
      <c r="I517" s="116"/>
      <c r="L517" s="170"/>
    </row>
    <row r="518" spans="1:12" x14ac:dyDescent="0.25">
      <c r="A518" s="170">
        <v>42766</v>
      </c>
      <c r="B518" s="116">
        <v>2.0866933631397302</v>
      </c>
      <c r="C518" s="116">
        <v>2.0866933631397302</v>
      </c>
      <c r="D518" s="116">
        <v>1.995623254312</v>
      </c>
      <c r="E518" s="116">
        <v>2.0589763734964999</v>
      </c>
      <c r="F518" s="116">
        <v>131.75</v>
      </c>
      <c r="G518">
        <v>4448</v>
      </c>
      <c r="H518" s="116"/>
      <c r="I518" s="116"/>
      <c r="L518" s="170"/>
    </row>
    <row r="519" spans="1:12" x14ac:dyDescent="0.25">
      <c r="A519" s="170">
        <v>42767</v>
      </c>
      <c r="B519" s="116">
        <v>2.1334162885382999</v>
      </c>
      <c r="C519" s="116">
        <v>1.9964151683018001</v>
      </c>
      <c r="D519" s="116">
        <v>1.9964151683018001</v>
      </c>
      <c r="E519" s="116">
        <v>2.0866933631397302</v>
      </c>
      <c r="F519" s="116">
        <v>126.05</v>
      </c>
      <c r="G519">
        <v>2099</v>
      </c>
      <c r="H519" s="116"/>
      <c r="I519" s="116"/>
      <c r="L519" s="170"/>
    </row>
    <row r="520" spans="1:12" x14ac:dyDescent="0.25">
      <c r="A520" s="170">
        <v>42768</v>
      </c>
      <c r="B520" s="116">
        <v>2.0748146532926302</v>
      </c>
      <c r="C520" s="116">
        <v>2.0740227393028201</v>
      </c>
      <c r="D520" s="116">
        <v>1.9995828242610301</v>
      </c>
      <c r="E520" s="116">
        <v>2.00591813617948</v>
      </c>
      <c r="F520" s="116">
        <v>130.94999999999999</v>
      </c>
      <c r="G520">
        <v>447</v>
      </c>
      <c r="H520" s="116"/>
      <c r="I520" s="116"/>
      <c r="L520" s="170"/>
    </row>
    <row r="521" spans="1:12" x14ac:dyDescent="0.25">
      <c r="A521" s="170">
        <v>42769</v>
      </c>
      <c r="B521" s="116">
        <v>2.1064912128848801</v>
      </c>
      <c r="C521" s="116">
        <v>2.1056992988950798</v>
      </c>
      <c r="D521" s="116">
        <v>2.0114615341081201</v>
      </c>
      <c r="E521" s="116">
        <v>2.0740227393028201</v>
      </c>
      <c r="F521" s="116">
        <v>132.94999999999999</v>
      </c>
      <c r="G521">
        <v>122</v>
      </c>
      <c r="H521" s="116"/>
      <c r="I521" s="116"/>
      <c r="L521" s="170"/>
    </row>
    <row r="522" spans="1:12" x14ac:dyDescent="0.25">
      <c r="A522" s="170">
        <v>42772</v>
      </c>
      <c r="B522" s="116">
        <v>2.1381677724771402</v>
      </c>
      <c r="C522" s="116">
        <v>2.1152022667727501</v>
      </c>
      <c r="D522" s="116">
        <v>2.0154211040571499</v>
      </c>
      <c r="E522" s="116">
        <v>2.1381677724771402</v>
      </c>
      <c r="F522" s="116">
        <v>133.55000000000001</v>
      </c>
      <c r="G522">
        <v>3661</v>
      </c>
      <c r="H522" s="116"/>
      <c r="I522" s="116"/>
      <c r="L522" s="170"/>
    </row>
    <row r="523" spans="1:12" x14ac:dyDescent="0.25">
      <c r="A523" s="170">
        <v>42773</v>
      </c>
      <c r="B523" s="116">
        <v>2.0668955133945701</v>
      </c>
      <c r="C523" s="116">
        <v>2.0629359434455399</v>
      </c>
      <c r="D523" s="116">
        <v>2.06056020147612</v>
      </c>
      <c r="E523" s="116">
        <v>2.0668955133945701</v>
      </c>
      <c r="F523" s="116">
        <v>130.25</v>
      </c>
      <c r="G523">
        <v>145</v>
      </c>
      <c r="H523" s="116"/>
      <c r="I523" s="116"/>
      <c r="L523" s="170"/>
    </row>
    <row r="524" spans="1:12" x14ac:dyDescent="0.25">
      <c r="A524" s="170">
        <v>42774</v>
      </c>
      <c r="B524" s="116">
        <v>2.0589763734964999</v>
      </c>
      <c r="C524" s="116">
        <v>2.04947340561883</v>
      </c>
      <c r="D524" s="116">
        <v>2.0122534480979302</v>
      </c>
      <c r="E524" s="116">
        <v>2.0431380937003798</v>
      </c>
      <c r="F524" s="116">
        <v>129.4</v>
      </c>
      <c r="G524">
        <v>1781</v>
      </c>
      <c r="H524" s="116"/>
      <c r="I524" s="116"/>
      <c r="L524" s="170"/>
    </row>
    <row r="525" spans="1:12" x14ac:dyDescent="0.25">
      <c r="A525" s="170">
        <v>42775</v>
      </c>
      <c r="B525" s="116">
        <v>2.0431380937003798</v>
      </c>
      <c r="C525" s="116">
        <v>2.0114615341081201</v>
      </c>
      <c r="D525" s="116">
        <v>2.0114615341081201</v>
      </c>
      <c r="E525" s="116">
        <v>2.0431380937003798</v>
      </c>
      <c r="F525" s="116">
        <v>127</v>
      </c>
      <c r="G525">
        <v>590</v>
      </c>
      <c r="H525" s="116"/>
      <c r="I525" s="116"/>
      <c r="L525" s="170"/>
    </row>
    <row r="526" spans="1:12" x14ac:dyDescent="0.25">
      <c r="A526" s="170">
        <v>42776</v>
      </c>
      <c r="B526" s="116">
        <v>2.1120346108135299</v>
      </c>
      <c r="C526" s="116">
        <v>2.1088669548543</v>
      </c>
      <c r="D526" s="116">
        <v>1.9481084149236101</v>
      </c>
      <c r="E526" s="116">
        <v>1.9481084149236101</v>
      </c>
      <c r="F526" s="116">
        <v>133.15</v>
      </c>
      <c r="G526">
        <v>3289</v>
      </c>
      <c r="H526" s="116"/>
      <c r="I526" s="116"/>
      <c r="L526" s="170"/>
    </row>
    <row r="527" spans="1:12" x14ac:dyDescent="0.25">
      <c r="A527" s="170">
        <v>42779</v>
      </c>
      <c r="B527" s="116">
        <v>2.2141915154985501</v>
      </c>
      <c r="C527" s="116">
        <v>2.1373758584873301</v>
      </c>
      <c r="D527" s="116">
        <v>2.1088669548543</v>
      </c>
      <c r="E527" s="116">
        <v>2.1381677724771402</v>
      </c>
      <c r="F527" s="116">
        <v>134.94999999999999</v>
      </c>
      <c r="G527">
        <v>8574</v>
      </c>
      <c r="H527" s="116"/>
      <c r="I527" s="116"/>
      <c r="L527" s="170"/>
    </row>
    <row r="528" spans="1:12" x14ac:dyDescent="0.25">
      <c r="A528" s="170">
        <v>42780</v>
      </c>
      <c r="B528" s="116">
        <v>2.1381677724771402</v>
      </c>
      <c r="C528" s="116">
        <v>2.03601086779212</v>
      </c>
      <c r="D528" s="116">
        <v>2.0312593838532802</v>
      </c>
      <c r="E528" s="116">
        <v>2.1381677724771402</v>
      </c>
      <c r="F528" s="116">
        <v>128.55000000000001</v>
      </c>
      <c r="G528">
        <v>1588</v>
      </c>
      <c r="H528" s="116"/>
      <c r="I528" s="116"/>
      <c r="L528" s="170"/>
    </row>
    <row r="529" spans="1:12" x14ac:dyDescent="0.25">
      <c r="A529" s="170">
        <v>42781</v>
      </c>
      <c r="B529" s="116">
        <v>2.1365839444975299</v>
      </c>
      <c r="C529" s="116">
        <v>1.98770411441393</v>
      </c>
      <c r="D529" s="116">
        <v>1.9734496625974201</v>
      </c>
      <c r="E529" s="116">
        <v>2.1365839444975299</v>
      </c>
      <c r="F529" s="116">
        <v>125.5</v>
      </c>
      <c r="G529">
        <v>454</v>
      </c>
      <c r="H529" s="116"/>
      <c r="I529" s="116"/>
      <c r="L529" s="170"/>
    </row>
    <row r="530" spans="1:12" x14ac:dyDescent="0.25">
      <c r="A530" s="170">
        <v>42782</v>
      </c>
      <c r="B530" s="116">
        <v>2.0748146532926302</v>
      </c>
      <c r="C530" s="116">
        <v>2.0645197714251502</v>
      </c>
      <c r="D530" s="116">
        <v>1.9639466947197399</v>
      </c>
      <c r="E530" s="116">
        <v>2.0114615341081201</v>
      </c>
      <c r="F530" s="116">
        <v>130.35</v>
      </c>
      <c r="G530">
        <v>760</v>
      </c>
      <c r="H530" s="116"/>
      <c r="I530" s="116"/>
      <c r="L530" s="170"/>
    </row>
    <row r="531" spans="1:12" x14ac:dyDescent="0.25">
      <c r="A531" s="170">
        <v>42783</v>
      </c>
      <c r="B531" s="116">
        <v>2.1674685900999702</v>
      </c>
      <c r="C531" s="116">
        <v>2.1397516004567501</v>
      </c>
      <c r="D531" s="116">
        <v>2.09065293308876</v>
      </c>
      <c r="E531" s="116">
        <v>2.1064912128848801</v>
      </c>
      <c r="F531" s="116">
        <v>135.1</v>
      </c>
      <c r="G531">
        <v>14543</v>
      </c>
      <c r="H531" s="116"/>
      <c r="I531" s="116"/>
      <c r="L531" s="170"/>
    </row>
    <row r="532" spans="1:12" x14ac:dyDescent="0.25">
      <c r="A532" s="170">
        <v>42786</v>
      </c>
      <c r="B532" s="116">
        <v>2.2173591714577698</v>
      </c>
      <c r="C532" s="116">
        <v>2.1809311279266801</v>
      </c>
      <c r="D532" s="116">
        <v>2.0589763734964999</v>
      </c>
      <c r="E532" s="116">
        <v>2.0589763734964999</v>
      </c>
      <c r="F532" s="116">
        <v>137.69999999999999</v>
      </c>
      <c r="G532">
        <v>3332</v>
      </c>
      <c r="H532" s="116"/>
      <c r="I532" s="116"/>
      <c r="L532" s="170"/>
    </row>
    <row r="533" spans="1:12" x14ac:dyDescent="0.25">
      <c r="A533" s="170">
        <v>42787</v>
      </c>
      <c r="B533" s="116">
        <v>2.2173591714577698</v>
      </c>
      <c r="C533" s="116">
        <v>2.0922367610683699</v>
      </c>
      <c r="D533" s="116">
        <v>2.07639848127224</v>
      </c>
      <c r="E533" s="116">
        <v>2.2173591714577698</v>
      </c>
      <c r="F533" s="116">
        <v>132.1</v>
      </c>
      <c r="G533">
        <v>860</v>
      </c>
      <c r="H533" s="116"/>
      <c r="I533" s="116"/>
      <c r="L533" s="170"/>
    </row>
    <row r="534" spans="1:12" x14ac:dyDescent="0.25">
      <c r="A534" s="170">
        <v>42788</v>
      </c>
      <c r="B534" s="116">
        <v>2.1381677724771402</v>
      </c>
      <c r="C534" s="116">
        <v>2.1381677724771402</v>
      </c>
      <c r="D534" s="116">
        <v>2.09065293308876</v>
      </c>
      <c r="E534" s="116">
        <v>2.0938205890479802</v>
      </c>
      <c r="F534" s="116">
        <v>135</v>
      </c>
      <c r="G534">
        <v>1245</v>
      </c>
      <c r="H534" s="116"/>
      <c r="I534" s="116"/>
      <c r="L534" s="170"/>
    </row>
    <row r="535" spans="1:12" x14ac:dyDescent="0.25">
      <c r="A535" s="170">
        <v>42789</v>
      </c>
      <c r="B535" s="116">
        <v>2.1365839444975299</v>
      </c>
      <c r="C535" s="116">
        <v>2.0621440294557298</v>
      </c>
      <c r="D535" s="116">
        <v>2.0597682874863099</v>
      </c>
      <c r="E535" s="116">
        <v>2.06056020147612</v>
      </c>
      <c r="F535" s="116">
        <v>130.19999999999999</v>
      </c>
      <c r="G535">
        <v>518</v>
      </c>
      <c r="H535" s="116"/>
      <c r="I535" s="116"/>
      <c r="L535" s="170"/>
    </row>
    <row r="536" spans="1:12" x14ac:dyDescent="0.25">
      <c r="A536" s="170">
        <v>42793</v>
      </c>
      <c r="B536" s="116">
        <v>2.1223294926810099</v>
      </c>
      <c r="C536" s="116">
        <v>2.0748146532926302</v>
      </c>
      <c r="D536" s="116">
        <v>2.07164699733341</v>
      </c>
      <c r="E536" s="116">
        <v>2.07164699733341</v>
      </c>
      <c r="F536" s="116">
        <v>131</v>
      </c>
      <c r="G536">
        <v>424</v>
      </c>
      <c r="H536" s="116"/>
      <c r="I536" s="116"/>
      <c r="L536" s="170"/>
    </row>
    <row r="537" spans="1:12" x14ac:dyDescent="0.25">
      <c r="A537" s="170">
        <v>42794</v>
      </c>
      <c r="B537" s="116">
        <v>2.1381677724771402</v>
      </c>
      <c r="C537" s="116">
        <v>2.1223294926810099</v>
      </c>
      <c r="D537" s="116">
        <v>2.0589763734964999</v>
      </c>
      <c r="E537" s="116">
        <v>2.0589763734964999</v>
      </c>
      <c r="F537" s="116">
        <v>134</v>
      </c>
      <c r="G537">
        <v>1963</v>
      </c>
      <c r="H537" s="116"/>
      <c r="I537" s="116"/>
      <c r="L537" s="170"/>
    </row>
    <row r="538" spans="1:12" x14ac:dyDescent="0.25">
      <c r="A538" s="170">
        <v>42795</v>
      </c>
      <c r="B538" s="116">
        <v>2.15321413828346</v>
      </c>
      <c r="C538" s="116">
        <v>2.09065293308876</v>
      </c>
      <c r="D538" s="116">
        <v>2.0288836418838598</v>
      </c>
      <c r="E538" s="116">
        <v>2.09065293308876</v>
      </c>
      <c r="F538" s="116">
        <v>132</v>
      </c>
      <c r="G538">
        <v>2305</v>
      </c>
      <c r="H538" s="116"/>
      <c r="I538" s="116"/>
      <c r="L538" s="170"/>
    </row>
    <row r="539" spans="1:12" x14ac:dyDescent="0.25">
      <c r="A539" s="170">
        <v>42796</v>
      </c>
      <c r="B539" s="116">
        <v>2.1064912128848801</v>
      </c>
      <c r="C539" s="116">
        <v>2.0922367610683699</v>
      </c>
      <c r="D539" s="116">
        <v>2.0177968460265698</v>
      </c>
      <c r="E539" s="116">
        <v>2.0589763734964999</v>
      </c>
      <c r="F539" s="116">
        <v>132.1</v>
      </c>
      <c r="G539">
        <v>1954</v>
      </c>
      <c r="H539" s="116"/>
      <c r="I539" s="116"/>
      <c r="L539" s="170"/>
    </row>
    <row r="540" spans="1:12" x14ac:dyDescent="0.25">
      <c r="A540" s="170">
        <v>42797</v>
      </c>
      <c r="B540" s="116">
        <v>2.1967694077228099</v>
      </c>
      <c r="C540" s="116">
        <v>2.1967694077228099</v>
      </c>
      <c r="D540" s="116">
        <v>2.0748146532926302</v>
      </c>
      <c r="E540" s="116">
        <v>2.0748146532926302</v>
      </c>
      <c r="F540" s="116">
        <v>138.69999999999999</v>
      </c>
      <c r="G540">
        <v>32436</v>
      </c>
      <c r="H540" s="116"/>
      <c r="I540" s="116"/>
      <c r="L540" s="170"/>
    </row>
    <row r="541" spans="1:12" x14ac:dyDescent="0.25">
      <c r="A541" s="170">
        <v>42800</v>
      </c>
      <c r="B541" s="116">
        <v>2.3060535383160801</v>
      </c>
      <c r="C541" s="116">
        <v>2.3060535383160801</v>
      </c>
      <c r="D541" s="116">
        <v>2.3060535383160801</v>
      </c>
      <c r="E541" s="116">
        <v>2.3060535383160801</v>
      </c>
      <c r="F541" s="116">
        <v>145.6</v>
      </c>
      <c r="G541">
        <v>13365</v>
      </c>
      <c r="H541" s="116"/>
      <c r="I541" s="116"/>
      <c r="L541" s="170"/>
    </row>
    <row r="542" spans="1:12" x14ac:dyDescent="0.25">
      <c r="A542" s="170">
        <v>42801</v>
      </c>
      <c r="B542" s="116">
        <v>2.4185053248685802</v>
      </c>
      <c r="C542" s="116">
        <v>2.3131807642243398</v>
      </c>
      <c r="D542" s="116">
        <v>2.2577467849379</v>
      </c>
      <c r="E542" s="116">
        <v>2.3915802492151701</v>
      </c>
      <c r="F542" s="116">
        <v>146.05000000000001</v>
      </c>
      <c r="G542">
        <v>11616</v>
      </c>
      <c r="H542" s="116"/>
      <c r="I542" s="116"/>
      <c r="L542" s="170"/>
    </row>
    <row r="543" spans="1:12" x14ac:dyDescent="0.25">
      <c r="A543" s="170">
        <v>42802</v>
      </c>
      <c r="B543" s="116">
        <v>2.3020939683670498</v>
      </c>
      <c r="C543" s="116">
        <v>2.2062723756004798</v>
      </c>
      <c r="D543" s="116">
        <v>2.2031047196412601</v>
      </c>
      <c r="E543" s="116">
        <v>2.2252783113558401</v>
      </c>
      <c r="F543" s="116">
        <v>139.30000000000001</v>
      </c>
      <c r="G543">
        <v>5247</v>
      </c>
      <c r="H543" s="116"/>
      <c r="I543" s="116"/>
      <c r="L543" s="170"/>
    </row>
    <row r="544" spans="1:12" x14ac:dyDescent="0.25">
      <c r="A544" s="170">
        <v>42803</v>
      </c>
      <c r="B544" s="116">
        <v>2.2522033870092502</v>
      </c>
      <c r="C544" s="116">
        <v>2.20231280565145</v>
      </c>
      <c r="D544" s="116">
        <v>2.20231280565145</v>
      </c>
      <c r="E544" s="116">
        <v>2.2173591714577698</v>
      </c>
      <c r="F544" s="116">
        <v>139.05000000000001</v>
      </c>
      <c r="G544">
        <v>1350</v>
      </c>
      <c r="H544" s="116"/>
      <c r="I544" s="116"/>
      <c r="L544" s="170"/>
    </row>
    <row r="545" spans="1:12" x14ac:dyDescent="0.25">
      <c r="A545" s="170">
        <v>42804</v>
      </c>
      <c r="B545" s="116">
        <v>2.2965505704384102</v>
      </c>
      <c r="C545" s="116">
        <v>2.2015208916616502</v>
      </c>
      <c r="D545" s="116">
        <v>2.1239133206606202</v>
      </c>
      <c r="E545" s="116">
        <v>2.27912846266267</v>
      </c>
      <c r="F545" s="116">
        <v>139</v>
      </c>
      <c r="G545">
        <v>3751</v>
      </c>
      <c r="H545" s="116"/>
      <c r="I545" s="116"/>
      <c r="L545" s="170"/>
    </row>
    <row r="546" spans="1:12" x14ac:dyDescent="0.25">
      <c r="A546" s="170">
        <v>42808</v>
      </c>
      <c r="B546" s="116">
        <v>2.2965505704384102</v>
      </c>
      <c r="C546" s="116">
        <v>2.2419085051417702</v>
      </c>
      <c r="D546" s="116">
        <v>2.2331974512539001</v>
      </c>
      <c r="E546" s="116">
        <v>2.2965505704384102</v>
      </c>
      <c r="F546" s="116">
        <v>141.55000000000001</v>
      </c>
      <c r="G546">
        <v>2262</v>
      </c>
      <c r="H546" s="116"/>
      <c r="I546" s="116"/>
      <c r="L546" s="170"/>
    </row>
    <row r="547" spans="1:12" x14ac:dyDescent="0.25">
      <c r="A547" s="170">
        <v>42809</v>
      </c>
      <c r="B547" s="116">
        <v>2.2965505704384102</v>
      </c>
      <c r="C547" s="116">
        <v>2.2403246771621599</v>
      </c>
      <c r="D547" s="116">
        <v>2.2205268274169998</v>
      </c>
      <c r="E547" s="116">
        <v>2.2807122906422799</v>
      </c>
      <c r="F547" s="116">
        <v>141.44999999999999</v>
      </c>
      <c r="G547">
        <v>2006</v>
      </c>
      <c r="H547" s="116"/>
      <c r="I547" s="116"/>
      <c r="L547" s="170"/>
    </row>
    <row r="548" spans="1:12" x14ac:dyDescent="0.25">
      <c r="A548" s="170">
        <v>42810</v>
      </c>
      <c r="B548" s="116">
        <v>2.3519845497248499</v>
      </c>
      <c r="C548" s="116">
        <v>2.34960880775543</v>
      </c>
      <c r="D548" s="116">
        <v>2.2015208916616502</v>
      </c>
      <c r="E548" s="116">
        <v>2.20231280565145</v>
      </c>
      <c r="F548" s="116">
        <v>148.35</v>
      </c>
      <c r="G548">
        <v>8503</v>
      </c>
      <c r="H548" s="116"/>
      <c r="I548" s="116"/>
      <c r="L548" s="170"/>
    </row>
    <row r="549" spans="1:12" x14ac:dyDescent="0.25">
      <c r="A549" s="170">
        <v>42811</v>
      </c>
      <c r="B549" s="116">
        <v>2.46681207824677</v>
      </c>
      <c r="C549" s="116">
        <v>2.46681207824677</v>
      </c>
      <c r="D549" s="116">
        <v>2.3282271300306601</v>
      </c>
      <c r="E549" s="116">
        <v>2.42325680880742</v>
      </c>
      <c r="F549" s="116">
        <v>155.75</v>
      </c>
      <c r="G549">
        <v>13428</v>
      </c>
      <c r="H549" s="116"/>
      <c r="I549" s="116"/>
      <c r="L549" s="170"/>
    </row>
    <row r="550" spans="1:12" x14ac:dyDescent="0.25">
      <c r="A550" s="170">
        <v>42814</v>
      </c>
      <c r="B550" s="116">
        <v>2.5895587466667598</v>
      </c>
      <c r="C550" s="116">
        <v>2.5895587466667598</v>
      </c>
      <c r="D550" s="116">
        <v>2.4549333683996801</v>
      </c>
      <c r="E550" s="116">
        <v>2.5658013269725699</v>
      </c>
      <c r="F550" s="116">
        <v>163.5</v>
      </c>
      <c r="G550">
        <v>17668</v>
      </c>
      <c r="H550" s="116"/>
      <c r="I550" s="116"/>
      <c r="L550" s="170"/>
    </row>
    <row r="551" spans="1:12" x14ac:dyDescent="0.25">
      <c r="A551" s="170">
        <v>42815</v>
      </c>
      <c r="B551" s="116">
        <v>2.71864072700519</v>
      </c>
      <c r="C551" s="116">
        <v>2.6449927259532</v>
      </c>
      <c r="D551" s="116">
        <v>2.6133161663609501</v>
      </c>
      <c r="E551" s="116">
        <v>2.6133161663609501</v>
      </c>
      <c r="F551" s="116">
        <v>167</v>
      </c>
      <c r="G551">
        <v>18998</v>
      </c>
      <c r="H551" s="116"/>
      <c r="I551" s="116"/>
      <c r="L551" s="170"/>
    </row>
    <row r="552" spans="1:12" x14ac:dyDescent="0.25">
      <c r="A552" s="170">
        <v>42816</v>
      </c>
      <c r="B552" s="116">
        <v>2.7772423622508602</v>
      </c>
      <c r="C552" s="116">
        <v>2.5689689829317901</v>
      </c>
      <c r="D552" s="116">
        <v>2.5341247673803098</v>
      </c>
      <c r="E552" s="116">
        <v>2.6766692855454499</v>
      </c>
      <c r="F552" s="116">
        <v>162.19999999999999</v>
      </c>
      <c r="G552">
        <v>7911</v>
      </c>
      <c r="H552" s="116"/>
      <c r="I552" s="116"/>
      <c r="L552" s="170"/>
    </row>
    <row r="553" spans="1:12" x14ac:dyDescent="0.25">
      <c r="A553" s="170">
        <v>42817</v>
      </c>
      <c r="B553" s="116">
        <v>2.69725904928042</v>
      </c>
      <c r="C553" s="116">
        <v>2.69646713529061</v>
      </c>
      <c r="D553" s="116">
        <v>2.5341247673803098</v>
      </c>
      <c r="E553" s="116">
        <v>2.64420081196339</v>
      </c>
      <c r="F553" s="116">
        <v>170.25</v>
      </c>
      <c r="G553">
        <v>73604</v>
      </c>
      <c r="H553" s="116"/>
      <c r="I553" s="116"/>
      <c r="L553" s="170"/>
    </row>
    <row r="554" spans="1:12" x14ac:dyDescent="0.25">
      <c r="A554" s="170">
        <v>42818</v>
      </c>
      <c r="B554" s="116">
        <v>2.8310925135576901</v>
      </c>
      <c r="C554" s="116">
        <v>2.8310925135576901</v>
      </c>
      <c r="D554" s="116">
        <v>2.7637798244241498</v>
      </c>
      <c r="E554" s="116">
        <v>2.8192138037105998</v>
      </c>
      <c r="F554" s="116">
        <v>178.75</v>
      </c>
      <c r="G554">
        <v>22160</v>
      </c>
      <c r="H554" s="116"/>
      <c r="I554" s="116"/>
      <c r="L554" s="170"/>
    </row>
    <row r="555" spans="1:12" x14ac:dyDescent="0.25">
      <c r="A555" s="170">
        <v>42821</v>
      </c>
      <c r="B555" s="116">
        <v>2.9720532037432199</v>
      </c>
      <c r="C555" s="116">
        <v>2.9720532037432199</v>
      </c>
      <c r="D555" s="116">
        <v>2.9720532037432199</v>
      </c>
      <c r="E555" s="116">
        <v>2.9720532037432199</v>
      </c>
      <c r="F555" s="116">
        <v>187.65</v>
      </c>
      <c r="G555">
        <v>18379</v>
      </c>
      <c r="H555" s="116"/>
      <c r="I555" s="116"/>
      <c r="L555" s="170"/>
    </row>
    <row r="556" spans="1:12" x14ac:dyDescent="0.25">
      <c r="A556" s="170">
        <v>42822</v>
      </c>
      <c r="B556" s="116">
        <v>2.99185105348838</v>
      </c>
      <c r="C556" s="116">
        <v>2.99185105348838</v>
      </c>
      <c r="D556" s="116">
        <v>2.99185105348838</v>
      </c>
      <c r="E556" s="116">
        <v>2.99185105348838</v>
      </c>
      <c r="F556" s="116">
        <v>188.9</v>
      </c>
      <c r="G556">
        <v>4442</v>
      </c>
      <c r="H556" s="116"/>
      <c r="I556" s="116"/>
      <c r="L556" s="170"/>
    </row>
    <row r="557" spans="1:12" x14ac:dyDescent="0.25">
      <c r="A557" s="170">
        <v>42823</v>
      </c>
      <c r="B557" s="116">
        <v>2.99185105348838</v>
      </c>
      <c r="C557" s="116">
        <v>2.99185105348838</v>
      </c>
      <c r="D557" s="116">
        <v>2.99185105348838</v>
      </c>
      <c r="E557" s="116">
        <v>2.99185105348838</v>
      </c>
      <c r="F557" s="116">
        <v>188.9</v>
      </c>
      <c r="G557">
        <v>2855</v>
      </c>
      <c r="H557" s="116"/>
      <c r="I557" s="116"/>
      <c r="L557" s="170"/>
    </row>
    <row r="558" spans="1:12" x14ac:dyDescent="0.25">
      <c r="A558" s="170">
        <v>42824</v>
      </c>
      <c r="B558" s="116">
        <v>2.99185105348838</v>
      </c>
      <c r="C558" s="116">
        <v>2.99185105348838</v>
      </c>
      <c r="D558" s="116">
        <v>2.99185105348838</v>
      </c>
      <c r="E558" s="116">
        <v>2.99185105348838</v>
      </c>
      <c r="F558" s="116">
        <v>188.9</v>
      </c>
      <c r="G558">
        <v>9785</v>
      </c>
      <c r="H558" s="116"/>
      <c r="I558" s="116"/>
      <c r="L558" s="170"/>
    </row>
    <row r="559" spans="1:12" x14ac:dyDescent="0.25">
      <c r="A559" s="170">
        <v>42825</v>
      </c>
      <c r="B559" s="116">
        <v>2.99185105348838</v>
      </c>
      <c r="C559" s="116">
        <v>2.99185105348838</v>
      </c>
      <c r="D559" s="116">
        <v>2.99185105348838</v>
      </c>
      <c r="E559" s="116">
        <v>2.99185105348838</v>
      </c>
      <c r="F559" s="116">
        <v>188.9</v>
      </c>
      <c r="G559">
        <v>1700</v>
      </c>
      <c r="H559" s="116"/>
      <c r="I559" s="116"/>
      <c r="L559" s="170"/>
    </row>
    <row r="560" spans="1:12" x14ac:dyDescent="0.25">
      <c r="A560" s="170">
        <v>42828</v>
      </c>
      <c r="B560" s="116">
        <v>3.1407308835719698</v>
      </c>
      <c r="C560" s="116">
        <v>3.1407308835719698</v>
      </c>
      <c r="D560" s="116">
        <v>3.0726262804486302</v>
      </c>
      <c r="E560" s="116">
        <v>3.1343955716535201</v>
      </c>
      <c r="F560" s="116">
        <v>198.3</v>
      </c>
      <c r="G560">
        <v>21633</v>
      </c>
      <c r="H560" s="116"/>
      <c r="I560" s="116"/>
      <c r="L560" s="170"/>
    </row>
    <row r="561" spans="1:12" x14ac:dyDescent="0.25">
      <c r="A561" s="170">
        <v>42830</v>
      </c>
      <c r="B561" s="116">
        <v>3.2975298535536299</v>
      </c>
      <c r="C561" s="116">
        <v>3.2713966918900201</v>
      </c>
      <c r="D561" s="116">
        <v>3.0409497208563701</v>
      </c>
      <c r="E561" s="116">
        <v>3.2975298535536299</v>
      </c>
      <c r="F561" s="116">
        <v>206.55</v>
      </c>
      <c r="G561">
        <v>52930</v>
      </c>
      <c r="H561" s="116"/>
      <c r="I561" s="116"/>
      <c r="L561" s="170"/>
    </row>
    <row r="562" spans="1:12" x14ac:dyDescent="0.25">
      <c r="A562" s="170">
        <v>42831</v>
      </c>
      <c r="B562" s="116">
        <v>3.4036463281876799</v>
      </c>
      <c r="C562" s="116">
        <v>3.3046570794618901</v>
      </c>
      <c r="D562" s="116">
        <v>3.1343955716535201</v>
      </c>
      <c r="E562" s="116">
        <v>3.3260387571866601</v>
      </c>
      <c r="F562" s="116">
        <v>208.65</v>
      </c>
      <c r="G562">
        <v>23150</v>
      </c>
      <c r="H562" s="116"/>
      <c r="I562" s="116"/>
      <c r="L562" s="170"/>
    </row>
    <row r="563" spans="1:12" x14ac:dyDescent="0.25">
      <c r="A563" s="170">
        <v>42832</v>
      </c>
      <c r="B563" s="116">
        <v>3.3260387571866601</v>
      </c>
      <c r="C563" s="116">
        <v>3.15894490533752</v>
      </c>
      <c r="D563" s="116">
        <v>3.13993896958217</v>
      </c>
      <c r="E563" s="116">
        <v>3.3260387571866601</v>
      </c>
      <c r="F563" s="116">
        <v>199.45</v>
      </c>
      <c r="G563">
        <v>17094</v>
      </c>
      <c r="H563" s="116"/>
      <c r="I563" s="116"/>
      <c r="L563" s="170"/>
    </row>
    <row r="564" spans="1:12" x14ac:dyDescent="0.25">
      <c r="A564" s="170">
        <v>42835</v>
      </c>
      <c r="B564" s="116">
        <v>3.3102004773905298</v>
      </c>
      <c r="C564" s="116">
        <v>3.26189372401234</v>
      </c>
      <c r="D564" s="116">
        <v>3.0425335488359901</v>
      </c>
      <c r="E564" s="116">
        <v>3.2943621975944102</v>
      </c>
      <c r="F564" s="116">
        <v>205.95</v>
      </c>
      <c r="G564">
        <v>12336</v>
      </c>
      <c r="H564" s="116"/>
      <c r="I564" s="116"/>
      <c r="L564" s="170"/>
    </row>
    <row r="565" spans="1:12" x14ac:dyDescent="0.25">
      <c r="A565" s="170">
        <v>42836</v>
      </c>
      <c r="B565" s="116">
        <v>3.2626856380021501</v>
      </c>
      <c r="C565" s="116">
        <v>3.1676559592253901</v>
      </c>
      <c r="D565" s="116">
        <v>3.1423147115515899</v>
      </c>
      <c r="E565" s="116">
        <v>3.1423147115515899</v>
      </c>
      <c r="F565" s="116">
        <v>200</v>
      </c>
      <c r="G565">
        <v>2603</v>
      </c>
      <c r="H565" s="116"/>
      <c r="I565" s="116"/>
      <c r="L565" s="170"/>
    </row>
    <row r="566" spans="1:12" x14ac:dyDescent="0.25">
      <c r="A566" s="170">
        <v>42837</v>
      </c>
      <c r="B566" s="116">
        <v>3.30940856340073</v>
      </c>
      <c r="C566" s="116">
        <v>3.1676559592253901</v>
      </c>
      <c r="D566" s="116">
        <v>3.1518176794292598</v>
      </c>
      <c r="E566" s="116">
        <v>3.1676559592253901</v>
      </c>
      <c r="F566" s="116">
        <v>200</v>
      </c>
      <c r="G566">
        <v>8291</v>
      </c>
      <c r="H566" s="116"/>
      <c r="I566" s="116"/>
      <c r="L566" s="170"/>
    </row>
    <row r="567" spans="1:12" x14ac:dyDescent="0.25">
      <c r="A567" s="170">
        <v>42838</v>
      </c>
      <c r="B567" s="116">
        <v>3.2468473582060202</v>
      </c>
      <c r="C567" s="116">
        <v>3.0306548389888901</v>
      </c>
      <c r="D567" s="116">
        <v>3.0092731612641201</v>
      </c>
      <c r="E567" s="116">
        <v>3.1676559592253901</v>
      </c>
      <c r="F567" s="116">
        <v>191.35</v>
      </c>
      <c r="G567">
        <v>2033</v>
      </c>
      <c r="H567" s="116"/>
      <c r="I567" s="116"/>
      <c r="L567" s="170"/>
    </row>
    <row r="568" spans="1:12" x14ac:dyDescent="0.25">
      <c r="A568" s="170">
        <v>42842</v>
      </c>
      <c r="B568" s="116">
        <v>3.1819104110418999</v>
      </c>
      <c r="C568" s="116">
        <v>3.169239787205</v>
      </c>
      <c r="D568" s="116">
        <v>2.8833588368849101</v>
      </c>
      <c r="E568" s="116">
        <v>2.93008176228349</v>
      </c>
      <c r="F568" s="116">
        <v>200.1</v>
      </c>
      <c r="G568">
        <v>18415</v>
      </c>
      <c r="H568" s="116"/>
      <c r="I568" s="116"/>
      <c r="L568" s="170"/>
    </row>
    <row r="569" spans="1:12" x14ac:dyDescent="0.25">
      <c r="A569" s="170">
        <v>42843</v>
      </c>
      <c r="B569" s="116">
        <v>3.32762258516627</v>
      </c>
      <c r="C569" s="116">
        <v>3.02194378510102</v>
      </c>
      <c r="D569" s="116">
        <v>3.01085698924373</v>
      </c>
      <c r="E569" s="116">
        <v>3.32762258516627</v>
      </c>
      <c r="F569" s="116">
        <v>190.8</v>
      </c>
      <c r="G569">
        <v>8369</v>
      </c>
      <c r="H569" s="116"/>
      <c r="I569" s="116"/>
      <c r="L569" s="170"/>
    </row>
    <row r="570" spans="1:12" x14ac:dyDescent="0.25">
      <c r="A570" s="170">
        <v>42844</v>
      </c>
      <c r="B570" s="116">
        <v>3.1201411198370099</v>
      </c>
      <c r="C570" s="116">
        <v>3.0266952690398599</v>
      </c>
      <c r="D570" s="116">
        <v>2.8984052026912299</v>
      </c>
      <c r="E570" s="116">
        <v>2.8984052026912299</v>
      </c>
      <c r="F570" s="116">
        <v>191.1</v>
      </c>
      <c r="G570">
        <v>2331</v>
      </c>
      <c r="H570" s="116"/>
      <c r="I570" s="116"/>
      <c r="L570" s="170"/>
    </row>
    <row r="571" spans="1:12" x14ac:dyDescent="0.25">
      <c r="A571" s="170">
        <v>42845</v>
      </c>
      <c r="B571" s="116">
        <v>3.1272683457452701</v>
      </c>
      <c r="C571" s="116">
        <v>3.0947998721632102</v>
      </c>
      <c r="D571" s="116">
        <v>3.0567880006524999</v>
      </c>
      <c r="E571" s="116">
        <v>3.0567880006524999</v>
      </c>
      <c r="F571" s="116">
        <v>195.4</v>
      </c>
      <c r="G571">
        <v>3728</v>
      </c>
      <c r="H571" s="116"/>
      <c r="I571" s="116"/>
      <c r="L571" s="170"/>
    </row>
    <row r="572" spans="1:12" x14ac:dyDescent="0.25">
      <c r="A572" s="170">
        <v>42846</v>
      </c>
      <c r="B572" s="116">
        <v>3.2492231001754401</v>
      </c>
      <c r="C572" s="116">
        <v>3.2492231001754401</v>
      </c>
      <c r="D572" s="116">
        <v>3.0884645602447498</v>
      </c>
      <c r="E572" s="116">
        <v>3.0884645602447498</v>
      </c>
      <c r="F572" s="116">
        <v>205.15</v>
      </c>
      <c r="G572">
        <v>31304</v>
      </c>
      <c r="H572" s="116"/>
      <c r="I572" s="116"/>
      <c r="L572" s="170"/>
    </row>
    <row r="573" spans="1:12" x14ac:dyDescent="0.25">
      <c r="A573" s="170">
        <v>42849</v>
      </c>
      <c r="B573" s="116">
        <v>3.2492231001754401</v>
      </c>
      <c r="C573" s="116">
        <v>3.1486500234700401</v>
      </c>
      <c r="D573" s="116">
        <v>3.12806025973507</v>
      </c>
      <c r="E573" s="116">
        <v>3.2492231001754401</v>
      </c>
      <c r="F573" s="116">
        <v>198.8</v>
      </c>
      <c r="G573">
        <v>6476</v>
      </c>
      <c r="H573" s="116"/>
      <c r="I573" s="116"/>
      <c r="L573" s="170"/>
    </row>
    <row r="574" spans="1:12" x14ac:dyDescent="0.25">
      <c r="A574" s="170">
        <v>42850</v>
      </c>
      <c r="B574" s="116">
        <v>3.30544899345169</v>
      </c>
      <c r="C574" s="116">
        <v>3.30544899345169</v>
      </c>
      <c r="D574" s="116">
        <v>3.2468473582060202</v>
      </c>
      <c r="E574" s="116">
        <v>3.2808996597676998</v>
      </c>
      <c r="F574" s="116">
        <v>208.7</v>
      </c>
      <c r="G574">
        <v>37300</v>
      </c>
      <c r="H574" s="116"/>
      <c r="I574" s="116"/>
      <c r="L574" s="170"/>
    </row>
    <row r="575" spans="1:12" x14ac:dyDescent="0.25">
      <c r="A575" s="170">
        <v>42851</v>
      </c>
      <c r="B575" s="116">
        <v>3.4701671033314101</v>
      </c>
      <c r="C575" s="116">
        <v>3.4630398774231601</v>
      </c>
      <c r="D575" s="116">
        <v>3.4004786722284601</v>
      </c>
      <c r="E575" s="116">
        <v>3.4004786722284601</v>
      </c>
      <c r="F575" s="116">
        <v>218.65</v>
      </c>
      <c r="G575">
        <v>37834</v>
      </c>
      <c r="H575" s="116"/>
      <c r="I575" s="116"/>
      <c r="L575" s="170"/>
    </row>
    <row r="576" spans="1:12" x14ac:dyDescent="0.25">
      <c r="A576" s="170">
        <v>42852</v>
      </c>
      <c r="B576" s="116">
        <v>3.5319363945363098</v>
      </c>
      <c r="C576" s="116">
        <v>3.2904026276453702</v>
      </c>
      <c r="D576" s="116">
        <v>3.2904026276453702</v>
      </c>
      <c r="E576" s="116">
        <v>3.4844215551479301</v>
      </c>
      <c r="F576" s="116">
        <v>207.75</v>
      </c>
      <c r="G576">
        <v>16905</v>
      </c>
      <c r="H576" s="116"/>
      <c r="I576" s="116"/>
      <c r="L576" s="170"/>
    </row>
    <row r="577" spans="1:12" x14ac:dyDescent="0.25">
      <c r="A577" s="170">
        <v>42853</v>
      </c>
      <c r="B577" s="116">
        <v>3.3102004773905298</v>
      </c>
      <c r="C577" s="116">
        <v>3.2452635302264099</v>
      </c>
      <c r="D577" s="116">
        <v>3.1549853353884898</v>
      </c>
      <c r="E577" s="116">
        <v>3.2904026276453702</v>
      </c>
      <c r="F577" s="116">
        <v>204.9</v>
      </c>
      <c r="G577">
        <v>10828</v>
      </c>
      <c r="H577" s="116"/>
      <c r="I577" s="116"/>
      <c r="L577" s="170"/>
    </row>
    <row r="578" spans="1:12" x14ac:dyDescent="0.25">
      <c r="A578" s="170">
        <v>42857</v>
      </c>
      <c r="B578" s="116">
        <v>3.2642694659817599</v>
      </c>
      <c r="C578" s="116">
        <v>3.25476649810409</v>
      </c>
      <c r="D578" s="116">
        <v>3.0837130763059202</v>
      </c>
      <c r="E578" s="116">
        <v>3.2230899385118299</v>
      </c>
      <c r="F578" s="116">
        <v>205.5</v>
      </c>
      <c r="G578">
        <v>5488</v>
      </c>
      <c r="H578" s="116"/>
      <c r="I578" s="116"/>
      <c r="L578" s="170"/>
    </row>
    <row r="579" spans="1:12" x14ac:dyDescent="0.25">
      <c r="A579" s="170">
        <v>42858</v>
      </c>
      <c r="B579" s="116">
        <v>3.2642694659817599</v>
      </c>
      <c r="C579" s="116">
        <v>3.23576056234874</v>
      </c>
      <c r="D579" s="116">
        <v>3.1043028400408801</v>
      </c>
      <c r="E579" s="116">
        <v>3.18349423902152</v>
      </c>
      <c r="F579" s="116">
        <v>204.3</v>
      </c>
      <c r="G579">
        <v>6967</v>
      </c>
      <c r="H579" s="116"/>
      <c r="I579" s="116"/>
      <c r="L579" s="170"/>
    </row>
    <row r="580" spans="1:12" x14ac:dyDescent="0.25">
      <c r="A580" s="170">
        <v>42859</v>
      </c>
      <c r="B580" s="116">
        <v>3.2927783696147901</v>
      </c>
      <c r="C580" s="116">
        <v>3.1415227975617799</v>
      </c>
      <c r="D580" s="116">
        <v>3.11697346387778</v>
      </c>
      <c r="E580" s="116">
        <v>3.11697346387778</v>
      </c>
      <c r="F580" s="116">
        <v>198.35</v>
      </c>
      <c r="G580">
        <v>1027</v>
      </c>
      <c r="H580" s="116"/>
      <c r="I580" s="116"/>
      <c r="L580" s="170"/>
    </row>
    <row r="581" spans="1:12" x14ac:dyDescent="0.25">
      <c r="A581" s="170">
        <v>42860</v>
      </c>
      <c r="B581" s="116">
        <v>3.1676559592253901</v>
      </c>
      <c r="C581" s="116">
        <v>3.07341819443843</v>
      </c>
      <c r="D581" s="116">
        <v>3.0726262804486302</v>
      </c>
      <c r="E581" s="116">
        <v>3.1676559592253901</v>
      </c>
      <c r="F581" s="116">
        <v>194.05</v>
      </c>
      <c r="G581">
        <v>2311</v>
      </c>
      <c r="H581" s="116"/>
      <c r="I581" s="116"/>
      <c r="L581" s="170"/>
    </row>
    <row r="582" spans="1:12" x14ac:dyDescent="0.25">
      <c r="A582" s="170">
        <v>42863</v>
      </c>
      <c r="B582" s="116">
        <v>3.1929972068991899</v>
      </c>
      <c r="C582" s="116">
        <v>3.0884645602447498</v>
      </c>
      <c r="D582" s="116">
        <v>3.0805454203466902</v>
      </c>
      <c r="E582" s="116">
        <v>3.0884645602447498</v>
      </c>
      <c r="F582" s="116">
        <v>195</v>
      </c>
      <c r="G582">
        <v>1774</v>
      </c>
      <c r="H582" s="116"/>
      <c r="I582" s="116"/>
      <c r="L582" s="170"/>
    </row>
    <row r="583" spans="1:12" x14ac:dyDescent="0.25">
      <c r="A583" s="170">
        <v>42864</v>
      </c>
      <c r="B583" s="116">
        <v>3.22150611053222</v>
      </c>
      <c r="C583" s="116">
        <v>3.1906214649297699</v>
      </c>
      <c r="D583" s="116">
        <v>3.0884645602447498</v>
      </c>
      <c r="E583" s="116">
        <v>3.0884645602447498</v>
      </c>
      <c r="F583" s="116">
        <v>201.45</v>
      </c>
      <c r="G583">
        <v>5115</v>
      </c>
      <c r="H583" s="116"/>
      <c r="I583" s="116"/>
      <c r="L583" s="170"/>
    </row>
    <row r="584" spans="1:12" x14ac:dyDescent="0.25">
      <c r="A584" s="170">
        <v>42865</v>
      </c>
      <c r="B584" s="116">
        <v>3.3102004773905298</v>
      </c>
      <c r="C584" s="116">
        <v>3.1858699809909399</v>
      </c>
      <c r="D584" s="116">
        <v>3.0963837001428201</v>
      </c>
      <c r="E584" s="116">
        <v>3.3102004773905298</v>
      </c>
      <c r="F584" s="116">
        <v>201.15</v>
      </c>
      <c r="G584">
        <v>3903</v>
      </c>
      <c r="H584" s="116"/>
      <c r="I584" s="116"/>
      <c r="L584" s="170"/>
    </row>
    <row r="585" spans="1:12" x14ac:dyDescent="0.25">
      <c r="A585" s="170">
        <v>42866</v>
      </c>
      <c r="B585" s="116">
        <v>3.32524684319685</v>
      </c>
      <c r="C585" s="116">
        <v>3.2476392721958298</v>
      </c>
      <c r="D585" s="116">
        <v>3.1043028400408801</v>
      </c>
      <c r="E585" s="116">
        <v>3.32524684319685</v>
      </c>
      <c r="F585" s="116">
        <v>205.05</v>
      </c>
      <c r="G585">
        <v>7318</v>
      </c>
      <c r="H585" s="116"/>
      <c r="I585" s="116"/>
      <c r="L585" s="170"/>
    </row>
    <row r="586" spans="1:12" x14ac:dyDescent="0.25">
      <c r="A586" s="170">
        <v>42867</v>
      </c>
      <c r="B586" s="116">
        <v>3.2468473582060202</v>
      </c>
      <c r="C586" s="116">
        <v>3.19933251881764</v>
      </c>
      <c r="D586" s="116">
        <v>3.1676559592253901</v>
      </c>
      <c r="E586" s="116">
        <v>3.2072516587157098</v>
      </c>
      <c r="F586" s="116">
        <v>202</v>
      </c>
      <c r="G586">
        <v>1337</v>
      </c>
      <c r="H586" s="116"/>
      <c r="I586" s="116"/>
      <c r="L586" s="170"/>
    </row>
    <row r="587" spans="1:12" x14ac:dyDescent="0.25">
      <c r="A587" s="170">
        <v>42870</v>
      </c>
      <c r="B587" s="116">
        <v>3.3260387571866601</v>
      </c>
      <c r="C587" s="116">
        <v>3.1486500234700401</v>
      </c>
      <c r="D587" s="116">
        <v>3.0979675281224299</v>
      </c>
      <c r="E587" s="116">
        <v>3.2626856380021501</v>
      </c>
      <c r="F587" s="116">
        <v>198.8</v>
      </c>
      <c r="G587">
        <v>10035</v>
      </c>
      <c r="H587" s="116"/>
      <c r="I587" s="116"/>
      <c r="L587" s="170"/>
    </row>
    <row r="588" spans="1:12" x14ac:dyDescent="0.25">
      <c r="A588" s="170">
        <v>42871</v>
      </c>
      <c r="B588" s="116">
        <v>3.30544899345169</v>
      </c>
      <c r="C588" s="116">
        <v>3.28406731572692</v>
      </c>
      <c r="D588" s="116">
        <v>3.1518176794292598</v>
      </c>
      <c r="E588" s="116">
        <v>3.1518176794292598</v>
      </c>
      <c r="F588" s="116">
        <v>207.35</v>
      </c>
      <c r="G588">
        <v>5458</v>
      </c>
      <c r="H588" s="116"/>
      <c r="I588" s="116"/>
      <c r="L588" s="170"/>
    </row>
    <row r="589" spans="1:12" x14ac:dyDescent="0.25">
      <c r="A589" s="170">
        <v>42872</v>
      </c>
      <c r="B589" s="116">
        <v>3.35771531677891</v>
      </c>
      <c r="C589" s="116">
        <v>3.2777320038084699</v>
      </c>
      <c r="D589" s="116">
        <v>3.1676559592253901</v>
      </c>
      <c r="E589" s="116">
        <v>3.18349423902152</v>
      </c>
      <c r="F589" s="116">
        <v>206.95</v>
      </c>
      <c r="G589">
        <v>2533</v>
      </c>
      <c r="H589" s="116"/>
      <c r="I589" s="116"/>
      <c r="L589" s="170"/>
    </row>
    <row r="590" spans="1:12" x14ac:dyDescent="0.25">
      <c r="A590" s="170">
        <v>42873</v>
      </c>
      <c r="B590" s="116">
        <v>3.4408662857085801</v>
      </c>
      <c r="C590" s="116">
        <v>3.4408662857085801</v>
      </c>
      <c r="D590" s="116">
        <v>3.1676559592253901</v>
      </c>
      <c r="E590" s="116">
        <v>3.2468473582060202</v>
      </c>
      <c r="F590" s="116">
        <v>217.25</v>
      </c>
      <c r="G590">
        <v>14176</v>
      </c>
      <c r="H590" s="116"/>
      <c r="I590" s="116"/>
      <c r="L590" s="170"/>
    </row>
    <row r="591" spans="1:12" x14ac:dyDescent="0.25">
      <c r="A591" s="170">
        <v>42874</v>
      </c>
      <c r="B591" s="116">
        <v>3.61271162149656</v>
      </c>
      <c r="C591" s="116">
        <v>3.61271162149656</v>
      </c>
      <c r="D591" s="116">
        <v>3.61271162149656</v>
      </c>
      <c r="E591" s="116">
        <v>3.61271162149656</v>
      </c>
      <c r="F591" s="116">
        <v>228.1</v>
      </c>
      <c r="G591">
        <v>4169</v>
      </c>
      <c r="H591" s="116"/>
      <c r="I591" s="116"/>
      <c r="L591" s="170"/>
    </row>
    <row r="592" spans="1:12" x14ac:dyDescent="0.25">
      <c r="A592" s="170">
        <v>42877</v>
      </c>
      <c r="B592" s="116">
        <v>3.7932680111724002</v>
      </c>
      <c r="C592" s="116">
        <v>3.7924760971825999</v>
      </c>
      <c r="D592" s="116">
        <v>3.6515154069970701</v>
      </c>
      <c r="E592" s="116">
        <v>3.7837650432947298</v>
      </c>
      <c r="F592" s="116">
        <v>239.45</v>
      </c>
      <c r="G592">
        <v>24819</v>
      </c>
      <c r="H592" s="116"/>
      <c r="I592" s="116"/>
      <c r="L592" s="170"/>
    </row>
    <row r="593" spans="1:12" x14ac:dyDescent="0.25">
      <c r="A593" s="170">
        <v>42878</v>
      </c>
      <c r="B593" s="116">
        <v>3.9112631956535502</v>
      </c>
      <c r="C593" s="116">
        <v>3.6673536867932</v>
      </c>
      <c r="D593" s="116">
        <v>3.6032086536188799</v>
      </c>
      <c r="E593" s="116">
        <v>3.80118715107047</v>
      </c>
      <c r="F593" s="116">
        <v>231.55</v>
      </c>
      <c r="G593">
        <v>14093</v>
      </c>
      <c r="H593" s="116"/>
      <c r="I593" s="116"/>
      <c r="L593" s="170"/>
    </row>
    <row r="594" spans="1:12" x14ac:dyDescent="0.25">
      <c r="A594" s="170">
        <v>42879</v>
      </c>
      <c r="B594" s="116">
        <v>3.8502858184384601</v>
      </c>
      <c r="C594" s="116">
        <v>3.6911111064873898</v>
      </c>
      <c r="D594" s="116">
        <v>3.6428043531092</v>
      </c>
      <c r="E594" s="116">
        <v>3.7219957520898301</v>
      </c>
      <c r="F594" s="116">
        <v>233.05</v>
      </c>
      <c r="G594">
        <v>9501</v>
      </c>
      <c r="H594" s="116"/>
      <c r="I594" s="116"/>
      <c r="L594" s="170"/>
    </row>
    <row r="595" spans="1:12" x14ac:dyDescent="0.25">
      <c r="A595" s="170">
        <v>42880</v>
      </c>
      <c r="B595" s="116">
        <v>3.7219957520898301</v>
      </c>
      <c r="C595" s="116">
        <v>3.6356771272009398</v>
      </c>
      <c r="D595" s="116">
        <v>3.6111277935169399</v>
      </c>
      <c r="E595" s="116">
        <v>3.7219957520898301</v>
      </c>
      <c r="F595" s="116">
        <v>229.55</v>
      </c>
      <c r="G595">
        <v>7685</v>
      </c>
      <c r="H595" s="116"/>
      <c r="I595" s="116"/>
      <c r="L595" s="170"/>
    </row>
    <row r="596" spans="1:12" x14ac:dyDescent="0.25">
      <c r="A596" s="170">
        <v>42881</v>
      </c>
      <c r="B596" s="116">
        <v>3.8170254308665901</v>
      </c>
      <c r="C596" s="116">
        <v>3.8170254308665901</v>
      </c>
      <c r="D596" s="116">
        <v>3.7219957520898301</v>
      </c>
      <c r="E596" s="116">
        <v>3.7853488712743402</v>
      </c>
      <c r="F596" s="116">
        <v>241</v>
      </c>
      <c r="G596">
        <v>15344</v>
      </c>
      <c r="H596" s="116"/>
      <c r="I596" s="116"/>
      <c r="L596" s="170"/>
    </row>
    <row r="597" spans="1:12" x14ac:dyDescent="0.25">
      <c r="A597" s="170">
        <v>42884</v>
      </c>
      <c r="B597" s="116">
        <v>4.00787670240992</v>
      </c>
      <c r="C597" s="116">
        <v>4.0070847884201202</v>
      </c>
      <c r="D597" s="116">
        <v>3.9199742495414198</v>
      </c>
      <c r="E597" s="116">
        <v>3.9437316692356101</v>
      </c>
      <c r="F597" s="116">
        <v>253</v>
      </c>
      <c r="G597">
        <v>14599</v>
      </c>
      <c r="H597" s="116"/>
      <c r="I597" s="116"/>
      <c r="L597" s="170"/>
    </row>
    <row r="598" spans="1:12" x14ac:dyDescent="0.25">
      <c r="A598" s="170">
        <v>42885</v>
      </c>
      <c r="B598" s="116">
        <v>3.95956994903174</v>
      </c>
      <c r="C598" s="116">
        <v>3.80831437697872</v>
      </c>
      <c r="D598" s="116">
        <v>3.8067305489991101</v>
      </c>
      <c r="E598" s="116">
        <v>3.95956994903174</v>
      </c>
      <c r="F598" s="116">
        <v>240.45</v>
      </c>
      <c r="G598">
        <v>8061</v>
      </c>
      <c r="H598" s="116"/>
      <c r="I598" s="116"/>
      <c r="L598" s="170"/>
    </row>
    <row r="599" spans="1:12" x14ac:dyDescent="0.25">
      <c r="A599" s="170">
        <v>42886</v>
      </c>
      <c r="B599" s="116">
        <v>3.93818827130697</v>
      </c>
      <c r="C599" s="116">
        <v>3.8391990225811701</v>
      </c>
      <c r="D599" s="116">
        <v>3.6182550194252001</v>
      </c>
      <c r="E599" s="116">
        <v>3.6182550194252001</v>
      </c>
      <c r="F599" s="116">
        <v>242.4</v>
      </c>
      <c r="G599">
        <v>10803</v>
      </c>
      <c r="H599" s="116"/>
      <c r="I599" s="116"/>
      <c r="L599" s="170"/>
    </row>
    <row r="600" spans="1:12" x14ac:dyDescent="0.25">
      <c r="A600" s="170">
        <v>42887</v>
      </c>
      <c r="B600" s="116">
        <v>4.0308422081143096</v>
      </c>
      <c r="C600" s="116">
        <v>4.0308422081143096</v>
      </c>
      <c r="D600" s="116">
        <v>3.73862594587577</v>
      </c>
      <c r="E600" s="116">
        <v>3.73862594587577</v>
      </c>
      <c r="F600" s="116">
        <v>254.5</v>
      </c>
      <c r="G600">
        <v>15170</v>
      </c>
      <c r="H600" s="116"/>
      <c r="I600" s="116"/>
      <c r="L600" s="170"/>
    </row>
    <row r="601" spans="1:12" x14ac:dyDescent="0.25">
      <c r="A601" s="170">
        <v>42888</v>
      </c>
      <c r="B601" s="116">
        <v>4.2288207055658997</v>
      </c>
      <c r="C601" s="116">
        <v>4.2042713718818998</v>
      </c>
      <c r="D601" s="116">
        <v>4.0070847884201202</v>
      </c>
      <c r="E601" s="116">
        <v>4.2288207055658997</v>
      </c>
      <c r="F601" s="116">
        <v>265.45</v>
      </c>
      <c r="G601">
        <v>10261</v>
      </c>
      <c r="H601" s="116"/>
      <c r="I601" s="116"/>
      <c r="L601" s="170"/>
    </row>
    <row r="602" spans="1:12" x14ac:dyDescent="0.25">
      <c r="A602" s="170">
        <v>42891</v>
      </c>
      <c r="B602" s="116">
        <v>4.35552694393491</v>
      </c>
      <c r="C602" s="116">
        <v>4.1868492641061597</v>
      </c>
      <c r="D602" s="116">
        <v>4.12587188689107</v>
      </c>
      <c r="E602" s="116">
        <v>4.3547350299451004</v>
      </c>
      <c r="F602" s="116">
        <v>264.35000000000002</v>
      </c>
      <c r="G602">
        <v>5440</v>
      </c>
      <c r="H602" s="116"/>
      <c r="I602" s="116"/>
      <c r="L602" s="170"/>
    </row>
    <row r="603" spans="1:12" x14ac:dyDescent="0.25">
      <c r="A603" s="170">
        <v>42892</v>
      </c>
      <c r="B603" s="116">
        <v>4.35552694393491</v>
      </c>
      <c r="C603" s="116">
        <v>4.2185258236984096</v>
      </c>
      <c r="D603" s="116">
        <v>4.1179527469930104</v>
      </c>
      <c r="E603" s="116">
        <v>4.3476078040368504</v>
      </c>
      <c r="F603" s="116">
        <v>266.35000000000002</v>
      </c>
      <c r="G603">
        <v>5511</v>
      </c>
      <c r="H603" s="116"/>
      <c r="I603" s="116"/>
      <c r="L603" s="170"/>
    </row>
    <row r="604" spans="1:12" x14ac:dyDescent="0.25">
      <c r="A604" s="170">
        <v>42893</v>
      </c>
      <c r="B604" s="116">
        <v>4.3072201905567198</v>
      </c>
      <c r="C604" s="116">
        <v>4.1440859086566197</v>
      </c>
      <c r="D604" s="116">
        <v>4.0094605303895401</v>
      </c>
      <c r="E604" s="116">
        <v>4.1813058661775102</v>
      </c>
      <c r="F604" s="116">
        <v>261.64999999999998</v>
      </c>
      <c r="G604">
        <v>8047</v>
      </c>
      <c r="H604" s="116"/>
      <c r="I604" s="116"/>
      <c r="L604" s="170"/>
    </row>
    <row r="605" spans="1:12" x14ac:dyDescent="0.25">
      <c r="A605" s="170">
        <v>42894</v>
      </c>
      <c r="B605" s="116">
        <v>4.2446589853620198</v>
      </c>
      <c r="C605" s="116">
        <v>4.23040453354551</v>
      </c>
      <c r="D605" s="116">
        <v>3.94531549721522</v>
      </c>
      <c r="E605" s="116">
        <v>4.1512131345648697</v>
      </c>
      <c r="F605" s="116">
        <v>267.10000000000002</v>
      </c>
      <c r="G605">
        <v>4928</v>
      </c>
      <c r="H605" s="116"/>
      <c r="I605" s="116"/>
      <c r="L605" s="170"/>
    </row>
    <row r="606" spans="1:12" x14ac:dyDescent="0.25">
      <c r="A606" s="170">
        <v>42895</v>
      </c>
      <c r="B606" s="116">
        <v>4.4149204931703903</v>
      </c>
      <c r="C606" s="116">
        <v>4.1971441459736401</v>
      </c>
      <c r="D606" s="116">
        <v>4.1337910267891296</v>
      </c>
      <c r="E606" s="116">
        <v>4.4149204931703903</v>
      </c>
      <c r="F606" s="116">
        <v>265</v>
      </c>
      <c r="G606">
        <v>3458</v>
      </c>
      <c r="H606" s="116"/>
      <c r="I606" s="116"/>
      <c r="L606" s="170"/>
    </row>
    <row r="607" spans="1:12" x14ac:dyDescent="0.25">
      <c r="A607" s="170">
        <v>42898</v>
      </c>
      <c r="B607" s="116">
        <v>4.3238503843426601</v>
      </c>
      <c r="C607" s="116">
        <v>4.2098147698105404</v>
      </c>
      <c r="D607" s="116">
        <v>4.2050632858717103</v>
      </c>
      <c r="E607" s="116">
        <v>4.2604972651581496</v>
      </c>
      <c r="F607" s="116">
        <v>265.8</v>
      </c>
      <c r="G607">
        <v>5484</v>
      </c>
      <c r="H607" s="116"/>
      <c r="I607" s="116"/>
      <c r="L607" s="170"/>
    </row>
    <row r="608" spans="1:12" x14ac:dyDescent="0.25">
      <c r="A608" s="170">
        <v>42899</v>
      </c>
      <c r="B608" s="116">
        <v>4.35552694393491</v>
      </c>
      <c r="C608" s="116">
        <v>4.2296126195556996</v>
      </c>
      <c r="D608" s="116">
        <v>4.1377505967381696</v>
      </c>
      <c r="E608" s="116">
        <v>4.2288207055658997</v>
      </c>
      <c r="F608" s="116">
        <v>267.05</v>
      </c>
      <c r="G608">
        <v>6862</v>
      </c>
      <c r="H608" s="116"/>
      <c r="I608" s="116"/>
      <c r="L608" s="170"/>
    </row>
    <row r="609" spans="1:18" x14ac:dyDescent="0.25">
      <c r="A609" s="170">
        <v>42900</v>
      </c>
      <c r="B609" s="116">
        <v>4.3531512019654901</v>
      </c>
      <c r="C609" s="116">
        <v>4.2581215231887297</v>
      </c>
      <c r="D609" s="116">
        <v>4.1337910267891296</v>
      </c>
      <c r="E609" s="116">
        <v>4.3531512019654901</v>
      </c>
      <c r="F609" s="116">
        <v>268.85000000000002</v>
      </c>
      <c r="G609">
        <v>2820</v>
      </c>
      <c r="H609" s="116"/>
      <c r="I609" s="116"/>
      <c r="L609" s="170"/>
    </row>
    <row r="610" spans="1:18" x14ac:dyDescent="0.25">
      <c r="A610" s="170">
        <v>42901</v>
      </c>
      <c r="B610" s="116">
        <v>4.28187894288292</v>
      </c>
      <c r="C610" s="116">
        <v>4.2034794578920902</v>
      </c>
      <c r="D610" s="116">
        <v>4.1496293065852603</v>
      </c>
      <c r="E610" s="116">
        <v>4.1496293065852603</v>
      </c>
      <c r="F610" s="116">
        <v>265.39999999999998</v>
      </c>
      <c r="G610">
        <v>1322</v>
      </c>
      <c r="H610" s="116"/>
      <c r="I610" s="116"/>
      <c r="L610" s="170"/>
    </row>
    <row r="611" spans="1:18" x14ac:dyDescent="0.25">
      <c r="A611" s="170">
        <v>42902</v>
      </c>
      <c r="B611" s="116">
        <v>4.2755436309644699</v>
      </c>
      <c r="C611" s="116">
        <v>4.16625950037119</v>
      </c>
      <c r="D611" s="116">
        <v>4.1654675863813901</v>
      </c>
      <c r="E611" s="116">
        <v>4.2755436309644699</v>
      </c>
      <c r="F611" s="116">
        <v>263.05</v>
      </c>
      <c r="G611">
        <v>3591</v>
      </c>
      <c r="H611" s="116"/>
      <c r="I611" s="116"/>
      <c r="L611" s="170"/>
    </row>
    <row r="612" spans="1:18" x14ac:dyDescent="0.25">
      <c r="A612" s="170">
        <v>42905</v>
      </c>
      <c r="B612" s="116">
        <v>4.28425468485234</v>
      </c>
      <c r="C612" s="116">
        <v>4.2256530496066702</v>
      </c>
      <c r="D612" s="116">
        <v>4.0553915417983104</v>
      </c>
      <c r="E612" s="116">
        <v>4.1179527469930104</v>
      </c>
      <c r="F612" s="116">
        <v>266.8</v>
      </c>
      <c r="G612">
        <v>1985</v>
      </c>
      <c r="H612" s="116"/>
      <c r="I612" s="116"/>
      <c r="L612" s="170"/>
    </row>
    <row r="613" spans="1:18" x14ac:dyDescent="0.25">
      <c r="A613" s="170">
        <v>42906</v>
      </c>
      <c r="B613" s="116">
        <v>4.2129824257697699</v>
      </c>
      <c r="C613" s="116">
        <v>4.1179527469930104</v>
      </c>
      <c r="D613" s="116">
        <v>4.1179527469930104</v>
      </c>
      <c r="E613" s="116">
        <v>4.1813058661775102</v>
      </c>
      <c r="F613" s="116">
        <v>260</v>
      </c>
      <c r="G613">
        <v>4518</v>
      </c>
      <c r="H613" s="116"/>
      <c r="I613" s="116"/>
      <c r="L613" s="170"/>
    </row>
    <row r="614" spans="1:18" x14ac:dyDescent="0.25">
      <c r="A614" s="170">
        <v>42907</v>
      </c>
      <c r="B614" s="116">
        <v>4.3238503843426601</v>
      </c>
      <c r="C614" s="116">
        <v>4.3238503843426601</v>
      </c>
      <c r="D614" s="116">
        <v>4.1179527469930104</v>
      </c>
      <c r="E614" s="116">
        <v>4.1179527469930104</v>
      </c>
      <c r="F614" s="116">
        <v>273</v>
      </c>
      <c r="G614">
        <v>8014</v>
      </c>
      <c r="H614" s="116"/>
      <c r="I614" s="116"/>
      <c r="L614" s="170"/>
    </row>
    <row r="615" spans="1:18" x14ac:dyDescent="0.25">
      <c r="A615" s="170">
        <v>42908</v>
      </c>
      <c r="B615" s="116">
        <v>4.5400429035597902</v>
      </c>
      <c r="C615" s="116">
        <v>4.5400429035597902</v>
      </c>
      <c r="D615" s="116">
        <v>4.35552694393491</v>
      </c>
      <c r="E615" s="116">
        <v>4.35552694393491</v>
      </c>
      <c r="F615" s="116">
        <v>286.64999999999998</v>
      </c>
      <c r="G615">
        <v>6937</v>
      </c>
      <c r="H615" s="116"/>
      <c r="I615" s="116"/>
      <c r="L615" s="170"/>
    </row>
    <row r="616" spans="1:18" x14ac:dyDescent="0.25">
      <c r="A616" s="170">
        <v>42909</v>
      </c>
      <c r="B616" s="116">
        <v>4.7499001108584702</v>
      </c>
      <c r="C616" s="116">
        <v>4.4505566227116704</v>
      </c>
      <c r="D616" s="116">
        <v>4.3784924496392899</v>
      </c>
      <c r="E616" s="116">
        <v>4.7499001108584702</v>
      </c>
      <c r="F616" s="116">
        <v>281</v>
      </c>
      <c r="G616">
        <v>8976</v>
      </c>
      <c r="H616" s="116"/>
      <c r="I616" s="116"/>
      <c r="L616" s="170"/>
    </row>
    <row r="617" spans="1:18" x14ac:dyDescent="0.25">
      <c r="A617" s="170">
        <v>42913</v>
      </c>
      <c r="B617" s="116">
        <v>4.6730844538472596</v>
      </c>
      <c r="C617" s="116">
        <v>4.6730844538472596</v>
      </c>
      <c r="D617" s="116">
        <v>4.4323426009461304</v>
      </c>
      <c r="E617" s="116">
        <v>4.6532866041021004</v>
      </c>
      <c r="F617" s="116">
        <v>295.05</v>
      </c>
      <c r="G617">
        <v>14416</v>
      </c>
      <c r="H617" s="116"/>
      <c r="I617" s="116"/>
      <c r="L617" s="170"/>
    </row>
    <row r="618" spans="1:18" x14ac:dyDescent="0.25">
      <c r="A618" s="170">
        <v>42914</v>
      </c>
      <c r="B618" s="116">
        <v>4.9066990808401298</v>
      </c>
      <c r="C618" s="116">
        <v>4.8964041989726503</v>
      </c>
      <c r="D618" s="116">
        <v>4.7514839388380796</v>
      </c>
      <c r="E618" s="116">
        <v>4.7514839388380796</v>
      </c>
      <c r="F618" s="116">
        <v>309.14999999999998</v>
      </c>
      <c r="G618">
        <v>28837</v>
      </c>
      <c r="H618" s="116"/>
      <c r="I618" s="116"/>
      <c r="L618" s="170"/>
    </row>
    <row r="619" spans="1:18" x14ac:dyDescent="0.25">
      <c r="A619" s="170">
        <v>42915</v>
      </c>
      <c r="B619" s="116">
        <v>5.1411056218228097</v>
      </c>
      <c r="C619" s="116">
        <v>4.7000095295006696</v>
      </c>
      <c r="D619" s="116">
        <v>4.6517027761224803</v>
      </c>
      <c r="E619" s="116">
        <v>5.06033039486256</v>
      </c>
      <c r="F619" s="116">
        <v>296.75</v>
      </c>
      <c r="G619">
        <v>37089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42916</v>
      </c>
      <c r="B620" s="116">
        <v>4.8544327575129103</v>
      </c>
      <c r="C620" s="116">
        <v>4.6105232486525596</v>
      </c>
      <c r="D620" s="116">
        <v>4.4656029885179898</v>
      </c>
      <c r="E620" s="116">
        <v>4.67229253985745</v>
      </c>
      <c r="F620" s="116">
        <v>291.10000000000002</v>
      </c>
      <c r="G620">
        <v>12745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42919</v>
      </c>
      <c r="B621" s="116">
        <v>4.8409702196862003</v>
      </c>
      <c r="C621" s="116">
        <v>4.8409702196862003</v>
      </c>
      <c r="D621" s="116">
        <v>4.69446613157203</v>
      </c>
      <c r="E621" s="116">
        <v>4.69446613157203</v>
      </c>
      <c r="F621" s="116">
        <v>305.64999999999998</v>
      </c>
      <c r="G621">
        <v>10108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42920</v>
      </c>
      <c r="B622" s="116">
        <v>5.08250398657714</v>
      </c>
      <c r="C622" s="116">
        <v>5.0167751254232096</v>
      </c>
      <c r="D622" s="116">
        <v>4.9732198559838601</v>
      </c>
      <c r="E622" s="116">
        <v>5.0207346953722398</v>
      </c>
      <c r="F622" s="116">
        <v>316.75</v>
      </c>
      <c r="G622">
        <v>27913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42921</v>
      </c>
      <c r="B623" s="116">
        <v>5.0666657067810101</v>
      </c>
      <c r="C623" s="116">
        <v>4.7665303046444096</v>
      </c>
      <c r="D623" s="116">
        <v>4.7665303046444096</v>
      </c>
      <c r="E623" s="116">
        <v>5.0666657067810101</v>
      </c>
      <c r="F623" s="116">
        <v>300.95</v>
      </c>
      <c r="G623">
        <v>12154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42922</v>
      </c>
      <c r="B624" s="116">
        <v>5.0041045015863101</v>
      </c>
      <c r="C624" s="116">
        <v>4.6905065616229997</v>
      </c>
      <c r="D624" s="116">
        <v>4.5297480216923098</v>
      </c>
      <c r="E624" s="116">
        <v>5.0041045015863101</v>
      </c>
      <c r="F624" s="116">
        <v>296.14999999999998</v>
      </c>
      <c r="G624">
        <v>41110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42923</v>
      </c>
      <c r="B625" s="116">
        <v>4.7039690994496999</v>
      </c>
      <c r="C625" s="116">
        <v>4.5772628610806896</v>
      </c>
      <c r="D625" s="116">
        <v>4.4584757626097398</v>
      </c>
      <c r="E625" s="116">
        <v>4.6905065616229997</v>
      </c>
      <c r="F625" s="116">
        <v>289</v>
      </c>
      <c r="G625">
        <v>25083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42926</v>
      </c>
      <c r="B626" s="116">
        <v>4.5614245812845597</v>
      </c>
      <c r="C626" s="116">
        <v>4.3483997180266503</v>
      </c>
      <c r="D626" s="116">
        <v>4.3483997180266503</v>
      </c>
      <c r="E626" s="116">
        <v>4.35552694393491</v>
      </c>
      <c r="F626" s="116">
        <v>274.55</v>
      </c>
      <c r="G626">
        <v>7419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42927</v>
      </c>
      <c r="B627" s="116">
        <v>4.1314152848197203</v>
      </c>
      <c r="C627" s="116">
        <v>4.1314152848197203</v>
      </c>
      <c r="D627" s="116">
        <v>4.1314152848197203</v>
      </c>
      <c r="E627" s="116">
        <v>4.1314152848197203</v>
      </c>
      <c r="F627" s="116">
        <v>260.85000000000002</v>
      </c>
      <c r="G627">
        <v>8444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42928</v>
      </c>
      <c r="B628" s="116">
        <v>4.2747517169746603</v>
      </c>
      <c r="C628" s="116">
        <v>4.2113985977901596</v>
      </c>
      <c r="D628" s="116">
        <v>3.9445235832254202</v>
      </c>
      <c r="E628" s="116">
        <v>3.9445235832254202</v>
      </c>
      <c r="F628" s="116">
        <v>265.89999999999998</v>
      </c>
      <c r="G628">
        <v>14385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42929</v>
      </c>
      <c r="B629" s="116">
        <v>4.1971441459736401</v>
      </c>
      <c r="C629" s="116">
        <v>4.0379694340225596</v>
      </c>
      <c r="D629" s="116">
        <v>4.0070847884201202</v>
      </c>
      <c r="E629" s="116">
        <v>4.0387613480123701</v>
      </c>
      <c r="F629" s="116">
        <v>254.95</v>
      </c>
      <c r="G629">
        <v>5680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42930</v>
      </c>
      <c r="B630" s="116">
        <v>4.1179527469930104</v>
      </c>
      <c r="C630" s="116">
        <v>4.0284664661448897</v>
      </c>
      <c r="D630" s="116">
        <v>3.8692917541938101</v>
      </c>
      <c r="E630" s="116">
        <v>4.1179527469930104</v>
      </c>
      <c r="F630" s="116">
        <v>254.35</v>
      </c>
      <c r="G630">
        <v>12783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42933</v>
      </c>
      <c r="B631" s="116">
        <v>4.1013225532070701</v>
      </c>
      <c r="C631" s="116">
        <v>3.8328637106627199</v>
      </c>
      <c r="D631" s="116">
        <v>3.8273203127340798</v>
      </c>
      <c r="E631" s="116">
        <v>4.0989468112376501</v>
      </c>
      <c r="F631" s="116">
        <v>242</v>
      </c>
      <c r="G631">
        <v>4181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42934</v>
      </c>
      <c r="B632" s="116">
        <v>4.0245068961958603</v>
      </c>
      <c r="C632" s="116">
        <v>3.8772108940918799</v>
      </c>
      <c r="D632" s="116">
        <v>3.6586426329053299</v>
      </c>
      <c r="E632" s="116">
        <v>3.8803785500511001</v>
      </c>
      <c r="F632" s="116">
        <v>244.8</v>
      </c>
      <c r="G632">
        <v>14232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42935</v>
      </c>
      <c r="B633" s="116">
        <v>4.0229230682162402</v>
      </c>
      <c r="C633" s="116">
        <v>4.0062928744303097</v>
      </c>
      <c r="D633" s="116">
        <v>3.95956994903174</v>
      </c>
      <c r="E633" s="116">
        <v>3.95956994903174</v>
      </c>
      <c r="F633" s="116">
        <v>252.95</v>
      </c>
      <c r="G633">
        <v>2128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42936</v>
      </c>
      <c r="B634" s="116">
        <v>4.0545996278084999</v>
      </c>
      <c r="C634" s="116">
        <v>3.9199742495414198</v>
      </c>
      <c r="D634" s="116">
        <v>3.8843381200001299</v>
      </c>
      <c r="E634" s="116">
        <v>4.0229230682162402</v>
      </c>
      <c r="F634" s="116">
        <v>247.5</v>
      </c>
      <c r="G634">
        <v>1015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42937</v>
      </c>
      <c r="B635" s="116">
        <v>4.0181715842774102</v>
      </c>
      <c r="C635" s="116">
        <v>3.9587780350419299</v>
      </c>
      <c r="D635" s="116">
        <v>3.9437316692356101</v>
      </c>
      <c r="E635" s="116">
        <v>4.0181715842774102</v>
      </c>
      <c r="F635" s="116">
        <v>249.95</v>
      </c>
      <c r="G635">
        <v>1632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42940</v>
      </c>
      <c r="B636" s="116">
        <v>4.1559646185037096</v>
      </c>
      <c r="C636" s="116">
        <v>4.0989468112376501</v>
      </c>
      <c r="D636" s="116">
        <v>3.95956994903174</v>
      </c>
      <c r="E636" s="116">
        <v>3.95956994903174</v>
      </c>
      <c r="F636" s="116">
        <v>258.8</v>
      </c>
      <c r="G636">
        <v>9795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42941</v>
      </c>
      <c r="B637" s="116">
        <v>4.3032606206076904</v>
      </c>
      <c r="C637" s="116">
        <v>4.0395532620021797</v>
      </c>
      <c r="D637" s="116">
        <v>3.9389801852967699</v>
      </c>
      <c r="E637" s="116">
        <v>4.1337910267891296</v>
      </c>
      <c r="F637" s="116">
        <v>255.05</v>
      </c>
      <c r="G637">
        <v>6487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42942</v>
      </c>
      <c r="B638" s="116">
        <v>4.1171608330031999</v>
      </c>
      <c r="C638" s="116">
        <v>4.1171608330031999</v>
      </c>
      <c r="D638" s="116">
        <v>3.9912465086239899</v>
      </c>
      <c r="E638" s="116">
        <v>3.9912465086239899</v>
      </c>
      <c r="F638" s="116">
        <v>259.95</v>
      </c>
      <c r="G638">
        <v>603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42943</v>
      </c>
      <c r="B639" s="116">
        <v>4.11478509103378</v>
      </c>
      <c r="C639" s="116">
        <v>3.9643214329705798</v>
      </c>
      <c r="D639" s="116">
        <v>3.95956994903174</v>
      </c>
      <c r="E639" s="116">
        <v>4.1100336070949401</v>
      </c>
      <c r="F639" s="116">
        <v>250.3</v>
      </c>
      <c r="G639">
        <v>3240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42944</v>
      </c>
      <c r="B640" s="116">
        <v>3.95956994903174</v>
      </c>
      <c r="C640" s="116">
        <v>3.9120551096433598</v>
      </c>
      <c r="D640" s="116">
        <v>3.7805973873354999</v>
      </c>
      <c r="E640" s="116">
        <v>3.8803785500511001</v>
      </c>
      <c r="F640" s="116">
        <v>247</v>
      </c>
      <c r="G640">
        <v>8270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42947</v>
      </c>
      <c r="B641" s="116">
        <v>3.9120551096433598</v>
      </c>
      <c r="C641" s="116">
        <v>3.82256882879524</v>
      </c>
      <c r="D641" s="116">
        <v>3.7695105914782099</v>
      </c>
      <c r="E641" s="116">
        <v>3.9120551096433598</v>
      </c>
      <c r="F641" s="116">
        <v>241.35</v>
      </c>
      <c r="G641">
        <v>3105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42948</v>
      </c>
      <c r="B642" s="116">
        <v>3.8463262484894298</v>
      </c>
      <c r="C642" s="116">
        <v>3.6586426329053299</v>
      </c>
      <c r="D642" s="116">
        <v>3.63171755725191</v>
      </c>
      <c r="E642" s="116">
        <v>3.8463262484894298</v>
      </c>
      <c r="F642" s="116">
        <v>231</v>
      </c>
      <c r="G642">
        <v>7311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42949</v>
      </c>
      <c r="B643" s="116">
        <v>3.7219957520898301</v>
      </c>
      <c r="C643" s="116">
        <v>3.6325094712417201</v>
      </c>
      <c r="D643" s="116">
        <v>3.4907568670663802</v>
      </c>
      <c r="E643" s="116">
        <v>3.4907568670663802</v>
      </c>
      <c r="F643" s="116">
        <v>229.35</v>
      </c>
      <c r="G643">
        <v>3327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42950</v>
      </c>
      <c r="B644" s="116">
        <v>3.6325094712417201</v>
      </c>
      <c r="C644" s="116">
        <v>3.4852134691377401</v>
      </c>
      <c r="D644" s="116">
        <v>3.4511611675760601</v>
      </c>
      <c r="E644" s="116">
        <v>3.6325094712417201</v>
      </c>
      <c r="F644" s="116">
        <v>220.05</v>
      </c>
      <c r="G644">
        <v>15432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42951</v>
      </c>
      <c r="B645" s="116">
        <v>3.6594345468951301</v>
      </c>
      <c r="C645" s="116">
        <v>3.54935850231205</v>
      </c>
      <c r="D645" s="116">
        <v>3.3482123489012401</v>
      </c>
      <c r="E645" s="116">
        <v>3.6594345468951301</v>
      </c>
      <c r="F645" s="116">
        <v>224.1</v>
      </c>
      <c r="G645">
        <v>9404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42954</v>
      </c>
      <c r="B646" s="116">
        <v>3.8487019904588502</v>
      </c>
      <c r="C646" s="116">
        <v>3.7742620754170502</v>
      </c>
      <c r="D646" s="116">
        <v>3.5952895137208198</v>
      </c>
      <c r="E646" s="116">
        <v>3.6428043531092</v>
      </c>
      <c r="F646" s="116">
        <v>238.3</v>
      </c>
      <c r="G646">
        <v>7379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42955</v>
      </c>
      <c r="B647" s="116">
        <v>3.893049173888</v>
      </c>
      <c r="C647" s="116">
        <v>3.73466637592673</v>
      </c>
      <c r="D647" s="116">
        <v>3.5636129541285602</v>
      </c>
      <c r="E647" s="116">
        <v>3.7219957520898301</v>
      </c>
      <c r="F647" s="116">
        <v>235.8</v>
      </c>
      <c r="G647">
        <v>4766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42956</v>
      </c>
      <c r="B648" s="116">
        <v>3.7061574722937101</v>
      </c>
      <c r="C648" s="116">
        <v>3.53510405049553</v>
      </c>
      <c r="D648" s="116">
        <v>3.5065951468625101</v>
      </c>
      <c r="E648" s="116">
        <v>3.5992490836698501</v>
      </c>
      <c r="F648" s="116">
        <v>223.2</v>
      </c>
      <c r="G648">
        <v>1991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42957</v>
      </c>
      <c r="B649" s="116">
        <v>3.5002598349440599</v>
      </c>
      <c r="C649" s="116">
        <v>3.39414336031001</v>
      </c>
      <c r="D649" s="116">
        <v>3.19933251881764</v>
      </c>
      <c r="E649" s="116">
        <v>3.5002598349440599</v>
      </c>
      <c r="F649" s="116">
        <v>214.3</v>
      </c>
      <c r="G649">
        <v>6852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42958</v>
      </c>
      <c r="B650" s="116">
        <v>3.6903191924975798</v>
      </c>
      <c r="C650" s="116">
        <v>3.4804619851988998</v>
      </c>
      <c r="D650" s="116">
        <v>3.1716155291744199</v>
      </c>
      <c r="E650" s="116">
        <v>3.2579341540633102</v>
      </c>
      <c r="F650" s="116">
        <v>219.75</v>
      </c>
      <c r="G650">
        <v>3389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42961</v>
      </c>
      <c r="B651" s="116">
        <v>3.4844215551479301</v>
      </c>
      <c r="C651" s="116">
        <v>3.3458366069318202</v>
      </c>
      <c r="D651" s="116">
        <v>3.3260387571866601</v>
      </c>
      <c r="E651" s="116">
        <v>3.4844215551479301</v>
      </c>
      <c r="F651" s="116">
        <v>211.25</v>
      </c>
      <c r="G651">
        <v>1237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42963</v>
      </c>
      <c r="B652" s="116">
        <v>3.4844215551479301</v>
      </c>
      <c r="C652" s="116">
        <v>3.4844215551479301</v>
      </c>
      <c r="D652" s="116">
        <v>3.42106843596342</v>
      </c>
      <c r="E652" s="116">
        <v>3.4844215551479301</v>
      </c>
      <c r="F652" s="116">
        <v>220</v>
      </c>
      <c r="G652">
        <v>3941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42964</v>
      </c>
      <c r="B653" s="116">
        <v>3.5636129541285602</v>
      </c>
      <c r="C653" s="116">
        <v>3.51689002872999</v>
      </c>
      <c r="D653" s="116">
        <v>3.4844215551479301</v>
      </c>
      <c r="E653" s="116">
        <v>3.4844215551479301</v>
      </c>
      <c r="F653" s="116">
        <v>222.05</v>
      </c>
      <c r="G653">
        <v>458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42965</v>
      </c>
      <c r="B654" s="116">
        <v>3.7695105914782099</v>
      </c>
      <c r="C654" s="116">
        <v>3.4400743717187701</v>
      </c>
      <c r="D654" s="116">
        <v>3.2816915737575001</v>
      </c>
      <c r="E654" s="116">
        <v>3.5240172546382502</v>
      </c>
      <c r="F654" s="116">
        <v>217.2</v>
      </c>
      <c r="G654">
        <v>3247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42968</v>
      </c>
      <c r="B655" s="116">
        <v>3.7837650432947298</v>
      </c>
      <c r="C655" s="116">
        <v>3.7813893013253099</v>
      </c>
      <c r="D655" s="116">
        <v>3.4844215551479301</v>
      </c>
      <c r="E655" s="116">
        <v>3.4844215551479301</v>
      </c>
      <c r="F655" s="116">
        <v>238.75</v>
      </c>
      <c r="G655">
        <v>4729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42969</v>
      </c>
      <c r="B656" s="116">
        <v>4.0387613480123701</v>
      </c>
      <c r="C656" s="116">
        <v>3.78930844122337</v>
      </c>
      <c r="D656" s="116">
        <v>3.57945123392469</v>
      </c>
      <c r="E656" s="116">
        <v>3.80118715107047</v>
      </c>
      <c r="F656" s="116">
        <v>239.25</v>
      </c>
      <c r="G656">
        <v>2603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42970</v>
      </c>
      <c r="B657" s="116">
        <v>3.97540822882786</v>
      </c>
      <c r="C657" s="116">
        <v>3.7536723116820898</v>
      </c>
      <c r="D657" s="116">
        <v>3.7219957520898301</v>
      </c>
      <c r="E657" s="116">
        <v>3.7536723116820898</v>
      </c>
      <c r="F657" s="116">
        <v>237</v>
      </c>
      <c r="G657">
        <v>1632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42971</v>
      </c>
      <c r="B658" s="116">
        <v>4.0371775200327598</v>
      </c>
      <c r="C658" s="116">
        <v>3.9983737345322501</v>
      </c>
      <c r="D658" s="116">
        <v>3.6903191924975798</v>
      </c>
      <c r="E658" s="116">
        <v>3.7536723116820898</v>
      </c>
      <c r="F658" s="116">
        <v>252.45</v>
      </c>
      <c r="G658">
        <v>6209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42975</v>
      </c>
      <c r="B659" s="116">
        <v>4.1971441459736401</v>
      </c>
      <c r="C659" s="116">
        <v>4.1092416931051403</v>
      </c>
      <c r="D659" s="116">
        <v>3.8803785500511001</v>
      </c>
      <c r="E659" s="116">
        <v>4.1971441459736401</v>
      </c>
      <c r="F659" s="116">
        <v>259.45</v>
      </c>
      <c r="G659">
        <v>8296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42976</v>
      </c>
      <c r="B660" s="116">
        <v>4.1496293065852603</v>
      </c>
      <c r="C660" s="116">
        <v>3.9920384226137999</v>
      </c>
      <c r="D660" s="116">
        <v>3.8962168298472299</v>
      </c>
      <c r="E660" s="116">
        <v>4.0585591977575302</v>
      </c>
      <c r="F660" s="116">
        <v>252.05</v>
      </c>
      <c r="G660">
        <v>2531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42977</v>
      </c>
      <c r="B661" s="116">
        <v>4.1100336070949401</v>
      </c>
      <c r="C661" s="116">
        <v>4.04113708998179</v>
      </c>
      <c r="D661" s="116">
        <v>3.9936222505934098</v>
      </c>
      <c r="E661" s="116">
        <v>4.1021144671968797</v>
      </c>
      <c r="F661" s="116">
        <v>255.15</v>
      </c>
      <c r="G661">
        <v>1823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42978</v>
      </c>
      <c r="B662" s="116">
        <v>4.4450132247830298</v>
      </c>
      <c r="C662" s="116">
        <v>4.4450132247830298</v>
      </c>
      <c r="D662" s="116">
        <v>3.97540822882786</v>
      </c>
      <c r="E662" s="116">
        <v>3.9912465086239899</v>
      </c>
      <c r="F662" s="116">
        <v>280.64999999999998</v>
      </c>
      <c r="G662">
        <v>14058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42979</v>
      </c>
      <c r="B663" s="116">
        <v>4.5297480216923098</v>
      </c>
      <c r="C663" s="116">
        <v>4.4648110745281899</v>
      </c>
      <c r="D663" s="116">
        <v>4.2763355449542804</v>
      </c>
      <c r="E663" s="116">
        <v>4.4347183429155503</v>
      </c>
      <c r="F663" s="116">
        <v>281.89999999999998</v>
      </c>
      <c r="G663">
        <v>10689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42982</v>
      </c>
      <c r="B664" s="116">
        <v>4.4347183429155503</v>
      </c>
      <c r="C664" s="116">
        <v>4.2422832433925999</v>
      </c>
      <c r="D664" s="116">
        <v>4.2422832433925999</v>
      </c>
      <c r="E664" s="116">
        <v>4.3309776102509101</v>
      </c>
      <c r="F664" s="116">
        <v>267.85000000000002</v>
      </c>
      <c r="G664">
        <v>2960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42983</v>
      </c>
      <c r="B665" s="116">
        <v>4.4505566227116704</v>
      </c>
      <c r="C665" s="116">
        <v>4.2676244910664103</v>
      </c>
      <c r="D665" s="116">
        <v>4.0387613480123701</v>
      </c>
      <c r="E665" s="116">
        <v>4.2422832433925999</v>
      </c>
      <c r="F665" s="116">
        <v>269.45</v>
      </c>
      <c r="G665">
        <v>2697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42984</v>
      </c>
      <c r="B666" s="116">
        <v>4.4339264289257398</v>
      </c>
      <c r="C666" s="116">
        <v>4.1733867262794497</v>
      </c>
      <c r="D666" s="116">
        <v>4.1195365749726198</v>
      </c>
      <c r="E666" s="116">
        <v>4.4339264289257398</v>
      </c>
      <c r="F666" s="116">
        <v>263.5</v>
      </c>
      <c r="G666">
        <v>2481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42985</v>
      </c>
      <c r="B667" s="116">
        <v>4.2763355449542804</v>
      </c>
      <c r="C667" s="116">
        <v>4.2684164050562101</v>
      </c>
      <c r="D667" s="116">
        <v>4.1337910267891296</v>
      </c>
      <c r="E667" s="116">
        <v>4.1733867262794497</v>
      </c>
      <c r="F667" s="116">
        <v>269.5</v>
      </c>
      <c r="G667">
        <v>1221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42986</v>
      </c>
      <c r="B668" s="116">
        <v>4.4188800631194196</v>
      </c>
      <c r="C668" s="116">
        <v>4.3974983853946501</v>
      </c>
      <c r="D668" s="116">
        <v>4.1337910267891296</v>
      </c>
      <c r="E668" s="116">
        <v>4.1337910267891296</v>
      </c>
      <c r="F668" s="116">
        <v>277.64999999999998</v>
      </c>
      <c r="G668">
        <v>2493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42989</v>
      </c>
      <c r="B669" s="116">
        <v>4.6168585605710097</v>
      </c>
      <c r="C669" s="116">
        <v>4.5614245812845597</v>
      </c>
      <c r="D669" s="116">
        <v>4.4220477190786402</v>
      </c>
      <c r="E669" s="116">
        <v>4.4220477190786402</v>
      </c>
      <c r="F669" s="116">
        <v>288</v>
      </c>
      <c r="G669">
        <v>5651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42990</v>
      </c>
      <c r="B670" s="116">
        <v>4.5978526248156504</v>
      </c>
      <c r="C670" s="116">
        <v>4.4363021708951598</v>
      </c>
      <c r="D670" s="116">
        <v>4.35552694393491</v>
      </c>
      <c r="E670" s="116">
        <v>4.35552694393491</v>
      </c>
      <c r="F670" s="116">
        <v>280.10000000000002</v>
      </c>
      <c r="G670">
        <v>2420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42991</v>
      </c>
      <c r="B671" s="116">
        <v>4.3571107719145203</v>
      </c>
      <c r="C671" s="116">
        <v>4.2636649211173703</v>
      </c>
      <c r="D671" s="116">
        <v>4.23278027551493</v>
      </c>
      <c r="E671" s="116">
        <v>4.3571107719145203</v>
      </c>
      <c r="F671" s="116">
        <v>269.2</v>
      </c>
      <c r="G671">
        <v>2698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42992</v>
      </c>
      <c r="B672" s="116">
        <v>4.4347183429155503</v>
      </c>
      <c r="C672" s="116">
        <v>4.2565376952091203</v>
      </c>
      <c r="D672" s="116">
        <v>4.2129824257697699</v>
      </c>
      <c r="E672" s="116">
        <v>4.2129824257697699</v>
      </c>
      <c r="F672" s="116">
        <v>268.75</v>
      </c>
      <c r="G672">
        <v>1138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42993</v>
      </c>
      <c r="B673" s="116">
        <v>4.2763355449542804</v>
      </c>
      <c r="C673" s="116">
        <v>4.1298314568401002</v>
      </c>
      <c r="D673" s="116">
        <v>4.0443047459410204</v>
      </c>
      <c r="E673" s="116">
        <v>4.2763355449542804</v>
      </c>
      <c r="F673" s="116">
        <v>260.75</v>
      </c>
      <c r="G673">
        <v>2960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42996</v>
      </c>
      <c r="B674" s="116">
        <v>4.1179527469930104</v>
      </c>
      <c r="C674" s="116">
        <v>4.0862761874007498</v>
      </c>
      <c r="D674" s="116">
        <v>4.0229230682162402</v>
      </c>
      <c r="E674" s="116">
        <v>4.1179527469930104</v>
      </c>
      <c r="F674" s="116">
        <v>258</v>
      </c>
      <c r="G674">
        <v>3561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42997</v>
      </c>
      <c r="B675" s="116">
        <v>4.1971441459736401</v>
      </c>
      <c r="C675" s="116">
        <v>4.1971441459736401</v>
      </c>
      <c r="D675" s="116">
        <v>4.0086686163997296</v>
      </c>
      <c r="E675" s="116">
        <v>4.0862761874007498</v>
      </c>
      <c r="F675" s="116">
        <v>265</v>
      </c>
      <c r="G675">
        <v>2657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42998</v>
      </c>
      <c r="B676" s="116">
        <v>4.1971441459736401</v>
      </c>
      <c r="C676" s="116">
        <v>4.0648945096759803</v>
      </c>
      <c r="D676" s="116">
        <v>3.9872869386749601</v>
      </c>
      <c r="E676" s="116">
        <v>4.1955603179940297</v>
      </c>
      <c r="F676" s="116">
        <v>256.64999999999998</v>
      </c>
      <c r="G676">
        <v>990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42999</v>
      </c>
      <c r="B677" s="116">
        <v>4.1971441459736401</v>
      </c>
      <c r="C677" s="116">
        <v>4.0720217355842401</v>
      </c>
      <c r="D677" s="116">
        <v>3.9912465086239899</v>
      </c>
      <c r="E677" s="116">
        <v>4.1337910267891296</v>
      </c>
      <c r="F677" s="116">
        <v>257.10000000000002</v>
      </c>
      <c r="G677">
        <v>1708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43000</v>
      </c>
      <c r="B678" s="116">
        <v>4.1179527469930104</v>
      </c>
      <c r="C678" s="116">
        <v>4.0403451759919804</v>
      </c>
      <c r="D678" s="116">
        <v>4.0070847884201202</v>
      </c>
      <c r="E678" s="116">
        <v>4.0704379076046298</v>
      </c>
      <c r="F678" s="116">
        <v>255.1</v>
      </c>
      <c r="G678">
        <v>1008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43003</v>
      </c>
      <c r="B679" s="116">
        <v>3.9833273687259299</v>
      </c>
      <c r="C679" s="116">
        <v>3.9278933894394799</v>
      </c>
      <c r="D679" s="116">
        <v>3.8384071085913698</v>
      </c>
      <c r="E679" s="116">
        <v>3.8391990225811701</v>
      </c>
      <c r="F679" s="116">
        <v>248</v>
      </c>
      <c r="G679">
        <v>801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43004</v>
      </c>
      <c r="B680" s="116">
        <v>4.1211204029522301</v>
      </c>
      <c r="C680" s="116">
        <v>3.9627376049909602</v>
      </c>
      <c r="D680" s="116">
        <v>3.80118715107047</v>
      </c>
      <c r="E680" s="116">
        <v>3.80118715107047</v>
      </c>
      <c r="F680" s="116">
        <v>250.2</v>
      </c>
      <c r="G680">
        <v>1696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43005</v>
      </c>
      <c r="B681" s="116">
        <v>4.0387613480123701</v>
      </c>
      <c r="C681" s="116">
        <v>3.7663429355189901</v>
      </c>
      <c r="D681" s="116">
        <v>3.7663429355189901</v>
      </c>
      <c r="E681" s="116">
        <v>4.0387613480123701</v>
      </c>
      <c r="F681" s="116">
        <v>237.8</v>
      </c>
      <c r="G681">
        <v>753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43006</v>
      </c>
      <c r="B682" s="116">
        <v>3.80118715107047</v>
      </c>
      <c r="C682" s="116">
        <v>3.80118715107047</v>
      </c>
      <c r="D682" s="116">
        <v>3.6269660733130702</v>
      </c>
      <c r="E682" s="116">
        <v>3.7219957520898301</v>
      </c>
      <c r="F682" s="116">
        <v>240</v>
      </c>
      <c r="G682">
        <v>1140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43007</v>
      </c>
      <c r="B683" s="116">
        <v>3.9912465086239899</v>
      </c>
      <c r="C683" s="116">
        <v>3.7338744619369302</v>
      </c>
      <c r="D683" s="116">
        <v>3.6586426329053299</v>
      </c>
      <c r="E683" s="116">
        <v>3.8170254308665901</v>
      </c>
      <c r="F683" s="116">
        <v>235.75</v>
      </c>
      <c r="G683">
        <v>867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43011</v>
      </c>
      <c r="B684" s="116">
        <v>3.73783403188596</v>
      </c>
      <c r="C684" s="116">
        <v>3.7014059883548698</v>
      </c>
      <c r="D684" s="116">
        <v>3.5636129541285602</v>
      </c>
      <c r="E684" s="116">
        <v>3.6428043531092</v>
      </c>
      <c r="F684" s="116">
        <v>233.7</v>
      </c>
      <c r="G684">
        <v>7020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43012</v>
      </c>
      <c r="B685" s="116">
        <v>3.6903191924975798</v>
      </c>
      <c r="C685" s="116">
        <v>3.5184738567095999</v>
      </c>
      <c r="D685" s="116">
        <v>3.51689002872999</v>
      </c>
      <c r="E685" s="116">
        <v>3.6111277935169399</v>
      </c>
      <c r="F685" s="116">
        <v>222.15</v>
      </c>
      <c r="G685">
        <v>1315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43013</v>
      </c>
      <c r="B686" s="116">
        <v>3.6934868484568</v>
      </c>
      <c r="C686" s="116">
        <v>3.6412205251295902</v>
      </c>
      <c r="D686" s="116">
        <v>3.4369067157595499</v>
      </c>
      <c r="E686" s="116">
        <v>3.6934868484568</v>
      </c>
      <c r="F686" s="116">
        <v>229.9</v>
      </c>
      <c r="G686">
        <v>3199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43014</v>
      </c>
      <c r="B687" s="116">
        <v>3.70457364431409</v>
      </c>
      <c r="C687" s="116">
        <v>3.5952895137208198</v>
      </c>
      <c r="D687" s="116">
        <v>3.5636129541285602</v>
      </c>
      <c r="E687" s="116">
        <v>3.6412205251295902</v>
      </c>
      <c r="F687" s="116">
        <v>227</v>
      </c>
      <c r="G687">
        <v>600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43017</v>
      </c>
      <c r="B688" s="116">
        <v>3.7750539894068602</v>
      </c>
      <c r="C688" s="116">
        <v>3.7750539894068602</v>
      </c>
      <c r="D688" s="116">
        <v>3.6285499012926801</v>
      </c>
      <c r="E688" s="116">
        <v>3.6428043531092</v>
      </c>
      <c r="F688" s="116">
        <v>238.35</v>
      </c>
      <c r="G688">
        <v>7061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43018</v>
      </c>
      <c r="B689" s="116">
        <v>3.9635295189807702</v>
      </c>
      <c r="C689" s="116">
        <v>3.85345347439769</v>
      </c>
      <c r="D689" s="116">
        <v>3.80118715107047</v>
      </c>
      <c r="E689" s="116">
        <v>3.95956994903174</v>
      </c>
      <c r="F689" s="116">
        <v>243.3</v>
      </c>
      <c r="G689">
        <v>5005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43019</v>
      </c>
      <c r="B690" s="116">
        <v>3.9849111967055402</v>
      </c>
      <c r="C690" s="116">
        <v>3.87483515212246</v>
      </c>
      <c r="D690" s="116">
        <v>3.6903191924975798</v>
      </c>
      <c r="E690" s="116">
        <v>3.73783403188596</v>
      </c>
      <c r="F690" s="116">
        <v>244.65</v>
      </c>
      <c r="G690">
        <v>3382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43020</v>
      </c>
      <c r="B691" s="116">
        <v>4.0680621656352098</v>
      </c>
      <c r="C691" s="116">
        <v>4.0680621656352098</v>
      </c>
      <c r="D691" s="116">
        <v>4.0680621656352098</v>
      </c>
      <c r="E691" s="116">
        <v>4.0680621656352098</v>
      </c>
      <c r="F691" s="116">
        <v>256.85000000000002</v>
      </c>
      <c r="G691">
        <v>1349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43021</v>
      </c>
      <c r="B692" s="116">
        <v>4.27079214702563</v>
      </c>
      <c r="C692" s="116">
        <v>4.27079214702563</v>
      </c>
      <c r="D692" s="116">
        <v>4.27079214702563</v>
      </c>
      <c r="E692" s="116">
        <v>4.27079214702563</v>
      </c>
      <c r="F692" s="116">
        <v>269.64999999999998</v>
      </c>
      <c r="G692">
        <v>8625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43024</v>
      </c>
      <c r="B693" s="116">
        <v>4.4838170102835404</v>
      </c>
      <c r="C693" s="116">
        <v>4.4838170102835404</v>
      </c>
      <c r="D693" s="116">
        <v>4.4838170102835404</v>
      </c>
      <c r="E693" s="116">
        <v>4.4838170102835404</v>
      </c>
      <c r="F693" s="116">
        <v>283.10000000000002</v>
      </c>
      <c r="G693">
        <v>2870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43025</v>
      </c>
      <c r="B694" s="116">
        <v>4.7079286693987399</v>
      </c>
      <c r="C694" s="116">
        <v>4.7079286693987399</v>
      </c>
      <c r="D694" s="116">
        <v>4.7079286693987399</v>
      </c>
      <c r="E694" s="116">
        <v>4.7079286693987399</v>
      </c>
      <c r="F694" s="116">
        <v>297.25</v>
      </c>
      <c r="G694">
        <v>919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43026</v>
      </c>
      <c r="B695" s="116">
        <v>4.9431271243712196</v>
      </c>
      <c r="C695" s="116">
        <v>4.9431271243712196</v>
      </c>
      <c r="D695" s="116">
        <v>4.7514839388380796</v>
      </c>
      <c r="E695" s="116">
        <v>4.9431271243712196</v>
      </c>
      <c r="F695" s="116">
        <v>312.10000000000002</v>
      </c>
      <c r="G695">
        <v>41775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43027</v>
      </c>
      <c r="B696" s="116">
        <v>5.1902042891907998</v>
      </c>
      <c r="C696" s="116">
        <v>5.0737929326892699</v>
      </c>
      <c r="D696" s="116">
        <v>5.03815680314798</v>
      </c>
      <c r="E696" s="116">
        <v>5.1822851492927402</v>
      </c>
      <c r="F696" s="116">
        <v>320.35000000000002</v>
      </c>
      <c r="G696">
        <v>10158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43031</v>
      </c>
      <c r="B697" s="116">
        <v>5.3216620114986499</v>
      </c>
      <c r="C697" s="116">
        <v>4.8203804559512404</v>
      </c>
      <c r="D697" s="116">
        <v>4.8203804559512404</v>
      </c>
      <c r="E697" s="116">
        <v>5.2899854519064</v>
      </c>
      <c r="F697" s="116">
        <v>304.35000000000002</v>
      </c>
      <c r="G697">
        <v>9826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43032</v>
      </c>
      <c r="B698" s="116">
        <v>4.7514839388380796</v>
      </c>
      <c r="C698" s="116">
        <v>4.5796386030501104</v>
      </c>
      <c r="D698" s="116">
        <v>4.5796386030501104</v>
      </c>
      <c r="E698" s="116">
        <v>4.7514839388380796</v>
      </c>
      <c r="F698" s="116">
        <v>289.14999999999998</v>
      </c>
      <c r="G698">
        <v>9730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43033</v>
      </c>
      <c r="B699" s="116">
        <v>4.8085017461041399</v>
      </c>
      <c r="C699" s="116">
        <v>4.4521404506912896</v>
      </c>
      <c r="D699" s="116">
        <v>4.3713652237310399</v>
      </c>
      <c r="E699" s="116">
        <v>4.8085017461041399</v>
      </c>
      <c r="F699" s="116">
        <v>281.10000000000002</v>
      </c>
      <c r="G699">
        <v>6943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43034</v>
      </c>
      <c r="B700" s="116">
        <v>4.67229253985745</v>
      </c>
      <c r="C700" s="116">
        <v>4.6271534424384901</v>
      </c>
      <c r="D700" s="116">
        <v>4.4030417833232898</v>
      </c>
      <c r="E700" s="116">
        <v>4.4030417833232898</v>
      </c>
      <c r="F700" s="116">
        <v>292.14999999999998</v>
      </c>
      <c r="G700">
        <v>5512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43035</v>
      </c>
      <c r="B701" s="116">
        <v>4.8203804559512404</v>
      </c>
      <c r="C701" s="116">
        <v>4.6786278517759001</v>
      </c>
      <c r="D701" s="116">
        <v>4.5376671615903703</v>
      </c>
      <c r="E701" s="116">
        <v>4.8203804559512404</v>
      </c>
      <c r="F701" s="116">
        <v>295.39999999999998</v>
      </c>
      <c r="G701">
        <v>5314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43038</v>
      </c>
      <c r="B702" s="116">
        <v>4.9122424787687704</v>
      </c>
      <c r="C702" s="116">
        <v>4.4758978703854799</v>
      </c>
      <c r="D702" s="116">
        <v>4.4450132247830298</v>
      </c>
      <c r="E702" s="116">
        <v>4.6406159802652001</v>
      </c>
      <c r="F702" s="116">
        <v>282.60000000000002</v>
      </c>
      <c r="G702">
        <v>17527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43039</v>
      </c>
      <c r="B703" s="116">
        <v>4.6564542600613201</v>
      </c>
      <c r="C703" s="116">
        <v>4.46956255846702</v>
      </c>
      <c r="D703" s="116">
        <v>4.3713652237310399</v>
      </c>
      <c r="E703" s="116">
        <v>4.5931011408768203</v>
      </c>
      <c r="F703" s="116">
        <v>282.2</v>
      </c>
      <c r="G703">
        <v>11784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43040</v>
      </c>
      <c r="B704" s="116">
        <v>4.6406159802652001</v>
      </c>
      <c r="C704" s="116">
        <v>4.45134853670148</v>
      </c>
      <c r="D704" s="116">
        <v>4.35552694393491</v>
      </c>
      <c r="E704" s="116">
        <v>4.35552694393491</v>
      </c>
      <c r="F704" s="116">
        <v>281.05</v>
      </c>
      <c r="G704">
        <v>22616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43041</v>
      </c>
      <c r="B705" s="116">
        <v>4.6738763678370603</v>
      </c>
      <c r="C705" s="116">
        <v>4.6651653139491902</v>
      </c>
      <c r="D705" s="116">
        <v>4.4663949025078002</v>
      </c>
      <c r="E705" s="116">
        <v>4.5915173128972002</v>
      </c>
      <c r="F705" s="116">
        <v>294.55</v>
      </c>
      <c r="G705">
        <v>10160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43042</v>
      </c>
      <c r="B706" s="116">
        <v>4.8940284570032304</v>
      </c>
      <c r="C706" s="116">
        <v>4.6247777004690702</v>
      </c>
      <c r="D706" s="116">
        <v>4.5297480216923098</v>
      </c>
      <c r="E706" s="116">
        <v>4.8940284570032304</v>
      </c>
      <c r="F706" s="116">
        <v>292</v>
      </c>
      <c r="G706">
        <v>7185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43045</v>
      </c>
      <c r="B707" s="116">
        <v>4.7514839388380796</v>
      </c>
      <c r="C707" s="116">
        <v>4.6643733999593904</v>
      </c>
      <c r="D707" s="116">
        <v>4.6247777004690702</v>
      </c>
      <c r="E707" s="116">
        <v>4.6247777004690702</v>
      </c>
      <c r="F707" s="116">
        <v>294.5</v>
      </c>
      <c r="G707">
        <v>5682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43046</v>
      </c>
      <c r="B708" s="116">
        <v>4.67229253985745</v>
      </c>
      <c r="C708" s="116">
        <v>4.4980714621000502</v>
      </c>
      <c r="D708" s="116">
        <v>4.4743140424058598</v>
      </c>
      <c r="E708" s="116">
        <v>4.6643733999593904</v>
      </c>
      <c r="F708" s="116">
        <v>284</v>
      </c>
      <c r="G708">
        <v>940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43047</v>
      </c>
      <c r="B709" s="116">
        <v>4.7198073792458297</v>
      </c>
      <c r="C709" s="116">
        <v>4.4988633760898598</v>
      </c>
      <c r="D709" s="116">
        <v>4.4663949025078002</v>
      </c>
      <c r="E709" s="116">
        <v>4.7182235512662203</v>
      </c>
      <c r="F709" s="116">
        <v>284.05</v>
      </c>
      <c r="G709">
        <v>5488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43048</v>
      </c>
      <c r="B710" s="116">
        <v>4.72376694919486</v>
      </c>
      <c r="C710" s="116">
        <v>4.72376694919486</v>
      </c>
      <c r="D710" s="116">
        <v>4.72376694919486</v>
      </c>
      <c r="E710" s="116">
        <v>4.72376694919486</v>
      </c>
      <c r="F710" s="116">
        <v>298.25</v>
      </c>
      <c r="G710">
        <v>1356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43049</v>
      </c>
      <c r="B711" s="116">
        <v>4.9597573181571502</v>
      </c>
      <c r="C711" s="116">
        <v>4.9597573181571502</v>
      </c>
      <c r="D711" s="116">
        <v>4.9597573181571502</v>
      </c>
      <c r="E711" s="116">
        <v>4.9597573181571502</v>
      </c>
      <c r="F711" s="116">
        <v>313.14999999999998</v>
      </c>
      <c r="G711">
        <v>4786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43052</v>
      </c>
      <c r="B712" s="116">
        <v>5.20762639696654</v>
      </c>
      <c r="C712" s="116">
        <v>5.19653960110925</v>
      </c>
      <c r="D712" s="116">
        <v>5.1474409337412599</v>
      </c>
      <c r="E712" s="116">
        <v>5.20762639696654</v>
      </c>
      <c r="F712" s="116">
        <v>328.1</v>
      </c>
      <c r="G712">
        <v>82852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43053</v>
      </c>
      <c r="B713" s="116">
        <v>5.3058237317025299</v>
      </c>
      <c r="C713" s="116">
        <v>5.0532031689543002</v>
      </c>
      <c r="D713" s="116">
        <v>4.9898500497698004</v>
      </c>
      <c r="E713" s="116">
        <v>5.3058237317025299</v>
      </c>
      <c r="F713" s="116">
        <v>319.05</v>
      </c>
      <c r="G713">
        <v>11652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43054</v>
      </c>
      <c r="B714" s="116">
        <v>4.9257050165954803</v>
      </c>
      <c r="C714" s="116">
        <v>4.8932365430134199</v>
      </c>
      <c r="D714" s="116">
        <v>4.8306753378187199</v>
      </c>
      <c r="E714" s="116">
        <v>4.8306753378187199</v>
      </c>
      <c r="F714" s="116">
        <v>308.95</v>
      </c>
      <c r="G714">
        <v>8281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43055</v>
      </c>
      <c r="B715" s="116">
        <v>5.1236835140470696</v>
      </c>
      <c r="C715" s="116">
        <v>5.1023018363223001</v>
      </c>
      <c r="D715" s="116">
        <v>4.6881308196535798</v>
      </c>
      <c r="E715" s="116">
        <v>4.8148370580225901</v>
      </c>
      <c r="F715" s="116">
        <v>322.14999999999998</v>
      </c>
      <c r="G715">
        <v>13353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43056</v>
      </c>
      <c r="B716" s="116">
        <v>5.3572981410399398</v>
      </c>
      <c r="C716" s="116">
        <v>5.3572981410399398</v>
      </c>
      <c r="D716" s="116">
        <v>4.9898500497698004</v>
      </c>
      <c r="E716" s="116">
        <v>5.15377624565971</v>
      </c>
      <c r="F716" s="116">
        <v>338.25</v>
      </c>
      <c r="G716">
        <v>17075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43059</v>
      </c>
      <c r="B717" s="116">
        <v>5.6249650695944897</v>
      </c>
      <c r="C717" s="116">
        <v>5.6249650695944897</v>
      </c>
      <c r="D717" s="116">
        <v>5.4562873897657296</v>
      </c>
      <c r="E717" s="116">
        <v>5.6059591338391304</v>
      </c>
      <c r="F717" s="116">
        <v>355.15</v>
      </c>
      <c r="G717">
        <v>30547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43060</v>
      </c>
      <c r="B718" s="116">
        <v>5.9060945359757397</v>
      </c>
      <c r="C718" s="116">
        <v>5.8744179763834801</v>
      </c>
      <c r="D718" s="116">
        <v>5.58457745611436</v>
      </c>
      <c r="E718" s="116">
        <v>5.8443252447708396</v>
      </c>
      <c r="F718" s="116">
        <v>370.9</v>
      </c>
      <c r="G718">
        <v>41919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43061</v>
      </c>
      <c r="B719" s="116">
        <v>6.0027080427321096</v>
      </c>
      <c r="C719" s="116">
        <v>5.8617473525465797</v>
      </c>
      <c r="D719" s="116">
        <v>5.6225893276250698</v>
      </c>
      <c r="E719" s="116">
        <v>6.0027080427321096</v>
      </c>
      <c r="F719" s="116">
        <v>370.1</v>
      </c>
      <c r="G719">
        <v>10211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43062</v>
      </c>
      <c r="B720" s="116">
        <v>5.9068864499655396</v>
      </c>
      <c r="C720" s="116">
        <v>5.6598092851459603</v>
      </c>
      <c r="D720" s="116">
        <v>5.5909127680328101</v>
      </c>
      <c r="E720" s="116">
        <v>5.8601635245669703</v>
      </c>
      <c r="F720" s="116">
        <v>357.35</v>
      </c>
      <c r="G720">
        <v>10145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43063</v>
      </c>
      <c r="B721" s="116">
        <v>5.8403656748218102</v>
      </c>
      <c r="C721" s="116">
        <v>5.7643419318004003</v>
      </c>
      <c r="D721" s="116">
        <v>5.6384276074211899</v>
      </c>
      <c r="E721" s="116">
        <v>5.6811909628707404</v>
      </c>
      <c r="F721" s="116">
        <v>363.95</v>
      </c>
      <c r="G721">
        <v>4157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43066</v>
      </c>
      <c r="B722" s="116">
        <v>6.0502228821204902</v>
      </c>
      <c r="C722" s="116">
        <v>5.6415952633804203</v>
      </c>
      <c r="D722" s="116">
        <v>5.5909127680328101</v>
      </c>
      <c r="E722" s="116">
        <v>5.8482848147198796</v>
      </c>
      <c r="F722" s="116">
        <v>356.2</v>
      </c>
      <c r="G722">
        <v>22336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43067</v>
      </c>
      <c r="B723" s="116">
        <v>5.7651338457902099</v>
      </c>
      <c r="C723" s="116">
        <v>5.5782421441959098</v>
      </c>
      <c r="D723" s="116">
        <v>5.5117213690521796</v>
      </c>
      <c r="E723" s="116">
        <v>5.6701041670134504</v>
      </c>
      <c r="F723" s="116">
        <v>352.2</v>
      </c>
      <c r="G723">
        <v>8172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43068</v>
      </c>
      <c r="B724" s="116">
        <v>5.7651338457902099</v>
      </c>
      <c r="C724" s="116">
        <v>5.7089079525139601</v>
      </c>
      <c r="D724" s="116">
        <v>5.5117213690521796</v>
      </c>
      <c r="E724" s="116">
        <v>5.5117213690521796</v>
      </c>
      <c r="F724" s="116">
        <v>360.45</v>
      </c>
      <c r="G724">
        <v>12067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43069</v>
      </c>
      <c r="B725" s="116">
        <v>5.8205678250766502</v>
      </c>
      <c r="C725" s="116">
        <v>5.6859424468095696</v>
      </c>
      <c r="D725" s="116">
        <v>5.6542658872173197</v>
      </c>
      <c r="E725" s="116">
        <v>5.7714691577086601</v>
      </c>
      <c r="F725" s="116">
        <v>359</v>
      </c>
      <c r="G725">
        <v>3452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43070</v>
      </c>
      <c r="B726" s="116">
        <v>5.9702395691500501</v>
      </c>
      <c r="C726" s="116">
        <v>5.96152851526218</v>
      </c>
      <c r="D726" s="116">
        <v>5.5909127680328101</v>
      </c>
      <c r="E726" s="116">
        <v>5.8110648571989802</v>
      </c>
      <c r="F726" s="116">
        <v>376.4</v>
      </c>
      <c r="G726">
        <v>23754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43073</v>
      </c>
      <c r="B727" s="116">
        <v>6.2149409920002103</v>
      </c>
      <c r="C727" s="116">
        <v>5.8910481701694204</v>
      </c>
      <c r="D727" s="116">
        <v>5.7477117380144698</v>
      </c>
      <c r="E727" s="116">
        <v>6.1452525608972604</v>
      </c>
      <c r="F727" s="116">
        <v>371.95</v>
      </c>
      <c r="G727">
        <v>11484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43074</v>
      </c>
      <c r="B728" s="116">
        <v>6.0977377215088797</v>
      </c>
      <c r="C728" s="116">
        <v>5.7714691577086601</v>
      </c>
      <c r="D728" s="116">
        <v>5.7492955659940801</v>
      </c>
      <c r="E728" s="116">
        <v>6.0977377215088797</v>
      </c>
      <c r="F728" s="116">
        <v>364.4</v>
      </c>
      <c r="G728">
        <v>8687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43075</v>
      </c>
      <c r="B729" s="116">
        <v>5.9694476551602502</v>
      </c>
      <c r="C729" s="116">
        <v>5.7445440820552403</v>
      </c>
      <c r="D729" s="116">
        <v>5.6701041670134504</v>
      </c>
      <c r="E729" s="116">
        <v>5.7888912654844003</v>
      </c>
      <c r="F729" s="116">
        <v>362.7</v>
      </c>
      <c r="G729">
        <v>8187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43076</v>
      </c>
      <c r="B730" s="116">
        <v>5.8902562561796099</v>
      </c>
      <c r="C730" s="116">
        <v>5.7081160385241496</v>
      </c>
      <c r="D730" s="116">
        <v>5.5671553483386198</v>
      </c>
      <c r="E730" s="116">
        <v>5.5671553483386198</v>
      </c>
      <c r="F730" s="116">
        <v>360.4</v>
      </c>
      <c r="G730">
        <v>2792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43077</v>
      </c>
      <c r="B731" s="116">
        <v>5.9393549235476097</v>
      </c>
      <c r="C731" s="116">
        <v>5.8221516530562702</v>
      </c>
      <c r="D731" s="116">
        <v>5.5750744882366901</v>
      </c>
      <c r="E731" s="116">
        <v>5.5750744882366901</v>
      </c>
      <c r="F731" s="116">
        <v>367.6</v>
      </c>
      <c r="G731">
        <v>5561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43080</v>
      </c>
      <c r="B732" s="116">
        <v>5.9314357836495404</v>
      </c>
      <c r="C732" s="116">
        <v>5.7968104053824598</v>
      </c>
      <c r="D732" s="116">
        <v>5.7651338457902099</v>
      </c>
      <c r="E732" s="116">
        <v>5.7651338457902099</v>
      </c>
      <c r="F732" s="116">
        <v>366</v>
      </c>
      <c r="G732">
        <v>5865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43081</v>
      </c>
      <c r="B733" s="116">
        <v>5.9235166437514799</v>
      </c>
      <c r="C733" s="116">
        <v>5.8110648571989802</v>
      </c>
      <c r="D733" s="116">
        <v>5.7390006841265997</v>
      </c>
      <c r="E733" s="116">
        <v>5.7390006841265997</v>
      </c>
      <c r="F733" s="116">
        <v>366.9</v>
      </c>
      <c r="G733">
        <v>2777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43082</v>
      </c>
      <c r="B734" s="116">
        <v>5.9140136758738002</v>
      </c>
      <c r="C734" s="116">
        <v>5.7912670074538202</v>
      </c>
      <c r="D734" s="116">
        <v>5.6463467473192601</v>
      </c>
      <c r="E734" s="116">
        <v>5.8126486851785897</v>
      </c>
      <c r="F734" s="116">
        <v>365.65</v>
      </c>
      <c r="G734">
        <v>2025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43083</v>
      </c>
      <c r="B735" s="116">
        <v>5.7825559535659501</v>
      </c>
      <c r="C735" s="116">
        <v>5.5378545307157898</v>
      </c>
      <c r="D735" s="116">
        <v>5.4958830892560497</v>
      </c>
      <c r="E735" s="116">
        <v>5.7825559535659501</v>
      </c>
      <c r="F735" s="116">
        <v>349.65</v>
      </c>
      <c r="G735">
        <v>4560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43084</v>
      </c>
      <c r="B736" s="116">
        <v>5.8174001691174304</v>
      </c>
      <c r="C736" s="116">
        <v>5.6566416291867396</v>
      </c>
      <c r="D736" s="116">
        <v>5.5038022291541102</v>
      </c>
      <c r="E736" s="116">
        <v>5.5038022291541102</v>
      </c>
      <c r="F736" s="116">
        <v>357.15</v>
      </c>
      <c r="G736">
        <v>1394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43087</v>
      </c>
      <c r="B737" s="116">
        <v>5.9377710955679897</v>
      </c>
      <c r="C737" s="116">
        <v>5.7698853297290498</v>
      </c>
      <c r="D737" s="116">
        <v>5.1252673420266799</v>
      </c>
      <c r="E737" s="116">
        <v>5.1252673420266799</v>
      </c>
      <c r="F737" s="116">
        <v>364.3</v>
      </c>
      <c r="G737">
        <v>9472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43088</v>
      </c>
      <c r="B738" s="116">
        <v>5.9377710955679897</v>
      </c>
      <c r="C738" s="116">
        <v>5.8340303629033601</v>
      </c>
      <c r="D738" s="116">
        <v>5.6701041670134504</v>
      </c>
      <c r="E738" s="116">
        <v>5.6859424468095696</v>
      </c>
      <c r="F738" s="116">
        <v>368.35</v>
      </c>
      <c r="G738">
        <v>4495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43089</v>
      </c>
      <c r="B739" s="116">
        <v>5.8340303629033601</v>
      </c>
      <c r="C739" s="116">
        <v>5.6796071348911203</v>
      </c>
      <c r="D739" s="116">
        <v>5.6225893276250698</v>
      </c>
      <c r="E739" s="116">
        <v>5.8340303629033601</v>
      </c>
      <c r="F739" s="116">
        <v>358.6</v>
      </c>
      <c r="G739">
        <v>3893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43090</v>
      </c>
      <c r="B740" s="116">
        <v>5.8482848147198796</v>
      </c>
      <c r="C740" s="116">
        <v>5.8237354810358797</v>
      </c>
      <c r="D740" s="116">
        <v>5.57349066025707</v>
      </c>
      <c r="E740" s="116">
        <v>5.57349066025707</v>
      </c>
      <c r="F740" s="116">
        <v>367.7</v>
      </c>
      <c r="G740">
        <v>3047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43091</v>
      </c>
      <c r="B741" s="116">
        <v>6.4057922635435398</v>
      </c>
      <c r="C741" s="116">
        <v>6.4057922635435398</v>
      </c>
      <c r="D741" s="116">
        <v>5.8284869649747204</v>
      </c>
      <c r="E741" s="116">
        <v>5.8284869649747204</v>
      </c>
      <c r="F741" s="116">
        <v>404.45</v>
      </c>
      <c r="G741">
        <v>17524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43095</v>
      </c>
      <c r="B742" s="116">
        <v>7.0456587673070699</v>
      </c>
      <c r="C742" s="116">
        <v>7.0456587673070699</v>
      </c>
      <c r="D742" s="116">
        <v>6.5728861153926799</v>
      </c>
      <c r="E742" s="116">
        <v>6.8658942916210304</v>
      </c>
      <c r="F742" s="116">
        <v>444.85</v>
      </c>
      <c r="G742">
        <v>30343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43096</v>
      </c>
      <c r="B743" s="116">
        <v>7.5706977425486803</v>
      </c>
      <c r="C743" s="116">
        <v>7.1691973497168604</v>
      </c>
      <c r="D743" s="116">
        <v>7.0955493486648704</v>
      </c>
      <c r="E743" s="116">
        <v>7.5706977425486803</v>
      </c>
      <c r="F743" s="116">
        <v>452.65</v>
      </c>
      <c r="G743">
        <v>28629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43097</v>
      </c>
      <c r="B744" s="116">
        <v>7.3972685787810901</v>
      </c>
      <c r="C744" s="116">
        <v>7.1953305113804698</v>
      </c>
      <c r="D744" s="116">
        <v>7.0955493486648704</v>
      </c>
      <c r="E744" s="116">
        <v>7.3489618254028999</v>
      </c>
      <c r="F744" s="116">
        <v>454.3</v>
      </c>
      <c r="G744">
        <v>8864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43098</v>
      </c>
      <c r="B745" s="116">
        <v>7.31728526581065</v>
      </c>
      <c r="C745" s="116">
        <v>7.2087930492071797</v>
      </c>
      <c r="D745" s="116">
        <v>7.0480345092764898</v>
      </c>
      <c r="E745" s="116">
        <v>7.1905790274416299</v>
      </c>
      <c r="F745" s="116">
        <v>455.15</v>
      </c>
      <c r="G745">
        <v>9761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43101</v>
      </c>
      <c r="B746" s="116">
        <v>7.4915063435680498</v>
      </c>
      <c r="C746" s="116">
        <v>7.3893494388830296</v>
      </c>
      <c r="D746" s="116">
        <v>7.2064173072377598</v>
      </c>
      <c r="E746" s="116">
        <v>7.2222555870338896</v>
      </c>
      <c r="F746" s="116">
        <v>466.55</v>
      </c>
      <c r="G746">
        <v>8845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43102</v>
      </c>
      <c r="B747" s="116">
        <v>7.4693327518534698</v>
      </c>
      <c r="C747" s="116">
        <v>7.4036038906995403</v>
      </c>
      <c r="D747" s="116">
        <v>7.2230475010236903</v>
      </c>
      <c r="E747" s="116">
        <v>7.4693327518534698</v>
      </c>
      <c r="F747" s="116">
        <v>467.45</v>
      </c>
      <c r="G747">
        <v>5369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43103</v>
      </c>
      <c r="B748" s="116">
        <v>7.7734277239391103</v>
      </c>
      <c r="C748" s="116">
        <v>7.6791899591521497</v>
      </c>
      <c r="D748" s="116">
        <v>7.4123149445874104</v>
      </c>
      <c r="E748" s="116">
        <v>7.4123149445874104</v>
      </c>
      <c r="F748" s="116">
        <v>484.85</v>
      </c>
      <c r="G748">
        <v>19598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43104</v>
      </c>
      <c r="B749" s="116">
        <v>8.0624763302184199</v>
      </c>
      <c r="C749" s="116">
        <v>8.0624763302184199</v>
      </c>
      <c r="D749" s="116">
        <v>7.8874633384712203</v>
      </c>
      <c r="E749" s="116">
        <v>8.0624763302184199</v>
      </c>
      <c r="F749" s="116">
        <v>509.05</v>
      </c>
      <c r="G749">
        <v>17120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43105</v>
      </c>
      <c r="B750" s="116">
        <v>8.4655605510298493</v>
      </c>
      <c r="C750" s="116">
        <v>8.3942882919472801</v>
      </c>
      <c r="D750" s="116">
        <v>8.0616844162286192</v>
      </c>
      <c r="E750" s="116">
        <v>8.4655605510298493</v>
      </c>
      <c r="F750" s="116">
        <v>530</v>
      </c>
      <c r="G750">
        <v>25259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43108</v>
      </c>
      <c r="B751" s="116">
        <v>8.7870776308912308</v>
      </c>
      <c r="C751" s="116">
        <v>8.6762096723183397</v>
      </c>
      <c r="D751" s="116">
        <v>8.5312894121837797</v>
      </c>
      <c r="E751" s="116">
        <v>8.5312894121837797</v>
      </c>
      <c r="F751" s="116">
        <v>547.79999999999995</v>
      </c>
      <c r="G751">
        <v>14092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43109</v>
      </c>
      <c r="B752" s="116">
        <v>8.8670609438616701</v>
      </c>
      <c r="C752" s="116">
        <v>8.5099077344590093</v>
      </c>
      <c r="D752" s="116">
        <v>8.2596629136802004</v>
      </c>
      <c r="E752" s="116">
        <v>8.8670609438616701</v>
      </c>
      <c r="F752" s="116">
        <v>537.29999999999995</v>
      </c>
      <c r="G752">
        <v>9853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43110</v>
      </c>
      <c r="B753" s="116">
        <v>8.7585687272582007</v>
      </c>
      <c r="C753" s="116">
        <v>8.4037912598249598</v>
      </c>
      <c r="D753" s="116">
        <v>8.2683739675680705</v>
      </c>
      <c r="E753" s="116">
        <v>8.5209945303162993</v>
      </c>
      <c r="F753" s="116">
        <v>530.6</v>
      </c>
      <c r="G753">
        <v>7338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43111</v>
      </c>
      <c r="B754" s="116">
        <v>8.7094700598902097</v>
      </c>
      <c r="C754" s="116">
        <v>8.3491491945283194</v>
      </c>
      <c r="D754" s="116">
        <v>8.2596629136802004</v>
      </c>
      <c r="E754" s="116">
        <v>8.3942882919472801</v>
      </c>
      <c r="F754" s="116">
        <v>527.15</v>
      </c>
      <c r="G754">
        <v>9018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43112</v>
      </c>
      <c r="B755" s="116">
        <v>8.6160242090930605</v>
      </c>
      <c r="C755" s="116">
        <v>8.3602359903856094</v>
      </c>
      <c r="D755" s="116">
        <v>8.3150968929666504</v>
      </c>
      <c r="E755" s="116">
        <v>8.5526710899085501</v>
      </c>
      <c r="F755" s="116">
        <v>527.85</v>
      </c>
      <c r="G755">
        <v>5243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43115</v>
      </c>
      <c r="B756" s="116">
        <v>8.7775746630135494</v>
      </c>
      <c r="C756" s="116">
        <v>8.7775746630135494</v>
      </c>
      <c r="D756" s="116">
        <v>8.4259648515395398</v>
      </c>
      <c r="E756" s="116">
        <v>8.4734796909279204</v>
      </c>
      <c r="F756" s="116">
        <v>554.20000000000005</v>
      </c>
      <c r="G756">
        <v>20410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43116</v>
      </c>
      <c r="B757" s="116">
        <v>8.8512226640655491</v>
      </c>
      <c r="C757" s="116">
        <v>8.3388543126608408</v>
      </c>
      <c r="D757" s="116">
        <v>8.3388543126608408</v>
      </c>
      <c r="E757" s="116">
        <v>8.8512226640655491</v>
      </c>
      <c r="F757" s="116">
        <v>526.5</v>
      </c>
      <c r="G757">
        <v>12069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43117</v>
      </c>
      <c r="B758" s="116">
        <v>8.4956532826425004</v>
      </c>
      <c r="C758" s="116">
        <v>8.3317270867525792</v>
      </c>
      <c r="D758" s="116">
        <v>7.9223075540226997</v>
      </c>
      <c r="E758" s="116">
        <v>8.2351135799962094</v>
      </c>
      <c r="F758" s="116">
        <v>526.04999999999995</v>
      </c>
      <c r="G758">
        <v>12955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43118</v>
      </c>
      <c r="B759" s="116">
        <v>8.3950802059370897</v>
      </c>
      <c r="C759" s="116">
        <v>7.9151803281144399</v>
      </c>
      <c r="D759" s="116">
        <v>7.9151803281144399</v>
      </c>
      <c r="E759" s="116">
        <v>8.3942882919472801</v>
      </c>
      <c r="F759" s="116">
        <v>499.75</v>
      </c>
      <c r="G759">
        <v>6963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43119</v>
      </c>
      <c r="B760" s="116">
        <v>7.7607571001022002</v>
      </c>
      <c r="C760" s="116">
        <v>7.5738653985079099</v>
      </c>
      <c r="D760" s="116">
        <v>7.5200152472010702</v>
      </c>
      <c r="E760" s="116">
        <v>7.6039581301205503</v>
      </c>
      <c r="F760" s="116">
        <v>478.2</v>
      </c>
      <c r="G760">
        <v>10105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43122</v>
      </c>
      <c r="B761" s="116">
        <v>7.8716250586750904</v>
      </c>
      <c r="C761" s="116">
        <v>7.7306643684895597</v>
      </c>
      <c r="D761" s="116">
        <v>7.5231829031602997</v>
      </c>
      <c r="E761" s="116">
        <v>7.5231829031602997</v>
      </c>
      <c r="F761" s="116">
        <v>488.1</v>
      </c>
      <c r="G761">
        <v>6952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43123</v>
      </c>
      <c r="B762" s="116">
        <v>7.8557867788789704</v>
      </c>
      <c r="C762" s="116">
        <v>7.6229640658758999</v>
      </c>
      <c r="D762" s="116">
        <v>7.4495349021083097</v>
      </c>
      <c r="E762" s="116">
        <v>7.5311020430583602</v>
      </c>
      <c r="F762" s="116">
        <v>481.3</v>
      </c>
      <c r="G762">
        <v>3902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43124</v>
      </c>
      <c r="B763" s="116">
        <v>7.9175560700838599</v>
      </c>
      <c r="C763" s="116">
        <v>7.6071257860797701</v>
      </c>
      <c r="D763" s="116">
        <v>7.3727192450970902</v>
      </c>
      <c r="E763" s="116">
        <v>7.3727192450970902</v>
      </c>
      <c r="F763" s="116">
        <v>480.3</v>
      </c>
      <c r="G763">
        <v>7374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43125</v>
      </c>
      <c r="B764" s="116">
        <v>7.9872445011868196</v>
      </c>
      <c r="C764" s="116">
        <v>7.9484407156863099</v>
      </c>
      <c r="D764" s="116">
        <v>7.3180771798004596</v>
      </c>
      <c r="E764" s="116">
        <v>7.8716250586750904</v>
      </c>
      <c r="F764" s="116">
        <v>501.85</v>
      </c>
      <c r="G764">
        <v>11859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43129</v>
      </c>
      <c r="B765" s="116">
        <v>8.3451896245792891</v>
      </c>
      <c r="C765" s="116">
        <v>8.3451896245792891</v>
      </c>
      <c r="D765" s="116">
        <v>8.3451896245792891</v>
      </c>
      <c r="E765" s="116">
        <v>8.3451896245792891</v>
      </c>
      <c r="F765" s="116">
        <v>526.9</v>
      </c>
      <c r="G765">
        <v>7291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43130</v>
      </c>
      <c r="B766" s="116">
        <v>8.7617363832174302</v>
      </c>
      <c r="C766" s="116">
        <v>8.7617363832174302</v>
      </c>
      <c r="D766" s="116">
        <v>8.3942882919472801</v>
      </c>
      <c r="E766" s="116">
        <v>8.7617363832174302</v>
      </c>
      <c r="F766" s="116">
        <v>553.20000000000005</v>
      </c>
      <c r="G766">
        <v>56996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43131</v>
      </c>
      <c r="B767" s="116">
        <v>8.9668421065772694</v>
      </c>
      <c r="C767" s="116">
        <v>8.5352489821328099</v>
      </c>
      <c r="D767" s="116">
        <v>8.4758554328973403</v>
      </c>
      <c r="E767" s="116">
        <v>8.9668421065772694</v>
      </c>
      <c r="F767" s="116">
        <v>538.9</v>
      </c>
      <c r="G767">
        <v>12009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43132</v>
      </c>
      <c r="B768" s="116">
        <v>8.8615175459330295</v>
      </c>
      <c r="C768" s="116">
        <v>8.5130753904182406</v>
      </c>
      <c r="D768" s="116">
        <v>8.42992442148857</v>
      </c>
      <c r="E768" s="116">
        <v>8.8615175459330295</v>
      </c>
      <c r="F768" s="116">
        <v>537.5</v>
      </c>
      <c r="G768">
        <v>13160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43133</v>
      </c>
      <c r="B769" s="116">
        <v>8.5130753904182406</v>
      </c>
      <c r="C769" s="116">
        <v>8.0878175778922294</v>
      </c>
      <c r="D769" s="116">
        <v>8.0878175778922294</v>
      </c>
      <c r="E769" s="116">
        <v>8.5130753904182406</v>
      </c>
      <c r="F769" s="116">
        <v>510.65</v>
      </c>
      <c r="G769">
        <v>11314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43136</v>
      </c>
      <c r="B770" s="116">
        <v>8.1472111271277008</v>
      </c>
      <c r="C770" s="116">
        <v>7.7647166700512402</v>
      </c>
      <c r="D770" s="116">
        <v>7.6839414430909896</v>
      </c>
      <c r="E770" s="116">
        <v>7.6839414430909896</v>
      </c>
      <c r="F770" s="116">
        <v>490.25</v>
      </c>
      <c r="G770">
        <v>24219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43137</v>
      </c>
      <c r="B771" s="116">
        <v>7.7647166700512402</v>
      </c>
      <c r="C771" s="116">
        <v>7.6285074638045396</v>
      </c>
      <c r="D771" s="116">
        <v>7.3766788150461302</v>
      </c>
      <c r="E771" s="116">
        <v>7.3806383849951596</v>
      </c>
      <c r="F771" s="116">
        <v>481.65</v>
      </c>
      <c r="G771">
        <v>26302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43138</v>
      </c>
      <c r="B772" s="116">
        <v>8.3689470442734795</v>
      </c>
      <c r="C772" s="116">
        <v>8.1883906545976295</v>
      </c>
      <c r="D772" s="116">
        <v>7.7607571001022002</v>
      </c>
      <c r="E772" s="116">
        <v>8.25174377378214</v>
      </c>
      <c r="F772" s="116">
        <v>517</v>
      </c>
      <c r="G772">
        <v>8197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43139</v>
      </c>
      <c r="B773" s="116">
        <v>9.0072297200573992</v>
      </c>
      <c r="C773" s="116">
        <v>9.0072297200573992</v>
      </c>
      <c r="D773" s="116">
        <v>8.3942882919472801</v>
      </c>
      <c r="E773" s="116">
        <v>8.5368328101124291</v>
      </c>
      <c r="F773" s="116">
        <v>568.70000000000005</v>
      </c>
      <c r="G773">
        <v>14623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43140</v>
      </c>
      <c r="B774" s="116">
        <v>9.7080736010360091</v>
      </c>
      <c r="C774" s="116">
        <v>9.5900784165548707</v>
      </c>
      <c r="D774" s="116">
        <v>8.1068235136475799</v>
      </c>
      <c r="E774" s="116">
        <v>9.3445850797148999</v>
      </c>
      <c r="F774" s="116">
        <v>605.5</v>
      </c>
      <c r="G774">
        <v>29521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43143</v>
      </c>
      <c r="B775" s="116">
        <v>10.0652268104387</v>
      </c>
      <c r="C775" s="116">
        <v>9.6280902880655699</v>
      </c>
      <c r="D775" s="116">
        <v>9.2994459822959392</v>
      </c>
      <c r="E775" s="116">
        <v>10.057307670540601</v>
      </c>
      <c r="F775" s="116">
        <v>607.9</v>
      </c>
      <c r="G775">
        <v>11895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43145</v>
      </c>
      <c r="B776" s="116">
        <v>9.7247037948219504</v>
      </c>
      <c r="C776" s="116">
        <v>9.4372390165222395</v>
      </c>
      <c r="D776" s="116">
        <v>9.3683424994090903</v>
      </c>
      <c r="E776" s="116">
        <v>9.7247037948219504</v>
      </c>
      <c r="F776" s="116">
        <v>595.85</v>
      </c>
      <c r="G776">
        <v>6226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43146</v>
      </c>
      <c r="B777" s="116">
        <v>9.4871295978800401</v>
      </c>
      <c r="C777" s="116">
        <v>9.1671963459982795</v>
      </c>
      <c r="D777" s="116">
        <v>8.9660501925874705</v>
      </c>
      <c r="E777" s="116">
        <v>9.3192438320410993</v>
      </c>
      <c r="F777" s="116">
        <v>578.79999999999995</v>
      </c>
      <c r="G777">
        <v>8770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43147</v>
      </c>
      <c r="B778" s="116">
        <v>9.4649560061654601</v>
      </c>
      <c r="C778" s="116">
        <v>8.7332274795844</v>
      </c>
      <c r="D778" s="116">
        <v>8.7094700598902097</v>
      </c>
      <c r="E778" s="116">
        <v>9.0492011615171304</v>
      </c>
      <c r="F778" s="116">
        <v>551.4</v>
      </c>
      <c r="G778">
        <v>9785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43150</v>
      </c>
      <c r="B779" s="116">
        <v>9.1070108827730003</v>
      </c>
      <c r="C779" s="116">
        <v>8.5938506173784805</v>
      </c>
      <c r="D779" s="116">
        <v>8.3626117323550293</v>
      </c>
      <c r="E779" s="116">
        <v>8.6952156080736902</v>
      </c>
      <c r="F779" s="116">
        <v>542.6</v>
      </c>
      <c r="G779">
        <v>7137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43151</v>
      </c>
      <c r="B780" s="116">
        <v>8.9169515252194707</v>
      </c>
      <c r="C780" s="116">
        <v>8.8631013739126399</v>
      </c>
      <c r="D780" s="116">
        <v>8.25174377378214</v>
      </c>
      <c r="E780" s="116">
        <v>8.5178268743570698</v>
      </c>
      <c r="F780" s="116">
        <v>559.6</v>
      </c>
      <c r="G780">
        <v>7493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43152</v>
      </c>
      <c r="B781" s="116">
        <v>8.9486280848117303</v>
      </c>
      <c r="C781" s="116">
        <v>8.5106996484488207</v>
      </c>
      <c r="D781" s="116">
        <v>8.4418031313356607</v>
      </c>
      <c r="E781" s="116">
        <v>8.6477007686853096</v>
      </c>
      <c r="F781" s="116">
        <v>537.35</v>
      </c>
      <c r="G781">
        <v>6697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43153</v>
      </c>
      <c r="B782" s="116">
        <v>8.5202026163264897</v>
      </c>
      <c r="C782" s="116">
        <v>8.2889637313030402</v>
      </c>
      <c r="D782" s="116">
        <v>8.2200672141898892</v>
      </c>
      <c r="E782" s="116">
        <v>8.4259648515395398</v>
      </c>
      <c r="F782" s="116">
        <v>523.35</v>
      </c>
      <c r="G782">
        <v>3908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43154</v>
      </c>
      <c r="B783" s="116">
        <v>8.5526710899085501</v>
      </c>
      <c r="C783" s="116">
        <v>8.2652063116088499</v>
      </c>
      <c r="D783" s="116">
        <v>8.2359054939860101</v>
      </c>
      <c r="E783" s="116">
        <v>8.5526710899085501</v>
      </c>
      <c r="F783" s="116">
        <v>521.85</v>
      </c>
      <c r="G783">
        <v>6452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43157</v>
      </c>
      <c r="B784" s="116">
        <v>8.67779350029795</v>
      </c>
      <c r="C784" s="116">
        <v>8.5289136702143598</v>
      </c>
      <c r="D784" s="116">
        <v>8.25174377378214</v>
      </c>
      <c r="E784" s="116">
        <v>8.3942882919472801</v>
      </c>
      <c r="F784" s="116">
        <v>538.5</v>
      </c>
      <c r="G784">
        <v>14264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43158</v>
      </c>
      <c r="B785" s="116">
        <v>8.6603713925222099</v>
      </c>
      <c r="C785" s="116">
        <v>8.4623928950706304</v>
      </c>
      <c r="D785" s="116">
        <v>8.4259648515395398</v>
      </c>
      <c r="E785" s="116">
        <v>8.5360408961226195</v>
      </c>
      <c r="F785" s="116">
        <v>534.29999999999995</v>
      </c>
      <c r="G785">
        <v>3959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43159</v>
      </c>
      <c r="B786" s="116">
        <v>8.5352489821328099</v>
      </c>
      <c r="C786" s="116">
        <v>8.4560575831521803</v>
      </c>
      <c r="D786" s="116">
        <v>8.1614655789442203</v>
      </c>
      <c r="E786" s="116">
        <v>8.3942882919472801</v>
      </c>
      <c r="F786" s="116">
        <v>533.9</v>
      </c>
      <c r="G786">
        <v>1214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43160</v>
      </c>
      <c r="B787" s="116">
        <v>8.8781477397189601</v>
      </c>
      <c r="C787" s="116">
        <v>8.8781477397189601</v>
      </c>
      <c r="D787" s="116">
        <v>8.3174726349360704</v>
      </c>
      <c r="E787" s="116">
        <v>8.3174726349360704</v>
      </c>
      <c r="F787" s="116">
        <v>560.54999999999995</v>
      </c>
      <c r="G787">
        <v>14214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43164</v>
      </c>
      <c r="B788" s="116">
        <v>9.3216195740105103</v>
      </c>
      <c r="C788" s="116">
        <v>9.1149300226710608</v>
      </c>
      <c r="D788" s="116">
        <v>8.5526710899085501</v>
      </c>
      <c r="E788" s="116">
        <v>9.1070108827730003</v>
      </c>
      <c r="F788" s="116">
        <v>575.5</v>
      </c>
      <c r="G788">
        <v>28868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43165</v>
      </c>
      <c r="B789" s="116">
        <v>9.2416362610400693</v>
      </c>
      <c r="C789" s="116">
        <v>8.8052916526567806</v>
      </c>
      <c r="D789" s="116">
        <v>8.71105388786982</v>
      </c>
      <c r="E789" s="116">
        <v>9.0975079148953206</v>
      </c>
      <c r="F789" s="116">
        <v>555.95000000000005</v>
      </c>
      <c r="G789">
        <v>3306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43166</v>
      </c>
      <c r="B790" s="116">
        <v>8.7902452868504604</v>
      </c>
      <c r="C790" s="116">
        <v>8.3657793883142606</v>
      </c>
      <c r="D790" s="116">
        <v>8.3657793883142606</v>
      </c>
      <c r="E790" s="116">
        <v>8.4893179707240396</v>
      </c>
      <c r="F790" s="116">
        <v>528.20000000000005</v>
      </c>
      <c r="G790">
        <v>7810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43167</v>
      </c>
      <c r="B791" s="116">
        <v>8.5526710899085501</v>
      </c>
      <c r="C791" s="116">
        <v>8.3871610660390203</v>
      </c>
      <c r="D791" s="116">
        <v>8.0901933198616494</v>
      </c>
      <c r="E791" s="116">
        <v>8.0901933198616494</v>
      </c>
      <c r="F791" s="116">
        <v>529.54999999999995</v>
      </c>
      <c r="G791">
        <v>3579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43168</v>
      </c>
      <c r="B792" s="116">
        <v>8.4734796909279204</v>
      </c>
      <c r="C792" s="116">
        <v>8.2992586131705206</v>
      </c>
      <c r="D792" s="116">
        <v>8.25174377378214</v>
      </c>
      <c r="E792" s="116">
        <v>8.25174377378214</v>
      </c>
      <c r="F792" s="116">
        <v>524</v>
      </c>
      <c r="G792">
        <v>2824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43171</v>
      </c>
      <c r="B793" s="116">
        <v>8.7142215438290496</v>
      </c>
      <c r="C793" s="116">
        <v>8.6572037365629892</v>
      </c>
      <c r="D793" s="116">
        <v>8.2374893219656293</v>
      </c>
      <c r="E793" s="116">
        <v>8.2374893219656293</v>
      </c>
      <c r="F793" s="116">
        <v>546.6</v>
      </c>
      <c r="G793">
        <v>6046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43172</v>
      </c>
      <c r="B794" s="116">
        <v>9.0895887749972495</v>
      </c>
      <c r="C794" s="116">
        <v>9.0808777211093901</v>
      </c>
      <c r="D794" s="116">
        <v>8.5859314774804201</v>
      </c>
      <c r="E794" s="116">
        <v>8.86943668583109</v>
      </c>
      <c r="F794" s="116">
        <v>573.35</v>
      </c>
      <c r="G794">
        <v>12239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43173</v>
      </c>
      <c r="B795" s="116">
        <v>9.0911726029768705</v>
      </c>
      <c r="C795" s="116">
        <v>8.6682905324202792</v>
      </c>
      <c r="D795" s="116">
        <v>8.6271110049503505</v>
      </c>
      <c r="E795" s="116">
        <v>9.0911726029768705</v>
      </c>
      <c r="F795" s="116">
        <v>547.29999999999995</v>
      </c>
      <c r="G795">
        <v>4522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43174</v>
      </c>
      <c r="B796" s="116">
        <v>8.8219218464427094</v>
      </c>
      <c r="C796" s="116">
        <v>8.5764285096027404</v>
      </c>
      <c r="D796" s="116">
        <v>8.4117103997230203</v>
      </c>
      <c r="E796" s="116">
        <v>8.6952156080736902</v>
      </c>
      <c r="F796" s="116">
        <v>541.5</v>
      </c>
      <c r="G796">
        <v>1839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43175</v>
      </c>
      <c r="B797" s="116">
        <v>8.9454604288525008</v>
      </c>
      <c r="C797" s="116">
        <v>8.4196295396210896</v>
      </c>
      <c r="D797" s="116">
        <v>8.3483572805385204</v>
      </c>
      <c r="E797" s="116">
        <v>8.6952156080736902</v>
      </c>
      <c r="F797" s="116">
        <v>531.6</v>
      </c>
      <c r="G797">
        <v>3534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43178</v>
      </c>
      <c r="B798" s="116">
        <v>8.7625282972072291</v>
      </c>
      <c r="C798" s="116">
        <v>8.2414488919146596</v>
      </c>
      <c r="D798" s="116">
        <v>8.1012801157189305</v>
      </c>
      <c r="E798" s="116">
        <v>8.7625282972072291</v>
      </c>
      <c r="F798" s="116">
        <v>520.35</v>
      </c>
      <c r="G798">
        <v>8178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43179</v>
      </c>
      <c r="B799" s="116">
        <v>8.4259648515395398</v>
      </c>
      <c r="C799" s="116">
        <v>8.1986855364651099</v>
      </c>
      <c r="D799" s="116">
        <v>8.1575060089951794</v>
      </c>
      <c r="E799" s="116">
        <v>8.2992586131705206</v>
      </c>
      <c r="F799" s="116">
        <v>517.65</v>
      </c>
      <c r="G799">
        <v>2474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43180</v>
      </c>
      <c r="B800" s="116">
        <v>8.6081050691950001</v>
      </c>
      <c r="C800" s="116">
        <v>8.5518791759187494</v>
      </c>
      <c r="D800" s="116">
        <v>8.1107830835966102</v>
      </c>
      <c r="E800" s="116">
        <v>8.1107830835966102</v>
      </c>
      <c r="F800" s="116">
        <v>539.95000000000005</v>
      </c>
      <c r="G800">
        <v>7659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43181</v>
      </c>
      <c r="B801" s="116">
        <v>8.7902452868504604</v>
      </c>
      <c r="C801" s="116">
        <v>8.3293513447831593</v>
      </c>
      <c r="D801" s="116">
        <v>8.2675820535782698</v>
      </c>
      <c r="E801" s="116">
        <v>8.5518791759187494</v>
      </c>
      <c r="F801" s="116">
        <v>525.9</v>
      </c>
      <c r="G801">
        <v>6565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43182</v>
      </c>
      <c r="B802" s="116">
        <v>8.2675820535782698</v>
      </c>
      <c r="C802" s="116">
        <v>8.2240267841389194</v>
      </c>
      <c r="D802" s="116">
        <v>7.9349781778596</v>
      </c>
      <c r="E802" s="116">
        <v>8.2675820535782698</v>
      </c>
      <c r="F802" s="116">
        <v>519.25</v>
      </c>
      <c r="G802">
        <v>5016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43185</v>
      </c>
      <c r="B803" s="116">
        <v>8.4837745727954008</v>
      </c>
      <c r="C803" s="116">
        <v>8.0775226960247402</v>
      </c>
      <c r="D803" s="116">
        <v>7.9508164576557299</v>
      </c>
      <c r="E803" s="116">
        <v>8.4837745727954008</v>
      </c>
      <c r="F803" s="116">
        <v>510</v>
      </c>
      <c r="G803">
        <v>3490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43186</v>
      </c>
      <c r="B804" s="116">
        <v>8.2596629136802004</v>
      </c>
      <c r="C804" s="116">
        <v>8.1796796007097594</v>
      </c>
      <c r="D804" s="116">
        <v>8.0775226960247402</v>
      </c>
      <c r="E804" s="116">
        <v>8.1567140950053805</v>
      </c>
      <c r="F804" s="116">
        <v>516.45000000000005</v>
      </c>
      <c r="G804">
        <v>2327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43187</v>
      </c>
      <c r="B805" s="116">
        <v>8.2200672141898892</v>
      </c>
      <c r="C805" s="116">
        <v>8.0783146100145498</v>
      </c>
      <c r="D805" s="116">
        <v>7.9999151250237199</v>
      </c>
      <c r="E805" s="116">
        <v>8.09336097582087</v>
      </c>
      <c r="F805" s="116">
        <v>510.05</v>
      </c>
      <c r="G805">
        <v>3085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43192</v>
      </c>
      <c r="B806" s="116">
        <v>8.4821907448157905</v>
      </c>
      <c r="C806" s="116">
        <v>8.4180457116414704</v>
      </c>
      <c r="D806" s="116">
        <v>7.9199318120532798</v>
      </c>
      <c r="E806" s="116">
        <v>7.9199318120532798</v>
      </c>
      <c r="F806" s="116">
        <v>531.5</v>
      </c>
      <c r="G806">
        <v>4862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43193</v>
      </c>
      <c r="B807" s="116">
        <v>8.6160242090930605</v>
      </c>
      <c r="C807" s="116">
        <v>8.3269756028137394</v>
      </c>
      <c r="D807" s="116">
        <v>8.2359054939860101</v>
      </c>
      <c r="E807" s="116">
        <v>8.5518791759187494</v>
      </c>
      <c r="F807" s="116">
        <v>525.75</v>
      </c>
      <c r="G807">
        <v>2249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43194</v>
      </c>
      <c r="B808" s="116">
        <v>8.6001859292969307</v>
      </c>
      <c r="C808" s="116">
        <v>8.3626117323550293</v>
      </c>
      <c r="D808" s="116">
        <v>8.1091992556169998</v>
      </c>
      <c r="E808" s="116">
        <v>8.1091992556169998</v>
      </c>
      <c r="F808" s="116">
        <v>528</v>
      </c>
      <c r="G808">
        <v>2311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43195</v>
      </c>
      <c r="B809" s="116">
        <v>8.6793773282775692</v>
      </c>
      <c r="C809" s="116">
        <v>8.3372704846812304</v>
      </c>
      <c r="D809" s="116">
        <v>8.2359054939860101</v>
      </c>
      <c r="E809" s="116">
        <v>8.6793773282775692</v>
      </c>
      <c r="F809" s="116">
        <v>526.4</v>
      </c>
      <c r="G809">
        <v>7776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43196</v>
      </c>
      <c r="B810" s="116">
        <v>8.5368328101124291</v>
      </c>
      <c r="C810" s="116">
        <v>8.3942882919472801</v>
      </c>
      <c r="D810" s="116">
        <v>8.1567140950053805</v>
      </c>
      <c r="E810" s="116">
        <v>8.5368328101124291</v>
      </c>
      <c r="F810" s="116">
        <v>530</v>
      </c>
      <c r="G810">
        <v>1825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43199</v>
      </c>
      <c r="B811" s="116">
        <v>8.9644663646078495</v>
      </c>
      <c r="C811" s="116">
        <v>8.6944236940838895</v>
      </c>
      <c r="D811" s="116">
        <v>8.3847853240696093</v>
      </c>
      <c r="E811" s="116">
        <v>8.4734796909279204</v>
      </c>
      <c r="F811" s="116">
        <v>548.95000000000005</v>
      </c>
      <c r="G811">
        <v>14887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43200</v>
      </c>
      <c r="B812" s="116">
        <v>9.3113246921430299</v>
      </c>
      <c r="C812" s="116">
        <v>9.1378955283754397</v>
      </c>
      <c r="D812" s="116">
        <v>8.6318624888891904</v>
      </c>
      <c r="E812" s="116">
        <v>8.6318624888891904</v>
      </c>
      <c r="F812" s="116">
        <v>576.95000000000005</v>
      </c>
      <c r="G812">
        <v>11227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43201</v>
      </c>
      <c r="B813" s="116">
        <v>9.3445850797148999</v>
      </c>
      <c r="C813" s="116">
        <v>9.1355197864060198</v>
      </c>
      <c r="D813" s="116">
        <v>8.8931941055252803</v>
      </c>
      <c r="E813" s="116">
        <v>8.8931941055252803</v>
      </c>
      <c r="F813" s="116">
        <v>576.79999999999995</v>
      </c>
      <c r="G813">
        <v>10435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43202</v>
      </c>
      <c r="B814" s="116">
        <v>9.4079381988994104</v>
      </c>
      <c r="C814" s="116">
        <v>9.1363117003958294</v>
      </c>
      <c r="D814" s="116">
        <v>9.0040620640981697</v>
      </c>
      <c r="E814" s="116">
        <v>9.4079381988994104</v>
      </c>
      <c r="F814" s="116">
        <v>576.85</v>
      </c>
      <c r="G814">
        <v>3660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43203</v>
      </c>
      <c r="B815" s="116">
        <v>9.3113246921430299</v>
      </c>
      <c r="C815" s="116">
        <v>9.0840453770686107</v>
      </c>
      <c r="D815" s="116">
        <v>8.8931941055252803</v>
      </c>
      <c r="E815" s="116">
        <v>9.3113246921430299</v>
      </c>
      <c r="F815" s="116">
        <v>573.54999999999995</v>
      </c>
      <c r="G815">
        <v>3172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43206</v>
      </c>
      <c r="B816" s="116">
        <v>9.1070108827730003</v>
      </c>
      <c r="C816" s="116">
        <v>9.1070108827730003</v>
      </c>
      <c r="D816" s="116">
        <v>8.8084593086159995</v>
      </c>
      <c r="E816" s="116">
        <v>9.0737504952011303</v>
      </c>
      <c r="F816" s="116">
        <v>575</v>
      </c>
      <c r="G816">
        <v>4334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43207</v>
      </c>
      <c r="B817" s="116">
        <v>9.2638098527546493</v>
      </c>
      <c r="C817" s="116">
        <v>8.9961429242001092</v>
      </c>
      <c r="D817" s="116">
        <v>8.8092512226058108</v>
      </c>
      <c r="E817" s="116">
        <v>8.8092512226058108</v>
      </c>
      <c r="F817" s="116">
        <v>568</v>
      </c>
      <c r="G817">
        <v>1570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43208</v>
      </c>
      <c r="B818" s="116">
        <v>9.0373224516700397</v>
      </c>
      <c r="C818" s="116">
        <v>8.8179622764936791</v>
      </c>
      <c r="D818" s="116">
        <v>8.7348113075640104</v>
      </c>
      <c r="E818" s="116">
        <v>8.8266733303815492</v>
      </c>
      <c r="F818" s="116">
        <v>556.75</v>
      </c>
      <c r="G818">
        <v>1559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43209</v>
      </c>
      <c r="B819" s="116">
        <v>9.0436577635884898</v>
      </c>
      <c r="C819" s="116">
        <v>8.7276840816557506</v>
      </c>
      <c r="D819" s="116">
        <v>8.4734796909279204</v>
      </c>
      <c r="E819" s="116">
        <v>8.4734796909279204</v>
      </c>
      <c r="F819" s="116">
        <v>551.04999999999995</v>
      </c>
      <c r="G819">
        <v>5499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43210</v>
      </c>
      <c r="B820" s="116">
        <v>8.8678528578514797</v>
      </c>
      <c r="C820" s="116">
        <v>8.7546091573091704</v>
      </c>
      <c r="D820" s="116">
        <v>8.5685093697046799</v>
      </c>
      <c r="E820" s="116">
        <v>8.7118458018596296</v>
      </c>
      <c r="F820" s="116">
        <v>552.75</v>
      </c>
      <c r="G820">
        <v>1568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43213</v>
      </c>
      <c r="B821" s="116">
        <v>8.8678528578514797</v>
      </c>
      <c r="C821" s="116">
        <v>8.7094700598902097</v>
      </c>
      <c r="D821" s="116">
        <v>8.4418031313356607</v>
      </c>
      <c r="E821" s="116">
        <v>8.8678528578514797</v>
      </c>
      <c r="F821" s="116">
        <v>549.9</v>
      </c>
      <c r="G821">
        <v>3498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43214</v>
      </c>
      <c r="B822" s="116">
        <v>8.8599337179534103</v>
      </c>
      <c r="C822" s="116">
        <v>8.6516603386343505</v>
      </c>
      <c r="D822" s="116">
        <v>8.6009778432867403</v>
      </c>
      <c r="E822" s="116">
        <v>8.8599337179534103</v>
      </c>
      <c r="F822" s="116">
        <v>546.25</v>
      </c>
      <c r="G822">
        <v>3232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43215</v>
      </c>
      <c r="B823" s="116">
        <v>8.6793773282775692</v>
      </c>
      <c r="C823" s="116">
        <v>8.3927044639676698</v>
      </c>
      <c r="D823" s="116">
        <v>8.3784500121511591</v>
      </c>
      <c r="E823" s="116">
        <v>8.5526710899085501</v>
      </c>
      <c r="F823" s="116">
        <v>529.9</v>
      </c>
      <c r="G823">
        <v>5648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43216</v>
      </c>
      <c r="B824" s="116">
        <v>8.6785854142877596</v>
      </c>
      <c r="C824" s="116">
        <v>8.1598817509645993</v>
      </c>
      <c r="D824" s="116">
        <v>8.1091992556169998</v>
      </c>
      <c r="E824" s="116">
        <v>8.5526710899085501</v>
      </c>
      <c r="F824" s="116">
        <v>515.20000000000005</v>
      </c>
      <c r="G824">
        <v>8050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43217</v>
      </c>
      <c r="B825" s="116">
        <v>8.3293513447831593</v>
      </c>
      <c r="C825" s="116">
        <v>8.1939340525262807</v>
      </c>
      <c r="D825" s="116">
        <v>8.1250375354131208</v>
      </c>
      <c r="E825" s="116">
        <v>8.1598817509645993</v>
      </c>
      <c r="F825" s="116">
        <v>517.35</v>
      </c>
      <c r="G825">
        <v>7939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43220</v>
      </c>
      <c r="B826" s="116">
        <v>8.6160242090930605</v>
      </c>
      <c r="C826" s="116">
        <v>8.57722042359255</v>
      </c>
      <c r="D826" s="116">
        <v>8.2683739675680705</v>
      </c>
      <c r="E826" s="116">
        <v>8.5051562505201694</v>
      </c>
      <c r="F826" s="116">
        <v>541.54999999999995</v>
      </c>
      <c r="G826">
        <v>3069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43222</v>
      </c>
      <c r="B827" s="116">
        <v>8.4893179707240396</v>
      </c>
      <c r="C827" s="116">
        <v>8.1741362027811206</v>
      </c>
      <c r="D827" s="116">
        <v>8.0062504369421692</v>
      </c>
      <c r="E827" s="116">
        <v>8.4893179707240396</v>
      </c>
      <c r="F827" s="116">
        <v>516.1</v>
      </c>
      <c r="G827">
        <v>3165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43223</v>
      </c>
      <c r="B828" s="116">
        <v>8.9913914402612694</v>
      </c>
      <c r="C828" s="116">
        <v>8.9913914402612694</v>
      </c>
      <c r="D828" s="116">
        <v>8.0505976203713292</v>
      </c>
      <c r="E828" s="116">
        <v>8.2359054939860101</v>
      </c>
      <c r="F828" s="116">
        <v>567.70000000000005</v>
      </c>
      <c r="G828">
        <v>20521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43224</v>
      </c>
      <c r="B829" s="116">
        <v>9.8902138186914694</v>
      </c>
      <c r="C829" s="116">
        <v>9.4499096403591398</v>
      </c>
      <c r="D829" s="116">
        <v>9.1545257221613792</v>
      </c>
      <c r="E829" s="116">
        <v>9.2653936807342596</v>
      </c>
      <c r="F829" s="116">
        <v>596.65</v>
      </c>
      <c r="G829">
        <v>26617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43227</v>
      </c>
      <c r="B830" s="116">
        <v>9.5188061574722997</v>
      </c>
      <c r="C830" s="116">
        <v>8.8813153956781896</v>
      </c>
      <c r="D830" s="116">
        <v>8.8060835666465795</v>
      </c>
      <c r="E830" s="116">
        <v>9.5029678776761699</v>
      </c>
      <c r="F830" s="116">
        <v>560.75</v>
      </c>
      <c r="G830">
        <v>11879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43228</v>
      </c>
      <c r="B831" s="116">
        <v>9.0230679998535201</v>
      </c>
      <c r="C831" s="116">
        <v>8.6983832640329197</v>
      </c>
      <c r="D831" s="116">
        <v>8.6009778432867403</v>
      </c>
      <c r="E831" s="116">
        <v>9.0230679998535201</v>
      </c>
      <c r="F831" s="116">
        <v>549.20000000000005</v>
      </c>
      <c r="G831">
        <v>3517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43229</v>
      </c>
      <c r="B832" s="116">
        <v>9.18620228175363</v>
      </c>
      <c r="C832" s="116">
        <v>8.5629659717760305</v>
      </c>
      <c r="D832" s="116">
        <v>8.4893179707240396</v>
      </c>
      <c r="E832" s="116">
        <v>8.5241621862755199</v>
      </c>
      <c r="F832" s="116">
        <v>540.65</v>
      </c>
      <c r="G832">
        <v>15144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43230</v>
      </c>
      <c r="B833" s="116">
        <v>8.6318624888891904</v>
      </c>
      <c r="C833" s="116">
        <v>8.41883762563128</v>
      </c>
      <c r="D833" s="116">
        <v>8.3158888069564494</v>
      </c>
      <c r="E833" s="116">
        <v>8.4576414111317906</v>
      </c>
      <c r="F833" s="116">
        <v>531.54999999999995</v>
      </c>
      <c r="G833">
        <v>6810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43231</v>
      </c>
      <c r="B834" s="116">
        <v>8.7902452868504604</v>
      </c>
      <c r="C834" s="116">
        <v>8.4877341427444293</v>
      </c>
      <c r="D834" s="116">
        <v>8.3309351727627803</v>
      </c>
      <c r="E834" s="116">
        <v>8.6144403811134502</v>
      </c>
      <c r="F834" s="116">
        <v>535.9</v>
      </c>
      <c r="G834">
        <v>5844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43234</v>
      </c>
      <c r="B835" s="116">
        <v>8.6603713925222099</v>
      </c>
      <c r="C835" s="116">
        <v>8.4037912598249598</v>
      </c>
      <c r="D835" s="116">
        <v>8.3942882919472801</v>
      </c>
      <c r="E835" s="116">
        <v>8.6587875645425996</v>
      </c>
      <c r="F835" s="116">
        <v>530.6</v>
      </c>
      <c r="G835">
        <v>2807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43235</v>
      </c>
      <c r="B836" s="116">
        <v>8.6318624888891904</v>
      </c>
      <c r="C836" s="116">
        <v>8.4164618836618601</v>
      </c>
      <c r="D836" s="116">
        <v>8.4101265717434099</v>
      </c>
      <c r="E836" s="116">
        <v>8.5106996484488207</v>
      </c>
      <c r="F836" s="116">
        <v>531.4</v>
      </c>
      <c r="G836">
        <v>4677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43236</v>
      </c>
      <c r="B837" s="116">
        <v>8.5526710899085501</v>
      </c>
      <c r="C837" s="116">
        <v>8.4125023137128299</v>
      </c>
      <c r="D837" s="116">
        <v>8.3626117323550293</v>
      </c>
      <c r="E837" s="116">
        <v>8.36340364634483</v>
      </c>
      <c r="F837" s="116">
        <v>531.15</v>
      </c>
      <c r="G837">
        <v>2300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43237</v>
      </c>
      <c r="B838" s="116">
        <v>8.4869422287546303</v>
      </c>
      <c r="C838" s="116">
        <v>8.3000505271603302</v>
      </c>
      <c r="D838" s="116">
        <v>8.2834203333743908</v>
      </c>
      <c r="E838" s="116">
        <v>8.3942882919472801</v>
      </c>
      <c r="F838" s="116">
        <v>524.04999999999995</v>
      </c>
      <c r="G838">
        <v>2010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43238</v>
      </c>
      <c r="B839" s="116">
        <v>8.6318624888891904</v>
      </c>
      <c r="C839" s="116">
        <v>8.3602359903856094</v>
      </c>
      <c r="D839" s="116">
        <v>8.2208591281796899</v>
      </c>
      <c r="E839" s="116">
        <v>8.6318624888891904</v>
      </c>
      <c r="F839" s="116">
        <v>527.85</v>
      </c>
      <c r="G839">
        <v>2404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43241</v>
      </c>
      <c r="B840" s="116">
        <v>8.6477007686853096</v>
      </c>
      <c r="C840" s="116">
        <v>7.9642789954824398</v>
      </c>
      <c r="D840" s="116">
        <v>7.7623409280818203</v>
      </c>
      <c r="E840" s="116">
        <v>8.1725523748015103</v>
      </c>
      <c r="F840" s="116">
        <v>502.85</v>
      </c>
      <c r="G840">
        <v>5720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43242</v>
      </c>
      <c r="B841" s="116">
        <v>8.2675820535782698</v>
      </c>
      <c r="C841" s="116">
        <v>7.9341862638697904</v>
      </c>
      <c r="D841" s="116">
        <v>7.8399484990828396</v>
      </c>
      <c r="E841" s="116">
        <v>7.8874633384712203</v>
      </c>
      <c r="F841" s="116">
        <v>500.95</v>
      </c>
      <c r="G841">
        <v>4471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43243</v>
      </c>
      <c r="B842" s="116">
        <v>8.3150968929666504</v>
      </c>
      <c r="C842" s="116">
        <v>8.0236725447179094</v>
      </c>
      <c r="D842" s="116">
        <v>7.9191398980634702</v>
      </c>
      <c r="E842" s="116">
        <v>8.1194941374844802</v>
      </c>
      <c r="F842" s="116">
        <v>506.6</v>
      </c>
      <c r="G842">
        <v>2770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43244</v>
      </c>
      <c r="B843" s="116">
        <v>8.2200672141898892</v>
      </c>
      <c r="C843" s="116">
        <v>7.9595275115435999</v>
      </c>
      <c r="D843" s="116">
        <v>7.7765953798983301</v>
      </c>
      <c r="E843" s="116">
        <v>7.7860983477760097</v>
      </c>
      <c r="F843" s="116">
        <v>502.55</v>
      </c>
      <c r="G843">
        <v>5102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43245</v>
      </c>
      <c r="B844" s="116">
        <v>8.0300078566363595</v>
      </c>
      <c r="C844" s="116">
        <v>7.8486595529707097</v>
      </c>
      <c r="D844" s="116">
        <v>7.8082719394905897</v>
      </c>
      <c r="E844" s="116">
        <v>7.9365620058392103</v>
      </c>
      <c r="F844" s="116">
        <v>495.55</v>
      </c>
      <c r="G844">
        <v>2174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43248</v>
      </c>
      <c r="B845" s="116">
        <v>8.2042289343937593</v>
      </c>
      <c r="C845" s="116">
        <v>8.1828472566689907</v>
      </c>
      <c r="D845" s="116">
        <v>7.7765953798983301</v>
      </c>
      <c r="E845" s="116">
        <v>7.9967474690645002</v>
      </c>
      <c r="F845" s="116">
        <v>516.65</v>
      </c>
      <c r="G845">
        <v>4335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43249</v>
      </c>
      <c r="B846" s="116">
        <v>7.36638393317864</v>
      </c>
      <c r="C846" s="116">
        <v>7.3648001051990297</v>
      </c>
      <c r="D846" s="116">
        <v>7.3648001051990297</v>
      </c>
      <c r="E846" s="116">
        <v>7.36638393317864</v>
      </c>
      <c r="F846" s="116">
        <v>465</v>
      </c>
      <c r="G846">
        <v>7711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43250</v>
      </c>
      <c r="B847" s="116">
        <v>7.0797110688687503</v>
      </c>
      <c r="C847" s="116">
        <v>6.7550263330481402</v>
      </c>
      <c r="D847" s="116">
        <v>6.6283200946791299</v>
      </c>
      <c r="E847" s="116">
        <v>6.6283200946791299</v>
      </c>
      <c r="F847" s="116">
        <v>426.5</v>
      </c>
      <c r="G847">
        <v>26475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43251</v>
      </c>
      <c r="B848" s="116">
        <v>6.8896517113152198</v>
      </c>
      <c r="C848" s="116">
        <v>6.7003842677515104</v>
      </c>
      <c r="D848" s="116">
        <v>6.4034165215741297</v>
      </c>
      <c r="E848" s="116">
        <v>6.7629454729462104</v>
      </c>
      <c r="F848" s="116">
        <v>423.05</v>
      </c>
      <c r="G848">
        <v>11446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43252</v>
      </c>
      <c r="B849" s="116">
        <v>6.8579751517229699</v>
      </c>
      <c r="C849" s="116">
        <v>6.6283200946791299</v>
      </c>
      <c r="D849" s="116">
        <v>6.5752618573620998</v>
      </c>
      <c r="E849" s="116">
        <v>6.7312689133539498</v>
      </c>
      <c r="F849" s="116">
        <v>418.5</v>
      </c>
      <c r="G849">
        <v>12616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43255</v>
      </c>
      <c r="B850" s="116">
        <v>6.7154306335578298</v>
      </c>
      <c r="C850" s="116">
        <v>6.0652692479268104</v>
      </c>
      <c r="D850" s="116">
        <v>5.9654880852112102</v>
      </c>
      <c r="E850" s="116">
        <v>6.4303415972275397</v>
      </c>
      <c r="F850" s="116">
        <v>382.95</v>
      </c>
      <c r="G850">
        <v>21579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43256</v>
      </c>
      <c r="B851" s="116">
        <v>6.26879114330705</v>
      </c>
      <c r="C851" s="116">
        <v>5.76275810382079</v>
      </c>
      <c r="D851" s="116">
        <v>5.76275810382079</v>
      </c>
      <c r="E851" s="116">
        <v>6.26879114330705</v>
      </c>
      <c r="F851" s="116">
        <v>363.85</v>
      </c>
      <c r="G851">
        <v>9240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43257</v>
      </c>
      <c r="B852" s="116">
        <v>6.0502228821204902</v>
      </c>
      <c r="C852" s="116">
        <v>6.0193382365180499</v>
      </c>
      <c r="D852" s="116">
        <v>5.4752933255210898</v>
      </c>
      <c r="E852" s="116">
        <v>5.4752933255210898</v>
      </c>
      <c r="F852" s="116">
        <v>380.05</v>
      </c>
      <c r="G852">
        <v>11971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43258</v>
      </c>
      <c r="B853" s="116">
        <v>6.32026555264446</v>
      </c>
      <c r="C853" s="116">
        <v>6.2973000469400704</v>
      </c>
      <c r="D853" s="116">
        <v>6.1294142811011296</v>
      </c>
      <c r="E853" s="116">
        <v>6.2719587992662698</v>
      </c>
      <c r="F853" s="116">
        <v>397.6</v>
      </c>
      <c r="G853">
        <v>7128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43259</v>
      </c>
      <c r="B854" s="116">
        <v>6.4461798770236696</v>
      </c>
      <c r="C854" s="116">
        <v>6.4034165215741297</v>
      </c>
      <c r="D854" s="116">
        <v>6.1151598292846101</v>
      </c>
      <c r="E854" s="116">
        <v>6.4145033174314099</v>
      </c>
      <c r="F854" s="116">
        <v>404.3</v>
      </c>
      <c r="G854">
        <v>4098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43262</v>
      </c>
      <c r="B855" s="116">
        <v>6.6916732138636403</v>
      </c>
      <c r="C855" s="116">
        <v>6.5269551039839202</v>
      </c>
      <c r="D855" s="116">
        <v>6.09932154948849</v>
      </c>
      <c r="E855" s="116">
        <v>6.3986650376352898</v>
      </c>
      <c r="F855" s="116">
        <v>412.1</v>
      </c>
      <c r="G855">
        <v>6357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43263</v>
      </c>
      <c r="B856" s="116">
        <v>6.7787837527423296</v>
      </c>
      <c r="C856" s="116">
        <v>6.7320608273437603</v>
      </c>
      <c r="D856" s="116">
        <v>6.6481179444242899</v>
      </c>
      <c r="E856" s="116">
        <v>6.7051357516903396</v>
      </c>
      <c r="F856" s="116">
        <v>425.05</v>
      </c>
      <c r="G856">
        <v>3360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43264</v>
      </c>
      <c r="B857" s="116">
        <v>6.9324150667647704</v>
      </c>
      <c r="C857" s="116">
        <v>6.7811594947117504</v>
      </c>
      <c r="D857" s="116">
        <v>6.6401988045262197</v>
      </c>
      <c r="E857" s="116">
        <v>6.6401988045262197</v>
      </c>
      <c r="F857" s="116">
        <v>428.15</v>
      </c>
      <c r="G857">
        <v>2412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43265</v>
      </c>
      <c r="B858" s="116">
        <v>7.0361557994293999</v>
      </c>
      <c r="C858" s="116">
        <v>6.4422203070746402</v>
      </c>
      <c r="D858" s="116">
        <v>6.4422203070746402</v>
      </c>
      <c r="E858" s="116">
        <v>7.0361557994293999</v>
      </c>
      <c r="F858" s="116">
        <v>406.75</v>
      </c>
      <c r="G858">
        <v>11321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43266</v>
      </c>
      <c r="B859" s="116">
        <v>6.4667696407586304</v>
      </c>
      <c r="C859" s="116">
        <v>6.3075949288075597</v>
      </c>
      <c r="D859" s="116">
        <v>6.1207032272132604</v>
      </c>
      <c r="E859" s="116">
        <v>6.1777210344793199</v>
      </c>
      <c r="F859" s="116">
        <v>398.25</v>
      </c>
      <c r="G859">
        <v>5747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43269</v>
      </c>
      <c r="B860" s="116">
        <v>6.2711668852764602</v>
      </c>
      <c r="C860" s="116">
        <v>6.0961538935292596</v>
      </c>
      <c r="D860" s="116">
        <v>6.0581420220185596</v>
      </c>
      <c r="E860" s="116">
        <v>6.1769291204895103</v>
      </c>
      <c r="F860" s="116">
        <v>384.9</v>
      </c>
      <c r="G860">
        <v>2534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43270</v>
      </c>
      <c r="B861" s="116">
        <v>6.1959350562448599</v>
      </c>
      <c r="C861" s="116">
        <v>5.9765748810685002</v>
      </c>
      <c r="D861" s="116">
        <v>5.8918400841592202</v>
      </c>
      <c r="E861" s="116">
        <v>6.0502228821204902</v>
      </c>
      <c r="F861" s="116">
        <v>377.35</v>
      </c>
      <c r="G861">
        <v>1525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43271</v>
      </c>
      <c r="B862" s="116">
        <v>6.0818994417127499</v>
      </c>
      <c r="C862" s="116">
        <v>5.9536093753641204</v>
      </c>
      <c r="D862" s="116">
        <v>5.7801802115965302</v>
      </c>
      <c r="E862" s="116">
        <v>5.9076783639553501</v>
      </c>
      <c r="F862" s="116">
        <v>375.9</v>
      </c>
      <c r="G862">
        <v>3728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43272</v>
      </c>
      <c r="B863" s="116">
        <v>6.0803156137331396</v>
      </c>
      <c r="C863" s="116">
        <v>5.7556308779125303</v>
      </c>
      <c r="D863" s="116">
        <v>5.7017807266057003</v>
      </c>
      <c r="E863" s="116">
        <v>6.0114190966199796</v>
      </c>
      <c r="F863" s="116">
        <v>363.4</v>
      </c>
      <c r="G863">
        <v>2196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43273</v>
      </c>
      <c r="B864" s="116">
        <v>5.7968104053824598</v>
      </c>
      <c r="C864" s="116">
        <v>5.7374168561469903</v>
      </c>
      <c r="D864" s="116">
        <v>5.5433979286444304</v>
      </c>
      <c r="E864" s="116">
        <v>5.7017807266057003</v>
      </c>
      <c r="F864" s="116">
        <v>362.25</v>
      </c>
      <c r="G864">
        <v>2308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43276</v>
      </c>
      <c r="B865" s="116">
        <v>5.9852859349563703</v>
      </c>
      <c r="C865" s="116">
        <v>5.5299353908177196</v>
      </c>
      <c r="D865" s="116">
        <v>5.5038022291541102</v>
      </c>
      <c r="E865" s="116">
        <v>5.7176190064018302</v>
      </c>
      <c r="F865" s="116">
        <v>349.15</v>
      </c>
      <c r="G865">
        <v>2981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43277</v>
      </c>
      <c r="B866" s="116">
        <v>5.8047295452805301</v>
      </c>
      <c r="C866" s="116">
        <v>5.6764394789318997</v>
      </c>
      <c r="D866" s="116">
        <v>5.3153266995801998</v>
      </c>
      <c r="E866" s="116">
        <v>5.5053860571337303</v>
      </c>
      <c r="F866" s="116">
        <v>358.4</v>
      </c>
      <c r="G866">
        <v>5336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43278</v>
      </c>
      <c r="B867" s="116">
        <v>5.9393549235476097</v>
      </c>
      <c r="C867" s="116">
        <v>5.3929342705812298</v>
      </c>
      <c r="D867" s="116">
        <v>5.3929342705812298</v>
      </c>
      <c r="E867" s="116">
        <v>5.85857969658736</v>
      </c>
      <c r="F867" s="116">
        <v>340.5</v>
      </c>
      <c r="G867">
        <v>7573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43279</v>
      </c>
      <c r="B868" s="116">
        <v>5.4942992612764403</v>
      </c>
      <c r="C868" s="116">
        <v>5.1973315150990604</v>
      </c>
      <c r="D868" s="116">
        <v>5.1640711275271904</v>
      </c>
      <c r="E868" s="116">
        <v>5.3691768508870403</v>
      </c>
      <c r="F868" s="116">
        <v>328.15</v>
      </c>
      <c r="G868">
        <v>2305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43280</v>
      </c>
      <c r="B869" s="116">
        <v>5.4475763358778604</v>
      </c>
      <c r="C869" s="116">
        <v>5.3612577109889701</v>
      </c>
      <c r="D869" s="116">
        <v>5.1474409337412599</v>
      </c>
      <c r="E869" s="116">
        <v>5.2741471721102702</v>
      </c>
      <c r="F869" s="116">
        <v>338.5</v>
      </c>
      <c r="G869">
        <v>2119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43283</v>
      </c>
      <c r="B870" s="116">
        <v>5.4642065296637998</v>
      </c>
      <c r="C870" s="116">
        <v>5.3192862695292398</v>
      </c>
      <c r="D870" s="116">
        <v>5.3058237317025299</v>
      </c>
      <c r="E870" s="116">
        <v>5.3691768508870403</v>
      </c>
      <c r="F870" s="116">
        <v>335.85</v>
      </c>
      <c r="G870">
        <v>1395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43284</v>
      </c>
      <c r="B871" s="116">
        <v>5.3802636467443197</v>
      </c>
      <c r="C871" s="116">
        <v>5.25672506433453</v>
      </c>
      <c r="D871" s="116">
        <v>5.1490247617208702</v>
      </c>
      <c r="E871" s="116">
        <v>5.3802636467443197</v>
      </c>
      <c r="F871" s="116">
        <v>331.9</v>
      </c>
      <c r="G871">
        <v>3151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43285</v>
      </c>
      <c r="B872" s="116">
        <v>5.3216620114986499</v>
      </c>
      <c r="C872" s="116">
        <v>5.3034479897331099</v>
      </c>
      <c r="D872" s="116">
        <v>5.0840878145567503</v>
      </c>
      <c r="E872" s="116">
        <v>5.2741471721102702</v>
      </c>
      <c r="F872" s="116">
        <v>334.85</v>
      </c>
      <c r="G872">
        <v>3279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43286</v>
      </c>
      <c r="B873" s="116">
        <v>5.5196405089502401</v>
      </c>
      <c r="C873" s="116">
        <v>5.2329676446403397</v>
      </c>
      <c r="D873" s="116">
        <v>5.1791174933335098</v>
      </c>
      <c r="E873" s="116">
        <v>5.1791174933335098</v>
      </c>
      <c r="F873" s="116">
        <v>330.4</v>
      </c>
      <c r="G873">
        <v>2674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43287</v>
      </c>
      <c r="B874" s="116">
        <v>5.3375002912947798</v>
      </c>
      <c r="C874" s="116">
        <v>5.2297999886811199</v>
      </c>
      <c r="D874" s="116">
        <v>5.0444921150664301</v>
      </c>
      <c r="E874" s="116">
        <v>5.2266323327218904</v>
      </c>
      <c r="F874" s="116">
        <v>330.2</v>
      </c>
      <c r="G874">
        <v>3472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43290</v>
      </c>
      <c r="B875" s="116">
        <v>5.4087725503773498</v>
      </c>
      <c r="C875" s="116">
        <v>5.3470032591724603</v>
      </c>
      <c r="D875" s="116">
        <v>5.2448463544874402</v>
      </c>
      <c r="E875" s="116">
        <v>5.3770959907850999</v>
      </c>
      <c r="F875" s="116">
        <v>337.6</v>
      </c>
      <c r="G875">
        <v>1122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43291</v>
      </c>
      <c r="B876" s="116">
        <v>5.5909127680328101</v>
      </c>
      <c r="C876" s="116">
        <v>5.3794717327545198</v>
      </c>
      <c r="D876" s="116">
        <v>5.2448463544874402</v>
      </c>
      <c r="E876" s="116">
        <v>5.4642065296637998</v>
      </c>
      <c r="F876" s="116">
        <v>339.65</v>
      </c>
      <c r="G876">
        <v>2427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43292</v>
      </c>
      <c r="B877" s="116">
        <v>5.4721256695618603</v>
      </c>
      <c r="C877" s="116">
        <v>5.2123778809053798</v>
      </c>
      <c r="D877" s="116">
        <v>5.1474409337412599</v>
      </c>
      <c r="E877" s="116">
        <v>5.3850151306831604</v>
      </c>
      <c r="F877" s="116">
        <v>329.1</v>
      </c>
      <c r="G877">
        <v>2879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43293</v>
      </c>
      <c r="B878" s="116">
        <v>5.3850151306831604</v>
      </c>
      <c r="C878" s="116">
        <v>5.1062614062713303</v>
      </c>
      <c r="D878" s="116">
        <v>4.9890581357799899</v>
      </c>
      <c r="E878" s="116">
        <v>5.1949557731296396</v>
      </c>
      <c r="F878" s="116">
        <v>322.39999999999998</v>
      </c>
      <c r="G878">
        <v>2565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43294</v>
      </c>
      <c r="B879" s="116">
        <v>5.18703663323158</v>
      </c>
      <c r="C879" s="116">
        <v>5.0690414487504301</v>
      </c>
      <c r="D879" s="116">
        <v>4.9969772756780504</v>
      </c>
      <c r="E879" s="116">
        <v>5.1474409337412599</v>
      </c>
      <c r="F879" s="116">
        <v>320.05</v>
      </c>
      <c r="G879">
        <v>1283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43297</v>
      </c>
      <c r="B880" s="116">
        <v>5.1775336653539004</v>
      </c>
      <c r="C880" s="116">
        <v>4.8441378756454299</v>
      </c>
      <c r="D880" s="116">
        <v>4.8211723699410403</v>
      </c>
      <c r="E880" s="116">
        <v>5.1775336653539004</v>
      </c>
      <c r="F880" s="116">
        <v>305.85000000000002</v>
      </c>
      <c r="G880">
        <v>2811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43298</v>
      </c>
      <c r="B881" s="116">
        <v>5.0682495347606196</v>
      </c>
      <c r="C881" s="116">
        <v>4.9581734901775398</v>
      </c>
      <c r="D881" s="116">
        <v>4.7514839388380796</v>
      </c>
      <c r="E881" s="116">
        <v>4.7514839388380796</v>
      </c>
      <c r="F881" s="116">
        <v>313.05</v>
      </c>
      <c r="G881">
        <v>2627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43299</v>
      </c>
      <c r="B882" s="116">
        <v>5.0033125875964997</v>
      </c>
      <c r="C882" s="116">
        <v>4.7134720673273804</v>
      </c>
      <c r="D882" s="116">
        <v>4.71030441136815</v>
      </c>
      <c r="E882" s="116">
        <v>4.8306753378187199</v>
      </c>
      <c r="F882" s="116">
        <v>297.60000000000002</v>
      </c>
      <c r="G882">
        <v>3119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43300</v>
      </c>
      <c r="B883" s="116">
        <v>4.7198073792458297</v>
      </c>
      <c r="C883" s="116">
        <v>4.4782736123548901</v>
      </c>
      <c r="D883" s="116">
        <v>4.4782736123548901</v>
      </c>
      <c r="E883" s="116">
        <v>4.7198073792458297</v>
      </c>
      <c r="F883" s="116">
        <v>282.75</v>
      </c>
      <c r="G883">
        <v>4330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43301</v>
      </c>
      <c r="B884" s="116">
        <v>4.55825692532534</v>
      </c>
      <c r="C884" s="116">
        <v>4.3388967501489804</v>
      </c>
      <c r="D884" s="116">
        <v>4.2549538672295002</v>
      </c>
      <c r="E884" s="116">
        <v>4.35552694393491</v>
      </c>
      <c r="F884" s="116">
        <v>273.95</v>
      </c>
      <c r="G884">
        <v>10273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43304</v>
      </c>
      <c r="B885" s="116">
        <v>4.5550892693661096</v>
      </c>
      <c r="C885" s="116">
        <v>4.5550892693661096</v>
      </c>
      <c r="D885" s="116">
        <v>4.1654675863813901</v>
      </c>
      <c r="E885" s="116">
        <v>4.3088040185363399</v>
      </c>
      <c r="F885" s="116">
        <v>287.60000000000002</v>
      </c>
      <c r="G885">
        <v>5955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43305</v>
      </c>
      <c r="B886" s="116">
        <v>4.7823685844405297</v>
      </c>
      <c r="C886" s="116">
        <v>4.7823685844405297</v>
      </c>
      <c r="D886" s="116">
        <v>4.6928823035924196</v>
      </c>
      <c r="E886" s="116">
        <v>4.7198073792458297</v>
      </c>
      <c r="F886" s="116">
        <v>301.95</v>
      </c>
      <c r="G886">
        <v>3811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43306</v>
      </c>
      <c r="B887" s="116">
        <v>5.0207346953722398</v>
      </c>
      <c r="C887" s="116">
        <v>5.0207346953722398</v>
      </c>
      <c r="D887" s="116">
        <v>4.8465136176148498</v>
      </c>
      <c r="E887" s="116">
        <v>4.8465136176148498</v>
      </c>
      <c r="F887" s="116">
        <v>317</v>
      </c>
      <c r="G887">
        <v>6024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43307</v>
      </c>
      <c r="B888" s="116">
        <v>5.2717714301408503</v>
      </c>
      <c r="C888" s="116">
        <v>5.2717714301408503</v>
      </c>
      <c r="D888" s="116">
        <v>5.2282161607015096</v>
      </c>
      <c r="E888" s="116">
        <v>5.2717714301408503</v>
      </c>
      <c r="F888" s="116">
        <v>332.85</v>
      </c>
      <c r="G888">
        <v>3037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43308</v>
      </c>
      <c r="B889" s="116">
        <v>5.5346868747565603</v>
      </c>
      <c r="C889" s="116">
        <v>5.00885598552515</v>
      </c>
      <c r="D889" s="116">
        <v>5.00885598552515</v>
      </c>
      <c r="E889" s="116">
        <v>5.5346868747565603</v>
      </c>
      <c r="F889" s="116">
        <v>316.25</v>
      </c>
      <c r="G889">
        <v>47411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43311</v>
      </c>
      <c r="B890" s="116">
        <v>4.8314672518085304</v>
      </c>
      <c r="C890" s="116">
        <v>4.7586111647463403</v>
      </c>
      <c r="D890" s="116">
        <v>4.7586111647463403</v>
      </c>
      <c r="E890" s="116">
        <v>4.81721279999201</v>
      </c>
      <c r="F890" s="116">
        <v>300.45</v>
      </c>
      <c r="G890">
        <v>12777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43312</v>
      </c>
      <c r="B891" s="116">
        <v>4.9961853616882497</v>
      </c>
      <c r="C891" s="116">
        <v>4.9375837264425799</v>
      </c>
      <c r="D891" s="116">
        <v>4.6263615284486796</v>
      </c>
      <c r="E891" s="116">
        <v>4.8924446290236103</v>
      </c>
      <c r="F891" s="116">
        <v>311.75</v>
      </c>
      <c r="G891">
        <v>5416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43313</v>
      </c>
      <c r="B892" s="116">
        <v>4.8781901772070997</v>
      </c>
      <c r="C892" s="116">
        <v>4.71426398131719</v>
      </c>
      <c r="D892" s="116">
        <v>4.6912984756127996</v>
      </c>
      <c r="E892" s="116">
        <v>4.8781901772070997</v>
      </c>
      <c r="F892" s="116">
        <v>297.64999999999998</v>
      </c>
      <c r="G892">
        <v>8697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43314</v>
      </c>
      <c r="B893" s="116">
        <v>4.8465136176148498</v>
      </c>
      <c r="C893" s="116">
        <v>4.7760332725220804</v>
      </c>
      <c r="D893" s="116">
        <v>4.4822331823039301</v>
      </c>
      <c r="E893" s="116">
        <v>4.5851820009787501</v>
      </c>
      <c r="F893" s="116">
        <v>301.55</v>
      </c>
      <c r="G893">
        <v>4633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43315</v>
      </c>
      <c r="B894" s="116">
        <v>5.0143993834537897</v>
      </c>
      <c r="C894" s="116">
        <v>4.8409702196862003</v>
      </c>
      <c r="D894" s="116">
        <v>4.7673222186342104</v>
      </c>
      <c r="E894" s="116">
        <v>5.0143993834537897</v>
      </c>
      <c r="F894" s="116">
        <v>305.64999999999998</v>
      </c>
      <c r="G894">
        <v>15816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43318</v>
      </c>
      <c r="B895" s="116">
        <v>4.9003637689216797</v>
      </c>
      <c r="C895" s="116">
        <v>4.8195885419614299</v>
      </c>
      <c r="D895" s="116">
        <v>4.8164208860022004</v>
      </c>
      <c r="E895" s="116">
        <v>4.8623518974109698</v>
      </c>
      <c r="F895" s="116">
        <v>304.3</v>
      </c>
      <c r="G895">
        <v>2016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43319</v>
      </c>
      <c r="B896" s="116">
        <v>4.8623518974109698</v>
      </c>
      <c r="C896" s="116">
        <v>4.8441378756454299</v>
      </c>
      <c r="D896" s="116">
        <v>4.7689060466138198</v>
      </c>
      <c r="E896" s="116">
        <v>4.8306753378187199</v>
      </c>
      <c r="F896" s="116">
        <v>305.85000000000002</v>
      </c>
      <c r="G896">
        <v>2397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43320</v>
      </c>
      <c r="B897" s="116">
        <v>5.1474409337412599</v>
      </c>
      <c r="C897" s="116">
        <v>4.8536408435230998</v>
      </c>
      <c r="D897" s="116">
        <v>4.8306753378187199</v>
      </c>
      <c r="E897" s="116">
        <v>5.1379379658635802</v>
      </c>
      <c r="F897" s="116">
        <v>306.45</v>
      </c>
      <c r="G897">
        <v>1710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43321</v>
      </c>
      <c r="B898" s="116">
        <v>5.02707000729069</v>
      </c>
      <c r="C898" s="116">
        <v>4.8409702196862003</v>
      </c>
      <c r="D898" s="116">
        <v>4.8306753378187199</v>
      </c>
      <c r="E898" s="116">
        <v>5.02707000729069</v>
      </c>
      <c r="F898" s="116">
        <v>305.64999999999998</v>
      </c>
      <c r="G898">
        <v>3907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43322</v>
      </c>
      <c r="B899" s="116">
        <v>4.96450880209599</v>
      </c>
      <c r="C899" s="116">
        <v>4.8599761554415499</v>
      </c>
      <c r="D899" s="116">
        <v>4.8005826062060803</v>
      </c>
      <c r="E899" s="116">
        <v>4.8005826062060803</v>
      </c>
      <c r="F899" s="116">
        <v>306.85000000000002</v>
      </c>
      <c r="G899">
        <v>1106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43325</v>
      </c>
      <c r="B900" s="116">
        <v>4.8861093171051602</v>
      </c>
      <c r="C900" s="116">
        <v>4.8298834238289103</v>
      </c>
      <c r="D900" s="116">
        <v>4.7673222186342104</v>
      </c>
      <c r="E900" s="116">
        <v>4.8781901772070997</v>
      </c>
      <c r="F900" s="116">
        <v>304.95</v>
      </c>
      <c r="G900">
        <v>6438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43326</v>
      </c>
      <c r="B901" s="116">
        <v>4.9407513824017997</v>
      </c>
      <c r="C901" s="116">
        <v>4.9098667367993496</v>
      </c>
      <c r="D901" s="116">
        <v>4.8298834238289103</v>
      </c>
      <c r="E901" s="116">
        <v>4.8298834238289103</v>
      </c>
      <c r="F901" s="116">
        <v>310</v>
      </c>
      <c r="G901">
        <v>2199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43328</v>
      </c>
      <c r="B902" s="116">
        <v>4.9653007160857996</v>
      </c>
      <c r="C902" s="116">
        <v>4.8267157678696897</v>
      </c>
      <c r="D902" s="116">
        <v>4.7831604984303402</v>
      </c>
      <c r="E902" s="116">
        <v>4.8465136176148498</v>
      </c>
      <c r="F902" s="116">
        <v>304.75</v>
      </c>
      <c r="G902">
        <v>3639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43329</v>
      </c>
      <c r="B903" s="116">
        <v>4.9890581357799899</v>
      </c>
      <c r="C903" s="116">
        <v>4.8322591657983303</v>
      </c>
      <c r="D903" s="116">
        <v>4.7958311222672396</v>
      </c>
      <c r="E903" s="116">
        <v>4.7958311222672396</v>
      </c>
      <c r="F903" s="116">
        <v>305.10000000000002</v>
      </c>
      <c r="G903">
        <v>2967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43332</v>
      </c>
      <c r="B904" s="116">
        <v>4.9415432963916102</v>
      </c>
      <c r="C904" s="116">
        <v>4.8583923274619396</v>
      </c>
      <c r="D904" s="116">
        <v>4.8005826062060803</v>
      </c>
      <c r="E904" s="116">
        <v>4.8005826062060803</v>
      </c>
      <c r="F904" s="116">
        <v>306.75</v>
      </c>
      <c r="G904">
        <v>835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43333</v>
      </c>
      <c r="B905" s="116">
        <v>4.9336241564935399</v>
      </c>
      <c r="C905" s="116">
        <v>4.8298834238289103</v>
      </c>
      <c r="D905" s="116">
        <v>4.8148370580225901</v>
      </c>
      <c r="E905" s="116">
        <v>4.8385944777167804</v>
      </c>
      <c r="F905" s="116">
        <v>304.95</v>
      </c>
      <c r="G905">
        <v>2519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43335</v>
      </c>
      <c r="B906" s="116">
        <v>4.8465136176148498</v>
      </c>
      <c r="C906" s="116">
        <v>4.60973133466275</v>
      </c>
      <c r="D906" s="116">
        <v>4.5297480216923098</v>
      </c>
      <c r="E906" s="116">
        <v>4.8005826062060803</v>
      </c>
      <c r="F906" s="116">
        <v>291.05</v>
      </c>
      <c r="G906">
        <v>3663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43336</v>
      </c>
      <c r="B907" s="116">
        <v>4.8148370580225901</v>
      </c>
      <c r="C907" s="116">
        <v>4.6287372704180996</v>
      </c>
      <c r="D907" s="116">
        <v>4.5614245812845597</v>
      </c>
      <c r="E907" s="116">
        <v>4.5614245812845597</v>
      </c>
      <c r="F907" s="116">
        <v>292.25</v>
      </c>
      <c r="G907">
        <v>1018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43339</v>
      </c>
      <c r="B908" s="116">
        <v>4.8148370580225901</v>
      </c>
      <c r="C908" s="116">
        <v>4.7134720673273804</v>
      </c>
      <c r="D908" s="116">
        <v>4.5931011408768203</v>
      </c>
      <c r="E908" s="116">
        <v>4.5931011408768203</v>
      </c>
      <c r="F908" s="116">
        <v>297.60000000000002</v>
      </c>
      <c r="G908">
        <v>2371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43340</v>
      </c>
      <c r="B909" s="116">
        <v>4.67229253985745</v>
      </c>
      <c r="C909" s="116">
        <v>4.6342806683467499</v>
      </c>
      <c r="D909" s="116">
        <v>4.5931011408768203</v>
      </c>
      <c r="E909" s="116">
        <v>4.67229253985745</v>
      </c>
      <c r="F909" s="116">
        <v>292.60000000000002</v>
      </c>
      <c r="G909">
        <v>4363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43341</v>
      </c>
      <c r="B910" s="116">
        <v>4.67229253985745</v>
      </c>
      <c r="C910" s="116">
        <v>4.5748871191112697</v>
      </c>
      <c r="D910" s="116">
        <v>4.5614245812845597</v>
      </c>
      <c r="E910" s="116">
        <v>4.6247777004690702</v>
      </c>
      <c r="F910" s="116">
        <v>288.85000000000002</v>
      </c>
      <c r="G910">
        <v>1166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43342</v>
      </c>
      <c r="B911" s="116">
        <v>4.6556623460715203</v>
      </c>
      <c r="C911" s="116">
        <v>4.5931011408768203</v>
      </c>
      <c r="D911" s="116">
        <v>4.3990822133742604</v>
      </c>
      <c r="E911" s="116">
        <v>4.5772628610806896</v>
      </c>
      <c r="F911" s="116">
        <v>290</v>
      </c>
      <c r="G911">
        <v>1056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43343</v>
      </c>
      <c r="B912" s="116">
        <v>4.7514839388380796</v>
      </c>
      <c r="C912" s="116">
        <v>4.4418455688238003</v>
      </c>
      <c r="D912" s="116">
        <v>4.35552694393491</v>
      </c>
      <c r="E912" s="116">
        <v>4.7514839388380796</v>
      </c>
      <c r="F912" s="116">
        <v>280.45</v>
      </c>
      <c r="G912">
        <v>2824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43346</v>
      </c>
      <c r="B913" s="116">
        <v>4.5772628610806896</v>
      </c>
      <c r="C913" s="116">
        <v>4.2280287915760901</v>
      </c>
      <c r="D913" s="116">
        <v>4.1971441459736401</v>
      </c>
      <c r="E913" s="116">
        <v>4.4347183429155503</v>
      </c>
      <c r="F913" s="116">
        <v>266.95</v>
      </c>
      <c r="G913">
        <v>2885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43347</v>
      </c>
      <c r="B914" s="116">
        <v>4.2763355449542804</v>
      </c>
      <c r="C914" s="116">
        <v>4.0648945096759803</v>
      </c>
      <c r="D914" s="116">
        <v>3.9437316692356101</v>
      </c>
      <c r="E914" s="116">
        <v>4.2446589853620198</v>
      </c>
      <c r="F914" s="116">
        <v>256.64999999999998</v>
      </c>
      <c r="G914">
        <v>7747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43348</v>
      </c>
      <c r="B915" s="116">
        <v>4.25970535116834</v>
      </c>
      <c r="C915" s="116">
        <v>4.0545996278084999</v>
      </c>
      <c r="D915" s="116">
        <v>4.0545996278084999</v>
      </c>
      <c r="E915" s="116">
        <v>4.0862761874007498</v>
      </c>
      <c r="F915" s="116">
        <v>256</v>
      </c>
      <c r="G915">
        <v>1451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43349</v>
      </c>
      <c r="B916" s="116">
        <v>4.2604972651581496</v>
      </c>
      <c r="C916" s="116">
        <v>4.1860573501163501</v>
      </c>
      <c r="D916" s="116">
        <v>4.0561834557881102</v>
      </c>
      <c r="E916" s="116">
        <v>4.0569753697779198</v>
      </c>
      <c r="F916" s="116">
        <v>264.3</v>
      </c>
      <c r="G916">
        <v>789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43350</v>
      </c>
      <c r="B917" s="116">
        <v>4.4022498693334802</v>
      </c>
      <c r="C917" s="116">
        <v>4.1337910267891296</v>
      </c>
      <c r="D917" s="116">
        <v>3.9437316692356101</v>
      </c>
      <c r="E917" s="116">
        <v>4.4022498693334802</v>
      </c>
      <c r="F917" s="116">
        <v>261</v>
      </c>
      <c r="G917">
        <v>3935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43353</v>
      </c>
      <c r="B918" s="116">
        <v>4.1575484464833199</v>
      </c>
      <c r="C918" s="116">
        <v>4.0664783376555897</v>
      </c>
      <c r="D918" s="116">
        <v>3.97540822882786</v>
      </c>
      <c r="E918" s="116">
        <v>4.1179527469930104</v>
      </c>
      <c r="F918" s="116">
        <v>256.75</v>
      </c>
      <c r="G918">
        <v>1426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43354</v>
      </c>
      <c r="B919" s="116">
        <v>4.4347183429155503</v>
      </c>
      <c r="C919" s="116">
        <v>4.3927469014558103</v>
      </c>
      <c r="D919" s="116">
        <v>4.1163689190133903</v>
      </c>
      <c r="E919" s="116">
        <v>4.1496293065852603</v>
      </c>
      <c r="F919" s="116">
        <v>277.35000000000002</v>
      </c>
      <c r="G919">
        <v>10412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43355</v>
      </c>
      <c r="B920" s="116">
        <v>4.8314672518085304</v>
      </c>
      <c r="C920" s="116">
        <v>4.8116694020633703</v>
      </c>
      <c r="D920" s="116">
        <v>4.3935388154456101</v>
      </c>
      <c r="E920" s="116">
        <v>4.6548704320817098</v>
      </c>
      <c r="F920" s="116">
        <v>303.8</v>
      </c>
      <c r="G920">
        <v>6490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43357</v>
      </c>
      <c r="B921" s="116">
        <v>4.9724279419940496</v>
      </c>
      <c r="C921" s="116">
        <v>4.6778359377860896</v>
      </c>
      <c r="D921" s="116">
        <v>4.5352914196209504</v>
      </c>
      <c r="E921" s="116">
        <v>4.9573815761877302</v>
      </c>
      <c r="F921" s="116">
        <v>295.35000000000002</v>
      </c>
      <c r="G921">
        <v>6031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43360</v>
      </c>
      <c r="B922" s="116">
        <v>4.9090748228095498</v>
      </c>
      <c r="C922" s="116">
        <v>4.6794197657657097</v>
      </c>
      <c r="D922" s="116">
        <v>4.5931011408768203</v>
      </c>
      <c r="E922" s="116">
        <v>4.7245588631846704</v>
      </c>
      <c r="F922" s="116">
        <v>295.45</v>
      </c>
      <c r="G922">
        <v>5603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43361</v>
      </c>
      <c r="B923" s="116">
        <v>4.8441378756454299</v>
      </c>
      <c r="C923" s="116">
        <v>4.7190154652560201</v>
      </c>
      <c r="D923" s="116">
        <v>4.5772628610806896</v>
      </c>
      <c r="E923" s="116">
        <v>4.6089394206729404</v>
      </c>
      <c r="F923" s="116">
        <v>297.95</v>
      </c>
      <c r="G923">
        <v>4441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43362</v>
      </c>
      <c r="B924" s="116">
        <v>4.7514839388380796</v>
      </c>
      <c r="C924" s="116">
        <v>4.7316860890929302</v>
      </c>
      <c r="D924" s="116">
        <v>4.5780547750704903</v>
      </c>
      <c r="E924" s="116">
        <v>4.6192343025404199</v>
      </c>
      <c r="F924" s="116">
        <v>298.75</v>
      </c>
      <c r="G924">
        <v>4755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43364</v>
      </c>
      <c r="B925" s="116">
        <v>4.8267157678696897</v>
      </c>
      <c r="C925" s="116">
        <v>4.6572461740511297</v>
      </c>
      <c r="D925" s="116">
        <v>4.5772628610806896</v>
      </c>
      <c r="E925" s="116">
        <v>4.7514839388380796</v>
      </c>
      <c r="F925" s="116">
        <v>294.05</v>
      </c>
      <c r="G925">
        <v>4442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43367</v>
      </c>
      <c r="B926" s="116">
        <v>4.6707087118778396</v>
      </c>
      <c r="C926" s="116">
        <v>4.4038336973131003</v>
      </c>
      <c r="D926" s="116">
        <v>4.2763355449542804</v>
      </c>
      <c r="E926" s="116">
        <v>4.6247777004690702</v>
      </c>
      <c r="F926" s="116">
        <v>278.05</v>
      </c>
      <c r="G926">
        <v>4927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43368</v>
      </c>
      <c r="B927" s="116">
        <v>4.4616434185689604</v>
      </c>
      <c r="C927" s="116">
        <v>4.3000929646484698</v>
      </c>
      <c r="D927" s="116">
        <v>4.1971441459736401</v>
      </c>
      <c r="E927" s="116">
        <v>4.2137743397595804</v>
      </c>
      <c r="F927" s="116">
        <v>271.5</v>
      </c>
      <c r="G927">
        <v>1796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43369</v>
      </c>
      <c r="B928" s="116">
        <v>4.4616434185689604</v>
      </c>
      <c r="C928" s="116">
        <v>4.35552694393491</v>
      </c>
      <c r="D928" s="116">
        <v>4.2921738247504004</v>
      </c>
      <c r="E928" s="116">
        <v>4.3048444485872999</v>
      </c>
      <c r="F928" s="116">
        <v>275</v>
      </c>
      <c r="G928">
        <v>2684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43370</v>
      </c>
      <c r="B929" s="116">
        <v>4.3872035035271599</v>
      </c>
      <c r="C929" s="116">
        <v>4.3048444485872999</v>
      </c>
      <c r="D929" s="116">
        <v>4.2383236734435696</v>
      </c>
      <c r="E929" s="116">
        <v>4.2763355449542804</v>
      </c>
      <c r="F929" s="116">
        <v>271.8</v>
      </c>
      <c r="G929">
        <v>1753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43371</v>
      </c>
      <c r="B930" s="116">
        <v>4.3539431159552997</v>
      </c>
      <c r="C930" s="116">
        <v>4.0561834557881102</v>
      </c>
      <c r="D930" s="116">
        <v>3.87483515212246</v>
      </c>
      <c r="E930" s="116">
        <v>4.1496293065852603</v>
      </c>
      <c r="F930" s="116">
        <v>256.10000000000002</v>
      </c>
      <c r="G930">
        <v>8029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43374</v>
      </c>
      <c r="B931" s="116">
        <v>4.0387613480123701</v>
      </c>
      <c r="C931" s="116">
        <v>3.77109441945783</v>
      </c>
      <c r="D931" s="116">
        <v>3.6507234930072601</v>
      </c>
      <c r="E931" s="116">
        <v>3.9635295189807702</v>
      </c>
      <c r="F931" s="116">
        <v>238.1</v>
      </c>
      <c r="G931">
        <v>5314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43376</v>
      </c>
      <c r="B932" s="116">
        <v>3.9437316692356101</v>
      </c>
      <c r="C932" s="116">
        <v>3.8281122267238801</v>
      </c>
      <c r="D932" s="116">
        <v>3.7536723116820898</v>
      </c>
      <c r="E932" s="116">
        <v>3.7853488712743402</v>
      </c>
      <c r="F932" s="116">
        <v>241.7</v>
      </c>
      <c r="G932">
        <v>914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43377</v>
      </c>
      <c r="B933" s="116">
        <v>3.80118715107047</v>
      </c>
      <c r="C933" s="116">
        <v>3.6728970847218401</v>
      </c>
      <c r="D933" s="116">
        <v>3.5651967821081798</v>
      </c>
      <c r="E933" s="116">
        <v>3.80118715107047</v>
      </c>
      <c r="F933" s="116">
        <v>231.9</v>
      </c>
      <c r="G933">
        <v>1351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43378</v>
      </c>
      <c r="B934" s="116">
        <v>3.7916841831927899</v>
      </c>
      <c r="C934" s="116">
        <v>3.6713132567422302</v>
      </c>
      <c r="D934" s="116">
        <v>3.57945123392469</v>
      </c>
      <c r="E934" s="116">
        <v>3.7916841831927899</v>
      </c>
      <c r="F934" s="116">
        <v>231.8</v>
      </c>
      <c r="G934">
        <v>1345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43381</v>
      </c>
      <c r="B935" s="116">
        <v>3.6428043531092</v>
      </c>
      <c r="C935" s="116">
        <v>3.45432882353529</v>
      </c>
      <c r="D935" s="116">
        <v>3.3260387571866601</v>
      </c>
      <c r="E935" s="116">
        <v>3.57945123392469</v>
      </c>
      <c r="F935" s="116">
        <v>218.1</v>
      </c>
      <c r="G935">
        <v>3801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43382</v>
      </c>
      <c r="B936" s="116">
        <v>3.60954396553733</v>
      </c>
      <c r="C936" s="116">
        <v>3.4440339416677999</v>
      </c>
      <c r="D936" s="116">
        <v>3.3664263706667801</v>
      </c>
      <c r="E936" s="116">
        <v>3.4844215551479301</v>
      </c>
      <c r="F936" s="116">
        <v>217.45</v>
      </c>
      <c r="G936">
        <v>873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43383</v>
      </c>
      <c r="B937" s="116">
        <v>3.8787947220714898</v>
      </c>
      <c r="C937" s="116">
        <v>3.5699482660470099</v>
      </c>
      <c r="D937" s="116">
        <v>3.5097628028217298</v>
      </c>
      <c r="E937" s="116">
        <v>3.6111277935169399</v>
      </c>
      <c r="F937" s="116">
        <v>225.4</v>
      </c>
      <c r="G937">
        <v>2301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43384</v>
      </c>
      <c r="B938" s="116">
        <v>3.7204119241102198</v>
      </c>
      <c r="C938" s="116">
        <v>3.6760647406810598</v>
      </c>
      <c r="D938" s="116">
        <v>3.5240172546382502</v>
      </c>
      <c r="E938" s="116">
        <v>3.5240172546382502</v>
      </c>
      <c r="F938" s="116">
        <v>232.1</v>
      </c>
      <c r="G938">
        <v>574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43385</v>
      </c>
      <c r="B939" s="116">
        <v>3.8479100764690402</v>
      </c>
      <c r="C939" s="116">
        <v>3.7124927842121598</v>
      </c>
      <c r="D939" s="116">
        <v>3.4860053831275399</v>
      </c>
      <c r="E939" s="116">
        <v>3.6760647406810598</v>
      </c>
      <c r="F939" s="116">
        <v>234.4</v>
      </c>
      <c r="G939">
        <v>391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43388</v>
      </c>
      <c r="B940" s="116">
        <v>4.0292583801347002</v>
      </c>
      <c r="C940" s="116">
        <v>3.7212038381000299</v>
      </c>
      <c r="D940" s="116">
        <v>3.6190469334150102</v>
      </c>
      <c r="E940" s="116">
        <v>4.0292583801347002</v>
      </c>
      <c r="F940" s="116">
        <v>234.95</v>
      </c>
      <c r="G940">
        <v>693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43389</v>
      </c>
      <c r="B941" s="116">
        <v>4.0055009604405099</v>
      </c>
      <c r="C941" s="116">
        <v>3.9540265511030901</v>
      </c>
      <c r="D941" s="116">
        <v>3.7219957520898301</v>
      </c>
      <c r="E941" s="116">
        <v>3.7219957520898301</v>
      </c>
      <c r="F941" s="116">
        <v>249.65</v>
      </c>
      <c r="G941">
        <v>356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43390</v>
      </c>
      <c r="B942" s="116">
        <v>4.0973629832580398</v>
      </c>
      <c r="C942" s="116">
        <v>3.8621645282855601</v>
      </c>
      <c r="D942" s="116">
        <v>3.7552561396617001</v>
      </c>
      <c r="E942" s="116">
        <v>3.8281122267238801</v>
      </c>
      <c r="F942" s="116">
        <v>243.85</v>
      </c>
      <c r="G942">
        <v>851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43392</v>
      </c>
      <c r="B943" s="116">
        <v>3.8962168298472299</v>
      </c>
      <c r="C943" s="116">
        <v>3.85266156040788</v>
      </c>
      <c r="D943" s="116">
        <v>3.5477746743324401</v>
      </c>
      <c r="E943" s="116">
        <v>3.5477746743324401</v>
      </c>
      <c r="F943" s="116">
        <v>243.25</v>
      </c>
      <c r="G943">
        <v>614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43395</v>
      </c>
      <c r="B944" s="116">
        <v>4.0316341221041103</v>
      </c>
      <c r="C944" s="116">
        <v>3.5731159220062398</v>
      </c>
      <c r="D944" s="116">
        <v>3.5176819427198001</v>
      </c>
      <c r="E944" s="116">
        <v>4.0316341221041103</v>
      </c>
      <c r="F944" s="116">
        <v>225.6</v>
      </c>
      <c r="G944">
        <v>1037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43396</v>
      </c>
      <c r="B945" s="116">
        <v>3.7687186774884101</v>
      </c>
      <c r="C945" s="116">
        <v>3.4606641354537402</v>
      </c>
      <c r="D945" s="116">
        <v>3.4052301561672902</v>
      </c>
      <c r="E945" s="116">
        <v>3.6428043531092</v>
      </c>
      <c r="F945" s="116">
        <v>218.5</v>
      </c>
      <c r="G945">
        <v>1808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43397</v>
      </c>
      <c r="B946" s="116">
        <v>3.5636129541285602</v>
      </c>
      <c r="C946" s="116">
        <v>3.4844215551479301</v>
      </c>
      <c r="D946" s="116">
        <v>3.3592991447585301</v>
      </c>
      <c r="E946" s="116">
        <v>3.5636129541285602</v>
      </c>
      <c r="F946" s="116">
        <v>220</v>
      </c>
      <c r="G946">
        <v>1249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43398</v>
      </c>
      <c r="B947" s="116">
        <v>3.7837650432947298</v>
      </c>
      <c r="C947" s="116">
        <v>3.7077413002733199</v>
      </c>
      <c r="D947" s="116">
        <v>3.3260387571866601</v>
      </c>
      <c r="E947" s="116">
        <v>3.4844215551479301</v>
      </c>
      <c r="F947" s="116">
        <v>234.1</v>
      </c>
      <c r="G947">
        <v>1078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43399</v>
      </c>
      <c r="B948" s="116">
        <v>3.3418770369827899</v>
      </c>
      <c r="C948" s="116">
        <v>3.1201411198370099</v>
      </c>
      <c r="D948" s="116">
        <v>3.0623313985811502</v>
      </c>
      <c r="E948" s="116">
        <v>3.20329208876668</v>
      </c>
      <c r="F948" s="116">
        <v>197</v>
      </c>
      <c r="G948">
        <v>14746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43402</v>
      </c>
      <c r="B949" s="116">
        <v>3.1636963892763599</v>
      </c>
      <c r="C949" s="116">
        <v>2.8445550513844</v>
      </c>
      <c r="D949" s="116">
        <v>2.8350520835067199</v>
      </c>
      <c r="E949" s="116">
        <v>3.0266952690398599</v>
      </c>
      <c r="F949" s="116">
        <v>179.6</v>
      </c>
      <c r="G949">
        <v>10593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43403</v>
      </c>
      <c r="B950" s="116">
        <v>3.2468473582060202</v>
      </c>
      <c r="C950" s="116">
        <v>3.18032658306229</v>
      </c>
      <c r="D950" s="116">
        <v>2.8508903633028502</v>
      </c>
      <c r="E950" s="116">
        <v>2.8508903633028502</v>
      </c>
      <c r="F950" s="116">
        <v>200.8</v>
      </c>
      <c r="G950">
        <v>19796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43404</v>
      </c>
      <c r="B951" s="116">
        <v>3.4052301561672902</v>
      </c>
      <c r="C951" s="116">
        <v>3.3545476608196898</v>
      </c>
      <c r="D951" s="116">
        <v>3.1518176794292598</v>
      </c>
      <c r="E951" s="116">
        <v>3.2468473582060202</v>
      </c>
      <c r="F951" s="116">
        <v>211.8</v>
      </c>
      <c r="G951">
        <v>9624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43405</v>
      </c>
      <c r="B952" s="116">
        <v>3.6428043531092</v>
      </c>
      <c r="C952" s="116">
        <v>3.6190469334150102</v>
      </c>
      <c r="D952" s="116">
        <v>3.35850723076872</v>
      </c>
      <c r="E952" s="116">
        <v>3.3893918763711701</v>
      </c>
      <c r="F952" s="116">
        <v>228.5</v>
      </c>
      <c r="G952">
        <v>3345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43406</v>
      </c>
      <c r="B953" s="116">
        <v>3.8803785500511001</v>
      </c>
      <c r="C953" s="116">
        <v>3.6435962670989999</v>
      </c>
      <c r="D953" s="116">
        <v>3.6190469334150102</v>
      </c>
      <c r="E953" s="116">
        <v>3.6586426329053299</v>
      </c>
      <c r="F953" s="116">
        <v>230.05</v>
      </c>
      <c r="G953">
        <v>3176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43409</v>
      </c>
      <c r="B954" s="116">
        <v>3.80118715107047</v>
      </c>
      <c r="C954" s="116">
        <v>3.5739078359960499</v>
      </c>
      <c r="D954" s="116">
        <v>3.51609811474018</v>
      </c>
      <c r="E954" s="116">
        <v>3.6428043531092</v>
      </c>
      <c r="F954" s="116">
        <v>225.65</v>
      </c>
      <c r="G954">
        <v>1417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43410</v>
      </c>
      <c r="B955" s="116">
        <v>3.7061574722937101</v>
      </c>
      <c r="C955" s="116">
        <v>3.5097628028217298</v>
      </c>
      <c r="D955" s="116">
        <v>3.4844215551479301</v>
      </c>
      <c r="E955" s="116">
        <v>3.4852134691377401</v>
      </c>
      <c r="F955" s="116">
        <v>221.6</v>
      </c>
      <c r="G955">
        <v>857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43411</v>
      </c>
      <c r="B956" s="116">
        <v>3.7647591075393798</v>
      </c>
      <c r="C956" s="116">
        <v>3.6428043531092</v>
      </c>
      <c r="D956" s="116">
        <v>3.5097628028217298</v>
      </c>
      <c r="E956" s="116">
        <v>3.5097628028217298</v>
      </c>
      <c r="F956" s="116">
        <v>230</v>
      </c>
      <c r="G956">
        <v>843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43413</v>
      </c>
      <c r="B957" s="116">
        <v>3.73783403188596</v>
      </c>
      <c r="C957" s="116">
        <v>3.62379841735385</v>
      </c>
      <c r="D957" s="116">
        <v>3.57945123392469</v>
      </c>
      <c r="E957" s="116">
        <v>3.73783403188596</v>
      </c>
      <c r="F957" s="116">
        <v>228.8</v>
      </c>
      <c r="G957">
        <v>955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43416</v>
      </c>
      <c r="B958" s="116">
        <v>3.8265283987442702</v>
      </c>
      <c r="C958" s="116">
        <v>3.6950706764364201</v>
      </c>
      <c r="D958" s="116">
        <v>3.4844215551479301</v>
      </c>
      <c r="E958" s="116">
        <v>3.8265283987442702</v>
      </c>
      <c r="F958" s="116">
        <v>233.3</v>
      </c>
      <c r="G958">
        <v>724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43417</v>
      </c>
      <c r="B959" s="116">
        <v>3.7212038381000299</v>
      </c>
      <c r="C959" s="116">
        <v>3.5549019002406901</v>
      </c>
      <c r="D959" s="116">
        <v>3.18349423902152</v>
      </c>
      <c r="E959" s="116">
        <v>3.4923406950459901</v>
      </c>
      <c r="F959" s="116">
        <v>224.45</v>
      </c>
      <c r="G959">
        <v>1728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43418</v>
      </c>
      <c r="B960" s="116">
        <v>3.7505046557228598</v>
      </c>
      <c r="C960" s="116">
        <v>3.5612372121591398</v>
      </c>
      <c r="D960" s="116">
        <v>3.5477746743324401</v>
      </c>
      <c r="E960" s="116">
        <v>3.5477746743324401</v>
      </c>
      <c r="F960" s="116">
        <v>224.85</v>
      </c>
      <c r="G960">
        <v>577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43419</v>
      </c>
      <c r="B961" s="116">
        <v>3.7505046557228598</v>
      </c>
      <c r="C961" s="116">
        <v>3.5620291261489498</v>
      </c>
      <c r="D961" s="116">
        <v>3.3893918763711701</v>
      </c>
      <c r="E961" s="116">
        <v>3.5636129541285602</v>
      </c>
      <c r="F961" s="116">
        <v>224.9</v>
      </c>
      <c r="G961">
        <v>850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43420</v>
      </c>
      <c r="B962" s="116">
        <v>3.4852134691377401</v>
      </c>
      <c r="C962" s="116">
        <v>3.1423147115515899</v>
      </c>
      <c r="D962" s="116">
        <v>3.0092731612641201</v>
      </c>
      <c r="E962" s="116">
        <v>3.4052301561672902</v>
      </c>
      <c r="F962" s="116">
        <v>198.4</v>
      </c>
      <c r="G962">
        <v>4759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43423</v>
      </c>
      <c r="B963" s="116">
        <v>3.3260387571866601</v>
      </c>
      <c r="C963" s="116">
        <v>3.2127950566443499</v>
      </c>
      <c r="D963" s="116">
        <v>3.1359793996331402</v>
      </c>
      <c r="E963" s="116">
        <v>3.1423147115515899</v>
      </c>
      <c r="F963" s="116">
        <v>202.85</v>
      </c>
      <c r="G963">
        <v>10517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43424</v>
      </c>
      <c r="B964" s="116">
        <v>3.35771531677891</v>
      </c>
      <c r="C964" s="116">
        <v>3.30544899345169</v>
      </c>
      <c r="D964" s="116">
        <v>3.1518176794292598</v>
      </c>
      <c r="E964" s="116">
        <v>3.35771531677891</v>
      </c>
      <c r="F964" s="116">
        <v>208.7</v>
      </c>
      <c r="G964">
        <v>9316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43425</v>
      </c>
      <c r="B965" s="116">
        <v>3.2943621975944102</v>
      </c>
      <c r="C965" s="116">
        <v>3.1763670131132602</v>
      </c>
      <c r="D965" s="116">
        <v>3.17240744316423</v>
      </c>
      <c r="E965" s="116">
        <v>3.2943621975944102</v>
      </c>
      <c r="F965" s="116">
        <v>200.55</v>
      </c>
      <c r="G965">
        <v>2842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43426</v>
      </c>
      <c r="B966" s="116">
        <v>3.44245011368819</v>
      </c>
      <c r="C966" s="116">
        <v>3.24288778825699</v>
      </c>
      <c r="D966" s="116">
        <v>3.1375632276127501</v>
      </c>
      <c r="E966" s="116">
        <v>3.44245011368819</v>
      </c>
      <c r="F966" s="116">
        <v>204.75</v>
      </c>
      <c r="G966">
        <v>2928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43430</v>
      </c>
      <c r="B967" s="116">
        <v>3.42106843596342</v>
      </c>
      <c r="C967" s="116">
        <v>3.18349423902152</v>
      </c>
      <c r="D967" s="116">
        <v>3.1359793996331402</v>
      </c>
      <c r="E967" s="116">
        <v>3.2468473582060202</v>
      </c>
      <c r="F967" s="116">
        <v>201</v>
      </c>
      <c r="G967">
        <v>4733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43431</v>
      </c>
      <c r="B968" s="116">
        <v>3.3418770369827899</v>
      </c>
      <c r="C968" s="116">
        <v>3.2397201322977698</v>
      </c>
      <c r="D968" s="116">
        <v>3.1518176794292598</v>
      </c>
      <c r="E968" s="116">
        <v>3.18349423902152</v>
      </c>
      <c r="F968" s="116">
        <v>204.55</v>
      </c>
      <c r="G968">
        <v>1785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43432</v>
      </c>
      <c r="B969" s="116">
        <v>3.3561314887993001</v>
      </c>
      <c r="C969" s="116">
        <v>3.2151707986137699</v>
      </c>
      <c r="D969" s="116">
        <v>3.1676559592253901</v>
      </c>
      <c r="E969" s="116">
        <v>3.2484311861856399</v>
      </c>
      <c r="F969" s="116">
        <v>203</v>
      </c>
      <c r="G969">
        <v>1206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43433</v>
      </c>
      <c r="B970" s="116">
        <v>3.3062409074415</v>
      </c>
      <c r="C970" s="116">
        <v>3.3062409074415</v>
      </c>
      <c r="D970" s="116">
        <v>3.18349423902152</v>
      </c>
      <c r="E970" s="116">
        <v>3.19933251881764</v>
      </c>
      <c r="F970" s="116">
        <v>208.75</v>
      </c>
      <c r="G970">
        <v>951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43434</v>
      </c>
      <c r="B971" s="116">
        <v>3.2468473582060202</v>
      </c>
      <c r="C971" s="116">
        <v>3.2468473582060202</v>
      </c>
      <c r="D971" s="116">
        <v>3.1874538089705502</v>
      </c>
      <c r="E971" s="116">
        <v>3.2468473582060202</v>
      </c>
      <c r="F971" s="116">
        <v>205</v>
      </c>
      <c r="G971">
        <v>457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43437</v>
      </c>
      <c r="B972" s="116">
        <v>3.4052301561672902</v>
      </c>
      <c r="C972" s="116">
        <v>3.2064597447258998</v>
      </c>
      <c r="D972" s="116">
        <v>3.1066785820103</v>
      </c>
      <c r="E972" s="116">
        <v>3.2175465405831898</v>
      </c>
      <c r="F972" s="116">
        <v>202.45</v>
      </c>
      <c r="G972">
        <v>4327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43438</v>
      </c>
      <c r="B973" s="116">
        <v>3.4004786722284601</v>
      </c>
      <c r="C973" s="116">
        <v>3.3070328214313101</v>
      </c>
      <c r="D973" s="116">
        <v>3.1676559592253901</v>
      </c>
      <c r="E973" s="116">
        <v>3.2120031426545501</v>
      </c>
      <c r="F973" s="116">
        <v>208.8</v>
      </c>
      <c r="G973">
        <v>2548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43439</v>
      </c>
      <c r="B974" s="116">
        <v>3.35771531677891</v>
      </c>
      <c r="C974" s="116">
        <v>3.2975298535536299</v>
      </c>
      <c r="D974" s="116">
        <v>3.169239787205</v>
      </c>
      <c r="E974" s="116">
        <v>3.169239787205</v>
      </c>
      <c r="F974" s="116">
        <v>208.2</v>
      </c>
      <c r="G974">
        <v>347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43440</v>
      </c>
      <c r="B975" s="116">
        <v>3.3529638328400702</v>
      </c>
      <c r="C975" s="116">
        <v>3.2230899385118299</v>
      </c>
      <c r="D975" s="116">
        <v>3.1375632276127501</v>
      </c>
      <c r="E975" s="116">
        <v>3.3529638328400702</v>
      </c>
      <c r="F975" s="116">
        <v>203.5</v>
      </c>
      <c r="G975">
        <v>2162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43441</v>
      </c>
      <c r="B976" s="116">
        <v>3.3197034452682099</v>
      </c>
      <c r="C976" s="116">
        <v>3.21041931467493</v>
      </c>
      <c r="D976" s="116">
        <v>3.1676559592253901</v>
      </c>
      <c r="E976" s="116">
        <v>3.3197034452682099</v>
      </c>
      <c r="F976" s="116">
        <v>202.7</v>
      </c>
      <c r="G976">
        <v>189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43444</v>
      </c>
      <c r="B977" s="116">
        <v>3.3102004773905298</v>
      </c>
      <c r="C977" s="116">
        <v>3.3078247354211099</v>
      </c>
      <c r="D977" s="116">
        <v>3.1359793996331402</v>
      </c>
      <c r="E977" s="116">
        <v>3.1359793996331402</v>
      </c>
      <c r="F977" s="116">
        <v>208.85</v>
      </c>
      <c r="G977">
        <v>699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43445</v>
      </c>
      <c r="B978" s="116">
        <v>3.4677913613619999</v>
      </c>
      <c r="C978" s="116">
        <v>3.25397458411428</v>
      </c>
      <c r="D978" s="116">
        <v>3.1676559592253901</v>
      </c>
      <c r="E978" s="116">
        <v>3.4677913613619999</v>
      </c>
      <c r="F978" s="116">
        <v>205.45</v>
      </c>
      <c r="G978">
        <v>7160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43446</v>
      </c>
      <c r="B979" s="116">
        <v>3.2468473582060202</v>
      </c>
      <c r="C979" s="116">
        <v>3.2444716162366101</v>
      </c>
      <c r="D979" s="116">
        <v>3.18349423902152</v>
      </c>
      <c r="E979" s="116">
        <v>3.2468473582060202</v>
      </c>
      <c r="F979" s="116">
        <v>204.85</v>
      </c>
      <c r="G979">
        <v>4889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43447</v>
      </c>
      <c r="B980" s="116">
        <v>3.2785239177982799</v>
      </c>
      <c r="C980" s="116">
        <v>3.2523907561346701</v>
      </c>
      <c r="D980" s="116">
        <v>3.2310090784099001</v>
      </c>
      <c r="E980" s="116">
        <v>3.2785239177982799</v>
      </c>
      <c r="F980" s="116">
        <v>205.35</v>
      </c>
      <c r="G980">
        <v>1831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43448</v>
      </c>
      <c r="B981" s="116">
        <v>3.4448258556576099</v>
      </c>
      <c r="C981" s="116">
        <v>3.2420958742671901</v>
      </c>
      <c r="D981" s="116">
        <v>3.19933251881764</v>
      </c>
      <c r="E981" s="116">
        <v>3.4448258556576099</v>
      </c>
      <c r="F981" s="116">
        <v>204.7</v>
      </c>
      <c r="G981">
        <v>1770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43451</v>
      </c>
      <c r="B982" s="116">
        <v>3.8550373023772999</v>
      </c>
      <c r="C982" s="116">
        <v>3.6467639230582298</v>
      </c>
      <c r="D982" s="116">
        <v>3.2793158317880802</v>
      </c>
      <c r="E982" s="116">
        <v>3.3260387571866601</v>
      </c>
      <c r="F982" s="116">
        <v>230.25</v>
      </c>
      <c r="G982">
        <v>10143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43452</v>
      </c>
      <c r="B983" s="116">
        <v>3.73466637592673</v>
      </c>
      <c r="C983" s="116">
        <v>3.6396366971499701</v>
      </c>
      <c r="D983" s="116">
        <v>3.42106843596342</v>
      </c>
      <c r="E983" s="116">
        <v>3.4376986297493501</v>
      </c>
      <c r="F983" s="116">
        <v>229.8</v>
      </c>
      <c r="G983">
        <v>2747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43453</v>
      </c>
      <c r="B984" s="116">
        <v>3.95956994903174</v>
      </c>
      <c r="C984" s="116">
        <v>3.7718863334476298</v>
      </c>
      <c r="D984" s="116">
        <v>3.6435962670989999</v>
      </c>
      <c r="E984" s="116">
        <v>3.6435962670989999</v>
      </c>
      <c r="F984" s="116">
        <v>238.15</v>
      </c>
      <c r="G984">
        <v>4179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43454</v>
      </c>
      <c r="B985" s="116">
        <v>3.9120551096433598</v>
      </c>
      <c r="C985" s="116">
        <v>3.8882976899491699</v>
      </c>
      <c r="D985" s="116">
        <v>3.7536723116820898</v>
      </c>
      <c r="E985" s="116">
        <v>3.8787947220714898</v>
      </c>
      <c r="F985" s="116">
        <v>245.5</v>
      </c>
      <c r="G985">
        <v>1157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43455</v>
      </c>
      <c r="B986" s="116">
        <v>4.08548427341095</v>
      </c>
      <c r="C986" s="116">
        <v>3.80118715107047</v>
      </c>
      <c r="D986" s="116">
        <v>3.7219957520898301</v>
      </c>
      <c r="E986" s="116">
        <v>4.08548427341095</v>
      </c>
      <c r="F986" s="116">
        <v>240</v>
      </c>
      <c r="G986">
        <v>1338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43458</v>
      </c>
      <c r="B987" s="116">
        <v>3.9437316692356101</v>
      </c>
      <c r="C987" s="116">
        <v>3.7061574722937101</v>
      </c>
      <c r="D987" s="116">
        <v>3.5319363945363098</v>
      </c>
      <c r="E987" s="116">
        <v>3.5319363945363098</v>
      </c>
      <c r="F987" s="116">
        <v>234</v>
      </c>
      <c r="G987">
        <v>1600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43460</v>
      </c>
      <c r="B988" s="116">
        <v>3.80118715107047</v>
      </c>
      <c r="C988" s="116">
        <v>3.7069493862835099</v>
      </c>
      <c r="D988" s="116">
        <v>3.6586426329053299</v>
      </c>
      <c r="E988" s="116">
        <v>3.6586426329053299</v>
      </c>
      <c r="F988" s="116">
        <v>234.05</v>
      </c>
      <c r="G988">
        <v>1079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43461</v>
      </c>
      <c r="B989" s="116">
        <v>3.80118715107047</v>
      </c>
      <c r="C989" s="116">
        <v>3.7536723116820898</v>
      </c>
      <c r="D989" s="116">
        <v>3.6428043531092</v>
      </c>
      <c r="E989" s="116">
        <v>3.80118715107047</v>
      </c>
      <c r="F989" s="116">
        <v>237</v>
      </c>
      <c r="G989">
        <v>925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43462</v>
      </c>
      <c r="B990" s="116">
        <v>3.80118715107047</v>
      </c>
      <c r="C990" s="116">
        <v>3.6253822453334599</v>
      </c>
      <c r="D990" s="116">
        <v>3.6063763095781098</v>
      </c>
      <c r="E990" s="116">
        <v>3.6760647406810598</v>
      </c>
      <c r="F990" s="116">
        <v>228.9</v>
      </c>
      <c r="G990">
        <v>756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43465</v>
      </c>
      <c r="B991" s="116">
        <v>3.7932680111724002</v>
      </c>
      <c r="C991" s="116">
        <v>3.6467639230582298</v>
      </c>
      <c r="D991" s="116">
        <v>3.6269660733130702</v>
      </c>
      <c r="E991" s="116">
        <v>3.7932680111724002</v>
      </c>
      <c r="F991" s="116">
        <v>230.25</v>
      </c>
      <c r="G991">
        <v>653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43466</v>
      </c>
      <c r="B992" s="116">
        <v>3.8059386350093098</v>
      </c>
      <c r="C992" s="116">
        <v>3.5881622878125601</v>
      </c>
      <c r="D992" s="116">
        <v>3.5200576846892102</v>
      </c>
      <c r="E992" s="116">
        <v>3.6269660733130702</v>
      </c>
      <c r="F992" s="116">
        <v>226.55</v>
      </c>
      <c r="G992">
        <v>1960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43467</v>
      </c>
      <c r="B993" s="116">
        <v>3.7061574722937101</v>
      </c>
      <c r="C993" s="116">
        <v>3.5343121365057302</v>
      </c>
      <c r="D993" s="116">
        <v>3.51609811474018</v>
      </c>
      <c r="E993" s="116">
        <v>3.56757252407759</v>
      </c>
      <c r="F993" s="116">
        <v>223.15</v>
      </c>
      <c r="G993">
        <v>1401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43468</v>
      </c>
      <c r="B994" s="116">
        <v>3.7037817303242901</v>
      </c>
      <c r="C994" s="116">
        <v>3.57945123392469</v>
      </c>
      <c r="D994" s="116">
        <v>3.53510405049553</v>
      </c>
      <c r="E994" s="116">
        <v>3.57945123392469</v>
      </c>
      <c r="F994" s="116">
        <v>226</v>
      </c>
      <c r="G994">
        <v>1881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43469</v>
      </c>
      <c r="B995" s="116">
        <v>3.7996033230908499</v>
      </c>
      <c r="C995" s="116">
        <v>3.6103358795271401</v>
      </c>
      <c r="D995" s="116">
        <v>3.5810350619042999</v>
      </c>
      <c r="E995" s="116">
        <v>3.5842027178635298</v>
      </c>
      <c r="F995" s="116">
        <v>227.95</v>
      </c>
      <c r="G995">
        <v>1385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43472</v>
      </c>
      <c r="B996" s="116">
        <v>3.7687186774884101</v>
      </c>
      <c r="C996" s="116">
        <v>3.6475558370480399</v>
      </c>
      <c r="D996" s="116">
        <v>3.5802431479145</v>
      </c>
      <c r="E996" s="116">
        <v>3.5810350619042999</v>
      </c>
      <c r="F996" s="116">
        <v>230.3</v>
      </c>
      <c r="G996">
        <v>1947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43473</v>
      </c>
      <c r="B997" s="116">
        <v>3.9421478412559998</v>
      </c>
      <c r="C997" s="116">
        <v>3.66497794482378</v>
      </c>
      <c r="D997" s="116">
        <v>3.6174631054353998</v>
      </c>
      <c r="E997" s="116">
        <v>3.9421478412559998</v>
      </c>
      <c r="F997" s="116">
        <v>231.4</v>
      </c>
      <c r="G997">
        <v>1635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43474</v>
      </c>
      <c r="B998" s="116">
        <v>3.8455343344996198</v>
      </c>
      <c r="C998" s="116">
        <v>3.68319196658932</v>
      </c>
      <c r="D998" s="116">
        <v>3.6269660733130702</v>
      </c>
      <c r="E998" s="116">
        <v>3.8455343344996198</v>
      </c>
      <c r="F998" s="116">
        <v>232.55</v>
      </c>
      <c r="G998">
        <v>4788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43475</v>
      </c>
      <c r="B999" s="116">
        <v>3.80039523708066</v>
      </c>
      <c r="C999" s="116">
        <v>3.6792323966402898</v>
      </c>
      <c r="D999" s="116">
        <v>3.6443881810888099</v>
      </c>
      <c r="E999" s="116">
        <v>3.80039523708066</v>
      </c>
      <c r="F999" s="116">
        <v>232.3</v>
      </c>
      <c r="G999">
        <v>1334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43476</v>
      </c>
      <c r="B1000" s="116">
        <v>3.76713484950879</v>
      </c>
      <c r="C1000" s="116">
        <v>3.6594345468951301</v>
      </c>
      <c r="D1000" s="116">
        <v>3.6428043531092</v>
      </c>
      <c r="E1000" s="116">
        <v>3.6744809127014499</v>
      </c>
      <c r="F1000" s="116">
        <v>231.05</v>
      </c>
      <c r="G1000">
        <v>229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43479</v>
      </c>
      <c r="B1001" s="116">
        <v>3.7212038381000299</v>
      </c>
      <c r="C1001" s="116">
        <v>3.6657698588135799</v>
      </c>
      <c r="D1001" s="116">
        <v>3.5952895137208198</v>
      </c>
      <c r="E1001" s="116">
        <v>3.6047924815984902</v>
      </c>
      <c r="F1001" s="116">
        <v>231.45</v>
      </c>
      <c r="G1001">
        <v>1784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43480</v>
      </c>
      <c r="B1002" s="116">
        <v>3.7520884837024702</v>
      </c>
      <c r="C1002" s="116">
        <v>3.6697294287626101</v>
      </c>
      <c r="D1002" s="116">
        <v>3.6269660733130702</v>
      </c>
      <c r="E1002" s="116">
        <v>3.6586426329053299</v>
      </c>
      <c r="F1002" s="116">
        <v>231.7</v>
      </c>
      <c r="G1002">
        <v>1770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43481</v>
      </c>
      <c r="B1003" s="116">
        <v>3.7061574722937101</v>
      </c>
      <c r="C1003" s="116">
        <v>3.65389114896649</v>
      </c>
      <c r="D1003" s="116">
        <v>3.6523073209868699</v>
      </c>
      <c r="E1003" s="116">
        <v>3.7061574722937101</v>
      </c>
      <c r="F1003" s="116">
        <v>230.7</v>
      </c>
      <c r="G1003">
        <v>484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43482</v>
      </c>
      <c r="B1004" s="116">
        <v>3.7996033230908499</v>
      </c>
      <c r="C1004" s="116">
        <v>3.6158792774557802</v>
      </c>
      <c r="D1004" s="116">
        <v>3.5683644380674</v>
      </c>
      <c r="E1004" s="116">
        <v>3.5683644380674</v>
      </c>
      <c r="F1004" s="116">
        <v>228.3</v>
      </c>
      <c r="G1004">
        <v>1484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43483</v>
      </c>
      <c r="B1005" s="116">
        <v>3.74575317178402</v>
      </c>
      <c r="C1005" s="116">
        <v>3.62063076139462</v>
      </c>
      <c r="D1005" s="116">
        <v>3.5921218577615899</v>
      </c>
      <c r="E1005" s="116">
        <v>3.6166711914455898</v>
      </c>
      <c r="F1005" s="116">
        <v>228.6</v>
      </c>
      <c r="G1005">
        <v>558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43486</v>
      </c>
      <c r="B1006" s="116">
        <v>3.73466637592673</v>
      </c>
      <c r="C1006" s="116">
        <v>3.5992490836698501</v>
      </c>
      <c r="D1006" s="116">
        <v>3.5739078359960499</v>
      </c>
      <c r="E1006" s="116">
        <v>3.62063076139462</v>
      </c>
      <c r="F1006" s="116">
        <v>227.25</v>
      </c>
      <c r="G1006">
        <v>1620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43487</v>
      </c>
      <c r="B1007" s="116">
        <v>3.7536723116820898</v>
      </c>
      <c r="C1007" s="116">
        <v>3.6523073209868699</v>
      </c>
      <c r="D1007" s="116">
        <v>3.47650241524987</v>
      </c>
      <c r="E1007" s="116">
        <v>3.7536723116820898</v>
      </c>
      <c r="F1007" s="116">
        <v>230.6</v>
      </c>
      <c r="G1007">
        <v>7026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43488</v>
      </c>
      <c r="B1008" s="116">
        <v>3.6032086536188799</v>
      </c>
      <c r="C1008" s="116">
        <v>3.5398555344343698</v>
      </c>
      <c r="D1008" s="116">
        <v>3.4844215551479301</v>
      </c>
      <c r="E1008" s="116">
        <v>3.5406474484241799</v>
      </c>
      <c r="F1008" s="116">
        <v>223.5</v>
      </c>
      <c r="G1008">
        <v>959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43489</v>
      </c>
      <c r="B1009" s="116">
        <v>3.5778674059450801</v>
      </c>
      <c r="C1009" s="116">
        <v>3.51609811474018</v>
      </c>
      <c r="D1009" s="116">
        <v>3.4883811250969599</v>
      </c>
      <c r="E1009" s="116">
        <v>3.5010517489338602</v>
      </c>
      <c r="F1009" s="116">
        <v>222</v>
      </c>
      <c r="G1009">
        <v>453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43490</v>
      </c>
      <c r="B1010" s="116">
        <v>3.6966545044160299</v>
      </c>
      <c r="C1010" s="116">
        <v>3.5176819427198001</v>
      </c>
      <c r="D1010" s="116">
        <v>3.4844215551479301</v>
      </c>
      <c r="E1010" s="116">
        <v>3.51609811474018</v>
      </c>
      <c r="F1010" s="116">
        <v>222.1</v>
      </c>
      <c r="G1010">
        <v>2384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43493</v>
      </c>
      <c r="B1011" s="116">
        <v>3.56044529816934</v>
      </c>
      <c r="C1011" s="116">
        <v>3.3727616825852298</v>
      </c>
      <c r="D1011" s="116">
        <v>3.19141337891958</v>
      </c>
      <c r="E1011" s="116">
        <v>3.5319363945363098</v>
      </c>
      <c r="F1011" s="116">
        <v>212.95</v>
      </c>
      <c r="G1011">
        <v>6348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43494</v>
      </c>
      <c r="B1012" s="116">
        <v>3.6372609551805501</v>
      </c>
      <c r="C1012" s="116">
        <v>3.5723240080164298</v>
      </c>
      <c r="D1012" s="116">
        <v>3.42106843596342</v>
      </c>
      <c r="E1012" s="116">
        <v>3.4828377271683202</v>
      </c>
      <c r="F1012" s="116">
        <v>225.55</v>
      </c>
      <c r="G1012">
        <v>1671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43495</v>
      </c>
      <c r="B1013" s="116">
        <v>3.6428043531092</v>
      </c>
      <c r="C1013" s="116">
        <v>3.49471643701541</v>
      </c>
      <c r="D1013" s="116">
        <v>3.4852134691377401</v>
      </c>
      <c r="E1013" s="116">
        <v>3.5477746743324401</v>
      </c>
      <c r="F1013" s="116">
        <v>220.65</v>
      </c>
      <c r="G1013">
        <v>414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43496</v>
      </c>
      <c r="B1014" s="116">
        <v>3.5628210401387599</v>
      </c>
      <c r="C1014" s="116">
        <v>3.4123573820755499</v>
      </c>
      <c r="D1014" s="116">
        <v>3.3973110162692302</v>
      </c>
      <c r="E1014" s="116">
        <v>3.4844215551479301</v>
      </c>
      <c r="F1014" s="116">
        <v>215.45</v>
      </c>
      <c r="G1014">
        <v>2297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43497</v>
      </c>
      <c r="B1015" s="116">
        <v>3.73783403188596</v>
      </c>
      <c r="C1015" s="116">
        <v>3.5002598349440599</v>
      </c>
      <c r="D1015" s="116">
        <v>3.3616748867279398</v>
      </c>
      <c r="E1015" s="116">
        <v>3.73783403188596</v>
      </c>
      <c r="F1015" s="116">
        <v>221</v>
      </c>
      <c r="G1015">
        <v>1187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43500</v>
      </c>
      <c r="B1016" s="116">
        <v>3.6135035354863598</v>
      </c>
      <c r="C1016" s="116">
        <v>3.61191970750675</v>
      </c>
      <c r="D1016" s="116">
        <v>3.4258199199022599</v>
      </c>
      <c r="E1016" s="116">
        <v>3.51609811474018</v>
      </c>
      <c r="F1016" s="116">
        <v>228.05</v>
      </c>
      <c r="G1016">
        <v>471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43501</v>
      </c>
      <c r="B1017" s="116">
        <v>3.7014059883548698</v>
      </c>
      <c r="C1017" s="116">
        <v>3.4891730390867699</v>
      </c>
      <c r="D1017" s="116">
        <v>3.4844215551479301</v>
      </c>
      <c r="E1017" s="116">
        <v>3.5477746743324401</v>
      </c>
      <c r="F1017" s="116">
        <v>220.3</v>
      </c>
      <c r="G1017">
        <v>2819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43502</v>
      </c>
      <c r="B1018" s="116">
        <v>3.7132846982019601</v>
      </c>
      <c r="C1018" s="116">
        <v>3.5651967821081798</v>
      </c>
      <c r="D1018" s="116">
        <v>3.5208495986790198</v>
      </c>
      <c r="E1018" s="116">
        <v>3.6428043531092</v>
      </c>
      <c r="F1018" s="116">
        <v>225.1</v>
      </c>
      <c r="G1018">
        <v>4099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43503</v>
      </c>
      <c r="B1019" s="116">
        <v>3.8487019904588502</v>
      </c>
      <c r="C1019" s="116">
        <v>3.4899649530765702</v>
      </c>
      <c r="D1019" s="116">
        <v>3.41314929606536</v>
      </c>
      <c r="E1019" s="116">
        <v>3.8487019904588502</v>
      </c>
      <c r="F1019" s="116">
        <v>220.35</v>
      </c>
      <c r="G1019">
        <v>3068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43504</v>
      </c>
      <c r="B1020" s="116">
        <v>3.5636129541285602</v>
      </c>
      <c r="C1020" s="116">
        <v>3.4844215551479301</v>
      </c>
      <c r="D1020" s="116">
        <v>3.4250280059124498</v>
      </c>
      <c r="E1020" s="116">
        <v>3.5636129541285602</v>
      </c>
      <c r="F1020" s="116">
        <v>220</v>
      </c>
      <c r="G1020">
        <v>2587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43507</v>
      </c>
      <c r="B1021" s="116">
        <v>3.6554749769460999</v>
      </c>
      <c r="C1021" s="116">
        <v>3.57945123392469</v>
      </c>
      <c r="D1021" s="116">
        <v>3.42106843596342</v>
      </c>
      <c r="E1021" s="116">
        <v>3.42106843596342</v>
      </c>
      <c r="F1021" s="116">
        <v>226</v>
      </c>
      <c r="G1021">
        <v>1948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43508</v>
      </c>
      <c r="B1022" s="116">
        <v>3.57945123392469</v>
      </c>
      <c r="C1022" s="116">
        <v>3.5319363945363098</v>
      </c>
      <c r="D1022" s="116">
        <v>3.5319363945363098</v>
      </c>
      <c r="E1022" s="116">
        <v>3.57945123392469</v>
      </c>
      <c r="F1022" s="116">
        <v>223</v>
      </c>
      <c r="G1022">
        <v>366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43509</v>
      </c>
      <c r="B1023" s="116">
        <v>3.6847757945689299</v>
      </c>
      <c r="C1023" s="116">
        <v>3.5446070183732101</v>
      </c>
      <c r="D1023" s="116">
        <v>3.4852134691377401</v>
      </c>
      <c r="E1023" s="116">
        <v>3.6824000525995202</v>
      </c>
      <c r="F1023" s="116">
        <v>223.8</v>
      </c>
      <c r="G1023">
        <v>1862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43510</v>
      </c>
      <c r="B1024" s="116">
        <v>3.6269660733130702</v>
      </c>
      <c r="C1024" s="116">
        <v>3.6269660733130702</v>
      </c>
      <c r="D1024" s="116">
        <v>3.4068139841469098</v>
      </c>
      <c r="E1024" s="116">
        <v>3.4527449955556699</v>
      </c>
      <c r="F1024" s="116">
        <v>229</v>
      </c>
      <c r="G1024">
        <v>356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43511</v>
      </c>
      <c r="B1025" s="116">
        <v>3.7299148919878999</v>
      </c>
      <c r="C1025" s="116">
        <v>3.4804619851988998</v>
      </c>
      <c r="D1025" s="116">
        <v>3.2626856380021501</v>
      </c>
      <c r="E1025" s="116">
        <v>3.7299148919878999</v>
      </c>
      <c r="F1025" s="116">
        <v>219.75</v>
      </c>
      <c r="G1025">
        <v>1133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43514</v>
      </c>
      <c r="B1026" s="116">
        <v>3.4844215551479301</v>
      </c>
      <c r="C1026" s="116">
        <v>3.4376986297493501</v>
      </c>
      <c r="D1026" s="116">
        <v>3.42106843596342</v>
      </c>
      <c r="E1026" s="116">
        <v>3.4709590173212201</v>
      </c>
      <c r="F1026" s="116">
        <v>217.05</v>
      </c>
      <c r="G1026">
        <v>3044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43515</v>
      </c>
      <c r="B1027" s="116">
        <v>3.4503692535862598</v>
      </c>
      <c r="C1027" s="116">
        <v>3.3838484784425198</v>
      </c>
      <c r="D1027" s="116">
        <v>3.3102004773905298</v>
      </c>
      <c r="E1027" s="116">
        <v>3.3117843053701401</v>
      </c>
      <c r="F1027" s="116">
        <v>213.65</v>
      </c>
      <c r="G1027">
        <v>1828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43516</v>
      </c>
      <c r="B1028" s="116">
        <v>3.6428043531092</v>
      </c>
      <c r="C1028" s="116">
        <v>3.4741266732804501</v>
      </c>
      <c r="D1028" s="116">
        <v>3.3680101986464002</v>
      </c>
      <c r="E1028" s="116">
        <v>3.3838484784425198</v>
      </c>
      <c r="F1028" s="116">
        <v>219.35</v>
      </c>
      <c r="G1028">
        <v>5791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43517</v>
      </c>
      <c r="B1029" s="116">
        <v>3.5636129541285602</v>
      </c>
      <c r="C1029" s="116">
        <v>3.5556938142305001</v>
      </c>
      <c r="D1029" s="116">
        <v>3.2943621975944102</v>
      </c>
      <c r="E1029" s="116">
        <v>3.2943621975944102</v>
      </c>
      <c r="F1029" s="116">
        <v>224.5</v>
      </c>
      <c r="G1029">
        <v>968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43518</v>
      </c>
      <c r="B1030" s="116">
        <v>3.80118715107047</v>
      </c>
      <c r="C1030" s="116">
        <v>3.7338744619369302</v>
      </c>
      <c r="D1030" s="116">
        <v>3.2785239177982799</v>
      </c>
      <c r="E1030" s="116">
        <v>3.2785239177982799</v>
      </c>
      <c r="F1030" s="116">
        <v>235.75</v>
      </c>
      <c r="G1030">
        <v>4063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43521</v>
      </c>
      <c r="B1031" s="116">
        <v>3.7219957520898301</v>
      </c>
      <c r="C1031" s="116">
        <v>3.5311444805465002</v>
      </c>
      <c r="D1031" s="116">
        <v>3.5081789748421199</v>
      </c>
      <c r="E1031" s="116">
        <v>3.7219957520898301</v>
      </c>
      <c r="F1031" s="116">
        <v>222.95</v>
      </c>
      <c r="G1031">
        <v>2235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43522</v>
      </c>
      <c r="B1032" s="116">
        <v>3.6111277935169399</v>
      </c>
      <c r="C1032" s="116">
        <v>3.4281956618716798</v>
      </c>
      <c r="D1032" s="116">
        <v>3.3672182846565901</v>
      </c>
      <c r="E1032" s="116">
        <v>3.4527449955556699</v>
      </c>
      <c r="F1032" s="116">
        <v>216.45</v>
      </c>
      <c r="G1032">
        <v>754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43523</v>
      </c>
      <c r="B1033" s="116">
        <v>3.51609811474018</v>
      </c>
      <c r="C1033" s="116">
        <v>3.4844215551479301</v>
      </c>
      <c r="D1033" s="116">
        <v>3.39097570435078</v>
      </c>
      <c r="E1033" s="116">
        <v>3.39097570435078</v>
      </c>
      <c r="F1033" s="116">
        <v>220</v>
      </c>
      <c r="G1033">
        <v>910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43524</v>
      </c>
      <c r="B1034" s="116">
        <v>3.6024167396290698</v>
      </c>
      <c r="C1034" s="116">
        <v>3.5430231903935998</v>
      </c>
      <c r="D1034" s="116">
        <v>3.4527449955556699</v>
      </c>
      <c r="E1034" s="116">
        <v>3.4527449955556699</v>
      </c>
      <c r="F1034" s="116">
        <v>223.7</v>
      </c>
      <c r="G1034">
        <v>767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43525</v>
      </c>
      <c r="B1035" s="116">
        <v>3.6388447831601698</v>
      </c>
      <c r="C1035" s="116">
        <v>3.5097628028217298</v>
      </c>
      <c r="D1035" s="116">
        <v>3.4844215551479301</v>
      </c>
      <c r="E1035" s="116">
        <v>3.4923406950459901</v>
      </c>
      <c r="F1035" s="116">
        <v>221.6</v>
      </c>
      <c r="G1035">
        <v>3026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43529</v>
      </c>
      <c r="B1036" s="116">
        <v>3.6808162246199001</v>
      </c>
      <c r="C1036" s="116">
        <v>3.6277579873028798</v>
      </c>
      <c r="D1036" s="116">
        <v>3.5121385447911502</v>
      </c>
      <c r="E1036" s="116">
        <v>3.6808162246199001</v>
      </c>
      <c r="F1036" s="116">
        <v>229.05</v>
      </c>
      <c r="G1036">
        <v>1207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43530</v>
      </c>
      <c r="B1037" s="116">
        <v>3.7536723116820898</v>
      </c>
      <c r="C1037" s="116">
        <v>3.6000409976596601</v>
      </c>
      <c r="D1037" s="116">
        <v>3.5612372121591398</v>
      </c>
      <c r="E1037" s="116">
        <v>3.5612372121591398</v>
      </c>
      <c r="F1037" s="116">
        <v>227.3</v>
      </c>
      <c r="G1037">
        <v>2857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43531</v>
      </c>
      <c r="B1038" s="116">
        <v>3.7235795800694498</v>
      </c>
      <c r="C1038" s="116">
        <v>3.6792323966402898</v>
      </c>
      <c r="D1038" s="116">
        <v>3.6428043531092</v>
      </c>
      <c r="E1038" s="116">
        <v>3.70457364431409</v>
      </c>
      <c r="F1038" s="116">
        <v>232.3</v>
      </c>
      <c r="G1038">
        <v>394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43532</v>
      </c>
      <c r="B1039" s="116">
        <v>3.7219957520898301</v>
      </c>
      <c r="C1039" s="116">
        <v>3.6428043531092</v>
      </c>
      <c r="D1039" s="116">
        <v>3.5485665883222399</v>
      </c>
      <c r="E1039" s="116">
        <v>3.6111277935169399</v>
      </c>
      <c r="F1039" s="116">
        <v>230</v>
      </c>
      <c r="G1039">
        <v>3208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43535</v>
      </c>
      <c r="B1040" s="116">
        <v>3.6744809127014499</v>
      </c>
      <c r="C1040" s="116">
        <v>3.62300650336404</v>
      </c>
      <c r="D1040" s="116">
        <v>3.58261888988392</v>
      </c>
      <c r="E1040" s="116">
        <v>3.58261888988392</v>
      </c>
      <c r="F1040" s="116">
        <v>228.75</v>
      </c>
      <c r="G1040">
        <v>182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43536</v>
      </c>
      <c r="B1041" s="116">
        <v>3.78930844122337</v>
      </c>
      <c r="C1041" s="116">
        <v>3.6333013852315199</v>
      </c>
      <c r="D1041" s="116">
        <v>3.5881622878125601</v>
      </c>
      <c r="E1041" s="116">
        <v>3.78930844122337</v>
      </c>
      <c r="F1041" s="116">
        <v>229.4</v>
      </c>
      <c r="G1041">
        <v>1563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43537</v>
      </c>
      <c r="B1042" s="116">
        <v>3.7219957520898301</v>
      </c>
      <c r="C1042" s="116">
        <v>3.6071682235679101</v>
      </c>
      <c r="D1042" s="116">
        <v>3.5644048681183702</v>
      </c>
      <c r="E1042" s="116">
        <v>3.6111277935169399</v>
      </c>
      <c r="F1042" s="116">
        <v>227.75</v>
      </c>
      <c r="G1042">
        <v>1935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43538</v>
      </c>
      <c r="B1043" s="116">
        <v>3.6982383323956398</v>
      </c>
      <c r="C1043" s="116">
        <v>3.5453989323630202</v>
      </c>
      <c r="D1043" s="116">
        <v>3.53906362044457</v>
      </c>
      <c r="E1043" s="116">
        <v>3.5754916639756602</v>
      </c>
      <c r="F1043" s="116">
        <v>223.85</v>
      </c>
      <c r="G1043">
        <v>867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43539</v>
      </c>
      <c r="B1044" s="116">
        <v>3.6269660733130702</v>
      </c>
      <c r="C1044" s="116">
        <v>3.6269660733130702</v>
      </c>
      <c r="D1044" s="116">
        <v>3.55727764221011</v>
      </c>
      <c r="E1044" s="116">
        <v>3.55727764221011</v>
      </c>
      <c r="F1044" s="116">
        <v>229</v>
      </c>
      <c r="G1044">
        <v>1173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43542</v>
      </c>
      <c r="B1045" s="116">
        <v>3.7885165272335701</v>
      </c>
      <c r="C1045" s="116">
        <v>3.6293418152824901</v>
      </c>
      <c r="D1045" s="116">
        <v>3.5636129541285602</v>
      </c>
      <c r="E1045" s="116">
        <v>3.7885165272335701</v>
      </c>
      <c r="F1045" s="116">
        <v>229.15</v>
      </c>
      <c r="G1045">
        <v>1623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43543</v>
      </c>
      <c r="B1046" s="116">
        <v>3.7584237956209199</v>
      </c>
      <c r="C1046" s="116">
        <v>3.6428043531092</v>
      </c>
      <c r="D1046" s="116">
        <v>3.57153209402663</v>
      </c>
      <c r="E1046" s="116">
        <v>3.57153209402663</v>
      </c>
      <c r="F1046" s="116">
        <v>230</v>
      </c>
      <c r="G1046">
        <v>764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43544</v>
      </c>
      <c r="B1047" s="116">
        <v>3.76713484950879</v>
      </c>
      <c r="C1047" s="116">
        <v>3.7607995375903398</v>
      </c>
      <c r="D1047" s="116">
        <v>3.57153209402663</v>
      </c>
      <c r="E1047" s="116">
        <v>3.6744809127014499</v>
      </c>
      <c r="F1047" s="116">
        <v>237.45</v>
      </c>
      <c r="G1047">
        <v>433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43546</v>
      </c>
      <c r="B1048" s="116">
        <v>3.7219957520898301</v>
      </c>
      <c r="C1048" s="116">
        <v>3.6166711914455898</v>
      </c>
      <c r="D1048" s="116">
        <v>3.5810350619042999</v>
      </c>
      <c r="E1048" s="116">
        <v>3.7219957520898301</v>
      </c>
      <c r="F1048" s="116">
        <v>228.35</v>
      </c>
      <c r="G1048">
        <v>10378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43549</v>
      </c>
      <c r="B1049" s="116">
        <v>3.8795866360612998</v>
      </c>
      <c r="C1049" s="116">
        <v>3.5921218577615899</v>
      </c>
      <c r="D1049" s="116">
        <v>3.4860053831275399</v>
      </c>
      <c r="E1049" s="116">
        <v>3.5636129541285602</v>
      </c>
      <c r="F1049" s="116">
        <v>226.8</v>
      </c>
      <c r="G1049">
        <v>2991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43550</v>
      </c>
      <c r="B1050" s="116">
        <v>3.6459720090684198</v>
      </c>
      <c r="C1050" s="116">
        <v>3.5659886960979801</v>
      </c>
      <c r="D1050" s="116">
        <v>3.5636129541285602</v>
      </c>
      <c r="E1050" s="116">
        <v>3.5952895137208198</v>
      </c>
      <c r="F1050" s="116">
        <v>225.15</v>
      </c>
      <c r="G1050">
        <v>422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43551</v>
      </c>
      <c r="B1051" s="116">
        <v>3.6032086536188799</v>
      </c>
      <c r="C1051" s="116">
        <v>3.54619084635282</v>
      </c>
      <c r="D1051" s="116">
        <v>3.5192657706994099</v>
      </c>
      <c r="E1051" s="116">
        <v>3.5192657706994099</v>
      </c>
      <c r="F1051" s="116">
        <v>223.9</v>
      </c>
      <c r="G1051">
        <v>1559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43552</v>
      </c>
      <c r="B1052" s="116">
        <v>3.6348852132111298</v>
      </c>
      <c r="C1052" s="116">
        <v>3.6111277935169399</v>
      </c>
      <c r="D1052" s="116">
        <v>3.5659886960979801</v>
      </c>
      <c r="E1052" s="116">
        <v>3.5952895137208198</v>
      </c>
      <c r="F1052" s="116">
        <v>228</v>
      </c>
      <c r="G1052">
        <v>314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43553</v>
      </c>
      <c r="B1053" s="116">
        <v>3.6111277935169399</v>
      </c>
      <c r="C1053" s="116">
        <v>3.56915635205721</v>
      </c>
      <c r="D1053" s="116">
        <v>3.54935850231205</v>
      </c>
      <c r="E1053" s="116">
        <v>3.6103358795271401</v>
      </c>
      <c r="F1053" s="116">
        <v>225.35</v>
      </c>
      <c r="G1053">
        <v>1283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43556</v>
      </c>
      <c r="B1054" s="116">
        <v>3.6736889987116501</v>
      </c>
      <c r="C1054" s="116">
        <v>3.5707401800368199</v>
      </c>
      <c r="D1054" s="116">
        <v>3.5636129541285602</v>
      </c>
      <c r="E1054" s="116">
        <v>3.5636129541285602</v>
      </c>
      <c r="F1054" s="116">
        <v>225.45</v>
      </c>
      <c r="G1054">
        <v>727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43557</v>
      </c>
      <c r="B1055" s="116">
        <v>3.8629564422753599</v>
      </c>
      <c r="C1055" s="116">
        <v>3.5026355769134701</v>
      </c>
      <c r="D1055" s="116">
        <v>3.4844215551479301</v>
      </c>
      <c r="E1055" s="116">
        <v>3.8629564422753599</v>
      </c>
      <c r="F1055" s="116">
        <v>221.15</v>
      </c>
      <c r="G1055">
        <v>6283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43558</v>
      </c>
      <c r="B1056" s="116">
        <v>3.5477746743324401</v>
      </c>
      <c r="C1056" s="116">
        <v>3.48679729711735</v>
      </c>
      <c r="D1056" s="116">
        <v>3.4685832753518002</v>
      </c>
      <c r="E1056" s="116">
        <v>3.5477746743324401</v>
      </c>
      <c r="F1056" s="116">
        <v>220.15</v>
      </c>
      <c r="G1056">
        <v>2070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43559</v>
      </c>
      <c r="B1057" s="116">
        <v>3.7053655583039</v>
      </c>
      <c r="C1057" s="116">
        <v>3.4970921789848299</v>
      </c>
      <c r="D1057" s="116">
        <v>3.4844215551479301</v>
      </c>
      <c r="E1057" s="116">
        <v>3.7053655583039</v>
      </c>
      <c r="F1057" s="116">
        <v>220.8</v>
      </c>
      <c r="G1057">
        <v>480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43560</v>
      </c>
      <c r="B1058" s="116">
        <v>3.6412205251295902</v>
      </c>
      <c r="C1058" s="116">
        <v>3.5335202225159201</v>
      </c>
      <c r="D1058" s="116">
        <v>3.4844215551479301</v>
      </c>
      <c r="E1058" s="116">
        <v>3.4844215551479301</v>
      </c>
      <c r="F1058" s="116">
        <v>223.1</v>
      </c>
      <c r="G1058">
        <v>1609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43563</v>
      </c>
      <c r="B1059" s="116">
        <v>3.6697294287626101</v>
      </c>
      <c r="C1059" s="116">
        <v>3.51609811474018</v>
      </c>
      <c r="D1059" s="116">
        <v>3.4527449955556699</v>
      </c>
      <c r="E1059" s="116">
        <v>3.5002598349440599</v>
      </c>
      <c r="F1059" s="116">
        <v>222</v>
      </c>
      <c r="G1059">
        <v>3446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43564</v>
      </c>
      <c r="B1060" s="116">
        <v>3.5453989323630202</v>
      </c>
      <c r="C1060" s="116">
        <v>3.4511611675760601</v>
      </c>
      <c r="D1060" s="116">
        <v>3.40998164010613</v>
      </c>
      <c r="E1060" s="116">
        <v>3.40998164010613</v>
      </c>
      <c r="F1060" s="116">
        <v>217.9</v>
      </c>
      <c r="G1060">
        <v>609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43565</v>
      </c>
      <c r="B1061" s="116">
        <v>3.63171755725191</v>
      </c>
      <c r="C1061" s="116">
        <v>3.5944975997310098</v>
      </c>
      <c r="D1061" s="116">
        <v>3.4559126515148999</v>
      </c>
      <c r="E1061" s="116">
        <v>3.4559126515148999</v>
      </c>
      <c r="F1061" s="116">
        <v>226.95</v>
      </c>
      <c r="G1061">
        <v>405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43566</v>
      </c>
      <c r="B1062" s="116">
        <v>3.6103358795271401</v>
      </c>
      <c r="C1062" s="116">
        <v>3.4923406950459901</v>
      </c>
      <c r="D1062" s="116">
        <v>3.4860053831275399</v>
      </c>
      <c r="E1062" s="116">
        <v>3.4860053831275399</v>
      </c>
      <c r="F1062" s="116">
        <v>220.5</v>
      </c>
      <c r="G1062">
        <v>387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43567</v>
      </c>
      <c r="B1063" s="116">
        <v>3.5620291261489498</v>
      </c>
      <c r="C1063" s="116">
        <v>3.4147331240449699</v>
      </c>
      <c r="D1063" s="116">
        <v>3.34979617688085</v>
      </c>
      <c r="E1063" s="116">
        <v>3.34979617688085</v>
      </c>
      <c r="F1063" s="116">
        <v>215.6</v>
      </c>
      <c r="G1063">
        <v>802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43570</v>
      </c>
      <c r="B1064" s="116">
        <v>3.5263929966076599</v>
      </c>
      <c r="C1064" s="116">
        <v>3.39414336031001</v>
      </c>
      <c r="D1064" s="116">
        <v>3.3117843053701401</v>
      </c>
      <c r="E1064" s="116">
        <v>3.42106843596342</v>
      </c>
      <c r="F1064" s="116">
        <v>214.3</v>
      </c>
      <c r="G1064">
        <v>1415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43571</v>
      </c>
      <c r="B1065" s="116">
        <v>3.5620291261489498</v>
      </c>
      <c r="C1065" s="116">
        <v>3.30544899345169</v>
      </c>
      <c r="D1065" s="116">
        <v>3.19933251881764</v>
      </c>
      <c r="E1065" s="116">
        <v>3.37196976859543</v>
      </c>
      <c r="F1065" s="116">
        <v>208.7</v>
      </c>
      <c r="G1065">
        <v>3109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43573</v>
      </c>
      <c r="B1066" s="116">
        <v>3.4369067157595499</v>
      </c>
      <c r="C1066" s="116">
        <v>3.39889484424884</v>
      </c>
      <c r="D1066" s="116">
        <v>3.2500150141652502</v>
      </c>
      <c r="E1066" s="116">
        <v>3.2500150141652502</v>
      </c>
      <c r="F1066" s="116">
        <v>214.6</v>
      </c>
      <c r="G1066">
        <v>587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43577</v>
      </c>
      <c r="B1067" s="116">
        <v>4.0783570475026902</v>
      </c>
      <c r="C1067" s="116">
        <v>4.0783570475026902</v>
      </c>
      <c r="D1067" s="116">
        <v>3.5081789748421199</v>
      </c>
      <c r="E1067" s="116">
        <v>3.5081789748421199</v>
      </c>
      <c r="F1067" s="116">
        <v>257.5</v>
      </c>
      <c r="G1067">
        <v>27214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43578</v>
      </c>
      <c r="B1068" s="116">
        <v>4.3381048361591699</v>
      </c>
      <c r="C1068" s="116">
        <v>3.7687186774884101</v>
      </c>
      <c r="D1068" s="116">
        <v>3.7473369997636401</v>
      </c>
      <c r="E1068" s="116">
        <v>4.2137743397595804</v>
      </c>
      <c r="F1068" s="116">
        <v>237.95</v>
      </c>
      <c r="G1068">
        <v>18394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43579</v>
      </c>
      <c r="B1069" s="116">
        <v>3.7219957520898301</v>
      </c>
      <c r="C1069" s="116">
        <v>3.6063763095781098</v>
      </c>
      <c r="D1069" s="116">
        <v>3.5216415126688299</v>
      </c>
      <c r="E1069" s="116">
        <v>3.7219957520898301</v>
      </c>
      <c r="F1069" s="116">
        <v>227.7</v>
      </c>
      <c r="G1069">
        <v>4389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43580</v>
      </c>
      <c r="B1070" s="116">
        <v>3.64201243911939</v>
      </c>
      <c r="C1070" s="116">
        <v>3.62300650336404</v>
      </c>
      <c r="D1070" s="116">
        <v>3.5042194048930901</v>
      </c>
      <c r="E1070" s="116">
        <v>3.6111277935169399</v>
      </c>
      <c r="F1070" s="116">
        <v>228.75</v>
      </c>
      <c r="G1070">
        <v>1847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43581</v>
      </c>
      <c r="B1071" s="116">
        <v>3.6903191924975798</v>
      </c>
      <c r="C1071" s="116">
        <v>3.5944975997310098</v>
      </c>
      <c r="D1071" s="116">
        <v>3.4685832753518002</v>
      </c>
      <c r="E1071" s="116">
        <v>3.6903191924975798</v>
      </c>
      <c r="F1071" s="116">
        <v>226.95</v>
      </c>
      <c r="G1071">
        <v>1106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43585</v>
      </c>
      <c r="B1072" s="116">
        <v>3.7117008702223502</v>
      </c>
      <c r="C1072" s="116">
        <v>3.5857865458431402</v>
      </c>
      <c r="D1072" s="116">
        <v>3.5081789748421199</v>
      </c>
      <c r="E1072" s="116">
        <v>3.5081789748421199</v>
      </c>
      <c r="F1072" s="116">
        <v>226.4</v>
      </c>
      <c r="G1072">
        <v>2295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43587</v>
      </c>
      <c r="B1073" s="116">
        <v>3.7552561396617001</v>
      </c>
      <c r="C1073" s="116">
        <v>3.7552561396617001</v>
      </c>
      <c r="D1073" s="116">
        <v>3.5406474484241799</v>
      </c>
      <c r="E1073" s="116">
        <v>3.5857865458431402</v>
      </c>
      <c r="F1073" s="116">
        <v>237.1</v>
      </c>
      <c r="G1073">
        <v>1866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43588</v>
      </c>
      <c r="B1074" s="116">
        <v>4.3436482340878202</v>
      </c>
      <c r="C1074" s="116">
        <v>3.9310610453987098</v>
      </c>
      <c r="D1074" s="116">
        <v>3.78218121531512</v>
      </c>
      <c r="E1074" s="116">
        <v>3.78218121531512</v>
      </c>
      <c r="F1074" s="116">
        <v>248.2</v>
      </c>
      <c r="G1074">
        <v>7288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43591</v>
      </c>
      <c r="B1075" s="116">
        <v>4.23990750142318</v>
      </c>
      <c r="C1075" s="116">
        <v>4.1409182526973902</v>
      </c>
      <c r="D1075" s="116">
        <v>3.95956994903174</v>
      </c>
      <c r="E1075" s="116">
        <v>3.95956994903174</v>
      </c>
      <c r="F1075" s="116">
        <v>261.45</v>
      </c>
      <c r="G1075">
        <v>5817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43592</v>
      </c>
      <c r="B1076" s="116">
        <v>4.4188800631194196</v>
      </c>
      <c r="C1076" s="116">
        <v>4.1860573501163501</v>
      </c>
      <c r="D1076" s="116">
        <v>4.1179527469930104</v>
      </c>
      <c r="E1076" s="116">
        <v>4.2541619532397004</v>
      </c>
      <c r="F1076" s="116">
        <v>264.3</v>
      </c>
      <c r="G1076">
        <v>9452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43593</v>
      </c>
      <c r="B1077" s="116">
        <v>4.51390974189618</v>
      </c>
      <c r="C1077" s="116">
        <v>3.8787947220714898</v>
      </c>
      <c r="D1077" s="116">
        <v>3.8787947220714898</v>
      </c>
      <c r="E1077" s="116">
        <v>4.2763355449542804</v>
      </c>
      <c r="F1077" s="116">
        <v>244.9</v>
      </c>
      <c r="G1077">
        <v>3440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43594</v>
      </c>
      <c r="B1078" s="116">
        <v>3.8621645282855601</v>
      </c>
      <c r="C1078" s="116">
        <v>3.7972275811214402</v>
      </c>
      <c r="D1078" s="116">
        <v>3.7093251282529298</v>
      </c>
      <c r="E1078" s="116">
        <v>3.7093251282529298</v>
      </c>
      <c r="F1078" s="116">
        <v>239.75</v>
      </c>
      <c r="G1078">
        <v>1432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43595</v>
      </c>
      <c r="B1079" s="116">
        <v>3.92630956145987</v>
      </c>
      <c r="C1079" s="116">
        <v>3.8479100764690402</v>
      </c>
      <c r="D1079" s="116">
        <v>3.6428043531092</v>
      </c>
      <c r="E1079" s="116">
        <v>3.92630956145987</v>
      </c>
      <c r="F1079" s="116">
        <v>242.95</v>
      </c>
      <c r="G1079">
        <v>809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43598</v>
      </c>
      <c r="B1080" s="116">
        <v>3.9556103790827102</v>
      </c>
      <c r="C1080" s="116">
        <v>3.8217769148054299</v>
      </c>
      <c r="D1080" s="116">
        <v>3.7425855158247998</v>
      </c>
      <c r="E1080" s="116">
        <v>3.8170254308665901</v>
      </c>
      <c r="F1080" s="116">
        <v>241.3</v>
      </c>
      <c r="G1080">
        <v>1093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43599</v>
      </c>
      <c r="B1081" s="116">
        <v>3.9476912391846399</v>
      </c>
      <c r="C1081" s="116">
        <v>3.9476912391846399</v>
      </c>
      <c r="D1081" s="116">
        <v>3.7536723116820898</v>
      </c>
      <c r="E1081" s="116">
        <v>3.7536723116820898</v>
      </c>
      <c r="F1081" s="116">
        <v>249.25</v>
      </c>
      <c r="G1081">
        <v>656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43600</v>
      </c>
      <c r="B1082" s="116">
        <v>4.1132012630541697</v>
      </c>
      <c r="C1082" s="116">
        <v>3.9722405728686399</v>
      </c>
      <c r="D1082" s="116">
        <v>3.8962168298472299</v>
      </c>
      <c r="E1082" s="116">
        <v>3.9579861210521199</v>
      </c>
      <c r="F1082" s="116">
        <v>250.8</v>
      </c>
      <c r="G1082">
        <v>3036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43601</v>
      </c>
      <c r="B1083" s="116">
        <v>4.2763355449542804</v>
      </c>
      <c r="C1083" s="116">
        <v>4.2628730071275696</v>
      </c>
      <c r="D1083" s="116">
        <v>3.9611537770113499</v>
      </c>
      <c r="E1083" s="116">
        <v>4.1108255210847497</v>
      </c>
      <c r="F1083" s="116">
        <v>269.14999999999998</v>
      </c>
      <c r="G1083">
        <v>5541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43602</v>
      </c>
      <c r="B1084" s="116">
        <v>4.35552694393491</v>
      </c>
      <c r="C1084" s="116">
        <v>4.1781382102182896</v>
      </c>
      <c r="D1084" s="116">
        <v>4.1179527469930104</v>
      </c>
      <c r="E1084" s="116">
        <v>4.3286018682814902</v>
      </c>
      <c r="F1084" s="116">
        <v>263.8</v>
      </c>
      <c r="G1084">
        <v>4814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43605</v>
      </c>
      <c r="B1085" s="116">
        <v>4.2763355449542804</v>
      </c>
      <c r="C1085" s="116">
        <v>4.2430751573824104</v>
      </c>
      <c r="D1085" s="116">
        <v>3.9912465086239899</v>
      </c>
      <c r="E1085" s="116">
        <v>4.2129824257697699</v>
      </c>
      <c r="F1085" s="116">
        <v>267.89999999999998</v>
      </c>
      <c r="G1085">
        <v>3070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43606</v>
      </c>
      <c r="B1086" s="116">
        <v>4.2763355449542804</v>
      </c>
      <c r="C1086" s="116">
        <v>4.1820977801673198</v>
      </c>
      <c r="D1086" s="116">
        <v>4.1654675863813901</v>
      </c>
      <c r="E1086" s="116">
        <v>4.2763355449542804</v>
      </c>
      <c r="F1086" s="116">
        <v>264.05</v>
      </c>
      <c r="G1086">
        <v>3693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43607</v>
      </c>
      <c r="B1087" s="116">
        <v>4.3080121045465303</v>
      </c>
      <c r="C1087" s="116">
        <v>4.2248611356168597</v>
      </c>
      <c r="D1087" s="116">
        <v>4.1496293065852603</v>
      </c>
      <c r="E1087" s="116">
        <v>4.1583403604731304</v>
      </c>
      <c r="F1087" s="116">
        <v>266.75</v>
      </c>
      <c r="G1087">
        <v>3524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43608</v>
      </c>
      <c r="B1088" s="116">
        <v>4.3080121045465303</v>
      </c>
      <c r="C1088" s="116">
        <v>4.1179527469930104</v>
      </c>
      <c r="D1088" s="116">
        <v>3.97540822882786</v>
      </c>
      <c r="E1088" s="116">
        <v>4.0862761874007498</v>
      </c>
      <c r="F1088" s="116">
        <v>260</v>
      </c>
      <c r="G1088">
        <v>3495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43609</v>
      </c>
      <c r="B1089" s="116">
        <v>4.3238503843426601</v>
      </c>
      <c r="C1089" s="116">
        <v>4.2763355449542804</v>
      </c>
      <c r="D1089" s="116">
        <v>4.1179527469930104</v>
      </c>
      <c r="E1089" s="116">
        <v>4.1179527469930104</v>
      </c>
      <c r="F1089" s="116">
        <v>270</v>
      </c>
      <c r="G1089">
        <v>2256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43612</v>
      </c>
      <c r="B1090" s="116">
        <v>4.3080121045465303</v>
      </c>
      <c r="C1090" s="116">
        <v>4.2557457812193098</v>
      </c>
      <c r="D1090" s="116">
        <v>4.2462428133416399</v>
      </c>
      <c r="E1090" s="116">
        <v>4.3080121045465303</v>
      </c>
      <c r="F1090" s="116">
        <v>268.7</v>
      </c>
      <c r="G1090">
        <v>656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43613</v>
      </c>
      <c r="B1091" s="116">
        <v>4.35552694393491</v>
      </c>
      <c r="C1091" s="116">
        <v>4.20823094183093</v>
      </c>
      <c r="D1091" s="116">
        <v>4.2050632858717103</v>
      </c>
      <c r="E1091" s="116">
        <v>4.35552694393491</v>
      </c>
      <c r="F1091" s="116">
        <v>265.7</v>
      </c>
      <c r="G1091">
        <v>995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43614</v>
      </c>
      <c r="B1092" s="116">
        <v>4.3396886641387802</v>
      </c>
      <c r="C1092" s="116">
        <v>4.1813058661775102</v>
      </c>
      <c r="D1092" s="116">
        <v>4.1670514143609996</v>
      </c>
      <c r="E1092" s="116">
        <v>4.20823094183093</v>
      </c>
      <c r="F1092" s="116">
        <v>264</v>
      </c>
      <c r="G1092">
        <v>1072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43615</v>
      </c>
      <c r="B1093" s="116">
        <v>4.4188800631194196</v>
      </c>
      <c r="C1093" s="116">
        <v>4.3539431159552997</v>
      </c>
      <c r="D1093" s="116">
        <v>4.0577672837677197</v>
      </c>
      <c r="E1093" s="116">
        <v>4.0577672837677197</v>
      </c>
      <c r="F1093" s="116">
        <v>274.89999999999998</v>
      </c>
      <c r="G1093">
        <v>1051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43616</v>
      </c>
      <c r="B1094" s="116">
        <v>4.35552694393491</v>
      </c>
      <c r="C1094" s="116">
        <v>4.3460239760572303</v>
      </c>
      <c r="D1094" s="116">
        <v>4.2288207055658997</v>
      </c>
      <c r="E1094" s="116">
        <v>4.2335721895047298</v>
      </c>
      <c r="F1094" s="116">
        <v>274.39999999999998</v>
      </c>
      <c r="G1094">
        <v>1220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43619</v>
      </c>
      <c r="B1095" s="116">
        <v>4.35552694393491</v>
      </c>
      <c r="C1095" s="116">
        <v>4.2993010506586602</v>
      </c>
      <c r="D1095" s="116">
        <v>4.1496293065852603</v>
      </c>
      <c r="E1095" s="116">
        <v>4.2446589853620198</v>
      </c>
      <c r="F1095" s="116">
        <v>271.45</v>
      </c>
      <c r="G1095">
        <v>822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43620</v>
      </c>
      <c r="B1096" s="116">
        <v>4.3396886641387802</v>
      </c>
      <c r="C1096" s="116">
        <v>4.3396886641387802</v>
      </c>
      <c r="D1096" s="116">
        <v>4.2446589853620198</v>
      </c>
      <c r="E1096" s="116">
        <v>4.2446589853620198</v>
      </c>
      <c r="F1096" s="116">
        <v>274</v>
      </c>
      <c r="G1096">
        <v>360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43622</v>
      </c>
      <c r="B1097" s="116">
        <v>4.3396886641387802</v>
      </c>
      <c r="C1097" s="116">
        <v>4.3396886641387802</v>
      </c>
      <c r="D1097" s="116">
        <v>4.1654675863813901</v>
      </c>
      <c r="E1097" s="116">
        <v>4.3396886641387802</v>
      </c>
      <c r="F1097" s="116">
        <v>274</v>
      </c>
      <c r="G1097">
        <v>369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43623</v>
      </c>
      <c r="B1098" s="116">
        <v>4.3539431159552997</v>
      </c>
      <c r="C1098" s="116">
        <v>4.3428563200980097</v>
      </c>
      <c r="D1098" s="116">
        <v>4.1622999304221597</v>
      </c>
      <c r="E1098" s="116">
        <v>4.2145662537493802</v>
      </c>
      <c r="F1098" s="116">
        <v>274.2</v>
      </c>
      <c r="G1098">
        <v>383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43626</v>
      </c>
      <c r="B1099" s="116">
        <v>4.3713652237310399</v>
      </c>
      <c r="C1099" s="116">
        <v>4.1472535646158404</v>
      </c>
      <c r="D1099" s="116">
        <v>4.0862761874007498</v>
      </c>
      <c r="E1099" s="116">
        <v>4.1987279739532504</v>
      </c>
      <c r="F1099" s="116">
        <v>261.85000000000002</v>
      </c>
      <c r="G1099">
        <v>1698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43627</v>
      </c>
      <c r="B1100" s="116">
        <v>4.1963522319838296</v>
      </c>
      <c r="C1100" s="116">
        <v>4.1155770050235896</v>
      </c>
      <c r="D1100" s="116">
        <v>4.0641025956861796</v>
      </c>
      <c r="E1100" s="116">
        <v>4.1021144671968797</v>
      </c>
      <c r="F1100" s="116">
        <v>259.85000000000002</v>
      </c>
      <c r="G1100">
        <v>958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43628</v>
      </c>
      <c r="B1101" s="116">
        <v>4.2288207055658997</v>
      </c>
      <c r="C1101" s="116">
        <v>4.10369829517649</v>
      </c>
      <c r="D1101" s="116">
        <v>4.08548427341095</v>
      </c>
      <c r="E1101" s="116">
        <v>4.1076578651255202</v>
      </c>
      <c r="F1101" s="116">
        <v>259.10000000000002</v>
      </c>
      <c r="G1101">
        <v>1182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43629</v>
      </c>
      <c r="B1102" s="116">
        <v>4.1179527469930104</v>
      </c>
      <c r="C1102" s="116">
        <v>4.0783570475026902</v>
      </c>
      <c r="D1102" s="116">
        <v>4.0783570475026902</v>
      </c>
      <c r="E1102" s="116">
        <v>4.1179527469930104</v>
      </c>
      <c r="F1102" s="116">
        <v>257.5</v>
      </c>
      <c r="G1102">
        <v>30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43630</v>
      </c>
      <c r="B1103" s="116">
        <v>4.35552694393491</v>
      </c>
      <c r="C1103" s="116">
        <v>4.0086686163997296</v>
      </c>
      <c r="D1103" s="116">
        <v>4.0086686163997296</v>
      </c>
      <c r="E1103" s="116">
        <v>4.35552694393491</v>
      </c>
      <c r="F1103" s="116">
        <v>253.1</v>
      </c>
      <c r="G1103">
        <v>777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43633</v>
      </c>
      <c r="B1104" s="116">
        <v>4.1654675863813901</v>
      </c>
      <c r="C1104" s="116">
        <v>3.8843381200001299</v>
      </c>
      <c r="D1104" s="116">
        <v>3.85345347439769</v>
      </c>
      <c r="E1104" s="116">
        <v>4.0229230682162402</v>
      </c>
      <c r="F1104" s="116">
        <v>245.25</v>
      </c>
      <c r="G1104">
        <v>1456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43634</v>
      </c>
      <c r="B1105" s="116">
        <v>4.1179527469930104</v>
      </c>
      <c r="C1105" s="116">
        <v>3.80118715107047</v>
      </c>
      <c r="D1105" s="116">
        <v>3.80118715107047</v>
      </c>
      <c r="E1105" s="116">
        <v>3.9437316692356101</v>
      </c>
      <c r="F1105" s="116">
        <v>240</v>
      </c>
      <c r="G1105">
        <v>2302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43635</v>
      </c>
      <c r="B1106" s="116">
        <v>3.9587780350419299</v>
      </c>
      <c r="C1106" s="116">
        <v>3.6697294287626101</v>
      </c>
      <c r="D1106" s="116">
        <v>3.5636129541285602</v>
      </c>
      <c r="E1106" s="116">
        <v>3.9587780350419299</v>
      </c>
      <c r="F1106" s="116">
        <v>231.7</v>
      </c>
      <c r="G1106">
        <v>4097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43636</v>
      </c>
      <c r="B1107" s="116">
        <v>3.7885165272335701</v>
      </c>
      <c r="C1107" s="116">
        <v>3.6982383323956398</v>
      </c>
      <c r="D1107" s="116">
        <v>3.6443881810888099</v>
      </c>
      <c r="E1107" s="116">
        <v>3.7885165272335701</v>
      </c>
      <c r="F1107" s="116">
        <v>233.5</v>
      </c>
      <c r="G1107">
        <v>1263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43637</v>
      </c>
      <c r="B1108" s="116">
        <v>3.8320717966729099</v>
      </c>
      <c r="C1108" s="116">
        <v>3.7845569572845301</v>
      </c>
      <c r="D1108" s="116">
        <v>3.7069493862835099</v>
      </c>
      <c r="E1108" s="116">
        <v>3.7219957520898301</v>
      </c>
      <c r="F1108" s="116">
        <v>238.95</v>
      </c>
      <c r="G1108">
        <v>395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43640</v>
      </c>
      <c r="B1109" s="116">
        <v>3.9476912391846399</v>
      </c>
      <c r="C1109" s="116">
        <v>3.7695105914782099</v>
      </c>
      <c r="D1109" s="116">
        <v>3.7227876660796402</v>
      </c>
      <c r="E1109" s="116">
        <v>3.9476912391846399</v>
      </c>
      <c r="F1109" s="116">
        <v>238</v>
      </c>
      <c r="G1109">
        <v>628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43641</v>
      </c>
      <c r="B1110" s="116">
        <v>3.86374835626517</v>
      </c>
      <c r="C1110" s="116">
        <v>3.7544642256718901</v>
      </c>
      <c r="D1110" s="116">
        <v>3.7227876660796402</v>
      </c>
      <c r="E1110" s="116">
        <v>3.7227876660796402</v>
      </c>
      <c r="F1110" s="116">
        <v>237.05</v>
      </c>
      <c r="G1110">
        <v>281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43642</v>
      </c>
      <c r="B1111" s="116">
        <v>3.90413596974529</v>
      </c>
      <c r="C1111" s="116">
        <v>3.8170254308665901</v>
      </c>
      <c r="D1111" s="116">
        <v>3.7576318816311201</v>
      </c>
      <c r="E1111" s="116">
        <v>3.90413596974529</v>
      </c>
      <c r="F1111" s="116">
        <v>241</v>
      </c>
      <c r="G1111">
        <v>183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43643</v>
      </c>
      <c r="B1112" s="116">
        <v>3.8170254308665901</v>
      </c>
      <c r="C1112" s="116">
        <v>3.7061574722937101</v>
      </c>
      <c r="D1112" s="116">
        <v>3.6855677085587399</v>
      </c>
      <c r="E1112" s="116">
        <v>3.8170254308665901</v>
      </c>
      <c r="F1112" s="116">
        <v>234</v>
      </c>
      <c r="G1112">
        <v>1423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43644</v>
      </c>
      <c r="B1113" s="116">
        <v>3.9088874536841298</v>
      </c>
      <c r="C1113" s="116">
        <v>3.73466637592673</v>
      </c>
      <c r="D1113" s="116">
        <v>3.7307068059777002</v>
      </c>
      <c r="E1113" s="116">
        <v>3.7307068059777002</v>
      </c>
      <c r="F1113" s="116">
        <v>235.8</v>
      </c>
      <c r="G1113">
        <v>451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43647</v>
      </c>
      <c r="B1114" s="116">
        <v>3.8795866360612998</v>
      </c>
      <c r="C1114" s="116">
        <v>3.8328637106627199</v>
      </c>
      <c r="D1114" s="116">
        <v>3.7061574722937101</v>
      </c>
      <c r="E1114" s="116">
        <v>3.80118715107047</v>
      </c>
      <c r="F1114" s="116">
        <v>242</v>
      </c>
      <c r="G1114">
        <v>735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43648</v>
      </c>
      <c r="B1115" s="116">
        <v>3.8479100764690402</v>
      </c>
      <c r="C1115" s="116">
        <v>3.8320717966729099</v>
      </c>
      <c r="D1115" s="116">
        <v>3.7536723116820898</v>
      </c>
      <c r="E1115" s="116">
        <v>3.80118715107047</v>
      </c>
      <c r="F1115" s="116">
        <v>241.95</v>
      </c>
      <c r="G1115">
        <v>1707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43649</v>
      </c>
      <c r="B1116" s="116">
        <v>3.8281122267238801</v>
      </c>
      <c r="C1116" s="116">
        <v>3.7615914515801498</v>
      </c>
      <c r="D1116" s="116">
        <v>3.7615914515801498</v>
      </c>
      <c r="E1116" s="116">
        <v>3.8281122267238801</v>
      </c>
      <c r="F1116" s="116">
        <v>237.5</v>
      </c>
      <c r="G1116">
        <v>60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43650</v>
      </c>
      <c r="B1117" s="116">
        <v>3.9104712816637401</v>
      </c>
      <c r="C1117" s="116">
        <v>3.7219957520898301</v>
      </c>
      <c r="D1117" s="116">
        <v>3.6301337292723002</v>
      </c>
      <c r="E1117" s="116">
        <v>3.6744809127014499</v>
      </c>
      <c r="F1117" s="116">
        <v>235</v>
      </c>
      <c r="G1117">
        <v>1132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43651</v>
      </c>
      <c r="B1118" s="116">
        <v>3.73783403188596</v>
      </c>
      <c r="C1118" s="116">
        <v>3.6428043531092</v>
      </c>
      <c r="D1118" s="116">
        <v>3.6428043531092</v>
      </c>
      <c r="E1118" s="116">
        <v>3.73783403188596</v>
      </c>
      <c r="F1118" s="116">
        <v>230</v>
      </c>
      <c r="G1118">
        <v>487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43654</v>
      </c>
      <c r="B1119" s="116">
        <v>3.7219957520898301</v>
      </c>
      <c r="C1119" s="116">
        <v>3.6428043531092</v>
      </c>
      <c r="D1119" s="116">
        <v>3.5335202225159201</v>
      </c>
      <c r="E1119" s="116">
        <v>3.6428043531092</v>
      </c>
      <c r="F1119" s="116">
        <v>230</v>
      </c>
      <c r="G1119">
        <v>502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43655</v>
      </c>
      <c r="B1120" s="116">
        <v>3.7996033230908499</v>
      </c>
      <c r="C1120" s="116">
        <v>3.6111277935169399</v>
      </c>
      <c r="D1120" s="116">
        <v>3.5335202225159201</v>
      </c>
      <c r="E1120" s="116">
        <v>3.5335202225159201</v>
      </c>
      <c r="F1120" s="116">
        <v>228</v>
      </c>
      <c r="G1120">
        <v>981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43656</v>
      </c>
      <c r="B1121" s="116">
        <v>3.78930844122337</v>
      </c>
      <c r="C1121" s="116">
        <v>3.6277579873028798</v>
      </c>
      <c r="D1121" s="116">
        <v>3.5731159220062398</v>
      </c>
      <c r="E1121" s="116">
        <v>3.5731159220062398</v>
      </c>
      <c r="F1121" s="116">
        <v>229.05</v>
      </c>
      <c r="G1121">
        <v>46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43657</v>
      </c>
      <c r="B1122" s="116">
        <v>3.76000762360054</v>
      </c>
      <c r="C1122" s="116">
        <v>3.6491396650276502</v>
      </c>
      <c r="D1122" s="116">
        <v>3.5810350619042999</v>
      </c>
      <c r="E1122" s="116">
        <v>3.5810350619042999</v>
      </c>
      <c r="F1122" s="116">
        <v>230.4</v>
      </c>
      <c r="G1122">
        <v>376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43658</v>
      </c>
      <c r="B1123" s="116">
        <v>3.9088874536841298</v>
      </c>
      <c r="C1123" s="116">
        <v>3.6689375147728098</v>
      </c>
      <c r="D1123" s="116">
        <v>3.6142954494761699</v>
      </c>
      <c r="E1123" s="116">
        <v>3.9088874536841298</v>
      </c>
      <c r="F1123" s="116">
        <v>231.65</v>
      </c>
      <c r="G1123">
        <v>435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43661</v>
      </c>
      <c r="B1124" s="116">
        <v>3.6428043531092</v>
      </c>
      <c r="C1124" s="116">
        <v>3.3442527789522098</v>
      </c>
      <c r="D1124" s="116">
        <v>3.2785239177982799</v>
      </c>
      <c r="E1124" s="116">
        <v>3.6428043531092</v>
      </c>
      <c r="F1124" s="116">
        <v>211.15</v>
      </c>
      <c r="G1124">
        <v>16123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43662</v>
      </c>
      <c r="B1125" s="116">
        <v>3.8550373023772999</v>
      </c>
      <c r="C1125" s="116">
        <v>3.7251634080490601</v>
      </c>
      <c r="D1125" s="116">
        <v>3.3102004773905298</v>
      </c>
      <c r="E1125" s="116">
        <v>3.5058032328727</v>
      </c>
      <c r="F1125" s="116">
        <v>235.2</v>
      </c>
      <c r="G1125">
        <v>8688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43663</v>
      </c>
      <c r="B1126" s="116">
        <v>3.8479100764690402</v>
      </c>
      <c r="C1126" s="116">
        <v>3.6998221603752599</v>
      </c>
      <c r="D1126" s="116">
        <v>3.6190469334150102</v>
      </c>
      <c r="E1126" s="116">
        <v>3.7219957520898301</v>
      </c>
      <c r="F1126" s="116">
        <v>233.6</v>
      </c>
      <c r="G1126">
        <v>4459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43664</v>
      </c>
      <c r="B1127" s="116">
        <v>3.8487019904588502</v>
      </c>
      <c r="C1127" s="116">
        <v>3.80118715107047</v>
      </c>
      <c r="D1127" s="116">
        <v>3.57945123392469</v>
      </c>
      <c r="E1127" s="116">
        <v>3.57945123392469</v>
      </c>
      <c r="F1127" s="116">
        <v>240</v>
      </c>
      <c r="G1127">
        <v>7538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43665</v>
      </c>
      <c r="B1128" s="116">
        <v>3.93739635731716</v>
      </c>
      <c r="C1128" s="116">
        <v>3.85345347439769</v>
      </c>
      <c r="D1128" s="116">
        <v>3.5992490836698501</v>
      </c>
      <c r="E1128" s="116">
        <v>3.8613726142957501</v>
      </c>
      <c r="F1128" s="116">
        <v>243.3</v>
      </c>
      <c r="G1128">
        <v>1809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43668</v>
      </c>
      <c r="B1129" s="116">
        <v>3.7687186774884101</v>
      </c>
      <c r="C1129" s="116">
        <v>3.6428043531092</v>
      </c>
      <c r="D1129" s="116">
        <v>3.6111277935169399</v>
      </c>
      <c r="E1129" s="116">
        <v>3.6507234930072601</v>
      </c>
      <c r="F1129" s="116">
        <v>230</v>
      </c>
      <c r="G1129">
        <v>1336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43669</v>
      </c>
      <c r="B1130" s="116">
        <v>3.80039523708066</v>
      </c>
      <c r="C1130" s="116">
        <v>3.5208495986790198</v>
      </c>
      <c r="D1130" s="116">
        <v>3.5208495986790198</v>
      </c>
      <c r="E1130" s="116">
        <v>3.80039523708066</v>
      </c>
      <c r="F1130" s="116">
        <v>222.3</v>
      </c>
      <c r="G1130">
        <v>1329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43670</v>
      </c>
      <c r="B1131" s="116">
        <v>3.6483477510378401</v>
      </c>
      <c r="C1131" s="116">
        <v>3.5952895137208198</v>
      </c>
      <c r="D1131" s="116">
        <v>3.4226522639430299</v>
      </c>
      <c r="E1131" s="116">
        <v>3.4844215551479301</v>
      </c>
      <c r="F1131" s="116">
        <v>227</v>
      </c>
      <c r="G1131">
        <v>893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43671</v>
      </c>
      <c r="B1132" s="116">
        <v>3.64201243911939</v>
      </c>
      <c r="C1132" s="116">
        <v>3.60954396553733</v>
      </c>
      <c r="D1132" s="116">
        <v>3.5002598349440599</v>
      </c>
      <c r="E1132" s="116">
        <v>3.5002598349440599</v>
      </c>
      <c r="F1132" s="116">
        <v>227.9</v>
      </c>
      <c r="G1132">
        <v>169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43672</v>
      </c>
      <c r="B1133" s="116">
        <v>3.64201243911939</v>
      </c>
      <c r="C1133" s="116">
        <v>3.5881622878125601</v>
      </c>
      <c r="D1133" s="116">
        <v>3.4844215551479301</v>
      </c>
      <c r="E1133" s="116">
        <v>3.64201243911939</v>
      </c>
      <c r="F1133" s="116">
        <v>226.55</v>
      </c>
      <c r="G1133">
        <v>2504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43675</v>
      </c>
      <c r="B1134" s="116">
        <v>3.5636129541285602</v>
      </c>
      <c r="C1134" s="116">
        <v>3.51609811474018</v>
      </c>
      <c r="D1134" s="116">
        <v>3.48362964115812</v>
      </c>
      <c r="E1134" s="116">
        <v>3.4931326090358001</v>
      </c>
      <c r="F1134" s="116">
        <v>222</v>
      </c>
      <c r="G1134">
        <v>2388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43676</v>
      </c>
      <c r="B1135" s="116">
        <v>3.4994679209542499</v>
      </c>
      <c r="C1135" s="116">
        <v>3.2904026276453702</v>
      </c>
      <c r="D1135" s="116">
        <v>3.19933251881764</v>
      </c>
      <c r="E1135" s="116">
        <v>3.4155250380347799</v>
      </c>
      <c r="F1135" s="116">
        <v>207.75</v>
      </c>
      <c r="G1135">
        <v>2210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43677</v>
      </c>
      <c r="B1136" s="116">
        <v>3.4448258556576099</v>
      </c>
      <c r="C1136" s="116">
        <v>3.1708236151846099</v>
      </c>
      <c r="D1136" s="116">
        <v>3.1201411198370099</v>
      </c>
      <c r="E1136" s="116">
        <v>3.2943621975944102</v>
      </c>
      <c r="F1136" s="116">
        <v>200.2</v>
      </c>
      <c r="G1136">
        <v>14249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43678</v>
      </c>
      <c r="B1137" s="116">
        <v>3.3102004773905298</v>
      </c>
      <c r="C1137" s="116">
        <v>3.1676559592253901</v>
      </c>
      <c r="D1137" s="116">
        <v>3.1359793996331402</v>
      </c>
      <c r="E1137" s="116">
        <v>3.1676559592253901</v>
      </c>
      <c r="F1137" s="116">
        <v>200</v>
      </c>
      <c r="G1137">
        <v>1603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43679</v>
      </c>
      <c r="B1138" s="116">
        <v>3.3244549292070502</v>
      </c>
      <c r="C1138" s="116">
        <v>3.2127950566443499</v>
      </c>
      <c r="D1138" s="116">
        <v>3.1359793996331402</v>
      </c>
      <c r="E1138" s="116">
        <v>3.1676559592253901</v>
      </c>
      <c r="F1138" s="116">
        <v>202.85</v>
      </c>
      <c r="G1138">
        <v>5693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43682</v>
      </c>
      <c r="B1139" s="116">
        <v>3.3022813374924702</v>
      </c>
      <c r="C1139" s="116">
        <v>3.2460554442162199</v>
      </c>
      <c r="D1139" s="116">
        <v>3.0884645602447498</v>
      </c>
      <c r="E1139" s="116">
        <v>3.1676559592253901</v>
      </c>
      <c r="F1139" s="116">
        <v>204.95</v>
      </c>
      <c r="G1139">
        <v>2104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43683</v>
      </c>
      <c r="B1140" s="116">
        <v>3.2302171644200901</v>
      </c>
      <c r="C1140" s="116">
        <v>3.17003170119481</v>
      </c>
      <c r="D1140" s="116">
        <v>3.0884645602447498</v>
      </c>
      <c r="E1140" s="116">
        <v>3.1676559592253901</v>
      </c>
      <c r="F1140" s="116">
        <v>200.15</v>
      </c>
      <c r="G1140">
        <v>762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43684</v>
      </c>
      <c r="B1141" s="116">
        <v>3.4052301561672902</v>
      </c>
      <c r="C1141" s="116">
        <v>3.1676559592253901</v>
      </c>
      <c r="D1141" s="116">
        <v>3.1676559592253901</v>
      </c>
      <c r="E1141" s="116">
        <v>3.4052301561672902</v>
      </c>
      <c r="F1141" s="116">
        <v>200</v>
      </c>
      <c r="G1141">
        <v>1741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43685</v>
      </c>
      <c r="B1142" s="116">
        <v>3.2943621975944102</v>
      </c>
      <c r="C1142" s="116">
        <v>3.1739912711438398</v>
      </c>
      <c r="D1142" s="116">
        <v>3.1518176794292598</v>
      </c>
      <c r="E1142" s="116">
        <v>3.1874538089705502</v>
      </c>
      <c r="F1142" s="116">
        <v>200.4</v>
      </c>
      <c r="G1142">
        <v>2511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43686</v>
      </c>
      <c r="B1143" s="116">
        <v>3.2468473582060202</v>
      </c>
      <c r="C1143" s="116">
        <v>3.1541934213986802</v>
      </c>
      <c r="D1143" s="116">
        <v>3.1043028400408801</v>
      </c>
      <c r="E1143" s="116">
        <v>3.1043028400408801</v>
      </c>
      <c r="F1143" s="116">
        <v>199.15</v>
      </c>
      <c r="G1143">
        <v>12070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43690</v>
      </c>
      <c r="B1144" s="116">
        <v>3.19933251881764</v>
      </c>
      <c r="C1144" s="116">
        <v>3.1953729488686098</v>
      </c>
      <c r="D1144" s="116">
        <v>3.1668640452355801</v>
      </c>
      <c r="E1144" s="116">
        <v>3.1668640452355801</v>
      </c>
      <c r="F1144" s="116">
        <v>201.75</v>
      </c>
      <c r="G1144">
        <v>7071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43691</v>
      </c>
      <c r="B1145" s="116">
        <v>3.4052301561672902</v>
      </c>
      <c r="C1145" s="116">
        <v>3.2167546265933802</v>
      </c>
      <c r="D1145" s="116">
        <v>3.2151707986137699</v>
      </c>
      <c r="E1145" s="116">
        <v>3.4052301561672902</v>
      </c>
      <c r="F1145" s="116">
        <v>203.1</v>
      </c>
      <c r="G1145">
        <v>574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43693</v>
      </c>
      <c r="B1146" s="116">
        <v>3.27694008981867</v>
      </c>
      <c r="C1146" s="116">
        <v>3.1787427550826801</v>
      </c>
      <c r="D1146" s="116">
        <v>3.1676559592253901</v>
      </c>
      <c r="E1146" s="116">
        <v>3.2199222825526101</v>
      </c>
      <c r="F1146" s="116">
        <v>200.7</v>
      </c>
      <c r="G1146">
        <v>1964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43696</v>
      </c>
      <c r="B1147" s="116">
        <v>3.31732770329879</v>
      </c>
      <c r="C1147" s="116">
        <v>3.1684478732152002</v>
      </c>
      <c r="D1147" s="116">
        <v>3.1660721312457798</v>
      </c>
      <c r="E1147" s="116">
        <v>3.1684478732152002</v>
      </c>
      <c r="F1147" s="116">
        <v>200.05</v>
      </c>
      <c r="G1147">
        <v>11296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43697</v>
      </c>
      <c r="B1148" s="116">
        <v>3.27694008981867</v>
      </c>
      <c r="C1148" s="116">
        <v>3.1676559592253901</v>
      </c>
      <c r="D1148" s="116">
        <v>3.03303058095831</v>
      </c>
      <c r="E1148" s="116">
        <v>3.1359793996331402</v>
      </c>
      <c r="F1148" s="116">
        <v>200</v>
      </c>
      <c r="G1148">
        <v>1102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43698</v>
      </c>
      <c r="B1149" s="116">
        <v>3.18349423902152</v>
      </c>
      <c r="C1149" s="116">
        <v>3.07341819443843</v>
      </c>
      <c r="D1149" s="116">
        <v>3.03303058095831</v>
      </c>
      <c r="E1149" s="116">
        <v>3.18349423902152</v>
      </c>
      <c r="F1149" s="116">
        <v>194.05</v>
      </c>
      <c r="G1149">
        <v>2426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43699</v>
      </c>
      <c r="B1150" s="116">
        <v>3.2468473582060202</v>
      </c>
      <c r="C1150" s="116">
        <v>3.1890376369501601</v>
      </c>
      <c r="D1150" s="116">
        <v>3.12093303382682</v>
      </c>
      <c r="E1150" s="116">
        <v>3.1676559592253901</v>
      </c>
      <c r="F1150" s="116">
        <v>201.35</v>
      </c>
      <c r="G1150">
        <v>4515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43700</v>
      </c>
      <c r="B1151" s="116">
        <v>3.2389282183079602</v>
      </c>
      <c r="C1151" s="116">
        <v>3.1676559592253901</v>
      </c>
      <c r="D1151" s="116">
        <v>3.0963837001428201</v>
      </c>
      <c r="E1151" s="116">
        <v>3.0963837001428201</v>
      </c>
      <c r="F1151" s="116">
        <v>200</v>
      </c>
      <c r="G1151">
        <v>3991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43703</v>
      </c>
      <c r="B1152" s="116">
        <v>3.2468473582060202</v>
      </c>
      <c r="C1152" s="116">
        <v>3.2159627126035799</v>
      </c>
      <c r="D1152" s="116">
        <v>3.0884645602447498</v>
      </c>
      <c r="E1152" s="116">
        <v>3.2468473582060202</v>
      </c>
      <c r="F1152" s="116">
        <v>203.05</v>
      </c>
      <c r="G1152">
        <v>525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43704</v>
      </c>
      <c r="B1153" s="116">
        <v>3.25476649810409</v>
      </c>
      <c r="C1153" s="116">
        <v>3.2096274006851302</v>
      </c>
      <c r="D1153" s="116">
        <v>3.19141337891958</v>
      </c>
      <c r="E1153" s="116">
        <v>3.2460554442162199</v>
      </c>
      <c r="F1153" s="116">
        <v>202.65</v>
      </c>
      <c r="G1153">
        <v>1846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43705</v>
      </c>
      <c r="B1154" s="116">
        <v>3.2009163467972601</v>
      </c>
      <c r="C1154" s="116">
        <v>3.19933251881764</v>
      </c>
      <c r="D1154" s="116">
        <v>3.18349423902152</v>
      </c>
      <c r="E1154" s="116">
        <v>3.19933251881764</v>
      </c>
      <c r="F1154" s="116">
        <v>202</v>
      </c>
      <c r="G1154">
        <v>998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43706</v>
      </c>
      <c r="B1155" s="116">
        <v>3.2460554442162199</v>
      </c>
      <c r="C1155" s="116">
        <v>3.1636963892763599</v>
      </c>
      <c r="D1155" s="116">
        <v>3.11697346387778</v>
      </c>
      <c r="E1155" s="116">
        <v>3.2460554442162199</v>
      </c>
      <c r="F1155" s="116">
        <v>199.75</v>
      </c>
      <c r="G1155">
        <v>1984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43707</v>
      </c>
      <c r="B1156" s="116">
        <v>3.2460554442162199</v>
      </c>
      <c r="C1156" s="116">
        <v>3.2444716162366101</v>
      </c>
      <c r="D1156" s="116">
        <v>3.1549853353884898</v>
      </c>
      <c r="E1156" s="116">
        <v>3.1549853353884898</v>
      </c>
      <c r="F1156" s="116">
        <v>204.85</v>
      </c>
      <c r="G1156">
        <v>889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43711</v>
      </c>
      <c r="B1157" s="116">
        <v>3.1534015074088799</v>
      </c>
      <c r="C1157" s="116">
        <v>3.1518176794292598</v>
      </c>
      <c r="D1157" s="116">
        <v>2.96175832187574</v>
      </c>
      <c r="E1157" s="116">
        <v>2.96175832187574</v>
      </c>
      <c r="F1157" s="116">
        <v>199</v>
      </c>
      <c r="G1157">
        <v>146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43712</v>
      </c>
      <c r="B1158" s="116">
        <v>3.3006975095128599</v>
      </c>
      <c r="C1158" s="116">
        <v>3.16132064730694</v>
      </c>
      <c r="D1158" s="116">
        <v>3.1541934213986802</v>
      </c>
      <c r="E1158" s="116">
        <v>3.1541934213986802</v>
      </c>
      <c r="F1158" s="116">
        <v>199.6</v>
      </c>
      <c r="G1158">
        <v>2040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43713</v>
      </c>
      <c r="B1159" s="116">
        <v>3.2777320038084699</v>
      </c>
      <c r="C1159" s="116">
        <v>3.19933251881764</v>
      </c>
      <c r="D1159" s="116">
        <v>3.1684478732152002</v>
      </c>
      <c r="E1159" s="116">
        <v>3.1684478732152002</v>
      </c>
      <c r="F1159" s="116">
        <v>202</v>
      </c>
      <c r="G1159">
        <v>539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43714</v>
      </c>
      <c r="B1160" s="116">
        <v>3.2626856380021501</v>
      </c>
      <c r="C1160" s="116">
        <v>3.2199222825526101</v>
      </c>
      <c r="D1160" s="116">
        <v>3.18349423902152</v>
      </c>
      <c r="E1160" s="116">
        <v>3.18349423902152</v>
      </c>
      <c r="F1160" s="116">
        <v>203.3</v>
      </c>
      <c r="G1160">
        <v>528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43717</v>
      </c>
      <c r="B1161" s="116">
        <v>3.3418770369827899</v>
      </c>
      <c r="C1161" s="116">
        <v>3.3418770369827899</v>
      </c>
      <c r="D1161" s="116">
        <v>3.2476392721958298</v>
      </c>
      <c r="E1161" s="116">
        <v>3.2626856380021501</v>
      </c>
      <c r="F1161" s="116">
        <v>211</v>
      </c>
      <c r="G1161">
        <v>124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43719</v>
      </c>
      <c r="B1162" s="116">
        <v>3.3418770369827899</v>
      </c>
      <c r="C1162" s="116">
        <v>3.3260387571866601</v>
      </c>
      <c r="D1162" s="116">
        <v>3.3260387571866601</v>
      </c>
      <c r="E1162" s="116">
        <v>3.3418770369827899</v>
      </c>
      <c r="F1162" s="116">
        <v>210</v>
      </c>
      <c r="G1162">
        <v>1023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43720</v>
      </c>
      <c r="B1163" s="116">
        <v>3.3973110162692302</v>
      </c>
      <c r="C1163" s="116">
        <v>3.3973110162692302</v>
      </c>
      <c r="D1163" s="116">
        <v>3.2191303685628001</v>
      </c>
      <c r="E1163" s="116">
        <v>3.2191303685628001</v>
      </c>
      <c r="F1163" s="116">
        <v>214.5</v>
      </c>
      <c r="G1163">
        <v>679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43721</v>
      </c>
      <c r="B1164" s="116">
        <v>3.4052301561672902</v>
      </c>
      <c r="C1164" s="116">
        <v>3.4052301561672902</v>
      </c>
      <c r="D1164" s="116">
        <v>3.2626856380021501</v>
      </c>
      <c r="E1164" s="116">
        <v>3.4052301561672902</v>
      </c>
      <c r="F1164" s="116">
        <v>215</v>
      </c>
      <c r="G1164">
        <v>391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43724</v>
      </c>
      <c r="B1165" s="116">
        <v>3.5944975997310098</v>
      </c>
      <c r="C1165" s="116">
        <v>3.2927783696147901</v>
      </c>
      <c r="D1165" s="116">
        <v>3.2626856380021501</v>
      </c>
      <c r="E1165" s="116">
        <v>3.5944975997310098</v>
      </c>
      <c r="F1165" s="116">
        <v>207.9</v>
      </c>
      <c r="G1165">
        <v>1644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43725</v>
      </c>
      <c r="B1166" s="116">
        <v>3.5636129541285602</v>
      </c>
      <c r="C1166" s="116">
        <v>3.3450446929420101</v>
      </c>
      <c r="D1166" s="116">
        <v>3.3260387571866601</v>
      </c>
      <c r="E1166" s="116">
        <v>3.3260387571866601</v>
      </c>
      <c r="F1166" s="116">
        <v>211.2</v>
      </c>
      <c r="G1166">
        <v>262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43726</v>
      </c>
      <c r="B1167" s="116">
        <v>3.3814727364730999</v>
      </c>
      <c r="C1167" s="116">
        <v>3.3814727364730999</v>
      </c>
      <c r="D1167" s="116">
        <v>3.2634775519919601</v>
      </c>
      <c r="E1167" s="116">
        <v>3.3814727364730999</v>
      </c>
      <c r="F1167" s="116">
        <v>213.5</v>
      </c>
      <c r="G1167">
        <v>530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43727</v>
      </c>
      <c r="B1168" s="116">
        <v>3.4749185872702499</v>
      </c>
      <c r="C1168" s="116">
        <v>3.30544899345169</v>
      </c>
      <c r="D1168" s="116">
        <v>3.18349423902152</v>
      </c>
      <c r="E1168" s="116">
        <v>3.1866618949807402</v>
      </c>
      <c r="F1168" s="116">
        <v>208.7</v>
      </c>
      <c r="G1168">
        <v>3123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43728</v>
      </c>
      <c r="B1169" s="116">
        <v>3.4052301561672902</v>
      </c>
      <c r="C1169" s="116">
        <v>3.3347498110745302</v>
      </c>
      <c r="D1169" s="116">
        <v>3.2484311861856399</v>
      </c>
      <c r="E1169" s="116">
        <v>3.2484311861856399</v>
      </c>
      <c r="F1169" s="116">
        <v>210.55</v>
      </c>
      <c r="G1169">
        <v>1399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43731</v>
      </c>
      <c r="B1170" s="116">
        <v>3.4662075333823799</v>
      </c>
      <c r="C1170" s="116">
        <v>3.3814727364730999</v>
      </c>
      <c r="D1170" s="116">
        <v>3.3371255530439501</v>
      </c>
      <c r="E1170" s="116">
        <v>3.3371255530439501</v>
      </c>
      <c r="F1170" s="116">
        <v>213.5</v>
      </c>
      <c r="G1170">
        <v>1212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43732</v>
      </c>
      <c r="B1171" s="116">
        <v>3.4519530815658701</v>
      </c>
      <c r="C1171" s="116">
        <v>3.3735535965750398</v>
      </c>
      <c r="D1171" s="116">
        <v>3.3735535965750398</v>
      </c>
      <c r="E1171" s="116">
        <v>3.3735535965750398</v>
      </c>
      <c r="F1171" s="116">
        <v>213</v>
      </c>
      <c r="G1171">
        <v>128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43733</v>
      </c>
      <c r="B1172" s="116">
        <v>3.4844215551479301</v>
      </c>
      <c r="C1172" s="116">
        <v>3.24288778825699</v>
      </c>
      <c r="D1172" s="116">
        <v>2.9308736762732899</v>
      </c>
      <c r="E1172" s="116">
        <v>2.9308736762732899</v>
      </c>
      <c r="F1172" s="116">
        <v>204.75</v>
      </c>
      <c r="G1172">
        <v>2749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43734</v>
      </c>
      <c r="B1173" s="116">
        <v>3.2563503260836999</v>
      </c>
      <c r="C1173" s="116">
        <v>3.2555584120938899</v>
      </c>
      <c r="D1173" s="116">
        <v>3.1771589271030698</v>
      </c>
      <c r="E1173" s="116">
        <v>3.1771589271030698</v>
      </c>
      <c r="F1173" s="116">
        <v>205.55</v>
      </c>
      <c r="G1173">
        <v>651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43735</v>
      </c>
      <c r="B1174" s="116">
        <v>3.5327283085261199</v>
      </c>
      <c r="C1174" s="116">
        <v>3.32524684319685</v>
      </c>
      <c r="D1174" s="116">
        <v>3.2468473582060202</v>
      </c>
      <c r="E1174" s="116">
        <v>3.2468473582060202</v>
      </c>
      <c r="F1174" s="116">
        <v>209.95</v>
      </c>
      <c r="G1174">
        <v>4150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43738</v>
      </c>
      <c r="B1175" s="116">
        <v>3.32762258516627</v>
      </c>
      <c r="C1175" s="116">
        <v>3.1842861530113198</v>
      </c>
      <c r="D1175" s="116">
        <v>3.1842861530113198</v>
      </c>
      <c r="E1175" s="116">
        <v>3.3102004773905298</v>
      </c>
      <c r="F1175" s="116">
        <v>201.05</v>
      </c>
      <c r="G1175">
        <v>1873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43739</v>
      </c>
      <c r="B1176" s="116">
        <v>3.2468473582060202</v>
      </c>
      <c r="C1176" s="116">
        <v>3.2222980245220301</v>
      </c>
      <c r="D1176" s="116">
        <v>3.12806025973507</v>
      </c>
      <c r="E1176" s="116">
        <v>3.2468473582060202</v>
      </c>
      <c r="F1176" s="116">
        <v>203.45</v>
      </c>
      <c r="G1176">
        <v>2397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43741</v>
      </c>
      <c r="B1177" s="116">
        <v>3.5002598349440599</v>
      </c>
      <c r="C1177" s="116">
        <v>3.1272683457452701</v>
      </c>
      <c r="D1177" s="116">
        <v>3.1233087757962301</v>
      </c>
      <c r="E1177" s="116">
        <v>3.1676559592253901</v>
      </c>
      <c r="F1177" s="116">
        <v>197.45</v>
      </c>
      <c r="G1177">
        <v>3333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43742</v>
      </c>
      <c r="B1178" s="116">
        <v>3.4036463281876799</v>
      </c>
      <c r="C1178" s="116">
        <v>3.1328117436739098</v>
      </c>
      <c r="D1178" s="116">
        <v>3.1328117436739098</v>
      </c>
      <c r="E1178" s="116">
        <v>3.1684478732152002</v>
      </c>
      <c r="F1178" s="116">
        <v>197.8</v>
      </c>
      <c r="G1178">
        <v>1576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43745</v>
      </c>
      <c r="B1179" s="116">
        <v>3.3102004773905298</v>
      </c>
      <c r="C1179" s="116">
        <v>3.1431066255413902</v>
      </c>
      <c r="D1179" s="116">
        <v>3.13914705559236</v>
      </c>
      <c r="E1179" s="116">
        <v>3.1676559592253901</v>
      </c>
      <c r="F1179" s="116">
        <v>198.45</v>
      </c>
      <c r="G1179">
        <v>2586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43747</v>
      </c>
      <c r="B1180" s="116">
        <v>3.2753562618390499</v>
      </c>
      <c r="C1180" s="116">
        <v>3.169239787205</v>
      </c>
      <c r="D1180" s="116">
        <v>3.13677131362294</v>
      </c>
      <c r="E1180" s="116">
        <v>3.2753562618390499</v>
      </c>
      <c r="F1180" s="116">
        <v>200.1</v>
      </c>
      <c r="G1180">
        <v>2496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43748</v>
      </c>
      <c r="B1181" s="116">
        <v>3.4844215551479301</v>
      </c>
      <c r="C1181" s="116">
        <v>3.2262575944710599</v>
      </c>
      <c r="D1181" s="116">
        <v>3.0726262804486302</v>
      </c>
      <c r="E1181" s="116">
        <v>3.13677131362294</v>
      </c>
      <c r="F1181" s="116">
        <v>203.7</v>
      </c>
      <c r="G1181">
        <v>5994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43749</v>
      </c>
      <c r="B1182" s="116">
        <v>3.3102004773905298</v>
      </c>
      <c r="C1182" s="116">
        <v>3.12093303382682</v>
      </c>
      <c r="D1182" s="116">
        <v>3.10984623796953</v>
      </c>
      <c r="E1182" s="116">
        <v>3.3102004773905298</v>
      </c>
      <c r="F1182" s="116">
        <v>197.05</v>
      </c>
      <c r="G1182">
        <v>3718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43752</v>
      </c>
      <c r="B1183" s="116">
        <v>3.2943621975944102</v>
      </c>
      <c r="C1183" s="116">
        <v>3.2294252504302801</v>
      </c>
      <c r="D1183" s="116">
        <v>3.1383551416025499</v>
      </c>
      <c r="E1183" s="116">
        <v>3.1684478732152002</v>
      </c>
      <c r="F1183" s="116">
        <v>203.9</v>
      </c>
      <c r="G1183">
        <v>3387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43753</v>
      </c>
      <c r="B1184" s="116">
        <v>3.25476649810409</v>
      </c>
      <c r="C1184" s="116">
        <v>3.2159627126035799</v>
      </c>
      <c r="D1184" s="116">
        <v>3.2151707986137699</v>
      </c>
      <c r="E1184" s="116">
        <v>3.2294252504302801</v>
      </c>
      <c r="F1184" s="116">
        <v>203.05</v>
      </c>
      <c r="G1184">
        <v>1119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43754</v>
      </c>
      <c r="B1185" s="116">
        <v>3.3006975095128599</v>
      </c>
      <c r="C1185" s="116">
        <v>3.1043028400408801</v>
      </c>
      <c r="D1185" s="116">
        <v>3.0908403022141702</v>
      </c>
      <c r="E1185" s="116">
        <v>3.2167546265933802</v>
      </c>
      <c r="F1185" s="116">
        <v>196</v>
      </c>
      <c r="G1185">
        <v>6437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43755</v>
      </c>
      <c r="B1186" s="116">
        <v>3.48362964115812</v>
      </c>
      <c r="C1186" s="116">
        <v>3.1359793996331402</v>
      </c>
      <c r="D1186" s="116">
        <v>3.1043028400408801</v>
      </c>
      <c r="E1186" s="116">
        <v>3.4527449955556699</v>
      </c>
      <c r="F1186" s="116">
        <v>198</v>
      </c>
      <c r="G1186">
        <v>2156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43756</v>
      </c>
      <c r="B1187" s="116">
        <v>3.34662852092162</v>
      </c>
      <c r="C1187" s="116">
        <v>3.1827023250317099</v>
      </c>
      <c r="D1187" s="116">
        <v>3.1296440877146798</v>
      </c>
      <c r="E1187" s="116">
        <v>3.34662852092162</v>
      </c>
      <c r="F1187" s="116">
        <v>200.95</v>
      </c>
      <c r="G1187">
        <v>1472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43760</v>
      </c>
      <c r="B1188" s="116">
        <v>3.2468473582060202</v>
      </c>
      <c r="C1188" s="116">
        <v>3.1518176794292598</v>
      </c>
      <c r="D1188" s="116">
        <v>3.1375632276127501</v>
      </c>
      <c r="E1188" s="116">
        <v>3.1375632276127501</v>
      </c>
      <c r="F1188" s="116">
        <v>199</v>
      </c>
      <c r="G1188">
        <v>1207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43761</v>
      </c>
      <c r="B1189" s="116">
        <v>3.1438985395311998</v>
      </c>
      <c r="C1189" s="116">
        <v>3.0805454203466902</v>
      </c>
      <c r="D1189" s="116">
        <v>2.96255023586555</v>
      </c>
      <c r="E1189" s="116">
        <v>3.1438985395311998</v>
      </c>
      <c r="F1189" s="116">
        <v>194.5</v>
      </c>
      <c r="G1189">
        <v>2543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43762</v>
      </c>
      <c r="B1190" s="116">
        <v>3.2468473582060202</v>
      </c>
      <c r="C1190" s="116">
        <v>3.0916322162039802</v>
      </c>
      <c r="D1190" s="116">
        <v>3.0884645602447498</v>
      </c>
      <c r="E1190" s="116">
        <v>3.0884645602447498</v>
      </c>
      <c r="F1190" s="116">
        <v>195.2</v>
      </c>
      <c r="G1190">
        <v>359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43763</v>
      </c>
      <c r="B1191" s="116">
        <v>3.1937891208889999</v>
      </c>
      <c r="C1191" s="116">
        <v>3.19141337891958</v>
      </c>
      <c r="D1191" s="116">
        <v>3.0425335488359901</v>
      </c>
      <c r="E1191" s="116">
        <v>3.0916322162039802</v>
      </c>
      <c r="F1191" s="116">
        <v>201.5</v>
      </c>
      <c r="G1191">
        <v>641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43765</v>
      </c>
      <c r="B1192" s="116">
        <v>3.4044382421774899</v>
      </c>
      <c r="C1192" s="116">
        <v>3.3244549292070502</v>
      </c>
      <c r="D1192" s="116">
        <v>3.0963837001428201</v>
      </c>
      <c r="E1192" s="116">
        <v>3.0963837001428201</v>
      </c>
      <c r="F1192" s="116">
        <v>209.9</v>
      </c>
      <c r="G1192">
        <v>30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43767</v>
      </c>
      <c r="B1193" s="116">
        <v>3.4527449955556699</v>
      </c>
      <c r="C1193" s="116">
        <v>3.2626856380021501</v>
      </c>
      <c r="D1193" s="116">
        <v>3.2626856380021501</v>
      </c>
      <c r="E1193" s="116">
        <v>3.4527449955556699</v>
      </c>
      <c r="F1193" s="116">
        <v>206</v>
      </c>
      <c r="G1193">
        <v>320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43768</v>
      </c>
      <c r="B1194" s="116">
        <v>3.8019790650602698</v>
      </c>
      <c r="C1194" s="116">
        <v>3.61271162149656</v>
      </c>
      <c r="D1194" s="116">
        <v>3.3102004773905298</v>
      </c>
      <c r="E1194" s="116">
        <v>3.3102004773905298</v>
      </c>
      <c r="F1194" s="116">
        <v>228.1</v>
      </c>
      <c r="G1194">
        <v>8373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43769</v>
      </c>
      <c r="B1195" s="116">
        <v>3.7212038381000299</v>
      </c>
      <c r="C1195" s="116">
        <v>3.5968733417004302</v>
      </c>
      <c r="D1195" s="116">
        <v>3.4844215551479301</v>
      </c>
      <c r="E1195" s="116">
        <v>3.6190469334150102</v>
      </c>
      <c r="F1195" s="116">
        <v>227.1</v>
      </c>
      <c r="G1195">
        <v>3884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43770</v>
      </c>
      <c r="B1196" s="116">
        <v>3.7687186774884101</v>
      </c>
      <c r="C1196" s="116">
        <v>3.6269660733130702</v>
      </c>
      <c r="D1196" s="116">
        <v>3.3434608649623998</v>
      </c>
      <c r="E1196" s="116">
        <v>3.3434608649623998</v>
      </c>
      <c r="F1196" s="116">
        <v>229</v>
      </c>
      <c r="G1196">
        <v>459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43773</v>
      </c>
      <c r="B1197" s="116">
        <v>3.8566211303569098</v>
      </c>
      <c r="C1197" s="116">
        <v>3.7212038381000299</v>
      </c>
      <c r="D1197" s="116">
        <v>3.6348852132111298</v>
      </c>
      <c r="E1197" s="116">
        <v>3.8566211303569098</v>
      </c>
      <c r="F1197" s="116">
        <v>234.95</v>
      </c>
      <c r="G1197">
        <v>864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43774</v>
      </c>
      <c r="B1198" s="116">
        <v>3.7964356671316302</v>
      </c>
      <c r="C1198" s="116">
        <v>3.6507234930072601</v>
      </c>
      <c r="D1198" s="116">
        <v>3.5636129541285602</v>
      </c>
      <c r="E1198" s="116">
        <v>3.5636129541285602</v>
      </c>
      <c r="F1198" s="116">
        <v>230.5</v>
      </c>
      <c r="G1198">
        <v>1272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43775</v>
      </c>
      <c r="B1199" s="116">
        <v>3.80118715107047</v>
      </c>
      <c r="C1199" s="116">
        <v>3.7695105914782099</v>
      </c>
      <c r="D1199" s="116">
        <v>3.6982383323956398</v>
      </c>
      <c r="E1199" s="116">
        <v>3.6982383323956398</v>
      </c>
      <c r="F1199" s="116">
        <v>238</v>
      </c>
      <c r="G1199">
        <v>2925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43776</v>
      </c>
      <c r="B1200" s="116">
        <v>3.80039523708066</v>
      </c>
      <c r="C1200" s="116">
        <v>3.6546830629562899</v>
      </c>
      <c r="D1200" s="116">
        <v>3.57945123392469</v>
      </c>
      <c r="E1200" s="116">
        <v>3.6428043531092</v>
      </c>
      <c r="F1200" s="116">
        <v>230.75</v>
      </c>
      <c r="G1200">
        <v>2076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43777</v>
      </c>
      <c r="B1201" s="116">
        <v>3.7996033230908499</v>
      </c>
      <c r="C1201" s="116">
        <v>3.7853488712743402</v>
      </c>
      <c r="D1201" s="116">
        <v>3.6744809127014499</v>
      </c>
      <c r="E1201" s="116">
        <v>3.7932680111724002</v>
      </c>
      <c r="F1201" s="116">
        <v>239</v>
      </c>
      <c r="G1201">
        <v>453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43780</v>
      </c>
      <c r="B1202" s="116">
        <v>3.7362502039063501</v>
      </c>
      <c r="C1202" s="116">
        <v>3.6744809127014499</v>
      </c>
      <c r="D1202" s="116">
        <v>3.6507234930072601</v>
      </c>
      <c r="E1202" s="116">
        <v>3.6586426329053299</v>
      </c>
      <c r="F1202" s="116">
        <v>232</v>
      </c>
      <c r="G1202">
        <v>978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43782</v>
      </c>
      <c r="B1203" s="116">
        <v>3.6744809127014499</v>
      </c>
      <c r="C1203" s="116">
        <v>3.6428043531092</v>
      </c>
      <c r="D1203" s="116">
        <v>3.6111277935169399</v>
      </c>
      <c r="E1203" s="116">
        <v>3.6744809127014499</v>
      </c>
      <c r="F1203" s="116">
        <v>230</v>
      </c>
      <c r="G1203">
        <v>1478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43783</v>
      </c>
      <c r="B1204" s="116">
        <v>3.7204119241102198</v>
      </c>
      <c r="C1204" s="116">
        <v>3.64201243911939</v>
      </c>
      <c r="D1204" s="116">
        <v>3.51609811474018</v>
      </c>
      <c r="E1204" s="116">
        <v>3.6285499012926801</v>
      </c>
      <c r="F1204" s="116">
        <v>229.95</v>
      </c>
      <c r="G1204">
        <v>1579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43784</v>
      </c>
      <c r="B1205" s="116">
        <v>3.7520884837024702</v>
      </c>
      <c r="C1205" s="116">
        <v>3.57945123392469</v>
      </c>
      <c r="D1205" s="116">
        <v>3.4717509313110302</v>
      </c>
      <c r="E1205" s="116">
        <v>3.4717509313110302</v>
      </c>
      <c r="F1205" s="116">
        <v>226</v>
      </c>
      <c r="G1205">
        <v>298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43787</v>
      </c>
      <c r="B1206" s="116">
        <v>3.6428043531092</v>
      </c>
      <c r="C1206" s="116">
        <v>3.6428043531092</v>
      </c>
      <c r="D1206" s="116">
        <v>3.4052301561672902</v>
      </c>
      <c r="E1206" s="116">
        <v>3.4369067157595499</v>
      </c>
      <c r="F1206" s="116">
        <v>230</v>
      </c>
      <c r="G1206">
        <v>1309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43788</v>
      </c>
      <c r="B1207" s="116">
        <v>3.8328637106627199</v>
      </c>
      <c r="C1207" s="116">
        <v>3.8328637106627199</v>
      </c>
      <c r="D1207" s="116">
        <v>3.5327283085261199</v>
      </c>
      <c r="E1207" s="116">
        <v>3.5327283085261199</v>
      </c>
      <c r="F1207" s="116">
        <v>242</v>
      </c>
      <c r="G1207">
        <v>1544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43789</v>
      </c>
      <c r="B1208" s="116">
        <v>3.92630956145987</v>
      </c>
      <c r="C1208" s="116">
        <v>3.8954249158574199</v>
      </c>
      <c r="D1208" s="116">
        <v>3.80118715107047</v>
      </c>
      <c r="E1208" s="116">
        <v>3.80118715107047</v>
      </c>
      <c r="F1208" s="116">
        <v>245.95</v>
      </c>
      <c r="G1208">
        <v>17076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43790</v>
      </c>
      <c r="B1209" s="116">
        <v>3.95956994903174</v>
      </c>
      <c r="C1209" s="116">
        <v>3.8328637106627199</v>
      </c>
      <c r="D1209" s="116">
        <v>3.80118715107047</v>
      </c>
      <c r="E1209" s="116">
        <v>3.8344475386423298</v>
      </c>
      <c r="F1209" s="116">
        <v>242</v>
      </c>
      <c r="G1209">
        <v>26711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43791</v>
      </c>
      <c r="B1210" s="116">
        <v>3.9278933894394799</v>
      </c>
      <c r="C1210" s="116">
        <v>3.7695105914782099</v>
      </c>
      <c r="D1210" s="116">
        <v>3.5636129541285602</v>
      </c>
      <c r="E1210" s="116">
        <v>3.5644048681183702</v>
      </c>
      <c r="F1210" s="116">
        <v>238</v>
      </c>
      <c r="G1210">
        <v>1087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43794</v>
      </c>
      <c r="B1211" s="116">
        <v>3.9468993251948401</v>
      </c>
      <c r="C1211" s="116">
        <v>3.8328637106627199</v>
      </c>
      <c r="D1211" s="116">
        <v>3.8328637106627199</v>
      </c>
      <c r="E1211" s="116">
        <v>3.9468993251948401</v>
      </c>
      <c r="F1211" s="116">
        <v>242</v>
      </c>
      <c r="G1211">
        <v>3347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43795</v>
      </c>
      <c r="B1212" s="116">
        <v>3.92710147544968</v>
      </c>
      <c r="C1212" s="116">
        <v>3.92314190550064</v>
      </c>
      <c r="D1212" s="116">
        <v>3.80118715107047</v>
      </c>
      <c r="E1212" s="116">
        <v>3.80118715107047</v>
      </c>
      <c r="F1212" s="116">
        <v>247.7</v>
      </c>
      <c r="G1212">
        <v>4348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43796</v>
      </c>
      <c r="B1213" s="116">
        <v>4.7071367554089303</v>
      </c>
      <c r="C1213" s="116">
        <v>4.7071367554089303</v>
      </c>
      <c r="D1213" s="116">
        <v>3.8803785500511001</v>
      </c>
      <c r="E1213" s="116">
        <v>3.9516508091336702</v>
      </c>
      <c r="F1213" s="116">
        <v>297.2</v>
      </c>
      <c r="G1213">
        <v>9410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43797</v>
      </c>
      <c r="B1214" s="116">
        <v>5.1442732777820304</v>
      </c>
      <c r="C1214" s="116">
        <v>4.5083663439675403</v>
      </c>
      <c r="D1214" s="116">
        <v>4.2129824257697699</v>
      </c>
      <c r="E1214" s="116">
        <v>4.8940284570032304</v>
      </c>
      <c r="F1214" s="116">
        <v>284.64999999999998</v>
      </c>
      <c r="G1214">
        <v>15875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43798</v>
      </c>
      <c r="B1215" s="116">
        <v>4.4980714621000502</v>
      </c>
      <c r="C1215" s="116">
        <v>4.33335335222033</v>
      </c>
      <c r="D1215" s="116">
        <v>4.2787112869237003</v>
      </c>
      <c r="E1215" s="116">
        <v>4.35552694393491</v>
      </c>
      <c r="F1215" s="116">
        <v>273.60000000000002</v>
      </c>
      <c r="G1215">
        <v>3699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43801</v>
      </c>
      <c r="B1216" s="116">
        <v>4.4172962351398102</v>
      </c>
      <c r="C1216" s="116">
        <v>4.1646756723915797</v>
      </c>
      <c r="D1216" s="116">
        <v>4.1187446609828102</v>
      </c>
      <c r="E1216" s="116">
        <v>4.3080121045465303</v>
      </c>
      <c r="F1216" s="116">
        <v>262.95</v>
      </c>
      <c r="G1216">
        <v>1352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43802</v>
      </c>
      <c r="B1217" s="116">
        <v>4.2422832433925999</v>
      </c>
      <c r="C1217" s="116">
        <v>4.1385425107279703</v>
      </c>
      <c r="D1217" s="116">
        <v>3.95956994903174</v>
      </c>
      <c r="E1217" s="116">
        <v>4.1187446609828102</v>
      </c>
      <c r="F1217" s="116">
        <v>261.3</v>
      </c>
      <c r="G1217">
        <v>2595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43803</v>
      </c>
      <c r="B1218" s="116">
        <v>4.2288207055658997</v>
      </c>
      <c r="C1218" s="116">
        <v>3.99995756251186</v>
      </c>
      <c r="D1218" s="116">
        <v>3.9849111967055402</v>
      </c>
      <c r="E1218" s="116">
        <v>4.2288207055658997</v>
      </c>
      <c r="F1218" s="116">
        <v>252.55</v>
      </c>
      <c r="G1218">
        <v>887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43804</v>
      </c>
      <c r="B1219" s="116">
        <v>4.6564542600613201</v>
      </c>
      <c r="C1219" s="116">
        <v>4.5218288817942396</v>
      </c>
      <c r="D1219" s="116">
        <v>4.0102524443793399</v>
      </c>
      <c r="E1219" s="116">
        <v>4.0102524443793399</v>
      </c>
      <c r="F1219" s="116">
        <v>285.5</v>
      </c>
      <c r="G1219">
        <v>4530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43805</v>
      </c>
      <c r="B1220" s="116">
        <v>4.7356456590419604</v>
      </c>
      <c r="C1220" s="116">
        <v>4.4062094392825202</v>
      </c>
      <c r="D1220" s="116">
        <v>4.3586945998941404</v>
      </c>
      <c r="E1220" s="116">
        <v>4.6247777004690702</v>
      </c>
      <c r="F1220" s="116">
        <v>278.2</v>
      </c>
      <c r="G1220">
        <v>2063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43808</v>
      </c>
      <c r="B1221" s="116">
        <v>4.5756790331010704</v>
      </c>
      <c r="C1221" s="116">
        <v>4.4814412683141196</v>
      </c>
      <c r="D1221" s="116">
        <v>4.2850465988421496</v>
      </c>
      <c r="E1221" s="116">
        <v>4.4347183429155503</v>
      </c>
      <c r="F1221" s="116">
        <v>282.95</v>
      </c>
      <c r="G1221">
        <v>2682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43809</v>
      </c>
      <c r="B1222" s="116">
        <v>4.4901523222019897</v>
      </c>
      <c r="C1222" s="116">
        <v>4.3840358475679402</v>
      </c>
      <c r="D1222" s="116">
        <v>4.35552694393491</v>
      </c>
      <c r="E1222" s="116">
        <v>4.4442213107932202</v>
      </c>
      <c r="F1222" s="116">
        <v>276.8</v>
      </c>
      <c r="G1222">
        <v>3403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43810</v>
      </c>
      <c r="B1223" s="116">
        <v>4.3713652237310399</v>
      </c>
      <c r="C1223" s="116">
        <v>4.2430751573824104</v>
      </c>
      <c r="D1223" s="116">
        <v>4.2288207055658997</v>
      </c>
      <c r="E1223" s="116">
        <v>4.3713652237310399</v>
      </c>
      <c r="F1223" s="116">
        <v>267.89999999999998</v>
      </c>
      <c r="G1223">
        <v>2735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43811</v>
      </c>
      <c r="B1224" s="116">
        <v>4.4687706444772202</v>
      </c>
      <c r="C1224" s="116">
        <v>4.3080121045465303</v>
      </c>
      <c r="D1224" s="116">
        <v>4.2288207055658997</v>
      </c>
      <c r="E1224" s="116">
        <v>4.4687706444772202</v>
      </c>
      <c r="F1224" s="116">
        <v>272</v>
      </c>
      <c r="G1224">
        <v>152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43812</v>
      </c>
      <c r="B1225" s="116">
        <v>4.4822331823039301</v>
      </c>
      <c r="C1225" s="116">
        <v>4.2763355449542804</v>
      </c>
      <c r="D1225" s="116">
        <v>4.2763355449542804</v>
      </c>
      <c r="E1225" s="116">
        <v>4.4822331823039301</v>
      </c>
      <c r="F1225" s="116">
        <v>270</v>
      </c>
      <c r="G1225">
        <v>447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43815</v>
      </c>
      <c r="B1226" s="116">
        <v>4.2755436309644699</v>
      </c>
      <c r="C1226" s="116">
        <v>4.2755436309644699</v>
      </c>
      <c r="D1226" s="116">
        <v>4.1971441459736401</v>
      </c>
      <c r="E1226" s="116">
        <v>4.2755436309644699</v>
      </c>
      <c r="F1226" s="116">
        <v>269.95</v>
      </c>
      <c r="G1226">
        <v>632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43816</v>
      </c>
      <c r="B1227" s="116">
        <v>4.35552694393491</v>
      </c>
      <c r="C1227" s="116">
        <v>4.2779193729338898</v>
      </c>
      <c r="D1227" s="116">
        <v>4.2288207055658997</v>
      </c>
      <c r="E1227" s="116">
        <v>4.2288207055658997</v>
      </c>
      <c r="F1227" s="116">
        <v>270.10000000000002</v>
      </c>
      <c r="G1227">
        <v>653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43817</v>
      </c>
      <c r="B1228" s="116">
        <v>4.5123259139165697</v>
      </c>
      <c r="C1228" s="116">
        <v>4.46956255846702</v>
      </c>
      <c r="D1228" s="116">
        <v>4.2446589853620198</v>
      </c>
      <c r="E1228" s="116">
        <v>4.2478266413212502</v>
      </c>
      <c r="F1228" s="116">
        <v>282.2</v>
      </c>
      <c r="G1228">
        <v>4141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43818</v>
      </c>
      <c r="B1229" s="116">
        <v>5.1886204612111904</v>
      </c>
      <c r="C1229" s="116">
        <v>4.96450880209599</v>
      </c>
      <c r="D1229" s="116">
        <v>4.3563188579247196</v>
      </c>
      <c r="E1229" s="116">
        <v>4.4339264289257398</v>
      </c>
      <c r="F1229" s="116">
        <v>313.45</v>
      </c>
      <c r="G1229">
        <v>11096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43819</v>
      </c>
      <c r="B1230" s="116">
        <v>5.0682495347606196</v>
      </c>
      <c r="C1230" s="116">
        <v>4.9930177057290202</v>
      </c>
      <c r="D1230" s="116">
        <v>4.8465136176148498</v>
      </c>
      <c r="E1230" s="116">
        <v>4.9732198559838601</v>
      </c>
      <c r="F1230" s="116">
        <v>315.25</v>
      </c>
      <c r="G1230">
        <v>3197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43822</v>
      </c>
      <c r="B1231" s="116">
        <v>5.2266323327218904</v>
      </c>
      <c r="C1231" s="116">
        <v>4.90194759690129</v>
      </c>
      <c r="D1231" s="116">
        <v>4.2224853936474398</v>
      </c>
      <c r="E1231" s="116">
        <v>4.9890581357799899</v>
      </c>
      <c r="F1231" s="116">
        <v>309.5</v>
      </c>
      <c r="G1231">
        <v>17819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43823</v>
      </c>
      <c r="B1232" s="116">
        <v>5.1474409337412599</v>
      </c>
      <c r="C1232" s="116">
        <v>4.9304565005343202</v>
      </c>
      <c r="D1232" s="116">
        <v>4.8623518974109698</v>
      </c>
      <c r="E1232" s="116">
        <v>5.0516193409746899</v>
      </c>
      <c r="F1232" s="116">
        <v>311.3</v>
      </c>
      <c r="G1232">
        <v>7556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43825</v>
      </c>
      <c r="B1233" s="116">
        <v>5.1458571057616496</v>
      </c>
      <c r="C1233" s="116">
        <v>4.7475243688890503</v>
      </c>
      <c r="D1233" s="116">
        <v>4.6184423885506201</v>
      </c>
      <c r="E1233" s="116">
        <v>5.0682495347606196</v>
      </c>
      <c r="F1233" s="116">
        <v>299.75</v>
      </c>
      <c r="G1233">
        <v>2867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43826</v>
      </c>
      <c r="B1234" s="116">
        <v>4.8623518974109698</v>
      </c>
      <c r="C1234" s="116">
        <v>4.6263615284486796</v>
      </c>
      <c r="D1234" s="116">
        <v>4.5931011408768203</v>
      </c>
      <c r="E1234" s="116">
        <v>4.7514839388380796</v>
      </c>
      <c r="F1234" s="116">
        <v>292.10000000000002</v>
      </c>
      <c r="G1234">
        <v>3875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43829</v>
      </c>
      <c r="B1235" s="116">
        <v>4.79899877822647</v>
      </c>
      <c r="C1235" s="116">
        <v>4.6437836362244198</v>
      </c>
      <c r="D1235" s="116">
        <v>4.5772628610806896</v>
      </c>
      <c r="E1235" s="116">
        <v>4.6247777004690702</v>
      </c>
      <c r="F1235" s="116">
        <v>293.2</v>
      </c>
      <c r="G1235">
        <v>4665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43830</v>
      </c>
      <c r="B1236" s="116">
        <v>4.8298834238289103</v>
      </c>
      <c r="C1236" s="116">
        <v>4.6984257015210602</v>
      </c>
      <c r="D1236" s="116">
        <v>4.6564542600613201</v>
      </c>
      <c r="E1236" s="116">
        <v>4.6564542600613201</v>
      </c>
      <c r="F1236" s="116">
        <v>296.64999999999998</v>
      </c>
      <c r="G1236">
        <v>3700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43831</v>
      </c>
      <c r="B1237" s="116">
        <v>5.3850151306831604</v>
      </c>
      <c r="C1237" s="116">
        <v>5.0761686746586898</v>
      </c>
      <c r="D1237" s="116">
        <v>4.6802116797555096</v>
      </c>
      <c r="E1237" s="116">
        <v>4.7039690994496999</v>
      </c>
      <c r="F1237" s="116">
        <v>320.5</v>
      </c>
      <c r="G1237">
        <v>16423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43832</v>
      </c>
      <c r="B1238" s="116">
        <v>5.2250485047422801</v>
      </c>
      <c r="C1238" s="116">
        <v>4.91303439275858</v>
      </c>
      <c r="D1238" s="116">
        <v>4.8465136176148498</v>
      </c>
      <c r="E1238" s="116">
        <v>5.13160265394513</v>
      </c>
      <c r="F1238" s="116">
        <v>310.2</v>
      </c>
      <c r="G1238">
        <v>8146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43833</v>
      </c>
      <c r="B1239" s="116">
        <v>5.04924359900527</v>
      </c>
      <c r="C1239" s="116">
        <v>4.8425540476658098</v>
      </c>
      <c r="D1239" s="116">
        <v>4.6976337875312497</v>
      </c>
      <c r="E1239" s="116">
        <v>5.04924359900527</v>
      </c>
      <c r="F1239" s="116">
        <v>305.75</v>
      </c>
      <c r="G1239">
        <v>8107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43836</v>
      </c>
      <c r="B1240" s="116">
        <v>4.9882662217901803</v>
      </c>
      <c r="C1240" s="116">
        <v>4.8275076818594904</v>
      </c>
      <c r="D1240" s="116">
        <v>4.5297480216923098</v>
      </c>
      <c r="E1240" s="116">
        <v>4.5297480216923098</v>
      </c>
      <c r="F1240" s="116">
        <v>304.8</v>
      </c>
      <c r="G1240">
        <v>1674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43837</v>
      </c>
      <c r="B1241" s="116">
        <v>5.0017287596168902</v>
      </c>
      <c r="C1241" s="116">
        <v>4.8053340901449202</v>
      </c>
      <c r="D1241" s="116">
        <v>4.7831604984303402</v>
      </c>
      <c r="E1241" s="116">
        <v>4.9874743078003796</v>
      </c>
      <c r="F1241" s="116">
        <v>303.39999999999998</v>
      </c>
      <c r="G1241">
        <v>3118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43838</v>
      </c>
      <c r="B1242" s="116">
        <v>4.9890581357799899</v>
      </c>
      <c r="C1242" s="116">
        <v>4.71268015333757</v>
      </c>
      <c r="D1242" s="116">
        <v>4.5297480216923098</v>
      </c>
      <c r="E1242" s="116">
        <v>4.9890581357799899</v>
      </c>
      <c r="F1242" s="116">
        <v>297.55</v>
      </c>
      <c r="G1242">
        <v>3652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43839</v>
      </c>
      <c r="B1243" s="116">
        <v>4.9478786083100603</v>
      </c>
      <c r="C1243" s="116">
        <v>4.8378025637269797</v>
      </c>
      <c r="D1243" s="116">
        <v>4.7522758528278901</v>
      </c>
      <c r="E1243" s="116">
        <v>4.9098667367993496</v>
      </c>
      <c r="F1243" s="116">
        <v>305.45</v>
      </c>
      <c r="G1243">
        <v>321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43840</v>
      </c>
      <c r="B1244" s="116">
        <v>4.9478786083100603</v>
      </c>
      <c r="C1244" s="116">
        <v>4.78395241242014</v>
      </c>
      <c r="D1244" s="116">
        <v>4.7514839388380796</v>
      </c>
      <c r="E1244" s="116">
        <v>4.9478786083100603</v>
      </c>
      <c r="F1244" s="116">
        <v>302.05</v>
      </c>
      <c r="G1244">
        <v>2522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43843</v>
      </c>
      <c r="B1245" s="116">
        <v>4.9890581357799899</v>
      </c>
      <c r="C1245" s="116">
        <v>4.9819309098717302</v>
      </c>
      <c r="D1245" s="116">
        <v>4.7514839388380796</v>
      </c>
      <c r="E1245" s="116">
        <v>4.9882662217901803</v>
      </c>
      <c r="F1245" s="116">
        <v>314.55</v>
      </c>
      <c r="G1245">
        <v>1703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43844</v>
      </c>
      <c r="B1246" s="116">
        <v>4.9890581357799899</v>
      </c>
      <c r="C1246" s="116">
        <v>4.6881308196535798</v>
      </c>
      <c r="D1246" s="116">
        <v>4.6247777004690702</v>
      </c>
      <c r="E1246" s="116">
        <v>4.81721279999201</v>
      </c>
      <c r="F1246" s="116">
        <v>296</v>
      </c>
      <c r="G1246">
        <v>4889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43845</v>
      </c>
      <c r="B1247" s="116">
        <v>4.8298834238289103</v>
      </c>
      <c r="C1247" s="116">
        <v>4.5226207957840501</v>
      </c>
      <c r="D1247" s="116">
        <v>4.4347183429155503</v>
      </c>
      <c r="E1247" s="116">
        <v>4.8148370580225901</v>
      </c>
      <c r="F1247" s="116">
        <v>285.55</v>
      </c>
      <c r="G1247">
        <v>5331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43846</v>
      </c>
      <c r="B1248" s="116">
        <v>4.8623518974109698</v>
      </c>
      <c r="C1248" s="116">
        <v>4.7491081968686704</v>
      </c>
      <c r="D1248" s="116">
        <v>4.51390974189618</v>
      </c>
      <c r="E1248" s="116">
        <v>4.51390974189618</v>
      </c>
      <c r="F1248" s="116">
        <v>299.85000000000002</v>
      </c>
      <c r="G1248">
        <v>2709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43847</v>
      </c>
      <c r="B1249" s="116">
        <v>4.9407513824017997</v>
      </c>
      <c r="C1249" s="116">
        <v>4.7364375730317603</v>
      </c>
      <c r="D1249" s="116">
        <v>4.5392509895699797</v>
      </c>
      <c r="E1249" s="116">
        <v>4.7831604984303402</v>
      </c>
      <c r="F1249" s="116">
        <v>299.05</v>
      </c>
      <c r="G1249">
        <v>2823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43850</v>
      </c>
      <c r="B1250" s="116">
        <v>4.8560165854925197</v>
      </c>
      <c r="C1250" s="116">
        <v>4.7174316372764098</v>
      </c>
      <c r="D1250" s="116">
        <v>4.5455863014884299</v>
      </c>
      <c r="E1250" s="116">
        <v>4.8560165854925197</v>
      </c>
      <c r="F1250" s="116">
        <v>297.85000000000002</v>
      </c>
      <c r="G1250">
        <v>928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43851</v>
      </c>
      <c r="B1251" s="116">
        <v>4.7514839388380796</v>
      </c>
      <c r="C1251" s="116">
        <v>4.70159335748028</v>
      </c>
      <c r="D1251" s="116">
        <v>4.5717194631520401</v>
      </c>
      <c r="E1251" s="116">
        <v>4.6247777004690702</v>
      </c>
      <c r="F1251" s="116">
        <v>296.85000000000002</v>
      </c>
      <c r="G1251">
        <v>2730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43852</v>
      </c>
      <c r="B1252" s="116">
        <v>4.8940284570032304</v>
      </c>
      <c r="C1252" s="116">
        <v>4.6437836362244198</v>
      </c>
      <c r="D1252" s="116">
        <v>4.5938930548666201</v>
      </c>
      <c r="E1252" s="116">
        <v>4.6406159802652001</v>
      </c>
      <c r="F1252" s="116">
        <v>293.2</v>
      </c>
      <c r="G1252">
        <v>4633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43853</v>
      </c>
      <c r="B1253" s="116">
        <v>4.7190154652560201</v>
      </c>
      <c r="C1253" s="116">
        <v>4.7118882393477701</v>
      </c>
      <c r="D1253" s="116">
        <v>4.6247777004690702</v>
      </c>
      <c r="E1253" s="116">
        <v>4.62794535642829</v>
      </c>
      <c r="F1253" s="116">
        <v>297.5</v>
      </c>
      <c r="G1253">
        <v>639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43854</v>
      </c>
      <c r="B1254" s="116">
        <v>4.73485374505215</v>
      </c>
      <c r="C1254" s="116">
        <v>4.6778359377860896</v>
      </c>
      <c r="D1254" s="116">
        <v>4.6414078942549999</v>
      </c>
      <c r="E1254" s="116">
        <v>4.6564542600613201</v>
      </c>
      <c r="F1254" s="116">
        <v>295.35000000000002</v>
      </c>
      <c r="G1254">
        <v>1359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43857</v>
      </c>
      <c r="B1255" s="116">
        <v>4.7356456590419604</v>
      </c>
      <c r="C1255" s="116">
        <v>4.6928823035924196</v>
      </c>
      <c r="D1255" s="116">
        <v>4.5946849688564297</v>
      </c>
      <c r="E1255" s="116">
        <v>4.5946849688564297</v>
      </c>
      <c r="F1255" s="116">
        <v>296.3</v>
      </c>
      <c r="G1255">
        <v>1016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43858</v>
      </c>
      <c r="B1256" s="116">
        <v>4.7514839388380796</v>
      </c>
      <c r="C1256" s="116">
        <v>4.4988633760898598</v>
      </c>
      <c r="D1256" s="116">
        <v>4.4521404506912896</v>
      </c>
      <c r="E1256" s="116">
        <v>4.67229253985745</v>
      </c>
      <c r="F1256" s="116">
        <v>284.05</v>
      </c>
      <c r="G1256">
        <v>2071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43859</v>
      </c>
      <c r="B1257" s="116">
        <v>4.7499001108584702</v>
      </c>
      <c r="C1257" s="116">
        <v>4.5614245812845597</v>
      </c>
      <c r="D1257" s="116">
        <v>4.51390974189618</v>
      </c>
      <c r="E1257" s="116">
        <v>4.5756790331010704</v>
      </c>
      <c r="F1257" s="116">
        <v>288</v>
      </c>
      <c r="G1257">
        <v>1096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43860</v>
      </c>
      <c r="B1258" s="116">
        <v>4.6627895719797703</v>
      </c>
      <c r="C1258" s="116">
        <v>4.4956957201306302</v>
      </c>
      <c r="D1258" s="116">
        <v>4.4758978703854799</v>
      </c>
      <c r="E1258" s="116">
        <v>4.5931011408768203</v>
      </c>
      <c r="F1258" s="116">
        <v>283.85000000000002</v>
      </c>
      <c r="G1258">
        <v>1186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43861</v>
      </c>
      <c r="B1259" s="116">
        <v>4.5297480216923098</v>
      </c>
      <c r="C1259" s="116">
        <v>4.4014579553436803</v>
      </c>
      <c r="D1259" s="116">
        <v>4.2802951149033097</v>
      </c>
      <c r="E1259" s="116">
        <v>4.4980714621000502</v>
      </c>
      <c r="F1259" s="116">
        <v>277.89999999999998</v>
      </c>
      <c r="G1259">
        <v>2328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43862</v>
      </c>
      <c r="B1260" s="116">
        <v>4.5891415709277803</v>
      </c>
      <c r="C1260" s="116">
        <v>4.3745328796902596</v>
      </c>
      <c r="D1260" s="116">
        <v>4.3713652237310399</v>
      </c>
      <c r="E1260" s="116">
        <v>4.5891415709277803</v>
      </c>
      <c r="F1260" s="116">
        <v>276.2</v>
      </c>
      <c r="G1260">
        <v>1301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43864</v>
      </c>
      <c r="B1261" s="116">
        <v>4.5123259139165697</v>
      </c>
      <c r="C1261" s="116">
        <v>4.5020310320490804</v>
      </c>
      <c r="D1261" s="116">
        <v>4.3095959325261397</v>
      </c>
      <c r="E1261" s="116">
        <v>4.4347183429155503</v>
      </c>
      <c r="F1261" s="116">
        <v>284.25</v>
      </c>
      <c r="G1261">
        <v>636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43865</v>
      </c>
      <c r="B1262" s="116">
        <v>4.6873389056637702</v>
      </c>
      <c r="C1262" s="116">
        <v>4.57647094709088</v>
      </c>
      <c r="D1262" s="116">
        <v>4.4537242786708999</v>
      </c>
      <c r="E1262" s="116">
        <v>4.5123259139165697</v>
      </c>
      <c r="F1262" s="116">
        <v>288.95</v>
      </c>
      <c r="G1262">
        <v>1213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43866</v>
      </c>
      <c r="B1263" s="116">
        <v>4.7039690994496999</v>
      </c>
      <c r="C1263" s="116">
        <v>4.6105232486525596</v>
      </c>
      <c r="D1263" s="116">
        <v>4.5614245812845597</v>
      </c>
      <c r="E1263" s="116">
        <v>4.7023852714700896</v>
      </c>
      <c r="F1263" s="116">
        <v>291.10000000000002</v>
      </c>
      <c r="G1263">
        <v>2207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43867</v>
      </c>
      <c r="B1264" s="116">
        <v>4.7198073792458297</v>
      </c>
      <c r="C1264" s="116">
        <v>4.6437836362244198</v>
      </c>
      <c r="D1264" s="116">
        <v>4.5463782154782404</v>
      </c>
      <c r="E1264" s="116">
        <v>4.5463782154782404</v>
      </c>
      <c r="F1264" s="116">
        <v>293.2</v>
      </c>
      <c r="G1264">
        <v>2643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43868</v>
      </c>
      <c r="B1265" s="116">
        <v>4.5772628610806896</v>
      </c>
      <c r="C1265" s="116">
        <v>4.4640191605383803</v>
      </c>
      <c r="D1265" s="116">
        <v>4.2779193729338898</v>
      </c>
      <c r="E1265" s="116">
        <v>4.5614245812845597</v>
      </c>
      <c r="F1265" s="116">
        <v>281.85000000000002</v>
      </c>
      <c r="G1265">
        <v>2884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43871</v>
      </c>
      <c r="B1266" s="116">
        <v>4.6643733999593904</v>
      </c>
      <c r="C1266" s="116">
        <v>4.4489727947320601</v>
      </c>
      <c r="D1266" s="116">
        <v>4.4347183429155503</v>
      </c>
      <c r="E1266" s="116">
        <v>4.6643733999593904</v>
      </c>
      <c r="F1266" s="116">
        <v>280.89999999999998</v>
      </c>
      <c r="G1266">
        <v>412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43872</v>
      </c>
      <c r="B1267" s="116">
        <v>4.6406159802652001</v>
      </c>
      <c r="C1267" s="116">
        <v>4.4537242786708999</v>
      </c>
      <c r="D1267" s="116">
        <v>4.4347183429155503</v>
      </c>
      <c r="E1267" s="116">
        <v>4.6398240662753896</v>
      </c>
      <c r="F1267" s="116">
        <v>281.2</v>
      </c>
      <c r="G1267">
        <v>1586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43873</v>
      </c>
      <c r="B1268" s="116">
        <v>4.6184423885506201</v>
      </c>
      <c r="C1268" s="116">
        <v>4.5416267315393997</v>
      </c>
      <c r="D1268" s="116">
        <v>4.4640191605383803</v>
      </c>
      <c r="E1268" s="116">
        <v>4.6184423885506201</v>
      </c>
      <c r="F1268" s="116">
        <v>286.75</v>
      </c>
      <c r="G1268">
        <v>962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43874</v>
      </c>
      <c r="B1269" s="116">
        <v>4.6643733999593904</v>
      </c>
      <c r="C1269" s="116">
        <v>4.4497647087218697</v>
      </c>
      <c r="D1269" s="116">
        <v>4.3024687066178897</v>
      </c>
      <c r="E1269" s="116">
        <v>4.4663949025078002</v>
      </c>
      <c r="F1269" s="116">
        <v>280.95</v>
      </c>
      <c r="G1269">
        <v>1934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43875</v>
      </c>
      <c r="B1270" s="116">
        <v>4.5843900869889396</v>
      </c>
      <c r="C1270" s="116">
        <v>4.4141285791805798</v>
      </c>
      <c r="D1270" s="116">
        <v>4.3713652237310399</v>
      </c>
      <c r="E1270" s="116">
        <v>4.5843900869889396</v>
      </c>
      <c r="F1270" s="116">
        <v>278.7</v>
      </c>
      <c r="G1270">
        <v>898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43878</v>
      </c>
      <c r="B1271" s="116">
        <v>4.4347183429155503</v>
      </c>
      <c r="C1271" s="116">
        <v>4.3214746423732402</v>
      </c>
      <c r="D1271" s="116">
        <v>4.2921738247504004</v>
      </c>
      <c r="E1271" s="116">
        <v>4.4347183429155503</v>
      </c>
      <c r="F1271" s="116">
        <v>272.85000000000002</v>
      </c>
      <c r="G1271">
        <v>1378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43879</v>
      </c>
      <c r="B1272" s="116">
        <v>4.6089394206729404</v>
      </c>
      <c r="C1272" s="116">
        <v>4.3357290941897499</v>
      </c>
      <c r="D1272" s="116">
        <v>4.2763355449542804</v>
      </c>
      <c r="E1272" s="116">
        <v>4.2802951149033097</v>
      </c>
      <c r="F1272" s="116">
        <v>273.75</v>
      </c>
      <c r="G1272">
        <v>3202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43880</v>
      </c>
      <c r="B1273" s="116">
        <v>4.3856196755475496</v>
      </c>
      <c r="C1273" s="116">
        <v>4.2858385128319503</v>
      </c>
      <c r="D1273" s="116">
        <v>4.2763355449542804</v>
      </c>
      <c r="E1273" s="116">
        <v>4.34444014807762</v>
      </c>
      <c r="F1273" s="116">
        <v>270.60000000000002</v>
      </c>
      <c r="G1273">
        <v>1747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43881</v>
      </c>
      <c r="B1274" s="116">
        <v>4.4014579553436803</v>
      </c>
      <c r="C1274" s="116">
        <v>4.30642827656692</v>
      </c>
      <c r="D1274" s="116">
        <v>4.2763355449542804</v>
      </c>
      <c r="E1274" s="116">
        <v>4.2779193729338898</v>
      </c>
      <c r="F1274" s="116">
        <v>271.89999999999998</v>
      </c>
      <c r="G1274">
        <v>1385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43885</v>
      </c>
      <c r="B1275" s="116">
        <v>4.5281641937126897</v>
      </c>
      <c r="C1275" s="116">
        <v>4.2755436309644699</v>
      </c>
      <c r="D1275" s="116">
        <v>4.2288207055658997</v>
      </c>
      <c r="E1275" s="116">
        <v>4.2288207055658997</v>
      </c>
      <c r="F1275" s="116">
        <v>269.95</v>
      </c>
      <c r="G1275">
        <v>7468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43886</v>
      </c>
      <c r="B1276" s="116">
        <v>4.4022498693334802</v>
      </c>
      <c r="C1276" s="116">
        <v>4.35552694393491</v>
      </c>
      <c r="D1276" s="116">
        <v>4.1179527469930104</v>
      </c>
      <c r="E1276" s="116">
        <v>4.35552694393491</v>
      </c>
      <c r="F1276" s="116">
        <v>275</v>
      </c>
      <c r="G1276">
        <v>195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43887</v>
      </c>
      <c r="B1277" s="116">
        <v>4.5091582579573402</v>
      </c>
      <c r="C1277" s="116">
        <v>4.2771274589440802</v>
      </c>
      <c r="D1277" s="116">
        <v>4.1971441459736401</v>
      </c>
      <c r="E1277" s="116">
        <v>4.2763355449542804</v>
      </c>
      <c r="F1277" s="116">
        <v>270.05</v>
      </c>
      <c r="G1277">
        <v>1934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43888</v>
      </c>
      <c r="B1278" s="116">
        <v>4.3396886641387802</v>
      </c>
      <c r="C1278" s="116">
        <v>4.2264449635964798</v>
      </c>
      <c r="D1278" s="116">
        <v>4.1527969625444898</v>
      </c>
      <c r="E1278" s="116">
        <v>4.1527969625444898</v>
      </c>
      <c r="F1278" s="116">
        <v>266.85000000000002</v>
      </c>
      <c r="G1278">
        <v>1571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43889</v>
      </c>
      <c r="B1279" s="116">
        <v>4.21931773768822</v>
      </c>
      <c r="C1279" s="116">
        <v>4.0403451759919804</v>
      </c>
      <c r="D1279" s="116">
        <v>4.0387613480123701</v>
      </c>
      <c r="E1279" s="116">
        <v>4.1211204029522301</v>
      </c>
      <c r="F1279" s="116">
        <v>255.1</v>
      </c>
      <c r="G1279">
        <v>1422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43892</v>
      </c>
      <c r="B1280" s="116">
        <v>4.3238503843426601</v>
      </c>
      <c r="C1280" s="116">
        <v>4.0213392402366299</v>
      </c>
      <c r="D1280" s="116">
        <v>3.9579861210521199</v>
      </c>
      <c r="E1280" s="116">
        <v>4.04113708998179</v>
      </c>
      <c r="F1280" s="116">
        <v>253.9</v>
      </c>
      <c r="G1280">
        <v>1399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43893</v>
      </c>
      <c r="B1281" s="116">
        <v>4.1963522319838296</v>
      </c>
      <c r="C1281" s="116">
        <v>4.1718028982998403</v>
      </c>
      <c r="D1281" s="116">
        <v>3.97857588478709</v>
      </c>
      <c r="E1281" s="116">
        <v>3.97857588478709</v>
      </c>
      <c r="F1281" s="116">
        <v>263.39999999999998</v>
      </c>
      <c r="G1281">
        <v>277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43894</v>
      </c>
      <c r="B1282" s="116">
        <v>4.1654675863813901</v>
      </c>
      <c r="C1282" s="116">
        <v>4.1179527469930104</v>
      </c>
      <c r="D1282" s="116">
        <v>4.0387613480123701</v>
      </c>
      <c r="E1282" s="116">
        <v>4.1654675863813901</v>
      </c>
      <c r="F1282" s="116">
        <v>260</v>
      </c>
      <c r="G1282">
        <v>2426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43895</v>
      </c>
      <c r="B1283" s="116">
        <v>4.24386707137222</v>
      </c>
      <c r="C1283" s="116">
        <v>4.0561834557881102</v>
      </c>
      <c r="D1283" s="116">
        <v>3.9120551096433598</v>
      </c>
      <c r="E1283" s="116">
        <v>3.9120551096433598</v>
      </c>
      <c r="F1283" s="116">
        <v>256.10000000000002</v>
      </c>
      <c r="G1283">
        <v>1550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43896</v>
      </c>
      <c r="B1284" s="116">
        <v>4.4347183429155503</v>
      </c>
      <c r="C1284" s="116">
        <v>3.97540822882786</v>
      </c>
      <c r="D1284" s="116">
        <v>3.8186092588462102</v>
      </c>
      <c r="E1284" s="116">
        <v>3.82019308682582</v>
      </c>
      <c r="F1284" s="116">
        <v>251</v>
      </c>
      <c r="G1284">
        <v>2154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43899</v>
      </c>
      <c r="B1285" s="116">
        <v>4.2747517169746603</v>
      </c>
      <c r="C1285" s="116">
        <v>3.7726782474374398</v>
      </c>
      <c r="D1285" s="116">
        <v>3.5699482660470099</v>
      </c>
      <c r="E1285" s="116">
        <v>4.2747517169746603</v>
      </c>
      <c r="F1285" s="116">
        <v>238.2</v>
      </c>
      <c r="G1285">
        <v>4499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43901</v>
      </c>
      <c r="B1286" s="116">
        <v>3.9057197977249101</v>
      </c>
      <c r="C1286" s="116">
        <v>3.7560480536515102</v>
      </c>
      <c r="D1286" s="116">
        <v>3.7219957520898301</v>
      </c>
      <c r="E1286" s="116">
        <v>3.8344475386423298</v>
      </c>
      <c r="F1286" s="116">
        <v>237.15</v>
      </c>
      <c r="G1286">
        <v>1969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43902</v>
      </c>
      <c r="B1287" s="116">
        <v>3.7061574722937101</v>
      </c>
      <c r="C1287" s="116">
        <v>3.37196976859543</v>
      </c>
      <c r="D1287" s="116">
        <v>3.19933251881764</v>
      </c>
      <c r="E1287" s="116">
        <v>3.4305714038411002</v>
      </c>
      <c r="F1287" s="116">
        <v>212.9</v>
      </c>
      <c r="G1287">
        <v>7961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43903</v>
      </c>
      <c r="B1288" s="116">
        <v>3.9429397552458001</v>
      </c>
      <c r="C1288" s="116">
        <v>3.2674371219409899</v>
      </c>
      <c r="D1288" s="116">
        <v>2.8588095032009102</v>
      </c>
      <c r="E1288" s="116">
        <v>2.8588095032009102</v>
      </c>
      <c r="F1288" s="116">
        <v>206.3</v>
      </c>
      <c r="G1288">
        <v>4247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43906</v>
      </c>
      <c r="B1289" s="116">
        <v>3.3418770369827899</v>
      </c>
      <c r="C1289" s="116">
        <v>3.0781696783772698</v>
      </c>
      <c r="D1289" s="116">
        <v>2.9459200420796101</v>
      </c>
      <c r="E1289" s="116">
        <v>3.3418770369827899</v>
      </c>
      <c r="F1289" s="116">
        <v>194.35</v>
      </c>
      <c r="G1289">
        <v>7989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43907</v>
      </c>
      <c r="B1290" s="116">
        <v>3.1676559592253901</v>
      </c>
      <c r="C1290" s="116">
        <v>3.1248926037758502</v>
      </c>
      <c r="D1290" s="116">
        <v>2.9870995695495401</v>
      </c>
      <c r="E1290" s="116">
        <v>2.9870995695495401</v>
      </c>
      <c r="F1290" s="116">
        <v>197.3</v>
      </c>
      <c r="G1290">
        <v>1706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43908</v>
      </c>
      <c r="B1291" s="116">
        <v>3.2310090784099001</v>
      </c>
      <c r="C1291" s="116">
        <v>2.8279248575984699</v>
      </c>
      <c r="D1291" s="116">
        <v>2.6766692855454499</v>
      </c>
      <c r="E1291" s="116">
        <v>2.9308736762732899</v>
      </c>
      <c r="F1291" s="116">
        <v>178.55</v>
      </c>
      <c r="G1291">
        <v>5305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43909</v>
      </c>
      <c r="B1292" s="116">
        <v>2.95938257990632</v>
      </c>
      <c r="C1292" s="116">
        <v>2.88890223481356</v>
      </c>
      <c r="D1292" s="116">
        <v>2.5507549611662501</v>
      </c>
      <c r="E1292" s="116">
        <v>2.5578821870745001</v>
      </c>
      <c r="F1292" s="116">
        <v>182.4</v>
      </c>
      <c r="G1292">
        <v>4793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43910</v>
      </c>
      <c r="B1293" s="116">
        <v>3.0164003871723799</v>
      </c>
      <c r="C1293" s="116">
        <v>2.93008176228349</v>
      </c>
      <c r="D1293" s="116">
        <v>2.7716989643222201</v>
      </c>
      <c r="E1293" s="116">
        <v>2.86672864309898</v>
      </c>
      <c r="F1293" s="116">
        <v>185</v>
      </c>
      <c r="G1293">
        <v>15456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43913</v>
      </c>
      <c r="B1294" s="116">
        <v>3.1359793996331402</v>
      </c>
      <c r="C1294" s="116">
        <v>2.6093565964119101</v>
      </c>
      <c r="D1294" s="116">
        <v>2.4074185290112999</v>
      </c>
      <c r="E1294" s="116">
        <v>2.8984052026912299</v>
      </c>
      <c r="F1294" s="116">
        <v>164.75</v>
      </c>
      <c r="G1294">
        <v>3255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43914</v>
      </c>
      <c r="B1295" s="116">
        <v>2.80020786795524</v>
      </c>
      <c r="C1295" s="116">
        <v>2.6069808544424999</v>
      </c>
      <c r="D1295" s="116">
        <v>2.5182864875841799</v>
      </c>
      <c r="E1295" s="116">
        <v>2.6608310057493298</v>
      </c>
      <c r="F1295" s="116">
        <v>164.6</v>
      </c>
      <c r="G1295">
        <v>2146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43915</v>
      </c>
      <c r="B1296" s="116">
        <v>3.0243195270704399</v>
      </c>
      <c r="C1296" s="116">
        <v>2.7321032648318999</v>
      </c>
      <c r="D1296" s="116">
        <v>2.3757419694190398</v>
      </c>
      <c r="E1296" s="116">
        <v>2.4074185290112999</v>
      </c>
      <c r="F1296" s="116">
        <v>172.5</v>
      </c>
      <c r="G1296">
        <v>7850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43916</v>
      </c>
      <c r="B1297" s="116">
        <v>3.0559960866626898</v>
      </c>
      <c r="C1297" s="116">
        <v>2.9316655902630999</v>
      </c>
      <c r="D1297" s="116">
        <v>2.7724908783120199</v>
      </c>
      <c r="E1297" s="116">
        <v>3.0092731612641201</v>
      </c>
      <c r="F1297" s="116">
        <v>185.1</v>
      </c>
      <c r="G1297">
        <v>750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43917</v>
      </c>
      <c r="B1298" s="116">
        <v>3.0559960866626898</v>
      </c>
      <c r="C1298" s="116">
        <v>2.6283625321672699</v>
      </c>
      <c r="D1298" s="116">
        <v>2.5341247673803098</v>
      </c>
      <c r="E1298" s="116">
        <v>3.0559960866626898</v>
      </c>
      <c r="F1298" s="116">
        <v>165.95</v>
      </c>
      <c r="G1298">
        <v>5505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43920</v>
      </c>
      <c r="B1299" s="116">
        <v>2.6917156513517702</v>
      </c>
      <c r="C1299" s="116">
        <v>2.48581801400212</v>
      </c>
      <c r="D1299" s="116">
        <v>2.2173591714577698</v>
      </c>
      <c r="E1299" s="116">
        <v>2.6766692855454499</v>
      </c>
      <c r="F1299" s="116">
        <v>156.94999999999999</v>
      </c>
      <c r="G1299">
        <v>6287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43921</v>
      </c>
      <c r="B1300" s="116">
        <v>2.76298791043435</v>
      </c>
      <c r="C1300" s="116">
        <v>2.6172757363099799</v>
      </c>
      <c r="D1300" s="116">
        <v>2.5024482077880599</v>
      </c>
      <c r="E1300" s="116">
        <v>2.5024482077880599</v>
      </c>
      <c r="F1300" s="116">
        <v>165.25</v>
      </c>
      <c r="G1300">
        <v>565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43922</v>
      </c>
      <c r="B1301" s="116">
        <v>2.85484993325188</v>
      </c>
      <c r="C1301" s="116">
        <v>2.7336870928115098</v>
      </c>
      <c r="D1301" s="116">
        <v>2.5499630471764401</v>
      </c>
      <c r="E1301" s="116">
        <v>2.6449927259532</v>
      </c>
      <c r="F1301" s="116">
        <v>172.6</v>
      </c>
      <c r="G1301">
        <v>1052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43924</v>
      </c>
      <c r="B1302" s="116">
        <v>2.6766692855454499</v>
      </c>
      <c r="C1302" s="116">
        <v>2.66637440367797</v>
      </c>
      <c r="D1302" s="116">
        <v>2.5832234347483101</v>
      </c>
      <c r="E1302" s="116">
        <v>2.6291544461570702</v>
      </c>
      <c r="F1302" s="116">
        <v>168.35</v>
      </c>
      <c r="G1302">
        <v>328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43928</v>
      </c>
      <c r="B1303" s="116">
        <v>2.9221626223854198</v>
      </c>
      <c r="C1303" s="116">
        <v>2.84138739542517</v>
      </c>
      <c r="D1303" s="116">
        <v>2.7400224047299599</v>
      </c>
      <c r="E1303" s="116">
        <v>2.7400224047299599</v>
      </c>
      <c r="F1303" s="116">
        <v>179.4</v>
      </c>
      <c r="G1303">
        <v>1481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43929</v>
      </c>
      <c r="B1304" s="116">
        <v>2.93008176228349</v>
      </c>
      <c r="C1304" s="116">
        <v>2.86593672910917</v>
      </c>
      <c r="D1304" s="116">
        <v>2.8350520835067199</v>
      </c>
      <c r="E1304" s="116">
        <v>2.8984052026912299</v>
      </c>
      <c r="F1304" s="116">
        <v>180.95</v>
      </c>
      <c r="G1304">
        <v>4470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43930</v>
      </c>
      <c r="B1305" s="116">
        <v>2.9142434824873602</v>
      </c>
      <c r="C1305" s="116">
        <v>2.9047405146096801</v>
      </c>
      <c r="D1305" s="116">
        <v>2.7804100182100902</v>
      </c>
      <c r="E1305" s="116">
        <v>2.8825669228951001</v>
      </c>
      <c r="F1305" s="116">
        <v>183.4</v>
      </c>
      <c r="G1305">
        <v>2202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43934</v>
      </c>
      <c r="B1306" s="116">
        <v>2.93008176228349</v>
      </c>
      <c r="C1306" s="116">
        <v>2.8833588368849101</v>
      </c>
      <c r="D1306" s="116">
        <v>2.8508903633028502</v>
      </c>
      <c r="E1306" s="116">
        <v>2.90632434258929</v>
      </c>
      <c r="F1306" s="116">
        <v>182.05</v>
      </c>
      <c r="G1306">
        <v>4728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43936</v>
      </c>
      <c r="B1307" s="116">
        <v>3.0805454203466902</v>
      </c>
      <c r="C1307" s="116">
        <v>2.9126596545077499</v>
      </c>
      <c r="D1307" s="116">
        <v>2.8445550513844</v>
      </c>
      <c r="E1307" s="116">
        <v>2.8833588368849101</v>
      </c>
      <c r="F1307" s="116">
        <v>183.9</v>
      </c>
      <c r="G1307">
        <v>1694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43937</v>
      </c>
      <c r="B1308" s="116">
        <v>3.0401578068665698</v>
      </c>
      <c r="C1308" s="116">
        <v>2.9554230099572898</v>
      </c>
      <c r="D1308" s="116">
        <v>2.5824315207585</v>
      </c>
      <c r="E1308" s="116">
        <v>2.7724908783120199</v>
      </c>
      <c r="F1308" s="116">
        <v>186.6</v>
      </c>
      <c r="G1308">
        <v>320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43938</v>
      </c>
      <c r="B1309" s="116">
        <v>2.96175832187574</v>
      </c>
      <c r="C1309" s="116">
        <v>2.93008176228349</v>
      </c>
      <c r="D1309" s="116">
        <v>2.8508903633028502</v>
      </c>
      <c r="E1309" s="116">
        <v>2.96175832187574</v>
      </c>
      <c r="F1309" s="116">
        <v>185</v>
      </c>
      <c r="G1309">
        <v>4524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43941</v>
      </c>
      <c r="B1310" s="116">
        <v>3.08767264625495</v>
      </c>
      <c r="C1310" s="116">
        <v>2.9657178918247702</v>
      </c>
      <c r="D1310" s="116">
        <v>2.8999890306708398</v>
      </c>
      <c r="E1310" s="116">
        <v>2.93008176228349</v>
      </c>
      <c r="F1310" s="116">
        <v>187.25</v>
      </c>
      <c r="G1310">
        <v>804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43942</v>
      </c>
      <c r="B1311" s="116">
        <v>2.99264296747819</v>
      </c>
      <c r="C1311" s="116">
        <v>2.9189949664262</v>
      </c>
      <c r="D1311" s="116">
        <v>2.7716989643222201</v>
      </c>
      <c r="E1311" s="116">
        <v>2.8841507508747202</v>
      </c>
      <c r="F1311" s="116">
        <v>184.3</v>
      </c>
      <c r="G1311">
        <v>1538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43943</v>
      </c>
      <c r="B1312" s="116">
        <v>2.93008176228349</v>
      </c>
      <c r="C1312" s="116">
        <v>2.8390116534557599</v>
      </c>
      <c r="D1312" s="116">
        <v>2.8192138037105998</v>
      </c>
      <c r="E1312" s="116">
        <v>2.8508903633028502</v>
      </c>
      <c r="F1312" s="116">
        <v>179.25</v>
      </c>
      <c r="G1312">
        <v>99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43944</v>
      </c>
      <c r="B1313" s="116">
        <v>3.1185572918574</v>
      </c>
      <c r="C1313" s="116">
        <v>2.8976132887014199</v>
      </c>
      <c r="D1313" s="116">
        <v>2.85247419128246</v>
      </c>
      <c r="E1313" s="116">
        <v>3.1185572918574</v>
      </c>
      <c r="F1313" s="116">
        <v>182.95</v>
      </c>
      <c r="G1313">
        <v>631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43945</v>
      </c>
      <c r="B1314" s="116">
        <v>2.93008176228349</v>
      </c>
      <c r="C1314" s="116">
        <v>2.8469307933538199</v>
      </c>
      <c r="D1314" s="116">
        <v>2.8231733736596301</v>
      </c>
      <c r="E1314" s="116">
        <v>2.8683124710785899</v>
      </c>
      <c r="F1314" s="116">
        <v>179.75</v>
      </c>
      <c r="G1314">
        <v>748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43948</v>
      </c>
      <c r="B1315" s="116">
        <v>2.9142434824873602</v>
      </c>
      <c r="C1315" s="116">
        <v>2.8984052026912299</v>
      </c>
      <c r="D1315" s="116">
        <v>2.7883291581081502</v>
      </c>
      <c r="E1315" s="116">
        <v>2.7883291581081502</v>
      </c>
      <c r="F1315" s="116">
        <v>183</v>
      </c>
      <c r="G1315">
        <v>510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43949</v>
      </c>
      <c r="B1316" s="116">
        <v>2.93008176228349</v>
      </c>
      <c r="C1316" s="116">
        <v>2.90632434258929</v>
      </c>
      <c r="D1316" s="116">
        <v>2.85247419128246</v>
      </c>
      <c r="E1316" s="116">
        <v>2.85247419128246</v>
      </c>
      <c r="F1316" s="116">
        <v>183.5</v>
      </c>
      <c r="G1316">
        <v>511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43950</v>
      </c>
      <c r="B1317" s="116">
        <v>3.3402932090031698</v>
      </c>
      <c r="C1317" s="116">
        <v>3.1866618949807402</v>
      </c>
      <c r="D1317" s="116">
        <v>2.6608310057493298</v>
      </c>
      <c r="E1317" s="116">
        <v>2.6608310057493298</v>
      </c>
      <c r="F1317" s="116">
        <v>201.2</v>
      </c>
      <c r="G1317">
        <v>3672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43951</v>
      </c>
      <c r="B1318" s="116">
        <v>3.6428043531092</v>
      </c>
      <c r="C1318" s="116">
        <v>3.37196976859543</v>
      </c>
      <c r="D1318" s="116">
        <v>3.1716155291744199</v>
      </c>
      <c r="E1318" s="116">
        <v>3.2310090784099001</v>
      </c>
      <c r="F1318" s="116">
        <v>212.9</v>
      </c>
      <c r="G1318">
        <v>5867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43955</v>
      </c>
      <c r="B1319" s="116">
        <v>3.2452635302264099</v>
      </c>
      <c r="C1319" s="116">
        <v>3.1890376369501601</v>
      </c>
      <c r="D1319" s="116">
        <v>3.0884645602447498</v>
      </c>
      <c r="E1319" s="116">
        <v>3.1676559592253901</v>
      </c>
      <c r="F1319" s="116">
        <v>201.35</v>
      </c>
      <c r="G1319">
        <v>1419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43956</v>
      </c>
      <c r="B1320" s="116">
        <v>3.35771531677891</v>
      </c>
      <c r="C1320" s="116">
        <v>3.1518176794292598</v>
      </c>
      <c r="D1320" s="116">
        <v>3.1438985395311998</v>
      </c>
      <c r="E1320" s="116">
        <v>3.35771531677891</v>
      </c>
      <c r="F1320" s="116">
        <v>199</v>
      </c>
      <c r="G1320">
        <v>2565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43957</v>
      </c>
      <c r="B1321" s="116">
        <v>3.2626856380021501</v>
      </c>
      <c r="C1321" s="116">
        <v>3.0884645602447498</v>
      </c>
      <c r="D1321" s="116">
        <v>3.02511144106025</v>
      </c>
      <c r="E1321" s="116">
        <v>3.2626856380021501</v>
      </c>
      <c r="F1321" s="116">
        <v>195</v>
      </c>
      <c r="G1321">
        <v>1532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43958</v>
      </c>
      <c r="B1322" s="116">
        <v>3.1676559592253901</v>
      </c>
      <c r="C1322" s="116">
        <v>3.0575799146423099</v>
      </c>
      <c r="D1322" s="116">
        <v>3.0409497208563701</v>
      </c>
      <c r="E1322" s="116">
        <v>3.1676559592253901</v>
      </c>
      <c r="F1322" s="116">
        <v>193.05</v>
      </c>
      <c r="G1322">
        <v>39341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43959</v>
      </c>
      <c r="B1323" s="116">
        <v>3.3181196172886001</v>
      </c>
      <c r="C1323" s="116">
        <v>3.20250017477687</v>
      </c>
      <c r="D1323" s="116">
        <v>2.8873184068339399</v>
      </c>
      <c r="E1323" s="116">
        <v>3.3102004773905298</v>
      </c>
      <c r="F1323" s="116">
        <v>202.2</v>
      </c>
      <c r="G1323">
        <v>3812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43962</v>
      </c>
      <c r="B1324" s="116">
        <v>3.7148685261815801</v>
      </c>
      <c r="C1324" s="116">
        <v>3.4527449955556699</v>
      </c>
      <c r="D1324" s="116">
        <v>3.26585329396138</v>
      </c>
      <c r="E1324" s="116">
        <v>3.4828377271683202</v>
      </c>
      <c r="F1324" s="116">
        <v>218</v>
      </c>
      <c r="G1324">
        <v>14257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43963</v>
      </c>
      <c r="B1325" s="116">
        <v>3.4844215551479301</v>
      </c>
      <c r="C1325" s="116">
        <v>3.2793158317880802</v>
      </c>
      <c r="D1325" s="116">
        <v>3.2341767343691199</v>
      </c>
      <c r="E1325" s="116">
        <v>3.4844215551479301</v>
      </c>
      <c r="F1325" s="116">
        <v>207.05</v>
      </c>
      <c r="G1325">
        <v>3212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43964</v>
      </c>
      <c r="B1326" s="116">
        <v>3.48362964115812</v>
      </c>
      <c r="C1326" s="116">
        <v>3.4163169520245802</v>
      </c>
      <c r="D1326" s="116">
        <v>3.2785239177982799</v>
      </c>
      <c r="E1326" s="116">
        <v>3.42106843596342</v>
      </c>
      <c r="F1326" s="116">
        <v>215.7</v>
      </c>
      <c r="G1326">
        <v>3733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43965</v>
      </c>
      <c r="B1327" s="116">
        <v>3.4780862432294799</v>
      </c>
      <c r="C1327" s="116">
        <v>3.3339578970847201</v>
      </c>
      <c r="D1327" s="116">
        <v>3.3102004773905298</v>
      </c>
      <c r="E1327" s="116">
        <v>3.4780862432294799</v>
      </c>
      <c r="F1327" s="116">
        <v>210.5</v>
      </c>
      <c r="G1327">
        <v>2286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43966</v>
      </c>
      <c r="B1328" s="116">
        <v>3.35771531677891</v>
      </c>
      <c r="C1328" s="116">
        <v>3.2801077457778902</v>
      </c>
      <c r="D1328" s="116">
        <v>3.2785239177982799</v>
      </c>
      <c r="E1328" s="116">
        <v>3.2793158317880802</v>
      </c>
      <c r="F1328" s="116">
        <v>207.1</v>
      </c>
      <c r="G1328">
        <v>1604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43969</v>
      </c>
      <c r="B1329" s="116">
        <v>3.4448258556576099</v>
      </c>
      <c r="C1329" s="116">
        <v>3.3307902411254999</v>
      </c>
      <c r="D1329" s="116">
        <v>3.2523907561346701</v>
      </c>
      <c r="E1329" s="116">
        <v>3.3260387571866601</v>
      </c>
      <c r="F1329" s="116">
        <v>210.3</v>
      </c>
      <c r="G1329">
        <v>3339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43970</v>
      </c>
      <c r="B1330" s="116">
        <v>3.4519530815658701</v>
      </c>
      <c r="C1330" s="116">
        <v>3.2698128639104098</v>
      </c>
      <c r="D1330" s="116">
        <v>3.1763670131132602</v>
      </c>
      <c r="E1330" s="116">
        <v>3.35771531677891</v>
      </c>
      <c r="F1330" s="116">
        <v>206.45</v>
      </c>
      <c r="G1330">
        <v>3228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43971</v>
      </c>
      <c r="B1331" s="116">
        <v>3.4052301561672902</v>
      </c>
      <c r="C1331" s="116">
        <v>3.2888187996657599</v>
      </c>
      <c r="D1331" s="116">
        <v>3.0963837001428201</v>
      </c>
      <c r="E1331" s="116">
        <v>3.0963837001428201</v>
      </c>
      <c r="F1331" s="116">
        <v>207.65</v>
      </c>
      <c r="G1331">
        <v>1778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43972</v>
      </c>
      <c r="B1332" s="116">
        <v>3.3632587147075599</v>
      </c>
      <c r="C1332" s="116">
        <v>3.2927783696147901</v>
      </c>
      <c r="D1332" s="116">
        <v>3.2515988421448601</v>
      </c>
      <c r="E1332" s="116">
        <v>3.3260387571866601</v>
      </c>
      <c r="F1332" s="116">
        <v>207.9</v>
      </c>
      <c r="G1332">
        <v>367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43973</v>
      </c>
      <c r="B1333" s="116">
        <v>3.3569234027891102</v>
      </c>
      <c r="C1333" s="116">
        <v>3.2682290359307999</v>
      </c>
      <c r="D1333" s="116">
        <v>3.1842861530113198</v>
      </c>
      <c r="E1333" s="116">
        <v>3.3569234027891102</v>
      </c>
      <c r="F1333" s="116">
        <v>206.35</v>
      </c>
      <c r="G1333">
        <v>1115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43977</v>
      </c>
      <c r="B1334" s="116">
        <v>3.3846403924323298</v>
      </c>
      <c r="C1334" s="116">
        <v>3.1343955716535201</v>
      </c>
      <c r="D1334" s="116">
        <v>3.0971756141326199</v>
      </c>
      <c r="E1334" s="116">
        <v>3.3260387571866601</v>
      </c>
      <c r="F1334" s="116">
        <v>197.9</v>
      </c>
      <c r="G1334">
        <v>2003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43978</v>
      </c>
      <c r="B1335" s="116">
        <v>3.1359793996331402</v>
      </c>
      <c r="C1335" s="116">
        <v>3.0164003871723799</v>
      </c>
      <c r="D1335" s="116">
        <v>2.9791804296514801</v>
      </c>
      <c r="E1335" s="116">
        <v>3.1343955716535201</v>
      </c>
      <c r="F1335" s="116">
        <v>190.45</v>
      </c>
      <c r="G1335">
        <v>4083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43979</v>
      </c>
      <c r="B1336" s="116">
        <v>3.2310090784099001</v>
      </c>
      <c r="C1336" s="116">
        <v>3.2191303685628001</v>
      </c>
      <c r="D1336" s="116">
        <v>3.0409497208563701</v>
      </c>
      <c r="E1336" s="116">
        <v>3.2127950566443499</v>
      </c>
      <c r="F1336" s="116">
        <v>203.25</v>
      </c>
      <c r="G1336">
        <v>1819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43980</v>
      </c>
      <c r="B1337" s="116">
        <v>3.3014894235026602</v>
      </c>
      <c r="C1337" s="116">
        <v>3.1977486908380302</v>
      </c>
      <c r="D1337" s="116">
        <v>3.07737776438747</v>
      </c>
      <c r="E1337" s="116">
        <v>3.07737776438747</v>
      </c>
      <c r="F1337" s="116">
        <v>201.9</v>
      </c>
      <c r="G1337">
        <v>3734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43983</v>
      </c>
      <c r="B1338" s="116">
        <v>3.5319363945363098</v>
      </c>
      <c r="C1338" s="116">
        <v>3.44245011368819</v>
      </c>
      <c r="D1338" s="116">
        <v>3.1977486908380302</v>
      </c>
      <c r="E1338" s="116">
        <v>3.1977486908380302</v>
      </c>
      <c r="F1338" s="116">
        <v>217.35</v>
      </c>
      <c r="G1338">
        <v>7251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43984</v>
      </c>
      <c r="B1339" s="116">
        <v>3.5477746743324401</v>
      </c>
      <c r="C1339" s="116">
        <v>3.4250280059124498</v>
      </c>
      <c r="D1339" s="116">
        <v>3.4068139841469098</v>
      </c>
      <c r="E1339" s="116">
        <v>3.51609811474018</v>
      </c>
      <c r="F1339" s="116">
        <v>216.25</v>
      </c>
      <c r="G1339">
        <v>6318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43985</v>
      </c>
      <c r="B1340" s="116">
        <v>3.5477746743324401</v>
      </c>
      <c r="C1340" s="116">
        <v>3.5081789748421199</v>
      </c>
      <c r="D1340" s="116">
        <v>3.35771531677891</v>
      </c>
      <c r="E1340" s="116">
        <v>3.4685832753518002</v>
      </c>
      <c r="F1340" s="116">
        <v>221.5</v>
      </c>
      <c r="G1340">
        <v>3887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43986</v>
      </c>
      <c r="B1341" s="116">
        <v>3.5952895137208198</v>
      </c>
      <c r="C1341" s="116">
        <v>3.5596533841795299</v>
      </c>
      <c r="D1341" s="116">
        <v>3.4527449955556699</v>
      </c>
      <c r="E1341" s="116">
        <v>3.4527449955556699</v>
      </c>
      <c r="F1341" s="116">
        <v>224.75</v>
      </c>
      <c r="G1341">
        <v>2571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43987</v>
      </c>
      <c r="B1342" s="116">
        <v>3.6744809127014499</v>
      </c>
      <c r="C1342" s="116">
        <v>3.5944975997310098</v>
      </c>
      <c r="D1342" s="116">
        <v>3.5651967821081798</v>
      </c>
      <c r="E1342" s="116">
        <v>3.5952895137208198</v>
      </c>
      <c r="F1342" s="116">
        <v>226.95</v>
      </c>
      <c r="G1342">
        <v>2761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43990</v>
      </c>
      <c r="B1343" s="116">
        <v>3.7607995375903398</v>
      </c>
      <c r="C1343" s="116">
        <v>3.57865931993488</v>
      </c>
      <c r="D1343" s="116">
        <v>3.4052301561672902</v>
      </c>
      <c r="E1343" s="116">
        <v>3.6428043531092</v>
      </c>
      <c r="F1343" s="116">
        <v>225.95</v>
      </c>
      <c r="G1343">
        <v>10223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43991</v>
      </c>
      <c r="B1344" s="116">
        <v>3.8764189801020699</v>
      </c>
      <c r="C1344" s="116">
        <v>3.6776485686606799</v>
      </c>
      <c r="D1344" s="116">
        <v>3.61271162149656</v>
      </c>
      <c r="E1344" s="116">
        <v>3.61271162149656</v>
      </c>
      <c r="F1344" s="116">
        <v>232.2</v>
      </c>
      <c r="G1344">
        <v>7412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43992</v>
      </c>
      <c r="B1345" s="116">
        <v>3.7615914515801498</v>
      </c>
      <c r="C1345" s="116">
        <v>3.7505046557228598</v>
      </c>
      <c r="D1345" s="116">
        <v>3.60162482563927</v>
      </c>
      <c r="E1345" s="116">
        <v>3.6428043531092</v>
      </c>
      <c r="F1345" s="116">
        <v>236.8</v>
      </c>
      <c r="G1345">
        <v>1441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43993</v>
      </c>
      <c r="B1346" s="116">
        <v>3.80118715107047</v>
      </c>
      <c r="C1346" s="116">
        <v>3.6435962670989999</v>
      </c>
      <c r="D1346" s="116">
        <v>3.6277579873028798</v>
      </c>
      <c r="E1346" s="116">
        <v>3.7219957520898301</v>
      </c>
      <c r="F1346" s="116">
        <v>230.05</v>
      </c>
      <c r="G1346">
        <v>2886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43994</v>
      </c>
      <c r="B1347" s="116">
        <v>3.6744809127014499</v>
      </c>
      <c r="C1347" s="116">
        <v>3.5588614701897199</v>
      </c>
      <c r="D1347" s="116">
        <v>3.35771531677891</v>
      </c>
      <c r="E1347" s="116">
        <v>3.4844215551479301</v>
      </c>
      <c r="F1347" s="116">
        <v>224.7</v>
      </c>
      <c r="G1347">
        <v>4080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43997</v>
      </c>
      <c r="B1348" s="116">
        <v>3.8795866360612998</v>
      </c>
      <c r="C1348" s="116">
        <v>3.74892082774325</v>
      </c>
      <c r="D1348" s="116">
        <v>3.5659886960979801</v>
      </c>
      <c r="E1348" s="116">
        <v>3.7014059883548698</v>
      </c>
      <c r="F1348" s="116">
        <v>236.7</v>
      </c>
      <c r="G1348">
        <v>3283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43998</v>
      </c>
      <c r="B1349" s="116">
        <v>4.2121905117799603</v>
      </c>
      <c r="C1349" s="116">
        <v>3.9809516267565099</v>
      </c>
      <c r="D1349" s="116">
        <v>3.80118715107047</v>
      </c>
      <c r="E1349" s="116">
        <v>3.8803785500511001</v>
      </c>
      <c r="F1349" s="116">
        <v>251.35</v>
      </c>
      <c r="G1349">
        <v>11226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43999</v>
      </c>
      <c r="B1350" s="116">
        <v>4.1179527469930104</v>
      </c>
      <c r="C1350" s="116">
        <v>3.93818827130697</v>
      </c>
      <c r="D1350" s="116">
        <v>3.91601467959239</v>
      </c>
      <c r="E1350" s="116">
        <v>4.1179527469930104</v>
      </c>
      <c r="F1350" s="116">
        <v>248.65</v>
      </c>
      <c r="G1350">
        <v>3464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44000</v>
      </c>
      <c r="B1351" s="116">
        <v>4.0379694340225596</v>
      </c>
      <c r="C1351" s="116">
        <v>3.9587780350419299</v>
      </c>
      <c r="D1351" s="116">
        <v>3.86454027025498</v>
      </c>
      <c r="E1351" s="116">
        <v>3.9278933894394799</v>
      </c>
      <c r="F1351" s="116">
        <v>249.95</v>
      </c>
      <c r="G1351">
        <v>2235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44001</v>
      </c>
      <c r="B1352" s="116">
        <v>4.1813058661775102</v>
      </c>
      <c r="C1352" s="116">
        <v>3.9967899065526402</v>
      </c>
      <c r="D1352" s="116">
        <v>3.8803785500511001</v>
      </c>
      <c r="E1352" s="116">
        <v>3.9611537770113499</v>
      </c>
      <c r="F1352" s="116">
        <v>252.35</v>
      </c>
      <c r="G1352">
        <v>3261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44004</v>
      </c>
      <c r="B1353" s="116">
        <v>4.2763355449542804</v>
      </c>
      <c r="C1353" s="116">
        <v>4.1132012630541697</v>
      </c>
      <c r="D1353" s="116">
        <v>4.0387613480123701</v>
      </c>
      <c r="E1353" s="116">
        <v>4.1488373925954498</v>
      </c>
      <c r="F1353" s="116">
        <v>259.7</v>
      </c>
      <c r="G1353">
        <v>5444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44005</v>
      </c>
      <c r="B1354" s="116">
        <v>4.2209015656678304</v>
      </c>
      <c r="C1354" s="116">
        <v>4.0363856060429502</v>
      </c>
      <c r="D1354" s="116">
        <v>4.0070847884201202</v>
      </c>
      <c r="E1354" s="116">
        <v>4.2209015656678304</v>
      </c>
      <c r="F1354" s="116">
        <v>254.85</v>
      </c>
      <c r="G1354">
        <v>2526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44006</v>
      </c>
      <c r="B1355" s="116">
        <v>4.1694271563304204</v>
      </c>
      <c r="C1355" s="116">
        <v>3.8566211303569098</v>
      </c>
      <c r="D1355" s="116">
        <v>3.73783403188596</v>
      </c>
      <c r="E1355" s="116">
        <v>3.8186092588462102</v>
      </c>
      <c r="F1355" s="116">
        <v>243.5</v>
      </c>
      <c r="G1355">
        <v>5043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44007</v>
      </c>
      <c r="B1356" s="116">
        <v>4.62794535642829</v>
      </c>
      <c r="C1356" s="116">
        <v>4.4188800631194196</v>
      </c>
      <c r="D1356" s="116">
        <v>3.8962168298472299</v>
      </c>
      <c r="E1356" s="116">
        <v>3.9120551096433598</v>
      </c>
      <c r="F1356" s="116">
        <v>279</v>
      </c>
      <c r="G1356">
        <v>33996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44008</v>
      </c>
      <c r="B1357" s="116">
        <v>4.7483162828788599</v>
      </c>
      <c r="C1357" s="116">
        <v>4.4125447512009703</v>
      </c>
      <c r="D1357" s="116">
        <v>4.3238503843426601</v>
      </c>
      <c r="E1357" s="116">
        <v>4.4054175252927097</v>
      </c>
      <c r="F1357" s="116">
        <v>278.60000000000002</v>
      </c>
      <c r="G1357">
        <v>7635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44011</v>
      </c>
      <c r="B1358" s="116">
        <v>4.5772628610806896</v>
      </c>
      <c r="C1358" s="116">
        <v>4.2890061687911798</v>
      </c>
      <c r="D1358" s="116">
        <v>4.1813058661775102</v>
      </c>
      <c r="E1358" s="116">
        <v>4.4980714621000502</v>
      </c>
      <c r="F1358" s="116">
        <v>270.8</v>
      </c>
      <c r="G1358">
        <v>2575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44012</v>
      </c>
      <c r="B1359" s="116">
        <v>4.4980714621000502</v>
      </c>
      <c r="C1359" s="116">
        <v>4.1425020806769997</v>
      </c>
      <c r="D1359" s="116">
        <v>4.1021144671968797</v>
      </c>
      <c r="E1359" s="116">
        <v>4.3713652237310399</v>
      </c>
      <c r="F1359" s="116">
        <v>261.55</v>
      </c>
      <c r="G1359">
        <v>1644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44013</v>
      </c>
      <c r="B1360" s="116">
        <v>4.4648110745281899</v>
      </c>
      <c r="C1360" s="116">
        <v>4.4434293968034204</v>
      </c>
      <c r="D1360" s="116">
        <v>4.0070847884201202</v>
      </c>
      <c r="E1360" s="116">
        <v>4.0070847884201202</v>
      </c>
      <c r="F1360" s="116">
        <v>280.55</v>
      </c>
      <c r="G1360">
        <v>1452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44014</v>
      </c>
      <c r="B1361" s="116">
        <v>4.5131178279063704</v>
      </c>
      <c r="C1361" s="116">
        <v>4.3357290941897499</v>
      </c>
      <c r="D1361" s="116">
        <v>4.3246422983324599</v>
      </c>
      <c r="E1361" s="116">
        <v>4.5131178279063704</v>
      </c>
      <c r="F1361" s="116">
        <v>273.75</v>
      </c>
      <c r="G1361">
        <v>1962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44015</v>
      </c>
      <c r="B1362" s="116">
        <v>4.8845254891255498</v>
      </c>
      <c r="C1362" s="116">
        <v>4.75465159479731</v>
      </c>
      <c r="D1362" s="116">
        <v>4.25257812526009</v>
      </c>
      <c r="E1362" s="116">
        <v>4.4822331823039301</v>
      </c>
      <c r="F1362" s="116">
        <v>300.2</v>
      </c>
      <c r="G1362">
        <v>7403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44018</v>
      </c>
      <c r="B1363" s="116">
        <v>5.6701041670134504</v>
      </c>
      <c r="C1363" s="116">
        <v>5.4784609814803096</v>
      </c>
      <c r="D1363" s="116">
        <v>4.8005826062060803</v>
      </c>
      <c r="E1363" s="116">
        <v>4.8781901772070997</v>
      </c>
      <c r="F1363" s="116">
        <v>345.9</v>
      </c>
      <c r="G1363">
        <v>27090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44019</v>
      </c>
      <c r="B1364" s="116">
        <v>5.4800448094599199</v>
      </c>
      <c r="C1364" s="116">
        <v>5.2971126778146598</v>
      </c>
      <c r="D1364" s="116">
        <v>5.1474409337412599</v>
      </c>
      <c r="E1364" s="116">
        <v>5.4800448094599199</v>
      </c>
      <c r="F1364" s="116">
        <v>334.45</v>
      </c>
      <c r="G1364">
        <v>11490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44020</v>
      </c>
      <c r="B1365" s="116">
        <v>5.3850151306831604</v>
      </c>
      <c r="C1365" s="116">
        <v>5.2036668270175097</v>
      </c>
      <c r="D1365" s="116">
        <v>4.9906419637596002</v>
      </c>
      <c r="E1365" s="116">
        <v>5.3850151306831604</v>
      </c>
      <c r="F1365" s="116">
        <v>328.55</v>
      </c>
      <c r="G1365">
        <v>4854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44021</v>
      </c>
      <c r="B1366" s="116">
        <v>5.3058237317025299</v>
      </c>
      <c r="C1366" s="116">
        <v>5.1086371482407502</v>
      </c>
      <c r="D1366" s="116">
        <v>4.9946015337086296</v>
      </c>
      <c r="E1366" s="116">
        <v>5.1632792135373897</v>
      </c>
      <c r="F1366" s="116">
        <v>322.55</v>
      </c>
      <c r="G1366">
        <v>3483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44022</v>
      </c>
      <c r="B1367" s="116">
        <v>5.3691768508870403</v>
      </c>
      <c r="C1367" s="116">
        <v>5.06033039486256</v>
      </c>
      <c r="D1367" s="116">
        <v>5.0064802435557301</v>
      </c>
      <c r="E1367" s="116">
        <v>5.3691768508870403</v>
      </c>
      <c r="F1367" s="116">
        <v>319.5</v>
      </c>
      <c r="G1367">
        <v>6694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44025</v>
      </c>
      <c r="B1368" s="116">
        <v>5.2266323327218904</v>
      </c>
      <c r="C1368" s="116">
        <v>5.0801282446077201</v>
      </c>
      <c r="D1368" s="116">
        <v>4.9890581357799899</v>
      </c>
      <c r="E1368" s="116">
        <v>5.06033039486256</v>
      </c>
      <c r="F1368" s="116">
        <v>320.75</v>
      </c>
      <c r="G1368">
        <v>6069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44026</v>
      </c>
      <c r="B1369" s="116">
        <v>5.5592362084405602</v>
      </c>
      <c r="C1369" s="116">
        <v>5.3873908726525803</v>
      </c>
      <c r="D1369" s="116">
        <v>5.0437002010766303</v>
      </c>
      <c r="E1369" s="116">
        <v>5.0674576207708197</v>
      </c>
      <c r="F1369" s="116">
        <v>340.15</v>
      </c>
      <c r="G1369">
        <v>13942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44027</v>
      </c>
      <c r="B1370" s="116">
        <v>6.0185463225282403</v>
      </c>
      <c r="C1370" s="116">
        <v>5.7374168561469903</v>
      </c>
      <c r="D1370" s="116">
        <v>5.3850151306831604</v>
      </c>
      <c r="E1370" s="116">
        <v>5.5829936281347496</v>
      </c>
      <c r="F1370" s="116">
        <v>362.25</v>
      </c>
      <c r="G1370">
        <v>22721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44028</v>
      </c>
      <c r="B1371" s="116">
        <v>6.0177544085384298</v>
      </c>
      <c r="C1371" s="116">
        <v>5.7239543183202803</v>
      </c>
      <c r="D1371" s="116">
        <v>5.6233812416148696</v>
      </c>
      <c r="E1371" s="116">
        <v>5.8926319981490298</v>
      </c>
      <c r="F1371" s="116">
        <v>361.4</v>
      </c>
      <c r="G1371">
        <v>9875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44029</v>
      </c>
      <c r="B1372" s="116">
        <v>5.9068864499655396</v>
      </c>
      <c r="C1372" s="116">
        <v>5.64872248928868</v>
      </c>
      <c r="D1372" s="116">
        <v>5.5275596488483103</v>
      </c>
      <c r="E1372" s="116">
        <v>5.5275596488483103</v>
      </c>
      <c r="F1372" s="116">
        <v>356.65</v>
      </c>
      <c r="G1372">
        <v>5446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44032</v>
      </c>
      <c r="B1373" s="116">
        <v>5.8601635245669703</v>
      </c>
      <c r="C1373" s="116">
        <v>5.6724799089828704</v>
      </c>
      <c r="D1373" s="116">
        <v>5.4008534104792902</v>
      </c>
      <c r="E1373" s="116">
        <v>5.6225893276250698</v>
      </c>
      <c r="F1373" s="116">
        <v>358.15</v>
      </c>
      <c r="G1373">
        <v>7636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44033</v>
      </c>
      <c r="B1374" s="116">
        <v>5.9235166437514799</v>
      </c>
      <c r="C1374" s="116">
        <v>5.6827747908503499</v>
      </c>
      <c r="D1374" s="116">
        <v>5.54418984263424</v>
      </c>
      <c r="E1374" s="116">
        <v>5.54418984263424</v>
      </c>
      <c r="F1374" s="116">
        <v>358.8</v>
      </c>
      <c r="G1374">
        <v>3542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44034</v>
      </c>
      <c r="B1375" s="116">
        <v>5.9235166437514799</v>
      </c>
      <c r="C1375" s="116">
        <v>5.6859424468095696</v>
      </c>
      <c r="D1375" s="116">
        <v>5.5592362084405602</v>
      </c>
      <c r="E1375" s="116">
        <v>5.5608200364201696</v>
      </c>
      <c r="F1375" s="116">
        <v>359</v>
      </c>
      <c r="G1375">
        <v>4136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44035</v>
      </c>
      <c r="B1376" s="116">
        <v>5.8601635245669703</v>
      </c>
      <c r="C1376" s="116">
        <v>5.8514524706791002</v>
      </c>
      <c r="D1376" s="116">
        <v>5.7192028343814396</v>
      </c>
      <c r="E1376" s="116">
        <v>5.8443252447708396</v>
      </c>
      <c r="F1376" s="116">
        <v>369.45</v>
      </c>
      <c r="G1376">
        <v>2465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44036</v>
      </c>
      <c r="B1377" s="116">
        <v>5.9551932033437298</v>
      </c>
      <c r="C1377" s="116">
        <v>5.9124298478941899</v>
      </c>
      <c r="D1377" s="116">
        <v>5.7342492001877599</v>
      </c>
      <c r="E1377" s="116">
        <v>5.8601635245669703</v>
      </c>
      <c r="F1377" s="116">
        <v>373.3</v>
      </c>
      <c r="G1377">
        <v>5982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44039</v>
      </c>
      <c r="B1378" s="116">
        <v>6.01696249454863</v>
      </c>
      <c r="C1378" s="116">
        <v>5.4618307876943799</v>
      </c>
      <c r="D1378" s="116">
        <v>5.3256215814476899</v>
      </c>
      <c r="E1378" s="116">
        <v>5.9314357836495404</v>
      </c>
      <c r="F1378" s="116">
        <v>344.85</v>
      </c>
      <c r="G1378">
        <v>14399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44040</v>
      </c>
      <c r="B1379" s="116">
        <v>5.8443252447708396</v>
      </c>
      <c r="C1379" s="116">
        <v>5.56636343434882</v>
      </c>
      <c r="D1379" s="116">
        <v>5.1791174933335098</v>
      </c>
      <c r="E1379" s="116">
        <v>5.3818474747239398</v>
      </c>
      <c r="F1379" s="116">
        <v>351.45</v>
      </c>
      <c r="G1379">
        <v>8469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44041</v>
      </c>
      <c r="B1380" s="116">
        <v>5.7089079525139601</v>
      </c>
      <c r="C1380" s="116">
        <v>5.3422517752336196</v>
      </c>
      <c r="D1380" s="116">
        <v>5.3066156456923297</v>
      </c>
      <c r="E1380" s="116">
        <v>5.6510982312581</v>
      </c>
      <c r="F1380" s="116">
        <v>337.3</v>
      </c>
      <c r="G1380">
        <v>4352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44042</v>
      </c>
      <c r="B1381" s="116">
        <v>5.6796071348911203</v>
      </c>
      <c r="C1381" s="116">
        <v>5.2709795161510504</v>
      </c>
      <c r="D1381" s="116">
        <v>5.2266323327218904</v>
      </c>
      <c r="E1381" s="116">
        <v>5.3850151306831604</v>
      </c>
      <c r="F1381" s="116">
        <v>332.8</v>
      </c>
      <c r="G1381">
        <v>3668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44043</v>
      </c>
      <c r="B1382" s="116">
        <v>5.5101375410725604</v>
      </c>
      <c r="C1382" s="116">
        <v>5.2139617088849901</v>
      </c>
      <c r="D1382" s="116">
        <v>5.0682495347606196</v>
      </c>
      <c r="E1382" s="116">
        <v>5.0682495347606196</v>
      </c>
      <c r="F1382" s="116">
        <v>329.2</v>
      </c>
      <c r="G1382">
        <v>4438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44046</v>
      </c>
      <c r="B1383" s="116">
        <v>5.5418141006648201</v>
      </c>
      <c r="C1383" s="116">
        <v>5.2329676446403397</v>
      </c>
      <c r="D1383" s="116">
        <v>5.0682495347606196</v>
      </c>
      <c r="E1383" s="116">
        <v>5.5418141006648201</v>
      </c>
      <c r="F1383" s="116">
        <v>330.4</v>
      </c>
      <c r="G1383">
        <v>2797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44047</v>
      </c>
      <c r="B1384" s="116">
        <v>5.4008534104792902</v>
      </c>
      <c r="C1384" s="116">
        <v>5.1973315150990604</v>
      </c>
      <c r="D1384" s="116">
        <v>5.1949557731296396</v>
      </c>
      <c r="E1384" s="116">
        <v>5.3058237317025299</v>
      </c>
      <c r="F1384" s="116">
        <v>328.15</v>
      </c>
      <c r="G1384">
        <v>5085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44048</v>
      </c>
      <c r="B1385" s="116">
        <v>5.5433979286444304</v>
      </c>
      <c r="C1385" s="116">
        <v>5.3398760332641997</v>
      </c>
      <c r="D1385" s="116">
        <v>5.2266323327218904</v>
      </c>
      <c r="E1385" s="116">
        <v>5.2266323327218904</v>
      </c>
      <c r="F1385" s="116">
        <v>337.15</v>
      </c>
      <c r="G1385">
        <v>5181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44049</v>
      </c>
      <c r="B1386" s="116">
        <v>5.7017807266057003</v>
      </c>
      <c r="C1386" s="116">
        <v>5.4515359058269004</v>
      </c>
      <c r="D1386" s="116">
        <v>5.2424706125180203</v>
      </c>
      <c r="E1386" s="116">
        <v>5.3533385710909096</v>
      </c>
      <c r="F1386" s="116">
        <v>344.2</v>
      </c>
      <c r="G1386">
        <v>7327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44050</v>
      </c>
      <c r="B1387" s="116">
        <v>5.7017807266057003</v>
      </c>
      <c r="C1387" s="116">
        <v>5.3446275172030404</v>
      </c>
      <c r="D1387" s="116">
        <v>5.3058237317025299</v>
      </c>
      <c r="E1387" s="116">
        <v>5.6225893276250698</v>
      </c>
      <c r="F1387" s="116">
        <v>337.45</v>
      </c>
      <c r="G1387">
        <v>6183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44053</v>
      </c>
      <c r="B1388" s="116">
        <v>6.4129194894517996</v>
      </c>
      <c r="C1388" s="116">
        <v>6.3266008645629102</v>
      </c>
      <c r="D1388" s="116">
        <v>5.6360518654517699</v>
      </c>
      <c r="E1388" s="116">
        <v>5.6368437794415804</v>
      </c>
      <c r="F1388" s="116">
        <v>399.45</v>
      </c>
      <c r="G1388">
        <v>49960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44054</v>
      </c>
      <c r="B1389" s="116">
        <v>6.6520775143733202</v>
      </c>
      <c r="C1389" s="116">
        <v>6.12862236711132</v>
      </c>
      <c r="D1389" s="116">
        <v>6.0834832696923602</v>
      </c>
      <c r="E1389" s="116">
        <v>6.4216305433396697</v>
      </c>
      <c r="F1389" s="116">
        <v>386.95</v>
      </c>
      <c r="G1389">
        <v>14513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44055</v>
      </c>
      <c r="B1390" s="116">
        <v>6.3163059826954298</v>
      </c>
      <c r="C1390" s="116">
        <v>6.1500040448360904</v>
      </c>
      <c r="D1390" s="116">
        <v>5.9884535909155998</v>
      </c>
      <c r="E1390" s="116">
        <v>6.0818994417127499</v>
      </c>
      <c r="F1390" s="116">
        <v>388.3</v>
      </c>
      <c r="G1390">
        <v>10327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44056</v>
      </c>
      <c r="B1391" s="116">
        <v>6.2877970790623996</v>
      </c>
      <c r="C1391" s="116">
        <v>5.9353953535985697</v>
      </c>
      <c r="D1391" s="116">
        <v>5.8593716105771598</v>
      </c>
      <c r="E1391" s="116">
        <v>6.2394903256842102</v>
      </c>
      <c r="F1391" s="116">
        <v>374.75</v>
      </c>
      <c r="G1391">
        <v>16567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44057</v>
      </c>
      <c r="B1392" s="116">
        <v>6.1294142811011296</v>
      </c>
      <c r="C1392" s="116">
        <v>5.8395737608320104</v>
      </c>
      <c r="D1392" s="116">
        <v>5.6368437794415804</v>
      </c>
      <c r="E1392" s="116">
        <v>6.0898185816108104</v>
      </c>
      <c r="F1392" s="116">
        <v>368.7</v>
      </c>
      <c r="G1392">
        <v>13679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44060</v>
      </c>
      <c r="B1393" s="116">
        <v>5.9868697629359904</v>
      </c>
      <c r="C1393" s="116">
        <v>5.8981753960776704</v>
      </c>
      <c r="D1393" s="116">
        <v>5.7817640395761396</v>
      </c>
      <c r="E1393" s="116">
        <v>5.8601635245669703</v>
      </c>
      <c r="F1393" s="116">
        <v>372.4</v>
      </c>
      <c r="G1393">
        <v>5252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44061</v>
      </c>
      <c r="B1394" s="116">
        <v>6.0652692479268104</v>
      </c>
      <c r="C1394" s="116">
        <v>5.7833478675557499</v>
      </c>
      <c r="D1394" s="116">
        <v>5.7239543183202803</v>
      </c>
      <c r="E1394" s="116">
        <v>6.0652692479268104</v>
      </c>
      <c r="F1394" s="116">
        <v>365.15</v>
      </c>
      <c r="G1394">
        <v>9527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44062</v>
      </c>
      <c r="B1395" s="116">
        <v>6.0502228821204902</v>
      </c>
      <c r="C1395" s="116">
        <v>5.7516713079635</v>
      </c>
      <c r="D1395" s="116">
        <v>5.7263300602897003</v>
      </c>
      <c r="E1395" s="116">
        <v>6.0502228821204902</v>
      </c>
      <c r="F1395" s="116">
        <v>363.15</v>
      </c>
      <c r="G1395">
        <v>7497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44063</v>
      </c>
      <c r="B1396" s="116">
        <v>5.9860778489461799</v>
      </c>
      <c r="C1396" s="116">
        <v>5.7366249421571798</v>
      </c>
      <c r="D1396" s="116">
        <v>5.7176190064018302</v>
      </c>
      <c r="E1396" s="116">
        <v>5.7968104053824598</v>
      </c>
      <c r="F1396" s="116">
        <v>362.2</v>
      </c>
      <c r="G1396">
        <v>7264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44064</v>
      </c>
      <c r="B1397" s="116">
        <v>6.3194736386546504</v>
      </c>
      <c r="C1397" s="116">
        <v>6.19118357230602</v>
      </c>
      <c r="D1397" s="116">
        <v>5.7199947483712501</v>
      </c>
      <c r="E1397" s="116">
        <v>5.8126486851785897</v>
      </c>
      <c r="F1397" s="116">
        <v>390.9</v>
      </c>
      <c r="G1397">
        <v>26813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44067</v>
      </c>
      <c r="B1398" s="116">
        <v>6.3178898106750401</v>
      </c>
      <c r="C1398" s="116">
        <v>5.9551932033437298</v>
      </c>
      <c r="D1398" s="116">
        <v>5.8601635245669703</v>
      </c>
      <c r="E1398" s="116">
        <v>6.2394903256842102</v>
      </c>
      <c r="F1398" s="116">
        <v>376</v>
      </c>
      <c r="G1398">
        <v>8410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44068</v>
      </c>
      <c r="B1399" s="116">
        <v>6.4731049526770796</v>
      </c>
      <c r="C1399" s="116">
        <v>6.1785129484691197</v>
      </c>
      <c r="D1399" s="116">
        <v>5.9884535909155998</v>
      </c>
      <c r="E1399" s="116">
        <v>6.4731049526770796</v>
      </c>
      <c r="F1399" s="116">
        <v>390.1</v>
      </c>
      <c r="G1399">
        <v>14654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44069</v>
      </c>
      <c r="B1400" s="116">
        <v>6.3115544987565899</v>
      </c>
      <c r="C1400" s="116">
        <v>6.0256735484365</v>
      </c>
      <c r="D1400" s="116">
        <v>5.9868697629359904</v>
      </c>
      <c r="E1400" s="116">
        <v>6.22444395987789</v>
      </c>
      <c r="F1400" s="116">
        <v>380.45</v>
      </c>
      <c r="G1400">
        <v>24415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44070</v>
      </c>
      <c r="B1401" s="116">
        <v>6.4145033174314099</v>
      </c>
      <c r="C1401" s="116">
        <v>6.3701561340022597</v>
      </c>
      <c r="D1401" s="116">
        <v>6.0137948385893996</v>
      </c>
      <c r="E1401" s="116">
        <v>6.0137948385893996</v>
      </c>
      <c r="F1401" s="116">
        <v>402.2</v>
      </c>
      <c r="G1401">
        <v>31803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44071</v>
      </c>
      <c r="B1402" s="116">
        <v>7.5849521943651901</v>
      </c>
      <c r="C1402" s="116">
        <v>6.9743865082244998</v>
      </c>
      <c r="D1402" s="116">
        <v>6.5253712760043001</v>
      </c>
      <c r="E1402" s="116">
        <v>6.5253712760043001</v>
      </c>
      <c r="F1402" s="116">
        <v>440.35</v>
      </c>
      <c r="G1402">
        <v>96033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44074</v>
      </c>
      <c r="B1403" s="116">
        <v>7.1272259082571301</v>
      </c>
      <c r="C1403" s="116">
        <v>6.3661965640532303</v>
      </c>
      <c r="D1403" s="116">
        <v>5.7017807266057003</v>
      </c>
      <c r="E1403" s="116">
        <v>7.0401153693784302</v>
      </c>
      <c r="F1403" s="116">
        <v>401.95</v>
      </c>
      <c r="G1403">
        <v>43360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44075</v>
      </c>
      <c r="B1404" s="116">
        <v>6.4921108884324399</v>
      </c>
      <c r="C1404" s="116">
        <v>6.0818994417127499</v>
      </c>
      <c r="D1404" s="116">
        <v>5.9781587090481203</v>
      </c>
      <c r="E1404" s="116">
        <v>6.0375522582835899</v>
      </c>
      <c r="F1404" s="116">
        <v>384</v>
      </c>
      <c r="G1404">
        <v>18288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44076</v>
      </c>
      <c r="B1405" s="116">
        <v>6.5372499858513997</v>
      </c>
      <c r="C1405" s="116">
        <v>6.4659777267688296</v>
      </c>
      <c r="D1405" s="116">
        <v>5.9868697629359904</v>
      </c>
      <c r="E1405" s="116">
        <v>6.0850670976719696</v>
      </c>
      <c r="F1405" s="116">
        <v>408.25</v>
      </c>
      <c r="G1405">
        <v>9166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44077</v>
      </c>
      <c r="B1406" s="116">
        <v>7.0480345092764898</v>
      </c>
      <c r="C1406" s="116">
        <v>6.9419180346424403</v>
      </c>
      <c r="D1406" s="116">
        <v>6.4620181568198003</v>
      </c>
      <c r="E1406" s="116">
        <v>6.4620181568198003</v>
      </c>
      <c r="F1406" s="116">
        <v>438.3</v>
      </c>
      <c r="G1406">
        <v>14683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44078</v>
      </c>
      <c r="B1407" s="116">
        <v>6.9490452605507</v>
      </c>
      <c r="C1407" s="116">
        <v>6.91578487297883</v>
      </c>
      <c r="D1407" s="116">
        <v>6.5443772117596604</v>
      </c>
      <c r="E1407" s="116">
        <v>6.8104603123345901</v>
      </c>
      <c r="F1407" s="116">
        <v>436.65</v>
      </c>
      <c r="G1407">
        <v>10890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44081</v>
      </c>
      <c r="B1408" s="116">
        <v>7.2380938668300203</v>
      </c>
      <c r="C1408" s="116">
        <v>6.8429287859166497</v>
      </c>
      <c r="D1408" s="116">
        <v>6.7312689133539498</v>
      </c>
      <c r="E1408" s="116">
        <v>6.9530048304997303</v>
      </c>
      <c r="F1408" s="116">
        <v>432.05</v>
      </c>
      <c r="G1408">
        <v>9320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44082</v>
      </c>
      <c r="B1409" s="116">
        <v>7.12564208027751</v>
      </c>
      <c r="C1409" s="116">
        <v>6.8215471081918801</v>
      </c>
      <c r="D1409" s="116">
        <v>6.6837540739655701</v>
      </c>
      <c r="E1409" s="116">
        <v>7.12564208027751</v>
      </c>
      <c r="F1409" s="116">
        <v>430.7</v>
      </c>
      <c r="G1409">
        <v>8034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44083</v>
      </c>
      <c r="B1410" s="116">
        <v>6.8880678833356104</v>
      </c>
      <c r="C1410" s="116">
        <v>6.7724484408238803</v>
      </c>
      <c r="D1410" s="116">
        <v>6.3353119184507802</v>
      </c>
      <c r="E1410" s="116">
        <v>6.7312689133539498</v>
      </c>
      <c r="F1410" s="116">
        <v>427.6</v>
      </c>
      <c r="G1410">
        <v>11816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44084</v>
      </c>
      <c r="B1411" s="116">
        <v>7.0480345092764898</v>
      </c>
      <c r="C1411" s="116">
        <v>6.6813783319961502</v>
      </c>
      <c r="D1411" s="116">
        <v>6.5728861153926799</v>
      </c>
      <c r="E1411" s="116">
        <v>6.9838894761021804</v>
      </c>
      <c r="F1411" s="116">
        <v>421.85</v>
      </c>
      <c r="G1411">
        <v>9876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44085</v>
      </c>
      <c r="B1412" s="116">
        <v>6.9197444429278603</v>
      </c>
      <c r="C1412" s="116">
        <v>6.7574020750175601</v>
      </c>
      <c r="D1412" s="116">
        <v>6.7075114936597604</v>
      </c>
      <c r="E1412" s="116">
        <v>6.9197444429278603</v>
      </c>
      <c r="F1412" s="116">
        <v>426.65</v>
      </c>
      <c r="G1412">
        <v>3449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44088</v>
      </c>
      <c r="B1413" s="116">
        <v>7.0163579496842399</v>
      </c>
      <c r="C1413" s="116">
        <v>6.9609239703977899</v>
      </c>
      <c r="D1413" s="116">
        <v>6.5808052552907501</v>
      </c>
      <c r="E1413" s="116">
        <v>6.9688431102958601</v>
      </c>
      <c r="F1413" s="116">
        <v>439.5</v>
      </c>
      <c r="G1413">
        <v>8887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44089</v>
      </c>
      <c r="B1414" s="116">
        <v>7.0480345092764898</v>
      </c>
      <c r="C1414" s="116">
        <v>6.8714376895496798</v>
      </c>
      <c r="D1414" s="116">
        <v>6.8104603123345901</v>
      </c>
      <c r="E1414" s="116">
        <v>7.04486685331727</v>
      </c>
      <c r="F1414" s="116">
        <v>433.85</v>
      </c>
      <c r="G1414">
        <v>5720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44090</v>
      </c>
      <c r="B1415" s="116">
        <v>7.0385315413988199</v>
      </c>
      <c r="C1415" s="116">
        <v>6.8262985921307102</v>
      </c>
      <c r="D1415" s="116">
        <v>6.6687077081592498</v>
      </c>
      <c r="E1415" s="116">
        <v>7.0385315413988199</v>
      </c>
      <c r="F1415" s="116">
        <v>431</v>
      </c>
      <c r="G1415">
        <v>5089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44091</v>
      </c>
      <c r="B1416" s="116">
        <v>6.9371665507036004</v>
      </c>
      <c r="C1416" s="116">
        <v>6.6631643102306102</v>
      </c>
      <c r="D1416" s="116">
        <v>6.5728861153926799</v>
      </c>
      <c r="E1416" s="116">
        <v>6.6995923537616999</v>
      </c>
      <c r="F1416" s="116">
        <v>420.7</v>
      </c>
      <c r="G1416">
        <v>3069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44092</v>
      </c>
      <c r="B1417" s="116">
        <v>6.9688431102958601</v>
      </c>
      <c r="C1417" s="116">
        <v>6.42321437131928</v>
      </c>
      <c r="D1417" s="116">
        <v>6.0977377215088797</v>
      </c>
      <c r="E1417" s="116">
        <v>6.6837540739655701</v>
      </c>
      <c r="F1417" s="116">
        <v>405.55</v>
      </c>
      <c r="G1417">
        <v>73479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44095</v>
      </c>
      <c r="B1418" s="116">
        <v>6.9324150667647704</v>
      </c>
      <c r="C1418" s="116">
        <v>6.5420014697902404</v>
      </c>
      <c r="D1418" s="116">
        <v>6.3511501982469101</v>
      </c>
      <c r="E1418" s="116">
        <v>6.5887243951888097</v>
      </c>
      <c r="F1418" s="116">
        <v>413.05</v>
      </c>
      <c r="G1418">
        <v>24284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44096</v>
      </c>
      <c r="B1419" s="116">
        <v>6.63465540659758</v>
      </c>
      <c r="C1419" s="116">
        <v>6.5285389319635296</v>
      </c>
      <c r="D1419" s="116">
        <v>6.2086056800817602</v>
      </c>
      <c r="E1419" s="116">
        <v>6.3194736386546504</v>
      </c>
      <c r="F1419" s="116">
        <v>412.2</v>
      </c>
      <c r="G1419">
        <v>10221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44097</v>
      </c>
      <c r="B1420" s="116">
        <v>6.7787837527423296</v>
      </c>
      <c r="C1420" s="116">
        <v>6.4311335112173502</v>
      </c>
      <c r="D1420" s="116">
        <v>6.3353119184507802</v>
      </c>
      <c r="E1420" s="116">
        <v>6.5285389319635296</v>
      </c>
      <c r="F1420" s="116">
        <v>406.05</v>
      </c>
      <c r="G1420">
        <v>7299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44098</v>
      </c>
      <c r="B1421" s="116">
        <v>6.4620181568198003</v>
      </c>
      <c r="C1421" s="116">
        <v>6.2624558313885901</v>
      </c>
      <c r="D1421" s="116">
        <v>6.1769291204895103</v>
      </c>
      <c r="E1421" s="116">
        <v>6.1785129484691197</v>
      </c>
      <c r="F1421" s="116">
        <v>395.4</v>
      </c>
      <c r="G1421">
        <v>9972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44099</v>
      </c>
      <c r="B1422" s="116">
        <v>6.4936947164120502</v>
      </c>
      <c r="C1422" s="116">
        <v>6.4802321785853403</v>
      </c>
      <c r="D1422" s="116">
        <v>6.3756995319309002</v>
      </c>
      <c r="E1422" s="116">
        <v>6.3756995319309002</v>
      </c>
      <c r="F1422" s="116">
        <v>409.15</v>
      </c>
      <c r="G1422">
        <v>5910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44102</v>
      </c>
      <c r="B1423" s="116">
        <v>6.7946220325384603</v>
      </c>
      <c r="C1423" s="116">
        <v>6.5237874480246898</v>
      </c>
      <c r="D1423" s="116">
        <v>6.4936947164120502</v>
      </c>
      <c r="E1423" s="116">
        <v>6.6679157941694402</v>
      </c>
      <c r="F1423" s="116">
        <v>411.9</v>
      </c>
      <c r="G1423">
        <v>8494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44103</v>
      </c>
      <c r="B1424" s="116">
        <v>6.7906624625894301</v>
      </c>
      <c r="C1424" s="116">
        <v>6.4873594044936</v>
      </c>
      <c r="D1424" s="116">
        <v>6.3986650376352898</v>
      </c>
      <c r="E1424" s="116">
        <v>6.7906624625894301</v>
      </c>
      <c r="F1424" s="116">
        <v>409.6</v>
      </c>
      <c r="G1424">
        <v>4422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44104</v>
      </c>
      <c r="B1425" s="116">
        <v>6.5404176418106204</v>
      </c>
      <c r="C1425" s="116">
        <v>6.3614450801143896</v>
      </c>
      <c r="D1425" s="116">
        <v>6.2719587992662698</v>
      </c>
      <c r="E1425" s="116">
        <v>6.45409901692173</v>
      </c>
      <c r="F1425" s="116">
        <v>401.65</v>
      </c>
      <c r="G1425">
        <v>7064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44105</v>
      </c>
      <c r="B1426" s="116">
        <v>6.4873594044936</v>
      </c>
      <c r="C1426" s="116">
        <v>6.1547555287749303</v>
      </c>
      <c r="D1426" s="116">
        <v>6.0818994417127499</v>
      </c>
      <c r="E1426" s="116">
        <v>6.4873594044936</v>
      </c>
      <c r="F1426" s="116">
        <v>388.6</v>
      </c>
      <c r="G1426">
        <v>15087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44109</v>
      </c>
      <c r="B1427" s="116">
        <v>6.3186817246648497</v>
      </c>
      <c r="C1427" s="116">
        <v>6.2189005619492503</v>
      </c>
      <c r="D1427" s="116">
        <v>6.10169729145791</v>
      </c>
      <c r="E1427" s="116">
        <v>6.3186817246648497</v>
      </c>
      <c r="F1427" s="116">
        <v>392.65</v>
      </c>
      <c r="G1427">
        <v>6631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44110</v>
      </c>
      <c r="B1428" s="116">
        <v>6.44538796303386</v>
      </c>
      <c r="C1428" s="116">
        <v>6.3226412946138799</v>
      </c>
      <c r="D1428" s="116">
        <v>6.1991027122040903</v>
      </c>
      <c r="E1428" s="116">
        <v>6.3194736386546504</v>
      </c>
      <c r="F1428" s="116">
        <v>399.2</v>
      </c>
      <c r="G1428">
        <v>6204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44111</v>
      </c>
      <c r="B1429" s="116">
        <v>6.4770645226261196</v>
      </c>
      <c r="C1429" s="116">
        <v>6.2632477453783997</v>
      </c>
      <c r="D1429" s="116">
        <v>6.22444395987789</v>
      </c>
      <c r="E1429" s="116">
        <v>6.4770645226261196</v>
      </c>
      <c r="F1429" s="116">
        <v>395.45</v>
      </c>
      <c r="G1429">
        <v>5754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44112</v>
      </c>
      <c r="B1430" s="116">
        <v>6.3194736386546504</v>
      </c>
      <c r="C1430" s="116">
        <v>6.1959350562448599</v>
      </c>
      <c r="D1430" s="116">
        <v>6.1135760013049998</v>
      </c>
      <c r="E1430" s="116">
        <v>6.2569124334599504</v>
      </c>
      <c r="F1430" s="116">
        <v>391.2</v>
      </c>
      <c r="G1430">
        <v>2952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44113</v>
      </c>
      <c r="B1431" s="116">
        <v>6.3194736386546504</v>
      </c>
      <c r="C1431" s="116">
        <v>6.1666342386220299</v>
      </c>
      <c r="D1431" s="116">
        <v>6.0343846023243701</v>
      </c>
      <c r="E1431" s="116">
        <v>6.3194736386546504</v>
      </c>
      <c r="F1431" s="116">
        <v>389.35</v>
      </c>
      <c r="G1431">
        <v>7946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44116</v>
      </c>
      <c r="B1432" s="116">
        <v>6.3115544987565899</v>
      </c>
      <c r="C1432" s="116">
        <v>5.9876616769257902</v>
      </c>
      <c r="D1432" s="116">
        <v>5.9393549235476097</v>
      </c>
      <c r="E1432" s="116">
        <v>6.3115544987565899</v>
      </c>
      <c r="F1432" s="116">
        <v>378.05</v>
      </c>
      <c r="G1432">
        <v>5723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44117</v>
      </c>
      <c r="B1433" s="116">
        <v>6.1769291204895103</v>
      </c>
      <c r="C1433" s="116">
        <v>5.88788051421019</v>
      </c>
      <c r="D1433" s="116">
        <v>5.7983942333620799</v>
      </c>
      <c r="E1433" s="116">
        <v>5.9393549235476097</v>
      </c>
      <c r="F1433" s="116">
        <v>371.75</v>
      </c>
      <c r="G1433">
        <v>10622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44118</v>
      </c>
      <c r="B1434" s="116">
        <v>5.9868697629359904</v>
      </c>
      <c r="C1434" s="116">
        <v>5.7437521680654404</v>
      </c>
      <c r="D1434" s="116">
        <v>5.6463467473192601</v>
      </c>
      <c r="E1434" s="116">
        <v>5.7999780613416902</v>
      </c>
      <c r="F1434" s="116">
        <v>362.65</v>
      </c>
      <c r="G1434">
        <v>4537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44119</v>
      </c>
      <c r="B1435" s="116">
        <v>6.0185463225282403</v>
      </c>
      <c r="C1435" s="116">
        <v>5.7271219742795001</v>
      </c>
      <c r="D1435" s="116">
        <v>5.6225893276250698</v>
      </c>
      <c r="E1435" s="116">
        <v>5.7025726405955099</v>
      </c>
      <c r="F1435" s="116">
        <v>361.6</v>
      </c>
      <c r="G1435">
        <v>5456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44120</v>
      </c>
      <c r="B1436" s="116">
        <v>5.9053026219859301</v>
      </c>
      <c r="C1436" s="116">
        <v>5.8601635245669703</v>
      </c>
      <c r="D1436" s="116">
        <v>5.6732718229726702</v>
      </c>
      <c r="E1436" s="116">
        <v>5.6732718229726702</v>
      </c>
      <c r="F1436" s="116">
        <v>370</v>
      </c>
      <c r="G1436">
        <v>3299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44123</v>
      </c>
      <c r="B1437" s="116">
        <v>6.1610908406933804</v>
      </c>
      <c r="C1437" s="116">
        <v>6.1009053774681004</v>
      </c>
      <c r="D1437" s="116">
        <v>5.5521089825322996</v>
      </c>
      <c r="E1437" s="116">
        <v>5.8918400841592202</v>
      </c>
      <c r="F1437" s="116">
        <v>385.2</v>
      </c>
      <c r="G1437">
        <v>3523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44124</v>
      </c>
      <c r="B1438" s="116">
        <v>6.4137114034416101</v>
      </c>
      <c r="C1438" s="116">
        <v>6.26879114330705</v>
      </c>
      <c r="D1438" s="116">
        <v>6.1009053774681004</v>
      </c>
      <c r="E1438" s="116">
        <v>6.1009053774681004</v>
      </c>
      <c r="F1438" s="116">
        <v>395.8</v>
      </c>
      <c r="G1438">
        <v>9610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44125</v>
      </c>
      <c r="B1439" s="116">
        <v>6.4145033174314099</v>
      </c>
      <c r="C1439" s="116">
        <v>6.1895997443264097</v>
      </c>
      <c r="D1439" s="116">
        <v>5.8284869649747204</v>
      </c>
      <c r="E1439" s="116">
        <v>6.4137114034416101</v>
      </c>
      <c r="F1439" s="116">
        <v>390.8</v>
      </c>
      <c r="G1439">
        <v>13277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44126</v>
      </c>
      <c r="B1440" s="116">
        <v>6.3986650376352898</v>
      </c>
      <c r="C1440" s="116">
        <v>6.2458256376026604</v>
      </c>
      <c r="D1440" s="116">
        <v>6.1975188842244702</v>
      </c>
      <c r="E1440" s="116">
        <v>6.3353119184507802</v>
      </c>
      <c r="F1440" s="116">
        <v>394.35</v>
      </c>
      <c r="G1440">
        <v>8568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44127</v>
      </c>
      <c r="B1441" s="116">
        <v>6.3574855101653602</v>
      </c>
      <c r="C1441" s="116">
        <v>6.0985296354986804</v>
      </c>
      <c r="D1441" s="116">
        <v>6.0193382365180499</v>
      </c>
      <c r="E1441" s="116">
        <v>6.3574855101653602</v>
      </c>
      <c r="F1441" s="116">
        <v>385.05</v>
      </c>
      <c r="G1441">
        <v>2849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44130</v>
      </c>
      <c r="B1442" s="116">
        <v>6.1183274852438396</v>
      </c>
      <c r="C1442" s="116">
        <v>5.8379899328523903</v>
      </c>
      <c r="D1442" s="116">
        <v>5.8126486851785897</v>
      </c>
      <c r="E1442" s="116">
        <v>6.1143679152948103</v>
      </c>
      <c r="F1442" s="116">
        <v>368.6</v>
      </c>
      <c r="G1442">
        <v>5931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44131</v>
      </c>
      <c r="B1443" s="116">
        <v>5.9203489877922504</v>
      </c>
      <c r="C1443" s="116">
        <v>5.8451171587606501</v>
      </c>
      <c r="D1443" s="116">
        <v>5.71841092039163</v>
      </c>
      <c r="E1443" s="116">
        <v>5.8379899328523903</v>
      </c>
      <c r="F1443" s="116">
        <v>369.05</v>
      </c>
      <c r="G1443">
        <v>2513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44132</v>
      </c>
      <c r="B1444" s="116">
        <v>5.9694476551602502</v>
      </c>
      <c r="C1444" s="116">
        <v>5.8245273950256804</v>
      </c>
      <c r="D1444" s="116">
        <v>5.7651338457902099</v>
      </c>
      <c r="E1444" s="116">
        <v>5.9694476551602502</v>
      </c>
      <c r="F1444" s="116">
        <v>367.75</v>
      </c>
      <c r="G1444">
        <v>5769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44133</v>
      </c>
      <c r="B1445" s="116">
        <v>5.8427414167912302</v>
      </c>
      <c r="C1445" s="116">
        <v>5.72237049034067</v>
      </c>
      <c r="D1445" s="116">
        <v>5.6574335431765501</v>
      </c>
      <c r="E1445" s="116">
        <v>5.6574335431765501</v>
      </c>
      <c r="F1445" s="116">
        <v>361.3</v>
      </c>
      <c r="G1445">
        <v>3270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44134</v>
      </c>
      <c r="B1446" s="116">
        <v>5.8443252447708396</v>
      </c>
      <c r="C1446" s="116">
        <v>5.6788152209013196</v>
      </c>
      <c r="D1446" s="116">
        <v>5.6225893276250698</v>
      </c>
      <c r="E1446" s="116">
        <v>5.8443252447708396</v>
      </c>
      <c r="F1446" s="116">
        <v>358.55</v>
      </c>
      <c r="G1446">
        <v>3197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44137</v>
      </c>
      <c r="B1447" s="116">
        <v>5.8569958686077497</v>
      </c>
      <c r="C1447" s="116">
        <v>5.7572147058921503</v>
      </c>
      <c r="D1447" s="116">
        <v>5.6384276074211899</v>
      </c>
      <c r="E1447" s="116">
        <v>5.8569958686077497</v>
      </c>
      <c r="F1447" s="116">
        <v>363.5</v>
      </c>
      <c r="G1447">
        <v>2903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44138</v>
      </c>
      <c r="B1448" s="116">
        <v>5.8435333307810398</v>
      </c>
      <c r="C1448" s="116">
        <v>5.7595904478615596</v>
      </c>
      <c r="D1448" s="116">
        <v>5.7017807266057003</v>
      </c>
      <c r="E1448" s="116">
        <v>5.8284869649747204</v>
      </c>
      <c r="F1448" s="116">
        <v>363.65</v>
      </c>
      <c r="G1448">
        <v>1037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44139</v>
      </c>
      <c r="B1449" s="116">
        <v>5.83640610487278</v>
      </c>
      <c r="C1449" s="116">
        <v>5.6716879949930599</v>
      </c>
      <c r="D1449" s="116">
        <v>5.5521089825322996</v>
      </c>
      <c r="E1449" s="116">
        <v>5.7025726405955099</v>
      </c>
      <c r="F1449" s="116">
        <v>358.1</v>
      </c>
      <c r="G1449">
        <v>2539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44140</v>
      </c>
      <c r="B1450" s="116">
        <v>5.7730529856882704</v>
      </c>
      <c r="C1450" s="116">
        <v>5.6946535006974397</v>
      </c>
      <c r="D1450" s="116">
        <v>5.6257569835842904</v>
      </c>
      <c r="E1450" s="116">
        <v>5.6701041670134504</v>
      </c>
      <c r="F1450" s="116">
        <v>359.55</v>
      </c>
      <c r="G1450">
        <v>3096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44141</v>
      </c>
      <c r="B1451" s="116">
        <v>5.8023538033111102</v>
      </c>
      <c r="C1451" s="116">
        <v>5.6930696727178303</v>
      </c>
      <c r="D1451" s="116">
        <v>5.5608200364201696</v>
      </c>
      <c r="E1451" s="116">
        <v>5.7453359960450499</v>
      </c>
      <c r="F1451" s="116">
        <v>359.45</v>
      </c>
      <c r="G1451">
        <v>5390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44144</v>
      </c>
      <c r="B1452" s="116">
        <v>5.8443252447708396</v>
      </c>
      <c r="C1452" s="116">
        <v>5.7746368136678896</v>
      </c>
      <c r="D1452" s="116">
        <v>5.6701041670134504</v>
      </c>
      <c r="E1452" s="116">
        <v>5.7968104053824598</v>
      </c>
      <c r="F1452" s="116">
        <v>364.6</v>
      </c>
      <c r="G1452">
        <v>11030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44145</v>
      </c>
      <c r="B1453" s="116">
        <v>5.83640610487278</v>
      </c>
      <c r="C1453" s="116">
        <v>5.6613931131255804</v>
      </c>
      <c r="D1453" s="116">
        <v>5.6233812416148696</v>
      </c>
      <c r="E1453" s="116">
        <v>5.7730529856882704</v>
      </c>
      <c r="F1453" s="116">
        <v>357.45</v>
      </c>
      <c r="G1453">
        <v>4248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44146</v>
      </c>
      <c r="B1454" s="116">
        <v>5.8443252447708396</v>
      </c>
      <c r="C1454" s="116">
        <v>5.7508793939736904</v>
      </c>
      <c r="D1454" s="116">
        <v>5.6225893276250698</v>
      </c>
      <c r="E1454" s="116">
        <v>5.6233812416148696</v>
      </c>
      <c r="F1454" s="116">
        <v>363.1</v>
      </c>
      <c r="G1454">
        <v>3854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44147</v>
      </c>
      <c r="B1455" s="116">
        <v>5.7888912654844003</v>
      </c>
      <c r="C1455" s="116">
        <v>5.71128369448338</v>
      </c>
      <c r="D1455" s="116">
        <v>5.59566425197165</v>
      </c>
      <c r="E1455" s="116">
        <v>5.7888912654844003</v>
      </c>
      <c r="F1455" s="116">
        <v>360.6</v>
      </c>
      <c r="G1455">
        <v>2729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44148</v>
      </c>
      <c r="B1456" s="116">
        <v>5.7968104053824598</v>
      </c>
      <c r="C1456" s="116">
        <v>5.7128675224629903</v>
      </c>
      <c r="D1456" s="116">
        <v>5.6233812416148696</v>
      </c>
      <c r="E1456" s="116">
        <v>5.7968104053824598</v>
      </c>
      <c r="F1456" s="116">
        <v>360.7</v>
      </c>
      <c r="G1456">
        <v>3524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44149</v>
      </c>
      <c r="B1457" s="116">
        <v>6.0177544085384298</v>
      </c>
      <c r="C1457" s="116">
        <v>5.82531930901549</v>
      </c>
      <c r="D1457" s="116">
        <v>5.7017807266057003</v>
      </c>
      <c r="E1457" s="116">
        <v>6.0177544085384298</v>
      </c>
      <c r="F1457" s="116">
        <v>367.8</v>
      </c>
      <c r="G1457">
        <v>2886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44152</v>
      </c>
      <c r="B1458" s="116">
        <v>5.8918400841592202</v>
      </c>
      <c r="C1458" s="116">
        <v>5.7492955659940801</v>
      </c>
      <c r="D1458" s="116">
        <v>5.6859424468095696</v>
      </c>
      <c r="E1458" s="116">
        <v>5.7033645545853098</v>
      </c>
      <c r="F1458" s="116">
        <v>363</v>
      </c>
      <c r="G1458">
        <v>4268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44153</v>
      </c>
      <c r="B1459" s="116">
        <v>5.79601849139266</v>
      </c>
      <c r="C1459" s="116">
        <v>5.65584971519693</v>
      </c>
      <c r="D1459" s="116">
        <v>5.5275596488483103</v>
      </c>
      <c r="E1459" s="116">
        <v>5.6701041670134504</v>
      </c>
      <c r="F1459" s="116">
        <v>357.1</v>
      </c>
      <c r="G1459">
        <v>3966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44154</v>
      </c>
      <c r="B1460" s="116">
        <v>5.7492955659940801</v>
      </c>
      <c r="C1460" s="116">
        <v>5.6051672198493296</v>
      </c>
      <c r="D1460" s="116">
        <v>5.54418984263424</v>
      </c>
      <c r="E1460" s="116">
        <v>5.7492955659940801</v>
      </c>
      <c r="F1460" s="116">
        <v>353.9</v>
      </c>
      <c r="G1460">
        <v>2849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44155</v>
      </c>
      <c r="B1461" s="116">
        <v>5.7017807266057003</v>
      </c>
      <c r="C1461" s="116">
        <v>5.5853693701041696</v>
      </c>
      <c r="D1461" s="116">
        <v>5.5449817566240496</v>
      </c>
      <c r="E1461" s="116">
        <v>5.7017807266057003</v>
      </c>
      <c r="F1461" s="116">
        <v>352.65</v>
      </c>
      <c r="G1461">
        <v>3963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44158</v>
      </c>
      <c r="B1462" s="116">
        <v>5.7025726405955099</v>
      </c>
      <c r="C1462" s="116">
        <v>5.6059591338391304</v>
      </c>
      <c r="D1462" s="116">
        <v>5.5766583162163004</v>
      </c>
      <c r="E1462" s="116">
        <v>5.7009888126158899</v>
      </c>
      <c r="F1462" s="116">
        <v>353.95</v>
      </c>
      <c r="G1462">
        <v>5888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44159</v>
      </c>
      <c r="B1463" s="116">
        <v>5.6859424468095696</v>
      </c>
      <c r="C1463" s="116">
        <v>5.60437530585952</v>
      </c>
      <c r="D1463" s="116">
        <v>5.5909127680328101</v>
      </c>
      <c r="E1463" s="116">
        <v>5.6859424468095696</v>
      </c>
      <c r="F1463" s="116">
        <v>353.85</v>
      </c>
      <c r="G1463">
        <v>2466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44160</v>
      </c>
      <c r="B1464" s="116">
        <v>5.6859424468095696</v>
      </c>
      <c r="C1464" s="116">
        <v>5.5774502302061002</v>
      </c>
      <c r="D1464" s="116">
        <v>5.5457736706138503</v>
      </c>
      <c r="E1464" s="116">
        <v>5.5988319079308804</v>
      </c>
      <c r="F1464" s="116">
        <v>352.15</v>
      </c>
      <c r="G1464">
        <v>1502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44161</v>
      </c>
      <c r="B1465" s="116">
        <v>5.6859424468095696</v>
      </c>
      <c r="C1465" s="116">
        <v>5.5774502302061002</v>
      </c>
      <c r="D1465" s="116">
        <v>5.5433979286444304</v>
      </c>
      <c r="E1465" s="116">
        <v>5.6859424468095696</v>
      </c>
      <c r="F1465" s="116">
        <v>352.15</v>
      </c>
      <c r="G1465">
        <v>2611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44162</v>
      </c>
      <c r="B1466" s="116">
        <v>5.6859424468095696</v>
      </c>
      <c r="C1466" s="116">
        <v>5.6653526830746097</v>
      </c>
      <c r="D1466" s="116">
        <v>5.5592362084405602</v>
      </c>
      <c r="E1466" s="116">
        <v>5.6384276074211899</v>
      </c>
      <c r="F1466" s="116">
        <v>357.7</v>
      </c>
      <c r="G1466">
        <v>2895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44166</v>
      </c>
      <c r="B1467" s="116">
        <v>5.6851505328197698</v>
      </c>
      <c r="C1467" s="116">
        <v>5.5647796063691999</v>
      </c>
      <c r="D1467" s="116">
        <v>5.44836824986767</v>
      </c>
      <c r="E1467" s="116">
        <v>5.6225893276250698</v>
      </c>
      <c r="F1467" s="116">
        <v>351.35</v>
      </c>
      <c r="G1467">
        <v>11514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44167</v>
      </c>
      <c r="B1468" s="116">
        <v>5.67802330691151</v>
      </c>
      <c r="C1468" s="116">
        <v>5.6051672198493296</v>
      </c>
      <c r="D1468" s="116">
        <v>5.5481494125832702</v>
      </c>
      <c r="E1468" s="116">
        <v>5.67802330691151</v>
      </c>
      <c r="F1468" s="116">
        <v>353.9</v>
      </c>
      <c r="G1468">
        <v>4845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44168</v>
      </c>
      <c r="B1469" s="116">
        <v>5.7017807266057003</v>
      </c>
      <c r="C1469" s="116">
        <v>5.6796071348911203</v>
      </c>
      <c r="D1469" s="116">
        <v>5.5750744882366901</v>
      </c>
      <c r="E1469" s="116">
        <v>5.6384276074211899</v>
      </c>
      <c r="F1469" s="116">
        <v>358.6</v>
      </c>
      <c r="G1469">
        <v>2827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44169</v>
      </c>
      <c r="B1470" s="116">
        <v>6.0177544085384298</v>
      </c>
      <c r="C1470" s="116">
        <v>5.8506605566892897</v>
      </c>
      <c r="D1470" s="116">
        <v>5.6384276074211899</v>
      </c>
      <c r="E1470" s="116">
        <v>5.7017807266057003</v>
      </c>
      <c r="F1470" s="116">
        <v>369.4</v>
      </c>
      <c r="G1470">
        <v>9572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44172</v>
      </c>
      <c r="B1471" s="116">
        <v>6.0027080427321096</v>
      </c>
      <c r="C1471" s="116">
        <v>5.89896731006748</v>
      </c>
      <c r="D1471" s="116">
        <v>5.7199947483712501</v>
      </c>
      <c r="E1471" s="116">
        <v>6.0027080427321096</v>
      </c>
      <c r="F1471" s="116">
        <v>372.45</v>
      </c>
      <c r="G1471">
        <v>6164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44173</v>
      </c>
      <c r="B1472" s="116">
        <v>6.01696249454863</v>
      </c>
      <c r="C1472" s="116">
        <v>5.7785963836169199</v>
      </c>
      <c r="D1472" s="116">
        <v>5.7469198240246602</v>
      </c>
      <c r="E1472" s="116">
        <v>6.01696249454863</v>
      </c>
      <c r="F1472" s="116">
        <v>364.85</v>
      </c>
      <c r="G1472">
        <v>5561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44174</v>
      </c>
      <c r="B1473" s="116">
        <v>6.0027080427321096</v>
      </c>
      <c r="C1473" s="116">
        <v>5.80314571730091</v>
      </c>
      <c r="D1473" s="116">
        <v>5.72237049034067</v>
      </c>
      <c r="E1473" s="116">
        <v>5.9385630095578001</v>
      </c>
      <c r="F1473" s="116">
        <v>366.4</v>
      </c>
      <c r="G1473">
        <v>8574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44175</v>
      </c>
      <c r="B1474" s="116">
        <v>5.8601635245669703</v>
      </c>
      <c r="C1474" s="116">
        <v>5.7342492001877599</v>
      </c>
      <c r="D1474" s="116">
        <v>5.7017807266057003</v>
      </c>
      <c r="E1474" s="116">
        <v>5.8601635245669703</v>
      </c>
      <c r="F1474" s="116">
        <v>362.05</v>
      </c>
      <c r="G1474">
        <v>4296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44176</v>
      </c>
      <c r="B1475" s="116">
        <v>5.9235166437514799</v>
      </c>
      <c r="C1475" s="116">
        <v>5.6811909628707404</v>
      </c>
      <c r="D1475" s="116">
        <v>5.5750744882366901</v>
      </c>
      <c r="E1475" s="116">
        <v>5.9235166437514799</v>
      </c>
      <c r="F1475" s="116">
        <v>358.7</v>
      </c>
      <c r="G1475">
        <v>3248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44179</v>
      </c>
      <c r="B1476" s="116">
        <v>5.7793882976067197</v>
      </c>
      <c r="C1476" s="116">
        <v>5.6075429618187496</v>
      </c>
      <c r="D1476" s="116">
        <v>5.4958830892560497</v>
      </c>
      <c r="E1476" s="116">
        <v>5.6099187037881704</v>
      </c>
      <c r="F1476" s="116">
        <v>354.05</v>
      </c>
      <c r="G1476">
        <v>5193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44180</v>
      </c>
      <c r="B1477" s="116">
        <v>5.7009888126158899</v>
      </c>
      <c r="C1477" s="116">
        <v>5.6265488975741</v>
      </c>
      <c r="D1477" s="116">
        <v>5.5433979286444304</v>
      </c>
      <c r="E1477" s="116">
        <v>5.5473574985934597</v>
      </c>
      <c r="F1477" s="116">
        <v>355.25</v>
      </c>
      <c r="G1477">
        <v>4961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44181</v>
      </c>
      <c r="B1478" s="116">
        <v>5.7651338457902099</v>
      </c>
      <c r="C1478" s="116">
        <v>5.6012076499003003</v>
      </c>
      <c r="D1478" s="116">
        <v>5.5433979286444304</v>
      </c>
      <c r="E1478" s="116">
        <v>5.7176190064018302</v>
      </c>
      <c r="F1478" s="116">
        <v>353.65</v>
      </c>
      <c r="G1478">
        <v>3527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44182</v>
      </c>
      <c r="B1479" s="116">
        <v>5.7492955659940801</v>
      </c>
      <c r="C1479" s="116">
        <v>5.5457736706138503</v>
      </c>
      <c r="D1479" s="116">
        <v>5.4958830892560497</v>
      </c>
      <c r="E1479" s="116">
        <v>5.7492955659940801</v>
      </c>
      <c r="F1479" s="116">
        <v>350.15</v>
      </c>
      <c r="G1479">
        <v>5403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44183</v>
      </c>
      <c r="B1480" s="116">
        <v>5.6811909628707404</v>
      </c>
      <c r="C1480" s="116">
        <v>5.60675104782894</v>
      </c>
      <c r="D1480" s="116">
        <v>5.4958830892560497</v>
      </c>
      <c r="E1480" s="116">
        <v>5.6225893276250698</v>
      </c>
      <c r="F1480" s="116">
        <v>354</v>
      </c>
      <c r="G1480">
        <v>8419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44186</v>
      </c>
      <c r="B1481" s="116">
        <v>5.7081160385241496</v>
      </c>
      <c r="C1481" s="116">
        <v>5.3327488073559399</v>
      </c>
      <c r="D1481" s="116">
        <v>5.2266323327218904</v>
      </c>
      <c r="E1481" s="116">
        <v>5.5117213690521796</v>
      </c>
      <c r="F1481" s="116">
        <v>336.7</v>
      </c>
      <c r="G1481">
        <v>6714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44187</v>
      </c>
      <c r="B1482" s="116">
        <v>5.5267677348584998</v>
      </c>
      <c r="C1482" s="116">
        <v>5.4919235193070204</v>
      </c>
      <c r="D1482" s="116">
        <v>5.1490247617208702</v>
      </c>
      <c r="E1482" s="116">
        <v>5.1791174933335098</v>
      </c>
      <c r="F1482" s="116">
        <v>346.75</v>
      </c>
      <c r="G1482">
        <v>5605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44188</v>
      </c>
      <c r="B1483" s="116">
        <v>5.6217974136352602</v>
      </c>
      <c r="C1483" s="116">
        <v>5.5156809390012098</v>
      </c>
      <c r="D1483" s="116">
        <v>5.2274242467117</v>
      </c>
      <c r="E1483" s="116">
        <v>5.5433979286444304</v>
      </c>
      <c r="F1483" s="116">
        <v>348.25</v>
      </c>
      <c r="G1483">
        <v>13675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44189</v>
      </c>
      <c r="B1484" s="116">
        <v>5.6225893276250698</v>
      </c>
      <c r="C1484" s="116">
        <v>5.5901208540430103</v>
      </c>
      <c r="D1484" s="116">
        <v>5.4665822716332197</v>
      </c>
      <c r="E1484" s="116">
        <v>5.4665822716332197</v>
      </c>
      <c r="F1484" s="116">
        <v>352.95</v>
      </c>
      <c r="G1484">
        <v>2153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44193</v>
      </c>
      <c r="B1485" s="116">
        <v>5.6305084675231303</v>
      </c>
      <c r="C1485" s="116">
        <v>5.5853693701041696</v>
      </c>
      <c r="D1485" s="116">
        <v>5.48162863743954</v>
      </c>
      <c r="E1485" s="116">
        <v>5.59566425197165</v>
      </c>
      <c r="F1485" s="116">
        <v>352.65</v>
      </c>
      <c r="G1485">
        <v>4168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44194</v>
      </c>
      <c r="B1486" s="116">
        <v>5.6843586188299602</v>
      </c>
      <c r="C1486" s="116">
        <v>5.5592362084405602</v>
      </c>
      <c r="D1486" s="116">
        <v>5.4657903576434101</v>
      </c>
      <c r="E1486" s="116">
        <v>5.6843586188299602</v>
      </c>
      <c r="F1486" s="116">
        <v>351</v>
      </c>
      <c r="G1486">
        <v>3733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44195</v>
      </c>
      <c r="B1487" s="116">
        <v>5.6518901452478998</v>
      </c>
      <c r="C1487" s="116">
        <v>5.5354787887463699</v>
      </c>
      <c r="D1487" s="116">
        <v>5.4649984436535997</v>
      </c>
      <c r="E1487" s="116">
        <v>5.6518901452478998</v>
      </c>
      <c r="F1487" s="116">
        <v>349.5</v>
      </c>
      <c r="G1487">
        <v>8304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44196</v>
      </c>
      <c r="B1488" s="116">
        <v>5.5909127680328101</v>
      </c>
      <c r="C1488" s="116">
        <v>5.4364895400205704</v>
      </c>
      <c r="D1488" s="116">
        <v>5.3897666146220002</v>
      </c>
      <c r="E1488" s="116">
        <v>5.5909127680328101</v>
      </c>
      <c r="F1488" s="116">
        <v>343.25</v>
      </c>
      <c r="G1488">
        <v>5687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44197</v>
      </c>
      <c r="B1489" s="116">
        <v>5.5901208540430103</v>
      </c>
      <c r="C1489" s="116">
        <v>5.4990507452152801</v>
      </c>
      <c r="D1489" s="116">
        <v>5.4642065296637998</v>
      </c>
      <c r="E1489" s="116">
        <v>5.4800448094599199</v>
      </c>
      <c r="F1489" s="116">
        <v>347.2</v>
      </c>
      <c r="G1489">
        <v>8195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44200</v>
      </c>
      <c r="B1490" s="116">
        <v>6.0027080427321096</v>
      </c>
      <c r="C1490" s="116">
        <v>5.9021349660267104</v>
      </c>
      <c r="D1490" s="116">
        <v>5.4657903576434101</v>
      </c>
      <c r="E1490" s="116">
        <v>5.5433979286444304</v>
      </c>
      <c r="F1490" s="116">
        <v>372.65</v>
      </c>
      <c r="G1490">
        <v>23033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44201</v>
      </c>
      <c r="B1491" s="116">
        <v>6.4620181568198003</v>
      </c>
      <c r="C1491" s="116">
        <v>6.3123464127464004</v>
      </c>
      <c r="D1491" s="116">
        <v>5.7057402965547297</v>
      </c>
      <c r="E1491" s="116">
        <v>5.9076783639553501</v>
      </c>
      <c r="F1491" s="116">
        <v>398.55</v>
      </c>
      <c r="G1491">
        <v>21437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44202</v>
      </c>
      <c r="B1492" s="116">
        <v>6.5728861153926799</v>
      </c>
      <c r="C1492" s="116">
        <v>6.2703749712866603</v>
      </c>
      <c r="D1492" s="116">
        <v>6.18009677644873</v>
      </c>
      <c r="E1492" s="116">
        <v>6.4129194894517996</v>
      </c>
      <c r="F1492" s="116">
        <v>395.9</v>
      </c>
      <c r="G1492">
        <v>10377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44203</v>
      </c>
      <c r="B1493" s="116">
        <v>6.5507125236781096</v>
      </c>
      <c r="C1493" s="116">
        <v>6.1088245173661599</v>
      </c>
      <c r="D1493" s="116">
        <v>5.7651338457902099</v>
      </c>
      <c r="E1493" s="116">
        <v>6.1927674002856401</v>
      </c>
      <c r="F1493" s="116">
        <v>385.7</v>
      </c>
      <c r="G1493">
        <v>8008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44204</v>
      </c>
      <c r="B1494" s="116">
        <v>6.3036353588585303</v>
      </c>
      <c r="C1494" s="116">
        <v>6.0977377215088797</v>
      </c>
      <c r="D1494" s="116">
        <v>6.0185463225282403</v>
      </c>
      <c r="E1494" s="116">
        <v>6.3036353588585303</v>
      </c>
      <c r="F1494" s="116">
        <v>385</v>
      </c>
      <c r="G1494">
        <v>4339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44207</v>
      </c>
      <c r="B1495" s="116">
        <v>6.3036353588585303</v>
      </c>
      <c r="C1495" s="116">
        <v>6.1341657650399704</v>
      </c>
      <c r="D1495" s="116">
        <v>5.9021349660267104</v>
      </c>
      <c r="E1495" s="116">
        <v>6.3036353588585303</v>
      </c>
      <c r="F1495" s="116">
        <v>387.3</v>
      </c>
      <c r="G1495">
        <v>7444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44208</v>
      </c>
      <c r="B1496" s="116">
        <v>6.3226412946138799</v>
      </c>
      <c r="C1496" s="116">
        <v>6.2545366914905296</v>
      </c>
      <c r="D1496" s="116">
        <v>5.9646961712214104</v>
      </c>
      <c r="E1496" s="116">
        <v>5.9646961712214104</v>
      </c>
      <c r="F1496" s="116">
        <v>394.9</v>
      </c>
      <c r="G1496">
        <v>9555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44209</v>
      </c>
      <c r="B1497" s="116">
        <v>6.4145033174314099</v>
      </c>
      <c r="C1497" s="116">
        <v>6.3368957464303897</v>
      </c>
      <c r="D1497" s="116">
        <v>6.1816806044283501</v>
      </c>
      <c r="E1497" s="116">
        <v>6.3353119184507802</v>
      </c>
      <c r="F1497" s="116">
        <v>400.1</v>
      </c>
      <c r="G1497">
        <v>6585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44210</v>
      </c>
      <c r="B1498" s="116">
        <v>6.3986650376352898</v>
      </c>
      <c r="C1498" s="116">
        <v>6.2735426272458801</v>
      </c>
      <c r="D1498" s="116">
        <v>6.0977377215088797</v>
      </c>
      <c r="E1498" s="116">
        <v>6.2561205194701399</v>
      </c>
      <c r="F1498" s="116">
        <v>396.1</v>
      </c>
      <c r="G1498">
        <v>6088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44211</v>
      </c>
      <c r="B1499" s="116">
        <v>6.3194736386546504</v>
      </c>
      <c r="C1499" s="116">
        <v>6.2149409920002103</v>
      </c>
      <c r="D1499" s="116">
        <v>6.1769291204895103</v>
      </c>
      <c r="E1499" s="116">
        <v>6.1943512282652504</v>
      </c>
      <c r="F1499" s="116">
        <v>392.4</v>
      </c>
      <c r="G1499">
        <v>4098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44214</v>
      </c>
      <c r="B1500" s="116">
        <v>6.4065841775333503</v>
      </c>
      <c r="C1500" s="116">
        <v>6.0628935059574003</v>
      </c>
      <c r="D1500" s="116">
        <v>5.9868697629359904</v>
      </c>
      <c r="E1500" s="116">
        <v>6.2386984116943998</v>
      </c>
      <c r="F1500" s="116">
        <v>382.8</v>
      </c>
      <c r="G1500">
        <v>3341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44215</v>
      </c>
      <c r="B1501" s="116">
        <v>6.3321442624915498</v>
      </c>
      <c r="C1501" s="116">
        <v>6.2703749712866603</v>
      </c>
      <c r="D1501" s="116">
        <v>6.1143679152948103</v>
      </c>
      <c r="E1501" s="116">
        <v>6.3321442624915498</v>
      </c>
      <c r="F1501" s="116">
        <v>395.9</v>
      </c>
      <c r="G1501">
        <v>5110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44216</v>
      </c>
      <c r="B1502" s="116">
        <v>6.5570478355965598</v>
      </c>
      <c r="C1502" s="116">
        <v>6.4414283930848297</v>
      </c>
      <c r="D1502" s="116">
        <v>6.2759183692153</v>
      </c>
      <c r="E1502" s="116">
        <v>6.38282675783916</v>
      </c>
      <c r="F1502" s="116">
        <v>406.7</v>
      </c>
      <c r="G1502">
        <v>13949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44217</v>
      </c>
      <c r="B1503" s="116">
        <v>6.8579751517229699</v>
      </c>
      <c r="C1503" s="116">
        <v>6.6576209123019598</v>
      </c>
      <c r="D1503" s="116">
        <v>6.50953299620818</v>
      </c>
      <c r="E1503" s="116">
        <v>6.5253712760043001</v>
      </c>
      <c r="F1503" s="116">
        <v>420.35</v>
      </c>
      <c r="G1503">
        <v>28619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44218</v>
      </c>
      <c r="B1504" s="116">
        <v>7.0947574346750697</v>
      </c>
      <c r="C1504" s="116">
        <v>6.8017492584467201</v>
      </c>
      <c r="D1504" s="116">
        <v>6.5736780293824904</v>
      </c>
      <c r="E1504" s="116">
        <v>6.9213282709074804</v>
      </c>
      <c r="F1504" s="116">
        <v>429.45</v>
      </c>
      <c r="G1504">
        <v>32259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44221</v>
      </c>
      <c r="B1505" s="116">
        <v>7.2064173072377598</v>
      </c>
      <c r="C1505" s="116">
        <v>6.8967789372234796</v>
      </c>
      <c r="D1505" s="116">
        <v>6.7946220325384603</v>
      </c>
      <c r="E1505" s="116">
        <v>7.2064173072377598</v>
      </c>
      <c r="F1505" s="116">
        <v>435.45</v>
      </c>
      <c r="G1505">
        <v>30260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44223</v>
      </c>
      <c r="B1506" s="116">
        <v>7.1105957144711898</v>
      </c>
      <c r="C1506" s="116">
        <v>6.8500560118249103</v>
      </c>
      <c r="D1506" s="116">
        <v>6.7787837527423296</v>
      </c>
      <c r="E1506" s="116">
        <v>7.1105957144711898</v>
      </c>
      <c r="F1506" s="116">
        <v>432.5</v>
      </c>
      <c r="G1506">
        <v>10552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44224</v>
      </c>
      <c r="B1507" s="116">
        <v>6.88885979732542</v>
      </c>
      <c r="C1507" s="116">
        <v>6.8072926563753597</v>
      </c>
      <c r="D1507" s="116">
        <v>6.6243605247300996</v>
      </c>
      <c r="E1507" s="116">
        <v>6.6520775143733202</v>
      </c>
      <c r="F1507" s="116">
        <v>429.8</v>
      </c>
      <c r="G1507">
        <v>6963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44225</v>
      </c>
      <c r="B1508" s="116">
        <v>6.9363746367137997</v>
      </c>
      <c r="C1508" s="116">
        <v>6.6520775143733202</v>
      </c>
      <c r="D1508" s="116">
        <v>6.5142844801470101</v>
      </c>
      <c r="E1508" s="116">
        <v>6.7312689133539498</v>
      </c>
      <c r="F1508" s="116">
        <v>420</v>
      </c>
      <c r="G1508">
        <v>9946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44228</v>
      </c>
      <c r="B1509" s="116">
        <v>6.7946220325384603</v>
      </c>
      <c r="C1509" s="116">
        <v>6.7090953216393796</v>
      </c>
      <c r="D1509" s="116">
        <v>6.6742511060879002</v>
      </c>
      <c r="E1509" s="116">
        <v>6.6742511060879002</v>
      </c>
      <c r="F1509" s="116">
        <v>423.6</v>
      </c>
      <c r="G1509">
        <v>5651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44229</v>
      </c>
      <c r="B1510" s="116">
        <v>6.8896517113152198</v>
      </c>
      <c r="C1510" s="116">
        <v>6.7605697309767896</v>
      </c>
      <c r="D1510" s="116">
        <v>6.6837540739655701</v>
      </c>
      <c r="E1510" s="116">
        <v>6.7312689133539498</v>
      </c>
      <c r="F1510" s="116">
        <v>426.85</v>
      </c>
      <c r="G1510">
        <v>6206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44230</v>
      </c>
      <c r="B1511" s="116">
        <v>7.0274447455415299</v>
      </c>
      <c r="C1511" s="116">
        <v>6.7328527413335699</v>
      </c>
      <c r="D1511" s="116">
        <v>6.5427933837800403</v>
      </c>
      <c r="E1511" s="116">
        <v>7.0274447455415299</v>
      </c>
      <c r="F1511" s="116">
        <v>425.1</v>
      </c>
      <c r="G1511">
        <v>10452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44231</v>
      </c>
      <c r="B1512" s="116">
        <v>6.8025411724365199</v>
      </c>
      <c r="C1512" s="116">
        <v>6.6306958366485498</v>
      </c>
      <c r="D1512" s="116">
        <v>6.5728861153926799</v>
      </c>
      <c r="E1512" s="116">
        <v>6.8025411724365199</v>
      </c>
      <c r="F1512" s="116">
        <v>418.65</v>
      </c>
      <c r="G1512">
        <v>5936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44232</v>
      </c>
      <c r="B1513" s="116">
        <v>6.6995923537616999</v>
      </c>
      <c r="C1513" s="116">
        <v>6.3329361764813603</v>
      </c>
      <c r="D1513" s="116">
        <v>6.1135760013049998</v>
      </c>
      <c r="E1513" s="116">
        <v>6.5760537713519103</v>
      </c>
      <c r="F1513" s="116">
        <v>399.85</v>
      </c>
      <c r="G1513">
        <v>8854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44235</v>
      </c>
      <c r="B1514" s="116">
        <v>6.5887243951888097</v>
      </c>
      <c r="C1514" s="116">
        <v>6.2679992293172404</v>
      </c>
      <c r="D1514" s="116">
        <v>6.1983107982142798</v>
      </c>
      <c r="E1514" s="116">
        <v>6.5728861153926799</v>
      </c>
      <c r="F1514" s="116">
        <v>395.75</v>
      </c>
      <c r="G1514">
        <v>5073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44236</v>
      </c>
      <c r="B1515" s="116">
        <v>6.5713022874130704</v>
      </c>
      <c r="C1515" s="116">
        <v>6.2307792717963402</v>
      </c>
      <c r="D1515" s="116">
        <v>6.2086056800817602</v>
      </c>
      <c r="E1515" s="116">
        <v>6.5713022874130704</v>
      </c>
      <c r="F1515" s="116">
        <v>393.4</v>
      </c>
      <c r="G1515">
        <v>5776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44237</v>
      </c>
      <c r="B1516" s="116">
        <v>6.4113356614721901</v>
      </c>
      <c r="C1516" s="116">
        <v>6.1674261526118297</v>
      </c>
      <c r="D1516" s="116">
        <v>6.1135760013049998</v>
      </c>
      <c r="E1516" s="116">
        <v>6.2482013795720803</v>
      </c>
      <c r="F1516" s="116">
        <v>389.4</v>
      </c>
      <c r="G1516">
        <v>3191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44238</v>
      </c>
      <c r="B1517" s="116">
        <v>6.3970812096556697</v>
      </c>
      <c r="C1517" s="116">
        <v>6.05735010802875</v>
      </c>
      <c r="D1517" s="116">
        <v>6.0185463225282403</v>
      </c>
      <c r="E1517" s="116">
        <v>6.3954973816760603</v>
      </c>
      <c r="F1517" s="116">
        <v>382.45</v>
      </c>
      <c r="G1517">
        <v>4790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44239</v>
      </c>
      <c r="B1518" s="116">
        <v>6.3075949288075597</v>
      </c>
      <c r="C1518" s="116">
        <v>6.0890266676210096</v>
      </c>
      <c r="D1518" s="116">
        <v>5.8680826644650299</v>
      </c>
      <c r="E1518" s="116">
        <v>6.05735010802875</v>
      </c>
      <c r="F1518" s="116">
        <v>384.45</v>
      </c>
      <c r="G1518">
        <v>7716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44242</v>
      </c>
      <c r="B1519" s="116">
        <v>6.4936947164120502</v>
      </c>
      <c r="C1519" s="116">
        <v>6.3931216397066404</v>
      </c>
      <c r="D1519" s="116">
        <v>6.1238708831724802</v>
      </c>
      <c r="E1519" s="116">
        <v>6.3337280904711699</v>
      </c>
      <c r="F1519" s="116">
        <v>403.65</v>
      </c>
      <c r="G1519">
        <v>10800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44243</v>
      </c>
      <c r="B1520" s="116">
        <v>6.4936947164120502</v>
      </c>
      <c r="C1520" s="116">
        <v>6.2545366914905296</v>
      </c>
      <c r="D1520" s="116">
        <v>6.1294142811011296</v>
      </c>
      <c r="E1520" s="116">
        <v>6.4936947164120502</v>
      </c>
      <c r="F1520" s="116">
        <v>394.9</v>
      </c>
      <c r="G1520">
        <v>3831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44244</v>
      </c>
      <c r="B1521" s="116">
        <v>6.4921108884324399</v>
      </c>
      <c r="C1521" s="116">
        <v>6.3852024998085799</v>
      </c>
      <c r="D1521" s="116">
        <v>6.1452525608972604</v>
      </c>
      <c r="E1521" s="116">
        <v>6.18009677644873</v>
      </c>
      <c r="F1521" s="116">
        <v>403.15</v>
      </c>
      <c r="G1521">
        <v>13390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44245</v>
      </c>
      <c r="B1522" s="116">
        <v>6.9632997123672098</v>
      </c>
      <c r="C1522" s="116">
        <v>6.7312689133539498</v>
      </c>
      <c r="D1522" s="116">
        <v>6.2569124334599504</v>
      </c>
      <c r="E1522" s="116">
        <v>6.3852024998085799</v>
      </c>
      <c r="F1522" s="116">
        <v>425</v>
      </c>
      <c r="G1522">
        <v>32479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44246</v>
      </c>
      <c r="B1523" s="116">
        <v>6.8690619475802599</v>
      </c>
      <c r="C1523" s="116">
        <v>6.8017492584467201</v>
      </c>
      <c r="D1523" s="116">
        <v>6.5293308459533304</v>
      </c>
      <c r="E1523" s="116">
        <v>6.8690619475802599</v>
      </c>
      <c r="F1523" s="116">
        <v>429.45</v>
      </c>
      <c r="G1523">
        <v>23804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44249</v>
      </c>
      <c r="B1524" s="116">
        <v>6.8896517113152198</v>
      </c>
      <c r="C1524" s="116">
        <v>6.5491286956984904</v>
      </c>
      <c r="D1524" s="116">
        <v>6.5016138563101098</v>
      </c>
      <c r="E1524" s="116">
        <v>6.8017492584467201</v>
      </c>
      <c r="F1524" s="116">
        <v>413.5</v>
      </c>
      <c r="G1524">
        <v>6643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44250</v>
      </c>
      <c r="B1525" s="116">
        <v>6.8722296035394796</v>
      </c>
      <c r="C1525" s="116">
        <v>6.79303820455885</v>
      </c>
      <c r="D1525" s="116">
        <v>6.5016138563101098</v>
      </c>
      <c r="E1525" s="116">
        <v>6.6520775143733202</v>
      </c>
      <c r="F1525" s="116">
        <v>428.9</v>
      </c>
      <c r="G1525">
        <v>4548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44251</v>
      </c>
      <c r="B1526" s="116">
        <v>6.8255066781409104</v>
      </c>
      <c r="C1526" s="116">
        <v>6.6370311485669999</v>
      </c>
      <c r="D1526" s="116">
        <v>6.5728861153926799</v>
      </c>
      <c r="E1526" s="116">
        <v>6.7914543765792397</v>
      </c>
      <c r="F1526" s="116">
        <v>419.05</v>
      </c>
      <c r="G1526">
        <v>3049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44252</v>
      </c>
      <c r="B1527" s="116">
        <v>6.8421368719268401</v>
      </c>
      <c r="C1527" s="116">
        <v>6.6409907185160302</v>
      </c>
      <c r="D1527" s="116">
        <v>6.5895163091786202</v>
      </c>
      <c r="E1527" s="116">
        <v>6.6362392345771903</v>
      </c>
      <c r="F1527" s="116">
        <v>419.3</v>
      </c>
      <c r="G1527">
        <v>6315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44253</v>
      </c>
      <c r="B1528" s="116">
        <v>6.7312689133539498</v>
      </c>
      <c r="C1528" s="116">
        <v>6.3194736386546504</v>
      </c>
      <c r="D1528" s="116">
        <v>6.2679992293172404</v>
      </c>
      <c r="E1528" s="116">
        <v>6.7312689133539498</v>
      </c>
      <c r="F1528" s="116">
        <v>399</v>
      </c>
      <c r="G1528">
        <v>10283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44256</v>
      </c>
      <c r="B1529" s="116">
        <v>6.5253712760043001</v>
      </c>
      <c r="C1529" s="116">
        <v>6.4073760915231599</v>
      </c>
      <c r="D1529" s="116">
        <v>6.3036353588585303</v>
      </c>
      <c r="E1529" s="116">
        <v>6.4929028024222397</v>
      </c>
      <c r="F1529" s="116">
        <v>404.55</v>
      </c>
      <c r="G1529">
        <v>4737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44257</v>
      </c>
      <c r="B1530" s="116">
        <v>6.54120955580043</v>
      </c>
      <c r="C1530" s="116">
        <v>6.3566935961755497</v>
      </c>
      <c r="D1530" s="116">
        <v>6.3036353588585303</v>
      </c>
      <c r="E1530" s="116">
        <v>6.3923297257168397</v>
      </c>
      <c r="F1530" s="116">
        <v>401.35</v>
      </c>
      <c r="G1530">
        <v>5377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44258</v>
      </c>
      <c r="B1531" s="116">
        <v>6.54120955580043</v>
      </c>
      <c r="C1531" s="116">
        <v>6.4145033174314099</v>
      </c>
      <c r="D1531" s="116">
        <v>6.3115544987565899</v>
      </c>
      <c r="E1531" s="116">
        <v>6.3669884780430301</v>
      </c>
      <c r="F1531" s="116">
        <v>405</v>
      </c>
      <c r="G1531">
        <v>9296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44259</v>
      </c>
      <c r="B1532" s="116">
        <v>6.7787837527423296</v>
      </c>
      <c r="C1532" s="116">
        <v>6.4398445651052203</v>
      </c>
      <c r="D1532" s="116">
        <v>6.3749076179411004</v>
      </c>
      <c r="E1532" s="116">
        <v>6.7787837527423296</v>
      </c>
      <c r="F1532" s="116">
        <v>406.6</v>
      </c>
      <c r="G1532">
        <v>10551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44260</v>
      </c>
      <c r="B1533" s="116">
        <v>6.6449502884650604</v>
      </c>
      <c r="C1533" s="116">
        <v>6.3543178542061298</v>
      </c>
      <c r="D1533" s="116">
        <v>6.3353119184507802</v>
      </c>
      <c r="E1533" s="116">
        <v>6.4303415972275397</v>
      </c>
      <c r="F1533" s="116">
        <v>401.2</v>
      </c>
      <c r="G1533">
        <v>8480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44263</v>
      </c>
      <c r="B1534" s="116">
        <v>6.4936947164120502</v>
      </c>
      <c r="C1534" s="116">
        <v>6.3978731236454802</v>
      </c>
      <c r="D1534" s="116">
        <v>6.3511501982469101</v>
      </c>
      <c r="E1534" s="116">
        <v>6.4778564366159204</v>
      </c>
      <c r="F1534" s="116">
        <v>403.95</v>
      </c>
      <c r="G1534">
        <v>3580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44264</v>
      </c>
      <c r="B1535" s="116">
        <v>6.4849836625241801</v>
      </c>
      <c r="C1535" s="116">
        <v>6.41608714541103</v>
      </c>
      <c r="D1535" s="116">
        <v>6.3511501982469101</v>
      </c>
      <c r="E1535" s="116">
        <v>6.3511501982469101</v>
      </c>
      <c r="F1535" s="116">
        <v>405.1</v>
      </c>
      <c r="G1535">
        <v>5022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44265</v>
      </c>
      <c r="B1536" s="116">
        <v>6.4224224573294801</v>
      </c>
      <c r="C1536" s="116">
        <v>6.2592881754293703</v>
      </c>
      <c r="D1536" s="116">
        <v>6.2513690355313098</v>
      </c>
      <c r="E1536" s="116">
        <v>6.4224224573294801</v>
      </c>
      <c r="F1536" s="116">
        <v>395.2</v>
      </c>
      <c r="G1536">
        <v>8740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44267</v>
      </c>
      <c r="B1537" s="116">
        <v>6.4620181568198003</v>
      </c>
      <c r="C1537" s="116">
        <v>6.3646127360736102</v>
      </c>
      <c r="D1537" s="116">
        <v>6.2561205194701399</v>
      </c>
      <c r="E1537" s="116">
        <v>6.2592881754293703</v>
      </c>
      <c r="F1537" s="116">
        <v>401.85</v>
      </c>
      <c r="G1537">
        <v>6373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44270</v>
      </c>
      <c r="B1538" s="116">
        <v>6.4952785443916596</v>
      </c>
      <c r="C1538" s="116">
        <v>6.2965081329502697</v>
      </c>
      <c r="D1538" s="116">
        <v>6.2719587992662698</v>
      </c>
      <c r="E1538" s="116">
        <v>6.41608714541103</v>
      </c>
      <c r="F1538" s="116">
        <v>397.55</v>
      </c>
      <c r="G1538">
        <v>6837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44271</v>
      </c>
      <c r="B1539" s="116">
        <v>6.4461798770236696</v>
      </c>
      <c r="C1539" s="116">
        <v>6.3812429298595497</v>
      </c>
      <c r="D1539" s="116">
        <v>6.3511501982469101</v>
      </c>
      <c r="E1539" s="116">
        <v>6.4097518334925798</v>
      </c>
      <c r="F1539" s="116">
        <v>402.9</v>
      </c>
      <c r="G1539">
        <v>3113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44272</v>
      </c>
      <c r="B1540" s="116">
        <v>6.4137114034416101</v>
      </c>
      <c r="C1540" s="116">
        <v>6.3194736386546504</v>
      </c>
      <c r="D1540" s="116">
        <v>6.26483157335801</v>
      </c>
      <c r="E1540" s="116">
        <v>6.3685723060226502</v>
      </c>
      <c r="F1540" s="116">
        <v>399</v>
      </c>
      <c r="G1540">
        <v>5716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44273</v>
      </c>
      <c r="B1541" s="116">
        <v>6.3353119184507802</v>
      </c>
      <c r="C1541" s="116">
        <v>6.1436687329176403</v>
      </c>
      <c r="D1541" s="116">
        <v>6.0977377215088797</v>
      </c>
      <c r="E1541" s="116">
        <v>6.3353119184507802</v>
      </c>
      <c r="F1541" s="116">
        <v>387.9</v>
      </c>
      <c r="G1541">
        <v>10962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44274</v>
      </c>
      <c r="B1542" s="116">
        <v>6.3353119184507802</v>
      </c>
      <c r="C1542" s="116">
        <v>6.32026555264446</v>
      </c>
      <c r="D1542" s="116">
        <v>5.8601635245669703</v>
      </c>
      <c r="E1542" s="116">
        <v>6.0977377215088797</v>
      </c>
      <c r="F1542" s="116">
        <v>399.05</v>
      </c>
      <c r="G1542">
        <v>4468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44277</v>
      </c>
      <c r="B1543" s="116">
        <v>6.2877970790623996</v>
      </c>
      <c r="C1543" s="116">
        <v>6.1705938085710601</v>
      </c>
      <c r="D1543" s="116">
        <v>6.09932154948849</v>
      </c>
      <c r="E1543" s="116">
        <v>6.2814617671439503</v>
      </c>
      <c r="F1543" s="116">
        <v>389.6</v>
      </c>
      <c r="G1543">
        <v>9672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44278</v>
      </c>
      <c r="B1544" s="116">
        <v>6.2086056800817602</v>
      </c>
      <c r="C1544" s="116">
        <v>6.13970916296861</v>
      </c>
      <c r="D1544" s="116">
        <v>6.06606116191662</v>
      </c>
      <c r="E1544" s="116">
        <v>6.1183274852438396</v>
      </c>
      <c r="F1544" s="116">
        <v>387.65</v>
      </c>
      <c r="G1544">
        <v>2837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44279</v>
      </c>
      <c r="B1545" s="116">
        <v>6.2482013795720803</v>
      </c>
      <c r="C1545" s="116">
        <v>6.0423037422224297</v>
      </c>
      <c r="D1545" s="116">
        <v>5.9409387515272201</v>
      </c>
      <c r="E1545" s="116">
        <v>6.0818994417127499</v>
      </c>
      <c r="F1545" s="116">
        <v>381.5</v>
      </c>
      <c r="G1545">
        <v>5444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44280</v>
      </c>
      <c r="B1546" s="116">
        <v>6.0977377215088797</v>
      </c>
      <c r="C1546" s="116">
        <v>5.7310815442285401</v>
      </c>
      <c r="D1546" s="116">
        <v>5.7104917804935704</v>
      </c>
      <c r="E1546" s="116">
        <v>5.9409387515272201</v>
      </c>
      <c r="F1546" s="116">
        <v>361.85</v>
      </c>
      <c r="G1546">
        <v>9922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44281</v>
      </c>
      <c r="B1547" s="116">
        <v>5.8538282126485202</v>
      </c>
      <c r="C1547" s="116">
        <v>5.7968104053824598</v>
      </c>
      <c r="D1547" s="116">
        <v>5.7374168561469903</v>
      </c>
      <c r="E1547" s="116">
        <v>5.7651338457902099</v>
      </c>
      <c r="F1547" s="116">
        <v>366</v>
      </c>
      <c r="G1547">
        <v>18477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44285</v>
      </c>
      <c r="B1548" s="116">
        <v>6.2545366914905296</v>
      </c>
      <c r="C1548" s="116">
        <v>6.04784714015108</v>
      </c>
      <c r="D1548" s="116">
        <v>5.8942158261286401</v>
      </c>
      <c r="E1548" s="116">
        <v>6.0708126458554599</v>
      </c>
      <c r="F1548" s="116">
        <v>381.85</v>
      </c>
      <c r="G1548">
        <v>11185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44286</v>
      </c>
      <c r="B1549" s="116">
        <v>6.2054380241225404</v>
      </c>
      <c r="C1549" s="116">
        <v>5.9916212468748196</v>
      </c>
      <c r="D1549" s="116">
        <v>5.9551932033437298</v>
      </c>
      <c r="E1549" s="116">
        <v>6.0486390541408799</v>
      </c>
      <c r="F1549" s="116">
        <v>378.3</v>
      </c>
      <c r="G1549">
        <v>4861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44287</v>
      </c>
      <c r="B1550" s="116">
        <v>6.2561205194701399</v>
      </c>
      <c r="C1550" s="116">
        <v>6.2236520458880804</v>
      </c>
      <c r="D1550" s="116">
        <v>5.9393549235476097</v>
      </c>
      <c r="E1550" s="116">
        <v>5.9393549235476097</v>
      </c>
      <c r="F1550" s="116">
        <v>392.95</v>
      </c>
      <c r="G1550">
        <v>3867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44291</v>
      </c>
      <c r="B1551" s="116">
        <v>6.2877970790623996</v>
      </c>
      <c r="C1551" s="116">
        <v>5.9678638271806301</v>
      </c>
      <c r="D1551" s="116">
        <v>5.8760018043631002</v>
      </c>
      <c r="E1551" s="116">
        <v>6.2561205194701399</v>
      </c>
      <c r="F1551" s="116">
        <v>376.8</v>
      </c>
      <c r="G1551">
        <v>7971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44292</v>
      </c>
      <c r="B1552" s="116">
        <v>6.2553286054803401</v>
      </c>
      <c r="C1552" s="116">
        <v>6.05497436605933</v>
      </c>
      <c r="D1552" s="116">
        <v>5.9583608593029602</v>
      </c>
      <c r="E1552" s="116">
        <v>6.0818994417127499</v>
      </c>
      <c r="F1552" s="116">
        <v>382.3</v>
      </c>
      <c r="G1552">
        <v>4118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44293</v>
      </c>
      <c r="B1553" s="116">
        <v>6.2553286054803401</v>
      </c>
      <c r="C1553" s="116">
        <v>6.0977377215088797</v>
      </c>
      <c r="D1553" s="116">
        <v>6.06606116191662</v>
      </c>
      <c r="E1553" s="116">
        <v>6.0977377215088797</v>
      </c>
      <c r="F1553" s="116">
        <v>385</v>
      </c>
      <c r="G1553">
        <v>1566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44294</v>
      </c>
      <c r="B1554" s="116">
        <v>6.3353119184507802</v>
      </c>
      <c r="C1554" s="116">
        <v>6.2941323909808498</v>
      </c>
      <c r="D1554" s="116">
        <v>6.0375522582835899</v>
      </c>
      <c r="E1554" s="116">
        <v>6.1024892054477098</v>
      </c>
      <c r="F1554" s="116">
        <v>397.4</v>
      </c>
      <c r="G1554">
        <v>6983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44295</v>
      </c>
      <c r="B1555" s="116">
        <v>6.4461798770236696</v>
      </c>
      <c r="C1555" s="116">
        <v>6.3479825422876797</v>
      </c>
      <c r="D1555" s="116">
        <v>6.1864320883671899</v>
      </c>
      <c r="E1555" s="116">
        <v>6.1864320883671899</v>
      </c>
      <c r="F1555" s="116">
        <v>400.8</v>
      </c>
      <c r="G1555">
        <v>4789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44298</v>
      </c>
      <c r="B1556" s="116">
        <v>6.4936947164120502</v>
      </c>
      <c r="C1556" s="116">
        <v>6.00587569869134</v>
      </c>
      <c r="D1556" s="116">
        <v>5.8918400841592202</v>
      </c>
      <c r="E1556" s="116">
        <v>6.3685723060226502</v>
      </c>
      <c r="F1556" s="116">
        <v>379.2</v>
      </c>
      <c r="G1556">
        <v>10244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44299</v>
      </c>
      <c r="B1557" s="116">
        <v>6.2561205194701399</v>
      </c>
      <c r="C1557" s="116">
        <v>6.1563393567545397</v>
      </c>
      <c r="D1557" s="116">
        <v>5.9868697629359904</v>
      </c>
      <c r="E1557" s="116">
        <v>6.1135760013049998</v>
      </c>
      <c r="F1557" s="116">
        <v>388.7</v>
      </c>
      <c r="G1557">
        <v>3388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44301</v>
      </c>
      <c r="B1558" s="116">
        <v>6.1769291204895103</v>
      </c>
      <c r="C1558" s="116">
        <v>6.1349576790297702</v>
      </c>
      <c r="D1558" s="116">
        <v>5.9876616769257902</v>
      </c>
      <c r="E1558" s="116">
        <v>6.0502228821204902</v>
      </c>
      <c r="F1558" s="116">
        <v>387.35</v>
      </c>
      <c r="G1558">
        <v>2536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44302</v>
      </c>
      <c r="B1559" s="116">
        <v>6.6204009547810596</v>
      </c>
      <c r="C1559" s="116">
        <v>6.50953299620818</v>
      </c>
      <c r="D1559" s="116">
        <v>6.0502228821204902</v>
      </c>
      <c r="E1559" s="116">
        <v>6.0502228821204902</v>
      </c>
      <c r="F1559" s="116">
        <v>411</v>
      </c>
      <c r="G1559">
        <v>10768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44305</v>
      </c>
      <c r="B1560" s="116">
        <v>6.7296850853743404</v>
      </c>
      <c r="C1560" s="116">
        <v>6.6259443527097099</v>
      </c>
      <c r="D1560" s="116">
        <v>6.3511501982469101</v>
      </c>
      <c r="E1560" s="116">
        <v>6.5206197920654603</v>
      </c>
      <c r="F1560" s="116">
        <v>418.35</v>
      </c>
      <c r="G1560">
        <v>19999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44306</v>
      </c>
      <c r="B1561" s="116">
        <v>7.00051966988811</v>
      </c>
      <c r="C1561" s="116">
        <v>6.8247147641510999</v>
      </c>
      <c r="D1561" s="116">
        <v>6.6544532563427401</v>
      </c>
      <c r="E1561" s="116">
        <v>6.7312689133539498</v>
      </c>
      <c r="F1561" s="116">
        <v>430.9</v>
      </c>
      <c r="G1561">
        <v>14094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44308</v>
      </c>
      <c r="B1562" s="116">
        <v>7.0955493486648704</v>
      </c>
      <c r="C1562" s="116">
        <v>7.0250690035721099</v>
      </c>
      <c r="D1562" s="116">
        <v>6.7510667630991099</v>
      </c>
      <c r="E1562" s="116">
        <v>6.7510667630991099</v>
      </c>
      <c r="F1562" s="116">
        <v>443.55</v>
      </c>
      <c r="G1562">
        <v>9085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44309</v>
      </c>
      <c r="B1563" s="116">
        <v>7.2848167922285896</v>
      </c>
      <c r="C1563" s="116">
        <v>7.0496183372561001</v>
      </c>
      <c r="D1563" s="116">
        <v>6.8896517113152198</v>
      </c>
      <c r="E1563" s="116">
        <v>7.15890246784938</v>
      </c>
      <c r="F1563" s="116">
        <v>445.1</v>
      </c>
      <c r="G1563">
        <v>14257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44312</v>
      </c>
      <c r="B1564" s="116">
        <v>7.4091472886281897</v>
      </c>
      <c r="C1564" s="116">
        <v>6.9593401424181804</v>
      </c>
      <c r="D1564" s="116">
        <v>6.8508479258147101</v>
      </c>
      <c r="E1564" s="116">
        <v>7.1430641880532502</v>
      </c>
      <c r="F1564" s="116">
        <v>439.4</v>
      </c>
      <c r="G1564">
        <v>32421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44313</v>
      </c>
      <c r="B1565" s="116">
        <v>7.1905790274416299</v>
      </c>
      <c r="C1565" s="116">
        <v>6.9395422926730204</v>
      </c>
      <c r="D1565" s="116">
        <v>6.8421368719268401</v>
      </c>
      <c r="E1565" s="116">
        <v>7.00051966988811</v>
      </c>
      <c r="F1565" s="116">
        <v>438.15</v>
      </c>
      <c r="G1565">
        <v>19399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44314</v>
      </c>
      <c r="B1566" s="116">
        <v>7.1272259082571301</v>
      </c>
      <c r="C1566" s="116">
        <v>6.8896517113152198</v>
      </c>
      <c r="D1566" s="116">
        <v>6.8595589797025802</v>
      </c>
      <c r="E1566" s="116">
        <v>7.0480345092764898</v>
      </c>
      <c r="F1566" s="116">
        <v>435</v>
      </c>
      <c r="G1566">
        <v>18212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44315</v>
      </c>
      <c r="B1567" s="116">
        <v>7.1272259082571301</v>
      </c>
      <c r="C1567" s="116">
        <v>6.8714376895496798</v>
      </c>
      <c r="D1567" s="116">
        <v>6.8278824201103303</v>
      </c>
      <c r="E1567" s="116">
        <v>7.0480345092764898</v>
      </c>
      <c r="F1567" s="116">
        <v>433.85</v>
      </c>
      <c r="G1567">
        <v>11187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44316</v>
      </c>
      <c r="B1568" s="116">
        <v>7.0401153693784302</v>
      </c>
      <c r="C1568" s="116">
        <v>6.8563913237433596</v>
      </c>
      <c r="D1568" s="116">
        <v>6.8262985921307102</v>
      </c>
      <c r="E1568" s="116">
        <v>6.8714376895496798</v>
      </c>
      <c r="F1568" s="116">
        <v>432.9</v>
      </c>
      <c r="G1568">
        <v>7430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44319</v>
      </c>
      <c r="B1569" s="116">
        <v>7.0139822077148199</v>
      </c>
      <c r="C1569" s="116">
        <v>6.79303820455885</v>
      </c>
      <c r="D1569" s="116">
        <v>6.7328527413335699</v>
      </c>
      <c r="E1569" s="116">
        <v>6.74869102112969</v>
      </c>
      <c r="F1569" s="116">
        <v>428.9</v>
      </c>
      <c r="G1569">
        <v>11834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44320</v>
      </c>
      <c r="B1570" s="116">
        <v>6.9054899911113496</v>
      </c>
      <c r="C1570" s="116">
        <v>6.6782106760369304</v>
      </c>
      <c r="D1570" s="116">
        <v>6.5427933837800403</v>
      </c>
      <c r="E1570" s="116">
        <v>6.8421368719268401</v>
      </c>
      <c r="F1570" s="116">
        <v>421.65</v>
      </c>
      <c r="G1570">
        <v>8245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44321</v>
      </c>
      <c r="B1571" s="116">
        <v>6.8421368719268401</v>
      </c>
      <c r="C1571" s="116">
        <v>6.6655400522000301</v>
      </c>
      <c r="D1571" s="116">
        <v>6.5768456853417199</v>
      </c>
      <c r="E1571" s="116">
        <v>6.8421368719268401</v>
      </c>
      <c r="F1571" s="116">
        <v>420.85</v>
      </c>
      <c r="G1571">
        <v>7796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44322</v>
      </c>
      <c r="B1572" s="116">
        <v>6.7938301185486498</v>
      </c>
      <c r="C1572" s="116">
        <v>6.6465341164446698</v>
      </c>
      <c r="D1572" s="116">
        <v>6.5427933837800403</v>
      </c>
      <c r="E1572" s="116">
        <v>6.6552451703325399</v>
      </c>
      <c r="F1572" s="116">
        <v>419.65</v>
      </c>
      <c r="G1572">
        <v>9335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44323</v>
      </c>
      <c r="B1573" s="116">
        <v>6.8080845703651702</v>
      </c>
      <c r="C1573" s="116">
        <v>6.6679157941694402</v>
      </c>
      <c r="D1573" s="116">
        <v>6.4936947164120502</v>
      </c>
      <c r="E1573" s="116">
        <v>6.7605697309767896</v>
      </c>
      <c r="F1573" s="116">
        <v>421</v>
      </c>
      <c r="G1573">
        <v>15707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44326</v>
      </c>
      <c r="B1574" s="116">
        <v>7.1113876284610003</v>
      </c>
      <c r="C1574" s="116">
        <v>7.0741676709401</v>
      </c>
      <c r="D1574" s="116">
        <v>6.8088764843549701</v>
      </c>
      <c r="E1574" s="116">
        <v>6.8088764843549701</v>
      </c>
      <c r="F1574" s="116">
        <v>446.65</v>
      </c>
      <c r="G1574">
        <v>19963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44327</v>
      </c>
      <c r="B1575" s="116">
        <v>7.0131902937250103</v>
      </c>
      <c r="C1575" s="116">
        <v>6.8516398398045197</v>
      </c>
      <c r="D1575" s="116">
        <v>6.7803675807219497</v>
      </c>
      <c r="E1575" s="116">
        <v>7.0131902937250103</v>
      </c>
      <c r="F1575" s="116">
        <v>432.6</v>
      </c>
      <c r="G1575">
        <v>8822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44328</v>
      </c>
      <c r="B1576" s="116">
        <v>7.0163579496842399</v>
      </c>
      <c r="C1576" s="116">
        <v>6.9039061631317402</v>
      </c>
      <c r="D1576" s="116">
        <v>6.8532236677841301</v>
      </c>
      <c r="E1576" s="116">
        <v>7.0163579496842399</v>
      </c>
      <c r="F1576" s="116">
        <v>435.9</v>
      </c>
      <c r="G1576">
        <v>6175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44330</v>
      </c>
      <c r="B1577" s="116">
        <v>7.0131902937250103</v>
      </c>
      <c r="C1577" s="116">
        <v>6.7732403548136899</v>
      </c>
      <c r="D1577" s="116">
        <v>6.6520775143733202</v>
      </c>
      <c r="E1577" s="116">
        <v>6.9775541641837302</v>
      </c>
      <c r="F1577" s="116">
        <v>427.65</v>
      </c>
      <c r="G1577">
        <v>7524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44333</v>
      </c>
      <c r="B1578" s="116">
        <v>7.7615490140920098</v>
      </c>
      <c r="C1578" s="116">
        <v>7.6863171850604104</v>
      </c>
      <c r="D1578" s="116">
        <v>6.8104603123345901</v>
      </c>
      <c r="E1578" s="116">
        <v>6.8104603123345901</v>
      </c>
      <c r="F1578" s="116">
        <v>485.3</v>
      </c>
      <c r="G1578">
        <v>71409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44334</v>
      </c>
      <c r="B1579" s="116">
        <v>8.0759388680451298</v>
      </c>
      <c r="C1579" s="116">
        <v>7.8716250586750904</v>
      </c>
      <c r="D1579" s="116">
        <v>7.7140341747036301</v>
      </c>
      <c r="E1579" s="116">
        <v>7.7607571001022002</v>
      </c>
      <c r="F1579" s="116">
        <v>497</v>
      </c>
      <c r="G1579">
        <v>35062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44335</v>
      </c>
      <c r="B1580" s="116">
        <v>8.6928398661042792</v>
      </c>
      <c r="C1580" s="116">
        <v>8.5843476495008098</v>
      </c>
      <c r="D1580" s="116">
        <v>7.7615490140920098</v>
      </c>
      <c r="E1580" s="116">
        <v>7.7615490140920098</v>
      </c>
      <c r="F1580" s="116">
        <v>542</v>
      </c>
      <c r="G1580">
        <v>32915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44336</v>
      </c>
      <c r="B1581" s="116">
        <v>8.9834723003632106</v>
      </c>
      <c r="C1581" s="116">
        <v>8.3356866567016095</v>
      </c>
      <c r="D1581" s="116">
        <v>8.2366974079758197</v>
      </c>
      <c r="E1581" s="116">
        <v>8.5922667893988702</v>
      </c>
      <c r="F1581" s="116">
        <v>526.29999999999995</v>
      </c>
      <c r="G1581">
        <v>19053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44337</v>
      </c>
      <c r="B1582" s="116">
        <v>8.6952156080736902</v>
      </c>
      <c r="C1582" s="116">
        <v>8.5146592183978491</v>
      </c>
      <c r="D1582" s="116">
        <v>8.3467734525588995</v>
      </c>
      <c r="E1582" s="116">
        <v>8.3467734525588995</v>
      </c>
      <c r="F1582" s="116">
        <v>537.6</v>
      </c>
      <c r="G1582">
        <v>18752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44340</v>
      </c>
      <c r="B1583" s="116">
        <v>8.86943668583109</v>
      </c>
      <c r="C1583" s="116">
        <v>8.6556199085833807</v>
      </c>
      <c r="D1583" s="116">
        <v>8.5685093697046799</v>
      </c>
      <c r="E1583" s="116">
        <v>8.71105388786982</v>
      </c>
      <c r="F1583" s="116">
        <v>546.5</v>
      </c>
      <c r="G1583">
        <v>8749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44341</v>
      </c>
      <c r="B1584" s="116">
        <v>8.71105388786982</v>
      </c>
      <c r="C1584" s="116">
        <v>8.5851395634906105</v>
      </c>
      <c r="D1584" s="116">
        <v>8.4132942277026395</v>
      </c>
      <c r="E1584" s="116">
        <v>8.6793773282775692</v>
      </c>
      <c r="F1584" s="116">
        <v>542.04999999999995</v>
      </c>
      <c r="G1584">
        <v>8984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44342</v>
      </c>
      <c r="B1585" s="116">
        <v>8.7728231790747202</v>
      </c>
      <c r="C1585" s="116">
        <v>8.74669001741111</v>
      </c>
      <c r="D1585" s="116">
        <v>8.4307163354783707</v>
      </c>
      <c r="E1585" s="116">
        <v>8.6793773282775692</v>
      </c>
      <c r="F1585" s="116">
        <v>552.25</v>
      </c>
      <c r="G1585">
        <v>7900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44343</v>
      </c>
      <c r="B1586" s="116">
        <v>8.8488469220961292</v>
      </c>
      <c r="C1586" s="116">
        <v>8.3578602484161895</v>
      </c>
      <c r="D1586" s="116">
        <v>8.1638413209136402</v>
      </c>
      <c r="E1586" s="116">
        <v>8.8488469220961292</v>
      </c>
      <c r="F1586" s="116">
        <v>527.70000000000005</v>
      </c>
      <c r="G1586">
        <v>8396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44344</v>
      </c>
      <c r="B1587" s="116">
        <v>8.5368328101124291</v>
      </c>
      <c r="C1587" s="116">
        <v>8.1511706970767293</v>
      </c>
      <c r="D1587" s="116">
        <v>7.9983312970441096</v>
      </c>
      <c r="E1587" s="116">
        <v>8.2366974079758197</v>
      </c>
      <c r="F1587" s="116">
        <v>514.65</v>
      </c>
      <c r="G1587">
        <v>14268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44347</v>
      </c>
      <c r="B1588" s="116">
        <v>8.6635390484814394</v>
      </c>
      <c r="C1588" s="116">
        <v>8.2612467416598196</v>
      </c>
      <c r="D1588" s="116">
        <v>7.9191398980634702</v>
      </c>
      <c r="E1588" s="116">
        <v>7.9508164576557299</v>
      </c>
      <c r="F1588" s="116">
        <v>521.6</v>
      </c>
      <c r="G1588">
        <v>7370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44348</v>
      </c>
      <c r="B1589" s="116">
        <v>8.4576414111317906</v>
      </c>
      <c r="C1589" s="116">
        <v>8.1258294494029304</v>
      </c>
      <c r="D1589" s="116">
        <v>7.9223075540226997</v>
      </c>
      <c r="E1589" s="116">
        <v>8.3942882919472801</v>
      </c>
      <c r="F1589" s="116">
        <v>513.04999999999995</v>
      </c>
      <c r="G1589">
        <v>6347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44349</v>
      </c>
      <c r="B1590" s="116">
        <v>8.1875987406078305</v>
      </c>
      <c r="C1590" s="116">
        <v>8.0331755125955908</v>
      </c>
      <c r="D1590" s="116">
        <v>7.9357700918494096</v>
      </c>
      <c r="E1590" s="116">
        <v>8.1408758152092506</v>
      </c>
      <c r="F1590" s="116">
        <v>507.2</v>
      </c>
      <c r="G1590">
        <v>5954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44350</v>
      </c>
      <c r="B1591" s="116">
        <v>8.3467734525588995</v>
      </c>
      <c r="C1591" s="116">
        <v>8.3111373230176202</v>
      </c>
      <c r="D1591" s="116">
        <v>8.1567140950053805</v>
      </c>
      <c r="E1591" s="116">
        <v>8.1883906545976295</v>
      </c>
      <c r="F1591" s="116">
        <v>524.75</v>
      </c>
      <c r="G1591">
        <v>4904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44351</v>
      </c>
      <c r="B1592" s="116">
        <v>8.9169515252194707</v>
      </c>
      <c r="C1592" s="116">
        <v>8.8599337179534103</v>
      </c>
      <c r="D1592" s="116">
        <v>8.4734796909279204</v>
      </c>
      <c r="E1592" s="116">
        <v>8.6746258443387294</v>
      </c>
      <c r="F1592" s="116">
        <v>559.4</v>
      </c>
      <c r="G1592">
        <v>22657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44354</v>
      </c>
      <c r="B1593" s="116">
        <v>9.3430012517352896</v>
      </c>
      <c r="C1593" s="116">
        <v>8.9446685148626894</v>
      </c>
      <c r="D1593" s="116">
        <v>8.8599337179534103</v>
      </c>
      <c r="E1593" s="116">
        <v>8.9803046444039794</v>
      </c>
      <c r="F1593" s="116">
        <v>564.75</v>
      </c>
      <c r="G1593">
        <v>15719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44355</v>
      </c>
      <c r="B1594" s="116">
        <v>9.1703640019575001</v>
      </c>
      <c r="C1594" s="116">
        <v>8.5352489821328099</v>
      </c>
      <c r="D1594" s="116">
        <v>8.4766473468871393</v>
      </c>
      <c r="E1594" s="116">
        <v>9.02781948379236</v>
      </c>
      <c r="F1594" s="116">
        <v>538.9</v>
      </c>
      <c r="G1594">
        <v>19394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44356</v>
      </c>
      <c r="B1595" s="116">
        <v>8.8060835666465795</v>
      </c>
      <c r="C1595" s="116">
        <v>8.3665713023040595</v>
      </c>
      <c r="D1595" s="116">
        <v>8.25174377378214</v>
      </c>
      <c r="E1595" s="116">
        <v>8.8060835666465795</v>
      </c>
      <c r="F1595" s="116">
        <v>528.25</v>
      </c>
      <c r="G1595">
        <v>12055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44357</v>
      </c>
      <c r="B1596" s="116">
        <v>8.7522334153397505</v>
      </c>
      <c r="C1596" s="116">
        <v>8.6674986184304696</v>
      </c>
      <c r="D1596" s="116">
        <v>8.3166807209462608</v>
      </c>
      <c r="E1596" s="116">
        <v>8.4734796909279204</v>
      </c>
      <c r="F1596" s="116">
        <v>547.25</v>
      </c>
      <c r="G1596">
        <v>9553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44358</v>
      </c>
      <c r="B1597" s="116">
        <v>8.8575579759839993</v>
      </c>
      <c r="C1597" s="116">
        <v>8.7458981034213004</v>
      </c>
      <c r="D1597" s="116">
        <v>8.4932775406730805</v>
      </c>
      <c r="E1597" s="116">
        <v>8.7902452868504604</v>
      </c>
      <c r="F1597" s="116">
        <v>552.20000000000005</v>
      </c>
      <c r="G1597">
        <v>11482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44361</v>
      </c>
      <c r="B1598" s="116">
        <v>8.7458981034213004</v>
      </c>
      <c r="C1598" s="116">
        <v>8.7126377158494304</v>
      </c>
      <c r="D1598" s="116">
        <v>8.3958721199268993</v>
      </c>
      <c r="E1598" s="116">
        <v>8.7458981034213004</v>
      </c>
      <c r="F1598" s="116">
        <v>550.1</v>
      </c>
      <c r="G1598">
        <v>6914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44362</v>
      </c>
      <c r="B1599" s="116">
        <v>8.7268921676659499</v>
      </c>
      <c r="C1599" s="116">
        <v>8.7102619738800193</v>
      </c>
      <c r="D1599" s="116">
        <v>8.5724689396537102</v>
      </c>
      <c r="E1599" s="116">
        <v>8.7268921676659499</v>
      </c>
      <c r="F1599" s="116">
        <v>549.95000000000005</v>
      </c>
      <c r="G1599">
        <v>18080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44363</v>
      </c>
      <c r="B1600" s="116">
        <v>8.71105388786982</v>
      </c>
      <c r="C1600" s="116">
        <v>8.58830721944984</v>
      </c>
      <c r="D1600" s="116">
        <v>8.5225783582959096</v>
      </c>
      <c r="E1600" s="116">
        <v>8.7094700598902097</v>
      </c>
      <c r="F1600" s="116">
        <v>542.25</v>
      </c>
      <c r="G1600">
        <v>12506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44364</v>
      </c>
      <c r="B1601" s="116">
        <v>8.71105388786982</v>
      </c>
      <c r="C1601" s="116">
        <v>8.5708851116740998</v>
      </c>
      <c r="D1601" s="116">
        <v>8.5526710899085501</v>
      </c>
      <c r="E1601" s="116">
        <v>8.5526710899085501</v>
      </c>
      <c r="F1601" s="116">
        <v>541.15</v>
      </c>
      <c r="G1601">
        <v>5190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44365</v>
      </c>
      <c r="B1602" s="116">
        <v>8.6635390484814394</v>
      </c>
      <c r="C1602" s="116">
        <v>8.2857960753438107</v>
      </c>
      <c r="D1602" s="116">
        <v>8.0062504369421692</v>
      </c>
      <c r="E1602" s="116">
        <v>8.5526710899085501</v>
      </c>
      <c r="F1602" s="116">
        <v>523.15</v>
      </c>
      <c r="G1602">
        <v>13208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44368</v>
      </c>
      <c r="B1603" s="116">
        <v>8.5368328101124291</v>
      </c>
      <c r="C1603" s="116">
        <v>8.40775082977399</v>
      </c>
      <c r="D1603" s="116">
        <v>8.0830660939533896</v>
      </c>
      <c r="E1603" s="116">
        <v>8.2366974079758197</v>
      </c>
      <c r="F1603" s="116">
        <v>530.85</v>
      </c>
      <c r="G1603">
        <v>7417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44369</v>
      </c>
      <c r="B1604" s="116">
        <v>8.6952156080736902</v>
      </c>
      <c r="C1604" s="116">
        <v>8.5075319924895894</v>
      </c>
      <c r="D1604" s="116">
        <v>8.2675820535782698</v>
      </c>
      <c r="E1604" s="116">
        <v>8.2675820535782698</v>
      </c>
      <c r="F1604" s="116">
        <v>537.15</v>
      </c>
      <c r="G1604">
        <v>15423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44370</v>
      </c>
      <c r="B1605" s="116">
        <v>8.7847018889218091</v>
      </c>
      <c r="C1605" s="116">
        <v>8.5534630038983597</v>
      </c>
      <c r="D1605" s="116">
        <v>8.4742716049177194</v>
      </c>
      <c r="E1605" s="116">
        <v>8.7847018889218091</v>
      </c>
      <c r="F1605" s="116">
        <v>540.04999999999995</v>
      </c>
      <c r="G1605">
        <v>7751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44371</v>
      </c>
      <c r="B1606" s="116">
        <v>8.6326544028789893</v>
      </c>
      <c r="C1606" s="116">
        <v>8.4703120349686891</v>
      </c>
      <c r="D1606" s="116">
        <v>8.4014155178555399</v>
      </c>
      <c r="E1606" s="116">
        <v>8.5843476495008098</v>
      </c>
      <c r="F1606" s="116">
        <v>534.79999999999995</v>
      </c>
      <c r="G1606">
        <v>3690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44372</v>
      </c>
      <c r="B1607" s="116">
        <v>8.71105388786982</v>
      </c>
      <c r="C1607" s="116">
        <v>8.5502953479391302</v>
      </c>
      <c r="D1607" s="116">
        <v>8.5051562505201694</v>
      </c>
      <c r="E1607" s="116">
        <v>8.5209945303162993</v>
      </c>
      <c r="F1607" s="116">
        <v>539.85</v>
      </c>
      <c r="G1607">
        <v>5133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44375</v>
      </c>
      <c r="B1608" s="116">
        <v>8.7530253293295601</v>
      </c>
      <c r="C1608" s="116">
        <v>8.4980290246119097</v>
      </c>
      <c r="D1608" s="116">
        <v>8.3230160328647091</v>
      </c>
      <c r="E1608" s="116">
        <v>8.5368328101124291</v>
      </c>
      <c r="F1608" s="116">
        <v>536.54999999999995</v>
      </c>
      <c r="G1608">
        <v>6916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44376</v>
      </c>
      <c r="B1609" s="116">
        <v>8.6302786609095694</v>
      </c>
      <c r="C1609" s="116">
        <v>8.4172537976516697</v>
      </c>
      <c r="D1609" s="116">
        <v>8.2675820535782698</v>
      </c>
      <c r="E1609" s="116">
        <v>8.6302786609095694</v>
      </c>
      <c r="F1609" s="116">
        <v>531.45000000000005</v>
      </c>
      <c r="G1609">
        <v>2824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44377</v>
      </c>
      <c r="B1610" s="116">
        <v>8.7268921676659499</v>
      </c>
      <c r="C1610" s="116">
        <v>8.4703120349686891</v>
      </c>
      <c r="D1610" s="116">
        <v>8.4180457116414704</v>
      </c>
      <c r="E1610" s="116">
        <v>8.6896722101450496</v>
      </c>
      <c r="F1610" s="116">
        <v>534.79999999999995</v>
      </c>
      <c r="G1610">
        <v>3984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44378</v>
      </c>
      <c r="B1611" s="116">
        <v>8.5526710899085501</v>
      </c>
      <c r="C1611" s="116">
        <v>8.4497222712337301</v>
      </c>
      <c r="D1611" s="116">
        <v>8.25174377378214</v>
      </c>
      <c r="E1611" s="116">
        <v>8.25174377378214</v>
      </c>
      <c r="F1611" s="116">
        <v>533.5</v>
      </c>
      <c r="G1611">
        <v>2595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44379</v>
      </c>
      <c r="B1612" s="116">
        <v>8.5843476495008098</v>
      </c>
      <c r="C1612" s="116">
        <v>8.3752823561919296</v>
      </c>
      <c r="D1612" s="116">
        <v>8.2058127623733697</v>
      </c>
      <c r="E1612" s="116">
        <v>8.5843476495008098</v>
      </c>
      <c r="F1612" s="116">
        <v>528.79999999999995</v>
      </c>
      <c r="G1612">
        <v>10329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44382</v>
      </c>
      <c r="B1613" s="116">
        <v>8.6152322951032492</v>
      </c>
      <c r="C1613" s="116">
        <v>8.4433869593152799</v>
      </c>
      <c r="D1613" s="116">
        <v>8.2960909572112893</v>
      </c>
      <c r="E1613" s="116">
        <v>8.5209945303162993</v>
      </c>
      <c r="F1613" s="116">
        <v>533.1</v>
      </c>
      <c r="G1613">
        <v>7601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44383</v>
      </c>
      <c r="B1614" s="116">
        <v>8.5669255417250696</v>
      </c>
      <c r="C1614" s="116">
        <v>8.3792419261409599</v>
      </c>
      <c r="D1614" s="116">
        <v>8.3626117323550293</v>
      </c>
      <c r="E1614" s="116">
        <v>8.5669255417250696</v>
      </c>
      <c r="F1614" s="116">
        <v>529.04999999999995</v>
      </c>
      <c r="G1614">
        <v>8686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44384</v>
      </c>
      <c r="B1615" s="116">
        <v>8.8528064920451595</v>
      </c>
      <c r="C1615" s="116">
        <v>8.7253083396863396</v>
      </c>
      <c r="D1615" s="116">
        <v>8.3150968929666504</v>
      </c>
      <c r="E1615" s="116">
        <v>8.3150968929666504</v>
      </c>
      <c r="F1615" s="116">
        <v>550.9</v>
      </c>
      <c r="G1615">
        <v>17713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44385</v>
      </c>
      <c r="B1616" s="116">
        <v>10.277459759706799</v>
      </c>
      <c r="C1616" s="116">
        <v>9.2543068848769696</v>
      </c>
      <c r="D1616" s="116">
        <v>8.86943668583109</v>
      </c>
      <c r="E1616" s="116">
        <v>8.86943668583109</v>
      </c>
      <c r="F1616" s="116">
        <v>584.29999999999995</v>
      </c>
      <c r="G1616">
        <v>154660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44386</v>
      </c>
      <c r="B1617" s="116">
        <v>9.8894219047016705</v>
      </c>
      <c r="C1617" s="116">
        <v>9.5164304155028798</v>
      </c>
      <c r="D1617" s="116">
        <v>8.8741881697699299</v>
      </c>
      <c r="E1617" s="116">
        <v>9.2543068848769696</v>
      </c>
      <c r="F1617" s="116">
        <v>600.85</v>
      </c>
      <c r="G1617">
        <v>64077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44389</v>
      </c>
      <c r="B1618" s="116">
        <v>10.088984230132899</v>
      </c>
      <c r="C1618" s="116">
        <v>9.98445158347843</v>
      </c>
      <c r="D1618" s="116">
        <v>9.5552342010033904</v>
      </c>
      <c r="E1618" s="116">
        <v>9.8165658176394803</v>
      </c>
      <c r="F1618" s="116">
        <v>630.4</v>
      </c>
      <c r="G1618">
        <v>40359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44390</v>
      </c>
      <c r="B1619" s="116">
        <v>10.263205307890299</v>
      </c>
      <c r="C1619" s="116">
        <v>9.9963302933255207</v>
      </c>
      <c r="D1619" s="116">
        <v>9.8458666352623201</v>
      </c>
      <c r="E1619" s="116">
        <v>10.2473670280941</v>
      </c>
      <c r="F1619" s="116">
        <v>631.15</v>
      </c>
      <c r="G1619">
        <v>26955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44391</v>
      </c>
      <c r="B1620" s="116">
        <v>10.847637832367299</v>
      </c>
      <c r="C1620" s="116">
        <v>10.7320183898556</v>
      </c>
      <c r="D1620" s="116">
        <v>9.9939545513561008</v>
      </c>
      <c r="E1620" s="116">
        <v>10.135707155531399</v>
      </c>
      <c r="F1620" s="116">
        <v>677.6</v>
      </c>
      <c r="G1620">
        <v>56384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44392</v>
      </c>
      <c r="B1621" s="116">
        <v>11.8620796533093</v>
      </c>
      <c r="C1621" s="116">
        <v>11.5437302294071</v>
      </c>
      <c r="D1621" s="116">
        <v>11.280814784791399</v>
      </c>
      <c r="E1621" s="116">
        <v>11.387723173415299</v>
      </c>
      <c r="F1621" s="116">
        <v>728.85</v>
      </c>
      <c r="G1621">
        <v>75870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44393</v>
      </c>
      <c r="B1622" s="116">
        <v>10.950586651042199</v>
      </c>
      <c r="C1622" s="116">
        <v>10.611647463405101</v>
      </c>
      <c r="D1622" s="116">
        <v>9.2353009491216191</v>
      </c>
      <c r="E1622" s="116">
        <v>10.950586651042199</v>
      </c>
      <c r="F1622" s="116">
        <v>670</v>
      </c>
      <c r="G1622">
        <v>63479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44396</v>
      </c>
      <c r="B1623" s="116">
        <v>11.0622465236049</v>
      </c>
      <c r="C1623" s="116">
        <v>10.815169358785299</v>
      </c>
      <c r="D1623" s="116">
        <v>10.3138878032379</v>
      </c>
      <c r="E1623" s="116">
        <v>10.5577973120982</v>
      </c>
      <c r="F1623" s="116">
        <v>682.85</v>
      </c>
      <c r="G1623">
        <v>21775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44397</v>
      </c>
      <c r="B1624" s="116">
        <v>10.906239467613</v>
      </c>
      <c r="C1624" s="116">
        <v>10.633821055119601</v>
      </c>
      <c r="D1624" s="116">
        <v>10.4532646654438</v>
      </c>
      <c r="E1624" s="116">
        <v>10.815169358785299</v>
      </c>
      <c r="F1624" s="116">
        <v>671.4</v>
      </c>
      <c r="G1624">
        <v>15637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44399</v>
      </c>
      <c r="B1625" s="116">
        <v>11.482752852192</v>
      </c>
      <c r="C1625" s="116">
        <v>11.341792162006501</v>
      </c>
      <c r="D1625" s="116">
        <v>10.6456997649667</v>
      </c>
      <c r="E1625" s="116">
        <v>10.770030261366299</v>
      </c>
      <c r="F1625" s="116">
        <v>716.1</v>
      </c>
      <c r="G1625">
        <v>28528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44400</v>
      </c>
      <c r="B1626" s="116">
        <v>11.8311950077068</v>
      </c>
      <c r="C1626" s="116">
        <v>11.537394917488699</v>
      </c>
      <c r="D1626" s="116">
        <v>11.280814784791399</v>
      </c>
      <c r="E1626" s="116">
        <v>11.482752852192</v>
      </c>
      <c r="F1626" s="116">
        <v>728.45</v>
      </c>
      <c r="G1626">
        <v>16163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44403</v>
      </c>
      <c r="B1627" s="116">
        <v>12.6706238369016</v>
      </c>
      <c r="C1627" s="116">
        <v>12.493235103184899</v>
      </c>
      <c r="D1627" s="116">
        <v>11.561944251172701</v>
      </c>
      <c r="E1627" s="116">
        <v>11.5952046387445</v>
      </c>
      <c r="F1627" s="116">
        <v>788.8</v>
      </c>
      <c r="G1627">
        <v>34405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44404</v>
      </c>
      <c r="B1628" s="116">
        <v>12.908198033843499</v>
      </c>
      <c r="C1628" s="116">
        <v>12.2714991860392</v>
      </c>
      <c r="D1628" s="116">
        <v>11.625297370357201</v>
      </c>
      <c r="E1628" s="116">
        <v>12.6706238369016</v>
      </c>
      <c r="F1628" s="116">
        <v>774.8</v>
      </c>
      <c r="G1628">
        <v>21074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44405</v>
      </c>
      <c r="B1629" s="116">
        <v>12.6072707177171</v>
      </c>
      <c r="C1629" s="116">
        <v>12.398997338398001</v>
      </c>
      <c r="D1629" s="116">
        <v>11.9895778056681</v>
      </c>
      <c r="E1629" s="116">
        <v>12.353858240978999</v>
      </c>
      <c r="F1629" s="116">
        <v>782.85</v>
      </c>
      <c r="G1629">
        <v>8767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44406</v>
      </c>
      <c r="B1630" s="116">
        <v>13.302571200767</v>
      </c>
      <c r="C1630" s="116">
        <v>13.1489398867446</v>
      </c>
      <c r="D1630" s="116">
        <v>12.306343401590601</v>
      </c>
      <c r="E1630" s="116">
        <v>12.623108997513199</v>
      </c>
      <c r="F1630" s="116">
        <v>830.2</v>
      </c>
      <c r="G1630">
        <v>27009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44407</v>
      </c>
      <c r="B1631" s="116">
        <v>13.6193367966896</v>
      </c>
      <c r="C1631" s="116">
        <v>13.2796056950626</v>
      </c>
      <c r="D1631" s="116">
        <v>13.1616105105815</v>
      </c>
      <c r="E1631" s="116">
        <v>13.1616105105815</v>
      </c>
      <c r="F1631" s="116">
        <v>838.45</v>
      </c>
      <c r="G1631">
        <v>29411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44410</v>
      </c>
      <c r="B1632" s="116">
        <v>13.8664139615091</v>
      </c>
      <c r="C1632" s="116">
        <v>12.8163360110259</v>
      </c>
      <c r="D1632" s="116">
        <v>12.6896297726569</v>
      </c>
      <c r="E1632" s="116">
        <v>13.541729225688499</v>
      </c>
      <c r="F1632" s="116">
        <v>809.2</v>
      </c>
      <c r="G1632">
        <v>19967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44411</v>
      </c>
      <c r="B1633" s="116">
        <v>13.4466995469118</v>
      </c>
      <c r="C1633" s="116">
        <v>12.7902028493623</v>
      </c>
      <c r="D1633" s="116">
        <v>12.6706238369016</v>
      </c>
      <c r="E1633" s="116">
        <v>12.844844914658999</v>
      </c>
      <c r="F1633" s="116">
        <v>807.55</v>
      </c>
      <c r="G1633">
        <v>13255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44412</v>
      </c>
      <c r="B1634" s="116">
        <v>13.0665808318047</v>
      </c>
      <c r="C1634" s="116">
        <v>12.673791492860801</v>
      </c>
      <c r="D1634" s="116">
        <v>12.512241038940299</v>
      </c>
      <c r="E1634" s="116">
        <v>13.0665808318047</v>
      </c>
      <c r="F1634" s="116">
        <v>800.2</v>
      </c>
      <c r="G1634">
        <v>13606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44413</v>
      </c>
      <c r="B1635" s="116">
        <v>12.591432437920901</v>
      </c>
      <c r="C1635" s="116">
        <v>11.9713637839026</v>
      </c>
      <c r="D1635" s="116">
        <v>11.8787098470952</v>
      </c>
      <c r="E1635" s="116">
        <v>12.512241038940299</v>
      </c>
      <c r="F1635" s="116">
        <v>755.85</v>
      </c>
      <c r="G1635">
        <v>18299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44414</v>
      </c>
      <c r="B1636" s="116">
        <v>12.4488879197558</v>
      </c>
      <c r="C1636" s="116">
        <v>12.0568904948016</v>
      </c>
      <c r="D1636" s="116">
        <v>11.957901246075799</v>
      </c>
      <c r="E1636" s="116">
        <v>12.3530663269892</v>
      </c>
      <c r="F1636" s="116">
        <v>761.25</v>
      </c>
      <c r="G1636">
        <v>5248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44417</v>
      </c>
      <c r="B1637" s="116">
        <v>12.2588285622023</v>
      </c>
      <c r="C1637" s="116">
        <v>11.9317680844122</v>
      </c>
      <c r="D1637" s="116">
        <v>11.8787098470952</v>
      </c>
      <c r="E1637" s="116">
        <v>11.990369719657901</v>
      </c>
      <c r="F1637" s="116">
        <v>753.35</v>
      </c>
      <c r="G1637">
        <v>10780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44418</v>
      </c>
      <c r="B1638" s="116">
        <v>12.0941104523225</v>
      </c>
      <c r="C1638" s="116">
        <v>11.151732804452999</v>
      </c>
      <c r="D1638" s="116">
        <v>10.611647463405101</v>
      </c>
      <c r="E1638" s="116">
        <v>12.0941104523225</v>
      </c>
      <c r="F1638" s="116">
        <v>704.1</v>
      </c>
      <c r="G1638">
        <v>14135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44419</v>
      </c>
      <c r="B1639" s="116">
        <v>11.6965696294398</v>
      </c>
      <c r="C1639" s="116">
        <v>10.979887468665</v>
      </c>
      <c r="D1639" s="116">
        <v>10.168175629113501</v>
      </c>
      <c r="E1639" s="116">
        <v>11.324370054230799</v>
      </c>
      <c r="F1639" s="116">
        <v>693.25</v>
      </c>
      <c r="G1639">
        <v>32713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44420</v>
      </c>
      <c r="B1640" s="116">
        <v>11.7044887693378</v>
      </c>
      <c r="C1640" s="116">
        <v>11.586493584856701</v>
      </c>
      <c r="D1640" s="116">
        <v>10.979887468665</v>
      </c>
      <c r="E1640" s="116">
        <v>11.2443867412603</v>
      </c>
      <c r="F1640" s="116">
        <v>731.55</v>
      </c>
      <c r="G1640">
        <v>9125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44421</v>
      </c>
      <c r="B1641" s="116">
        <v>12.2588285622023</v>
      </c>
      <c r="C1641" s="116">
        <v>12.0877751404041</v>
      </c>
      <c r="D1641" s="116">
        <v>11.693401973480499</v>
      </c>
      <c r="E1641" s="116">
        <v>12.0370926450565</v>
      </c>
      <c r="F1641" s="116">
        <v>763.2</v>
      </c>
      <c r="G1641">
        <v>8739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44424</v>
      </c>
      <c r="B1642" s="116">
        <v>12.4773968233888</v>
      </c>
      <c r="C1642" s="116">
        <v>11.793183136196101</v>
      </c>
      <c r="D1642" s="116">
        <v>11.466914572395901</v>
      </c>
      <c r="E1642" s="116">
        <v>12.306343401590601</v>
      </c>
      <c r="F1642" s="116">
        <v>744.6</v>
      </c>
      <c r="G1642">
        <v>5423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44425</v>
      </c>
      <c r="B1643" s="116">
        <v>12.187556303119701</v>
      </c>
      <c r="C1643" s="116">
        <v>11.248346311209399</v>
      </c>
      <c r="D1643" s="116">
        <v>11.087587771278701</v>
      </c>
      <c r="E1643" s="116">
        <v>11.8787098470952</v>
      </c>
      <c r="F1643" s="116">
        <v>710.2</v>
      </c>
      <c r="G1643">
        <v>11377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44426</v>
      </c>
      <c r="B1644" s="116">
        <v>11.542938315417301</v>
      </c>
      <c r="C1644" s="116">
        <v>11.276855214842399</v>
      </c>
      <c r="D1644" s="116">
        <v>10.9284130593276</v>
      </c>
      <c r="E1644" s="116">
        <v>11.3861393454357</v>
      </c>
      <c r="F1644" s="116">
        <v>712</v>
      </c>
      <c r="G1644">
        <v>13237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44428</v>
      </c>
      <c r="B1645" s="116">
        <v>11.482752852192</v>
      </c>
      <c r="C1645" s="116">
        <v>11.1034260510748</v>
      </c>
      <c r="D1645" s="116">
        <v>11.0867958572889</v>
      </c>
      <c r="E1645" s="116">
        <v>11.0867958572889</v>
      </c>
      <c r="F1645" s="116">
        <v>701.05</v>
      </c>
      <c r="G1645">
        <v>3436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44431</v>
      </c>
      <c r="B1646" s="116">
        <v>11.5294757775906</v>
      </c>
      <c r="C1646" s="116">
        <v>10.6203585172929</v>
      </c>
      <c r="D1646" s="116">
        <v>10.4057498260554</v>
      </c>
      <c r="E1646" s="116">
        <v>11.401977625231799</v>
      </c>
      <c r="F1646" s="116">
        <v>670.55</v>
      </c>
      <c r="G1646">
        <v>5829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44432</v>
      </c>
      <c r="B1647" s="116">
        <v>10.7351860458148</v>
      </c>
      <c r="C1647" s="116">
        <v>10.6235261732522</v>
      </c>
      <c r="D1647" s="116">
        <v>10.2980495234417</v>
      </c>
      <c r="E1647" s="116">
        <v>10.2980495234417</v>
      </c>
      <c r="F1647" s="116">
        <v>670.75</v>
      </c>
      <c r="G1647">
        <v>14931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44433</v>
      </c>
      <c r="B1648" s="116">
        <v>10.975927898716</v>
      </c>
      <c r="C1648" s="116">
        <v>10.615607033354101</v>
      </c>
      <c r="D1648" s="116">
        <v>10.5324560644244</v>
      </c>
      <c r="E1648" s="116">
        <v>10.896736499735299</v>
      </c>
      <c r="F1648" s="116">
        <v>670.25</v>
      </c>
      <c r="G1648">
        <v>6944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44434</v>
      </c>
      <c r="B1649" s="116">
        <v>10.9284130593276</v>
      </c>
      <c r="C1649" s="116">
        <v>10.6274857432012</v>
      </c>
      <c r="D1649" s="116">
        <v>10.564924538006499</v>
      </c>
      <c r="E1649" s="116">
        <v>10.7684464333867</v>
      </c>
      <c r="F1649" s="116">
        <v>671</v>
      </c>
      <c r="G1649">
        <v>5955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44435</v>
      </c>
      <c r="B1650" s="116">
        <v>10.7383537017741</v>
      </c>
      <c r="C1650" s="116">
        <v>10.6061040654764</v>
      </c>
      <c r="D1650" s="116">
        <v>10.5823466457822</v>
      </c>
      <c r="E1650" s="116">
        <v>10.6575784748138</v>
      </c>
      <c r="F1650" s="116">
        <v>669.65</v>
      </c>
      <c r="G1650">
        <v>7007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44438</v>
      </c>
      <c r="B1651" s="116">
        <v>10.927621145337801</v>
      </c>
      <c r="C1651" s="116">
        <v>10.824672326663</v>
      </c>
      <c r="D1651" s="116">
        <v>10.6163989473439</v>
      </c>
      <c r="E1651" s="116">
        <v>10.8183370147445</v>
      </c>
      <c r="F1651" s="116">
        <v>683.45</v>
      </c>
      <c r="G1651">
        <v>5965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44439</v>
      </c>
      <c r="B1652" s="116">
        <v>10.9284130593276</v>
      </c>
      <c r="C1652" s="116">
        <v>10.6171908613337</v>
      </c>
      <c r="D1652" s="116">
        <v>10.3154716312175</v>
      </c>
      <c r="E1652" s="116">
        <v>10.9284130593276</v>
      </c>
      <c r="F1652" s="116">
        <v>670.35</v>
      </c>
      <c r="G1652">
        <v>21204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44440</v>
      </c>
      <c r="B1653" s="116">
        <v>10.783492799193001</v>
      </c>
      <c r="C1653" s="116">
        <v>10.5886819577007</v>
      </c>
      <c r="D1653" s="116">
        <v>10.4548484934234</v>
      </c>
      <c r="E1653" s="116">
        <v>10.6290695711808</v>
      </c>
      <c r="F1653" s="116">
        <v>668.55</v>
      </c>
      <c r="G1653">
        <v>6677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44441</v>
      </c>
      <c r="B1654" s="116">
        <v>10.849221660347</v>
      </c>
      <c r="C1654" s="116">
        <v>10.7724060033357</v>
      </c>
      <c r="D1654" s="116">
        <v>10.4548484934234</v>
      </c>
      <c r="E1654" s="116">
        <v>10.769238347376501</v>
      </c>
      <c r="F1654" s="116">
        <v>680.15</v>
      </c>
      <c r="G1654">
        <v>4236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44442</v>
      </c>
      <c r="B1655" s="116">
        <v>11.0867958572889</v>
      </c>
      <c r="C1655" s="116">
        <v>11.049575899768</v>
      </c>
      <c r="D1655" s="116">
        <v>10.849221660347</v>
      </c>
      <c r="E1655" s="116">
        <v>11.0867958572889</v>
      </c>
      <c r="F1655" s="116">
        <v>697.65</v>
      </c>
      <c r="G1655">
        <v>6076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44445</v>
      </c>
      <c r="B1656" s="116">
        <v>11.4193997330075</v>
      </c>
      <c r="C1656" s="116">
        <v>11.1319349547078</v>
      </c>
      <c r="D1656" s="116">
        <v>10.9125747795315</v>
      </c>
      <c r="E1656" s="116">
        <v>11.245178655250101</v>
      </c>
      <c r="F1656" s="116">
        <v>702.85</v>
      </c>
      <c r="G1656">
        <v>3915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44446</v>
      </c>
      <c r="B1657" s="116">
        <v>11.387723173415299</v>
      </c>
      <c r="C1657" s="116">
        <v>11.2903177526691</v>
      </c>
      <c r="D1657" s="116">
        <v>11.0867958572889</v>
      </c>
      <c r="E1657" s="116">
        <v>11.3703010656395</v>
      </c>
      <c r="F1657" s="116">
        <v>712.85</v>
      </c>
      <c r="G1657">
        <v>1760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44447</v>
      </c>
      <c r="B1658" s="116">
        <v>11.371092979629299</v>
      </c>
      <c r="C1658" s="116">
        <v>11.1731144821778</v>
      </c>
      <c r="D1658" s="116">
        <v>11.134310696677201</v>
      </c>
      <c r="E1658" s="116">
        <v>11.245178655250101</v>
      </c>
      <c r="F1658" s="116">
        <v>705.45</v>
      </c>
      <c r="G1658">
        <v>5570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44448</v>
      </c>
      <c r="B1659" s="116">
        <v>11.8628715672991</v>
      </c>
      <c r="C1659" s="116">
        <v>11.744084468828101</v>
      </c>
      <c r="D1659" s="116">
        <v>11.1358945246569</v>
      </c>
      <c r="E1659" s="116">
        <v>11.1358945246569</v>
      </c>
      <c r="F1659" s="116">
        <v>741.5</v>
      </c>
      <c r="G1659">
        <v>11424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44452</v>
      </c>
      <c r="B1660" s="116">
        <v>12.048179440913801</v>
      </c>
      <c r="C1660" s="116">
        <v>11.531059605570199</v>
      </c>
      <c r="D1660" s="116">
        <v>11.403561453211401</v>
      </c>
      <c r="E1660" s="116">
        <v>12.0370926450565</v>
      </c>
      <c r="F1660" s="116">
        <v>728.05</v>
      </c>
      <c r="G1660">
        <v>4741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44453</v>
      </c>
      <c r="B1661" s="116">
        <v>11.719535135144101</v>
      </c>
      <c r="C1661" s="116">
        <v>11.586493584856701</v>
      </c>
      <c r="D1661" s="116">
        <v>11.403561453211401</v>
      </c>
      <c r="E1661" s="116">
        <v>11.563528079152301</v>
      </c>
      <c r="F1661" s="116">
        <v>731.55</v>
      </c>
      <c r="G1661">
        <v>3079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44454</v>
      </c>
      <c r="B1662" s="116">
        <v>11.7203270491339</v>
      </c>
      <c r="C1662" s="116">
        <v>11.4946315620391</v>
      </c>
      <c r="D1662" s="116">
        <v>11.433654184824</v>
      </c>
      <c r="E1662" s="116">
        <v>11.6886504895417</v>
      </c>
      <c r="F1662" s="116">
        <v>725.75</v>
      </c>
      <c r="G1662">
        <v>4405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44455</v>
      </c>
      <c r="B1663" s="116">
        <v>11.830403093717001</v>
      </c>
      <c r="C1663" s="116">
        <v>11.607083348591599</v>
      </c>
      <c r="D1663" s="116">
        <v>11.514429411784301</v>
      </c>
      <c r="E1663" s="116">
        <v>11.830403093717001</v>
      </c>
      <c r="F1663" s="116">
        <v>732.85</v>
      </c>
      <c r="G1663">
        <v>3008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44456</v>
      </c>
      <c r="B1664" s="116">
        <v>11.847033287503001</v>
      </c>
      <c r="C1664" s="116">
        <v>11.373468721598799</v>
      </c>
      <c r="D1664" s="116">
        <v>11.229340375454001</v>
      </c>
      <c r="E1664" s="116">
        <v>11.847033287503001</v>
      </c>
      <c r="F1664" s="116">
        <v>718.1</v>
      </c>
      <c r="G1664">
        <v>3351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44459</v>
      </c>
      <c r="B1665" s="116">
        <v>11.6411356501533</v>
      </c>
      <c r="C1665" s="116">
        <v>11.319618570291899</v>
      </c>
      <c r="D1665" s="116">
        <v>11.110553276983101</v>
      </c>
      <c r="E1665" s="116">
        <v>11.276855214842399</v>
      </c>
      <c r="F1665" s="116">
        <v>714.7</v>
      </c>
      <c r="G1665">
        <v>4830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44460</v>
      </c>
      <c r="B1666" s="116">
        <v>11.435238012803699</v>
      </c>
      <c r="C1666" s="116">
        <v>11.2673522469647</v>
      </c>
      <c r="D1666" s="116">
        <v>10.880106305949401</v>
      </c>
      <c r="E1666" s="116">
        <v>11.134310696677201</v>
      </c>
      <c r="F1666" s="116">
        <v>711.4</v>
      </c>
      <c r="G1666">
        <v>5695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44461</v>
      </c>
      <c r="B1667" s="116">
        <v>11.451076292599801</v>
      </c>
      <c r="C1667" s="116">
        <v>11.086003943299101</v>
      </c>
      <c r="D1667" s="116">
        <v>10.9125747795315</v>
      </c>
      <c r="E1667" s="116">
        <v>11.451076292599801</v>
      </c>
      <c r="F1667" s="116">
        <v>699.95</v>
      </c>
      <c r="G1667">
        <v>2871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44462</v>
      </c>
      <c r="B1668" s="116">
        <v>11.3861393454357</v>
      </c>
      <c r="C1668" s="116">
        <v>11.260225021056501</v>
      </c>
      <c r="D1668" s="116">
        <v>10.994933834471301</v>
      </c>
      <c r="E1668" s="116">
        <v>10.994933834471301</v>
      </c>
      <c r="F1668" s="116">
        <v>710.95</v>
      </c>
      <c r="G1668">
        <v>3611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44463</v>
      </c>
      <c r="B1669" s="116">
        <v>11.6411356501533</v>
      </c>
      <c r="C1669" s="116">
        <v>11.506510271886199</v>
      </c>
      <c r="D1669" s="116">
        <v>11.1034260510748</v>
      </c>
      <c r="E1669" s="116">
        <v>11.435238012803699</v>
      </c>
      <c r="F1669" s="116">
        <v>726.5</v>
      </c>
      <c r="G1669">
        <v>9288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44466</v>
      </c>
      <c r="B1670" s="116">
        <v>12.493235103184899</v>
      </c>
      <c r="C1670" s="116">
        <v>12.341187617142101</v>
      </c>
      <c r="D1670" s="116">
        <v>11.7203270491339</v>
      </c>
      <c r="E1670" s="116">
        <v>11.7203270491339</v>
      </c>
      <c r="F1670" s="116">
        <v>779.2</v>
      </c>
      <c r="G1670">
        <v>24523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44467</v>
      </c>
      <c r="B1671" s="116">
        <v>13.2233798017864</v>
      </c>
      <c r="C1671" s="116">
        <v>13.0111468525183</v>
      </c>
      <c r="D1671" s="116">
        <v>12.361777380877101</v>
      </c>
      <c r="E1671" s="116">
        <v>12.528079318736401</v>
      </c>
      <c r="F1671" s="116">
        <v>821.5</v>
      </c>
      <c r="G1671">
        <v>33827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44468</v>
      </c>
      <c r="B1672" s="116">
        <v>13.7317885832421</v>
      </c>
      <c r="C1672" s="116">
        <v>13.4752084505448</v>
      </c>
      <c r="D1672" s="116">
        <v>13.221795973806801</v>
      </c>
      <c r="E1672" s="116">
        <v>13.2233798017864</v>
      </c>
      <c r="F1672" s="116">
        <v>850.8</v>
      </c>
      <c r="G1672">
        <v>23944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44469</v>
      </c>
      <c r="B1673" s="116">
        <v>14.094485190573399</v>
      </c>
      <c r="C1673" s="116">
        <v>13.478376106503999</v>
      </c>
      <c r="D1673" s="116">
        <v>12.9873894328241</v>
      </c>
      <c r="E1673" s="116">
        <v>13.779303422630401</v>
      </c>
      <c r="F1673" s="116">
        <v>851</v>
      </c>
      <c r="G1673">
        <v>14086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44470</v>
      </c>
      <c r="B1674" s="116">
        <v>13.858494821611099</v>
      </c>
      <c r="C1674" s="116">
        <v>13.439572321003499</v>
      </c>
      <c r="D1674" s="116">
        <v>13.1164714131625</v>
      </c>
      <c r="E1674" s="116">
        <v>13.6842737438537</v>
      </c>
      <c r="F1674" s="116">
        <v>848.55</v>
      </c>
      <c r="G1674">
        <v>12044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44473</v>
      </c>
      <c r="B1675" s="116">
        <v>13.617752968709899</v>
      </c>
      <c r="C1675" s="116">
        <v>13.1449803167956</v>
      </c>
      <c r="D1675" s="116">
        <v>12.521744006818</v>
      </c>
      <c r="E1675" s="116">
        <v>13.3358315883389</v>
      </c>
      <c r="F1675" s="116">
        <v>829.95</v>
      </c>
      <c r="G1675">
        <v>11939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44474</v>
      </c>
      <c r="B1676" s="116">
        <v>13.6985281956702</v>
      </c>
      <c r="C1676" s="116">
        <v>13.0570778639271</v>
      </c>
      <c r="D1676" s="116">
        <v>12.924036313639601</v>
      </c>
      <c r="E1676" s="116">
        <v>13.6985281956702</v>
      </c>
      <c r="F1676" s="116">
        <v>824.4</v>
      </c>
      <c r="G1676">
        <v>10124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44475</v>
      </c>
      <c r="B1677" s="116">
        <v>13.2724784691544</v>
      </c>
      <c r="C1677" s="116">
        <v>12.6603289550341</v>
      </c>
      <c r="D1677" s="116">
        <v>12.546293340502</v>
      </c>
      <c r="E1677" s="116">
        <v>12.8765214742512</v>
      </c>
      <c r="F1677" s="116">
        <v>799.35</v>
      </c>
      <c r="G1677">
        <v>5819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44476</v>
      </c>
      <c r="B1678" s="116">
        <v>12.985805604844501</v>
      </c>
      <c r="C1678" s="116">
        <v>12.7759483975458</v>
      </c>
      <c r="D1678" s="116">
        <v>12.3855348005713</v>
      </c>
      <c r="E1678" s="116">
        <v>12.899486979955601</v>
      </c>
      <c r="F1678" s="116">
        <v>806.65</v>
      </c>
      <c r="G1678">
        <v>5129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44477</v>
      </c>
      <c r="B1679" s="116">
        <v>13.224963629766</v>
      </c>
      <c r="C1679" s="116">
        <v>12.897903151975999</v>
      </c>
      <c r="D1679" s="116">
        <v>12.577177986104401</v>
      </c>
      <c r="E1679" s="116">
        <v>12.971551153028001</v>
      </c>
      <c r="F1679" s="116">
        <v>814.35</v>
      </c>
      <c r="G1679">
        <v>4740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44480</v>
      </c>
      <c r="B1680" s="116">
        <v>13.6193367966896</v>
      </c>
      <c r="C1680" s="116">
        <v>13.118847155132</v>
      </c>
      <c r="D1680" s="116">
        <v>12.702300396493801</v>
      </c>
      <c r="E1680" s="116">
        <v>12.897903151975999</v>
      </c>
      <c r="F1680" s="116">
        <v>828.3</v>
      </c>
      <c r="G1680">
        <v>6688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44481</v>
      </c>
      <c r="B1681" s="116">
        <v>13.969362780183999</v>
      </c>
      <c r="C1681" s="116">
        <v>13.808604240253301</v>
      </c>
      <c r="D1681" s="116">
        <v>13.1299339509892</v>
      </c>
      <c r="E1681" s="116">
        <v>13.303363114756801</v>
      </c>
      <c r="F1681" s="116">
        <v>871.85</v>
      </c>
      <c r="G1681">
        <v>10700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44482</v>
      </c>
      <c r="B1682" s="116">
        <v>14.0168776195723</v>
      </c>
      <c r="C1682" s="116">
        <v>13.552024107556001</v>
      </c>
      <c r="D1682" s="116">
        <v>13.4831275904429</v>
      </c>
      <c r="E1682" s="116">
        <v>14.0168776195723</v>
      </c>
      <c r="F1682" s="116">
        <v>855.65</v>
      </c>
      <c r="G1682">
        <v>3438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44483</v>
      </c>
      <c r="B1683" s="116">
        <v>14.0643924589607</v>
      </c>
      <c r="C1683" s="116">
        <v>13.9756980921024</v>
      </c>
      <c r="D1683" s="116">
        <v>13.178240704367401</v>
      </c>
      <c r="E1683" s="116">
        <v>13.5900359790667</v>
      </c>
      <c r="F1683" s="116">
        <v>882.4</v>
      </c>
      <c r="G1683">
        <v>7742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44487</v>
      </c>
      <c r="B1684" s="116">
        <v>14.7296002103981</v>
      </c>
      <c r="C1684" s="116">
        <v>14.667039005203399</v>
      </c>
      <c r="D1684" s="116">
        <v>14.032715899368499</v>
      </c>
      <c r="E1684" s="116">
        <v>14.032715899368499</v>
      </c>
      <c r="F1684" s="116">
        <v>926.05</v>
      </c>
      <c r="G1684">
        <v>10452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44488</v>
      </c>
      <c r="B1685" s="116">
        <v>15.0305275265245</v>
      </c>
      <c r="C1685" s="116">
        <v>13.846616111764</v>
      </c>
      <c r="D1685" s="116">
        <v>13.304155028746599</v>
      </c>
      <c r="E1685" s="116">
        <v>14.824629889174799</v>
      </c>
      <c r="F1685" s="116">
        <v>874.25</v>
      </c>
      <c r="G1685">
        <v>11261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44489</v>
      </c>
      <c r="B1686" s="116">
        <v>14.5648821005183</v>
      </c>
      <c r="C1686" s="116">
        <v>14.2790011501982</v>
      </c>
      <c r="D1686" s="116">
        <v>13.3342477603593</v>
      </c>
      <c r="E1686" s="116">
        <v>14.2861283761065</v>
      </c>
      <c r="F1686" s="116">
        <v>901.55</v>
      </c>
      <c r="G1686">
        <v>24092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44490</v>
      </c>
      <c r="B1687" s="116">
        <v>14.8563064487671</v>
      </c>
      <c r="C1687" s="116">
        <v>14.477771561639599</v>
      </c>
      <c r="D1687" s="116">
        <v>13.8307778319679</v>
      </c>
      <c r="E1687" s="116">
        <v>14.5712174124368</v>
      </c>
      <c r="F1687" s="116">
        <v>914.1</v>
      </c>
      <c r="G1687">
        <v>13871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44491</v>
      </c>
      <c r="B1688" s="116">
        <v>14.6187322518252</v>
      </c>
      <c r="C1688" s="116">
        <v>13.6621001521391</v>
      </c>
      <c r="D1688" s="116">
        <v>13.4625378267079</v>
      </c>
      <c r="E1688" s="116">
        <v>14.5078642932523</v>
      </c>
      <c r="F1688" s="116">
        <v>862.6</v>
      </c>
      <c r="G1688">
        <v>11032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44494</v>
      </c>
      <c r="B1689" s="116">
        <v>14.4128346144755</v>
      </c>
      <c r="C1689" s="116">
        <v>13.117263327152299</v>
      </c>
      <c r="D1689" s="116">
        <v>12.988181346813899</v>
      </c>
      <c r="E1689" s="116">
        <v>14.159422137737501</v>
      </c>
      <c r="F1689" s="116">
        <v>828.2</v>
      </c>
      <c r="G1689">
        <v>7454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44495</v>
      </c>
      <c r="B1690" s="116">
        <v>13.4609539987283</v>
      </c>
      <c r="C1690" s="116">
        <v>13.2621835872869</v>
      </c>
      <c r="D1690" s="116">
        <v>13.070540401753799</v>
      </c>
      <c r="E1690" s="116">
        <v>13.1299339509892</v>
      </c>
      <c r="F1690" s="116">
        <v>837.35</v>
      </c>
      <c r="G1690">
        <v>3282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44496</v>
      </c>
      <c r="B1691" s="116">
        <v>13.736540067180901</v>
      </c>
      <c r="C1691" s="116">
        <v>13.5116364940759</v>
      </c>
      <c r="D1691" s="116">
        <v>13.145772230785401</v>
      </c>
      <c r="E1691" s="116">
        <v>13.4609539987283</v>
      </c>
      <c r="F1691" s="116">
        <v>853.1</v>
      </c>
      <c r="G1691">
        <v>5635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44497</v>
      </c>
      <c r="B1692" s="116">
        <v>13.541729225688499</v>
      </c>
      <c r="C1692" s="116">
        <v>12.7371446120453</v>
      </c>
      <c r="D1692" s="116">
        <v>12.480564479348001</v>
      </c>
      <c r="E1692" s="116">
        <v>13.3215771365224</v>
      </c>
      <c r="F1692" s="116">
        <v>804.2</v>
      </c>
      <c r="G1692">
        <v>4505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44498</v>
      </c>
      <c r="B1693" s="116">
        <v>13.3199933085428</v>
      </c>
      <c r="C1693" s="116">
        <v>13.061829347865901</v>
      </c>
      <c r="D1693" s="116">
        <v>12.2358630564979</v>
      </c>
      <c r="E1693" s="116">
        <v>12.7387284400249</v>
      </c>
      <c r="F1693" s="116">
        <v>824.7</v>
      </c>
      <c r="G1693">
        <v>9181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44501</v>
      </c>
      <c r="B1694" s="116">
        <v>13.256640189358301</v>
      </c>
      <c r="C1694" s="116">
        <v>12.981054120905601</v>
      </c>
      <c r="D1694" s="116">
        <v>12.702300396493801</v>
      </c>
      <c r="E1694" s="116">
        <v>12.702300396493801</v>
      </c>
      <c r="F1694" s="116">
        <v>819.6</v>
      </c>
      <c r="G1694">
        <v>2992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44502</v>
      </c>
      <c r="B1695" s="116">
        <v>13.224963629766</v>
      </c>
      <c r="C1695" s="116">
        <v>12.827422806883201</v>
      </c>
      <c r="D1695" s="116">
        <v>12.749815235882201</v>
      </c>
      <c r="E1695" s="116">
        <v>13.224963629766</v>
      </c>
      <c r="F1695" s="116">
        <v>809.9</v>
      </c>
      <c r="G1695">
        <v>1159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44503</v>
      </c>
      <c r="B1696" s="116">
        <v>13.2162525758781</v>
      </c>
      <c r="C1696" s="116">
        <v>12.802873473199201</v>
      </c>
      <c r="D1696" s="116">
        <v>12.766445429668099</v>
      </c>
      <c r="E1696" s="116">
        <v>13.2162525758781</v>
      </c>
      <c r="F1696" s="116">
        <v>808.35</v>
      </c>
      <c r="G1696">
        <v>2891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44504</v>
      </c>
      <c r="B1697" s="116">
        <v>13.144188402805799</v>
      </c>
      <c r="C1697" s="116">
        <v>12.7735726555764</v>
      </c>
      <c r="D1697" s="116">
        <v>12.688045944677301</v>
      </c>
      <c r="E1697" s="116">
        <v>13.144188402805799</v>
      </c>
      <c r="F1697" s="116">
        <v>806.5</v>
      </c>
      <c r="G1697">
        <v>1610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44508</v>
      </c>
      <c r="B1698" s="116">
        <v>12.971551153028001</v>
      </c>
      <c r="C1698" s="116">
        <v>12.6666642669525</v>
      </c>
      <c r="D1698" s="116">
        <v>12.512241038940299</v>
      </c>
      <c r="E1698" s="116">
        <v>12.971551153028001</v>
      </c>
      <c r="F1698" s="116">
        <v>799.75</v>
      </c>
      <c r="G1698">
        <v>4079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44509</v>
      </c>
      <c r="B1699" s="116">
        <v>12.908198033843499</v>
      </c>
      <c r="C1699" s="116">
        <v>12.379991402642601</v>
      </c>
      <c r="D1699" s="116">
        <v>12.306343401590601</v>
      </c>
      <c r="E1699" s="116">
        <v>12.6547855571054</v>
      </c>
      <c r="F1699" s="116">
        <v>781.65</v>
      </c>
      <c r="G1699">
        <v>2941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44510</v>
      </c>
      <c r="B1700" s="116">
        <v>12.623108997513199</v>
      </c>
      <c r="C1700" s="116">
        <v>12.3506905850198</v>
      </c>
      <c r="D1700" s="116">
        <v>12.1202436139861</v>
      </c>
      <c r="E1700" s="116">
        <v>12.379991402642601</v>
      </c>
      <c r="F1700" s="116">
        <v>779.8</v>
      </c>
      <c r="G1700">
        <v>6344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44511</v>
      </c>
      <c r="B1701" s="116">
        <v>12.4964027591442</v>
      </c>
      <c r="C1701" s="116">
        <v>12.220816690691599</v>
      </c>
      <c r="D1701" s="116">
        <v>12.1162840440371</v>
      </c>
      <c r="E1701" s="116">
        <v>12.353858240978999</v>
      </c>
      <c r="F1701" s="116">
        <v>771.6</v>
      </c>
      <c r="G1701">
        <v>4514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44512</v>
      </c>
      <c r="B1702" s="116">
        <v>12.7814917954744</v>
      </c>
      <c r="C1702" s="116">
        <v>12.627068567462199</v>
      </c>
      <c r="D1702" s="116">
        <v>12.1020295922206</v>
      </c>
      <c r="E1702" s="116">
        <v>12.1020295922206</v>
      </c>
      <c r="F1702" s="116">
        <v>797.25</v>
      </c>
      <c r="G1702">
        <v>11121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44515</v>
      </c>
      <c r="B1703" s="116">
        <v>13.4609539987283</v>
      </c>
      <c r="C1703" s="116">
        <v>13.0840029395805</v>
      </c>
      <c r="D1703" s="116">
        <v>12.3221816813868</v>
      </c>
      <c r="E1703" s="116">
        <v>12.6706238369016</v>
      </c>
      <c r="F1703" s="116">
        <v>826.1</v>
      </c>
      <c r="G1703">
        <v>18720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44516</v>
      </c>
      <c r="B1704" s="116">
        <v>13.3976008795438</v>
      </c>
      <c r="C1704" s="116">
        <v>13.053118293978001</v>
      </c>
      <c r="D1704" s="116">
        <v>12.988181346813899</v>
      </c>
      <c r="E1704" s="116">
        <v>13.2107091779495</v>
      </c>
      <c r="F1704" s="116">
        <v>824.15</v>
      </c>
      <c r="G1704">
        <v>5816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44517</v>
      </c>
      <c r="B1705" s="116">
        <v>13.256640189358301</v>
      </c>
      <c r="C1705" s="116">
        <v>12.7228901602288</v>
      </c>
      <c r="D1705" s="116">
        <v>12.686462116697699</v>
      </c>
      <c r="E1705" s="116">
        <v>12.8290066348628</v>
      </c>
      <c r="F1705" s="116">
        <v>803.3</v>
      </c>
      <c r="G1705">
        <v>2540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44518</v>
      </c>
      <c r="B1706" s="116">
        <v>13.143396488815901</v>
      </c>
      <c r="C1706" s="116">
        <v>12.494818931164501</v>
      </c>
      <c r="D1706" s="116">
        <v>12.353858240978999</v>
      </c>
      <c r="E1706" s="116">
        <v>13.137853090887299</v>
      </c>
      <c r="F1706" s="116">
        <v>788.9</v>
      </c>
      <c r="G1706">
        <v>3212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44522</v>
      </c>
      <c r="B1707" s="116">
        <v>12.873353818291999</v>
      </c>
      <c r="C1707" s="116">
        <v>11.7757610284204</v>
      </c>
      <c r="D1707" s="116">
        <v>11.6569739299494</v>
      </c>
      <c r="E1707" s="116">
        <v>12.873353818291999</v>
      </c>
      <c r="F1707" s="116">
        <v>743.5</v>
      </c>
      <c r="G1707">
        <v>5857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44523</v>
      </c>
      <c r="B1708" s="116">
        <v>12.369696520775101</v>
      </c>
      <c r="C1708" s="116">
        <v>12.181220991201201</v>
      </c>
      <c r="D1708" s="116">
        <v>11.5651119071319</v>
      </c>
      <c r="E1708" s="116">
        <v>12.369696520775101</v>
      </c>
      <c r="F1708" s="116">
        <v>769.1</v>
      </c>
      <c r="G1708">
        <v>1890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44524</v>
      </c>
      <c r="B1709" s="116">
        <v>12.749815235882201</v>
      </c>
      <c r="C1709" s="116">
        <v>12.0204624512705</v>
      </c>
      <c r="D1709" s="116">
        <v>11.9586931600657</v>
      </c>
      <c r="E1709" s="116">
        <v>12.417211360163501</v>
      </c>
      <c r="F1709" s="116">
        <v>758.95</v>
      </c>
      <c r="G1709">
        <v>3799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44525</v>
      </c>
      <c r="B1710" s="116">
        <v>12.558963964338901</v>
      </c>
      <c r="C1710" s="116">
        <v>11.8335707496762</v>
      </c>
      <c r="D1710" s="116">
        <v>11.7377491569097</v>
      </c>
      <c r="E1710" s="116">
        <v>11.9262246864836</v>
      </c>
      <c r="F1710" s="116">
        <v>747.15</v>
      </c>
      <c r="G1710">
        <v>10504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44526</v>
      </c>
      <c r="B1711" s="116">
        <v>11.8707907071971</v>
      </c>
      <c r="C1711" s="116">
        <v>11.4946315620391</v>
      </c>
      <c r="D1711" s="116">
        <v>11.403561453211401</v>
      </c>
      <c r="E1711" s="116">
        <v>11.584117842887199</v>
      </c>
      <c r="F1711" s="116">
        <v>725.75</v>
      </c>
      <c r="G1711">
        <v>5390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44529</v>
      </c>
      <c r="B1712" s="116">
        <v>11.4193997330075</v>
      </c>
      <c r="C1712" s="116">
        <v>10.8832739619086</v>
      </c>
      <c r="D1712" s="116">
        <v>10.572843677904499</v>
      </c>
      <c r="E1712" s="116">
        <v>11.276855214842399</v>
      </c>
      <c r="F1712" s="116">
        <v>687.15</v>
      </c>
      <c r="G1712">
        <v>9770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44530</v>
      </c>
      <c r="B1713" s="116">
        <v>11.7203270491339</v>
      </c>
      <c r="C1713" s="116">
        <v>10.8706033380717</v>
      </c>
      <c r="D1713" s="116">
        <v>10.810417874846401</v>
      </c>
      <c r="E1713" s="116">
        <v>11.7203270491339</v>
      </c>
      <c r="F1713" s="116">
        <v>686.35</v>
      </c>
      <c r="G1713">
        <v>6535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44531</v>
      </c>
      <c r="B1714" s="116">
        <v>11.4027695392216</v>
      </c>
      <c r="C1714" s="116">
        <v>11.2942773226181</v>
      </c>
      <c r="D1714" s="116">
        <v>10.7858685411625</v>
      </c>
      <c r="E1714" s="116">
        <v>10.7858685411625</v>
      </c>
      <c r="F1714" s="116">
        <v>713.1</v>
      </c>
      <c r="G1714">
        <v>2468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44532</v>
      </c>
      <c r="B1715" s="116">
        <v>12.6508259871564</v>
      </c>
      <c r="C1715" s="116">
        <v>11.8414898895743</v>
      </c>
      <c r="D1715" s="116">
        <v>11.403561453211401</v>
      </c>
      <c r="E1715" s="116">
        <v>11.403561453211401</v>
      </c>
      <c r="F1715" s="116">
        <v>747.65</v>
      </c>
      <c r="G1715">
        <v>24347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44533</v>
      </c>
      <c r="B1716" s="116">
        <v>12.242990282406099</v>
      </c>
      <c r="C1716" s="116">
        <v>11.8992996108302</v>
      </c>
      <c r="D1716" s="116">
        <v>11.736165328930101</v>
      </c>
      <c r="E1716" s="116">
        <v>12.0782721725264</v>
      </c>
      <c r="F1716" s="116">
        <v>751.3</v>
      </c>
      <c r="G1716">
        <v>4824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44536</v>
      </c>
      <c r="B1717" s="116">
        <v>12.132122323833199</v>
      </c>
      <c r="C1717" s="116">
        <v>11.6688526397965</v>
      </c>
      <c r="D1717" s="116">
        <v>11.6411356501533</v>
      </c>
      <c r="E1717" s="116">
        <v>12.132122323833199</v>
      </c>
      <c r="F1717" s="116">
        <v>736.75</v>
      </c>
      <c r="G1717">
        <v>3219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44537</v>
      </c>
      <c r="B1718" s="116">
        <v>12.030757333138</v>
      </c>
      <c r="C1718" s="116">
        <v>11.5833259288974</v>
      </c>
      <c r="D1718" s="116">
        <v>11.4875043361309</v>
      </c>
      <c r="E1718" s="116">
        <v>11.6886504895417</v>
      </c>
      <c r="F1718" s="116">
        <v>731.35</v>
      </c>
      <c r="G1718">
        <v>5924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44538</v>
      </c>
      <c r="B1719" s="116">
        <v>12.0529309248526</v>
      </c>
      <c r="C1719" s="116">
        <v>11.569863391070699</v>
      </c>
      <c r="D1719" s="116">
        <v>11.514429411784301</v>
      </c>
      <c r="E1719" s="116">
        <v>11.609459090561099</v>
      </c>
      <c r="F1719" s="116">
        <v>730.5</v>
      </c>
      <c r="G1719">
        <v>4443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44539</v>
      </c>
      <c r="B1720" s="116">
        <v>11.8747502771462</v>
      </c>
      <c r="C1720" s="116">
        <v>11.7987265341248</v>
      </c>
      <c r="D1720" s="116">
        <v>11.577782530968801</v>
      </c>
      <c r="E1720" s="116">
        <v>11.582534014907599</v>
      </c>
      <c r="F1720" s="116">
        <v>744.95</v>
      </c>
      <c r="G1720">
        <v>1933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44540</v>
      </c>
      <c r="B1721" s="116">
        <v>11.8240677817986</v>
      </c>
      <c r="C1721" s="116">
        <v>11.660141585908701</v>
      </c>
      <c r="D1721" s="116">
        <v>11.482752852192</v>
      </c>
      <c r="E1721" s="116">
        <v>11.7203270491339</v>
      </c>
      <c r="F1721" s="116">
        <v>736.2</v>
      </c>
      <c r="G1721">
        <v>4009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44543</v>
      </c>
      <c r="B1722" s="116">
        <v>11.875542191136001</v>
      </c>
      <c r="C1722" s="116">
        <v>11.6142105744999</v>
      </c>
      <c r="D1722" s="116">
        <v>11.561944251172701</v>
      </c>
      <c r="E1722" s="116">
        <v>11.8422818035641</v>
      </c>
      <c r="F1722" s="116">
        <v>733.3</v>
      </c>
      <c r="G1722">
        <v>2438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44544</v>
      </c>
      <c r="B1723" s="116">
        <v>11.7995184481146</v>
      </c>
      <c r="C1723" s="116">
        <v>11.7393329848893</v>
      </c>
      <c r="D1723" s="116">
        <v>11.327537710190001</v>
      </c>
      <c r="E1723" s="116">
        <v>11.327537710190001</v>
      </c>
      <c r="F1723" s="116">
        <v>741.2</v>
      </c>
      <c r="G1723">
        <v>3134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44545</v>
      </c>
      <c r="B1724" s="116">
        <v>12.003040343494799</v>
      </c>
      <c r="C1724" s="116">
        <v>11.6078752625814</v>
      </c>
      <c r="D1724" s="116">
        <v>11.452660120579401</v>
      </c>
      <c r="E1724" s="116">
        <v>12.003040343494799</v>
      </c>
      <c r="F1724" s="116">
        <v>732.9</v>
      </c>
      <c r="G1724">
        <v>2891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44546</v>
      </c>
      <c r="B1725" s="116">
        <v>11.8787098470952</v>
      </c>
      <c r="C1725" s="116">
        <v>11.454243948559</v>
      </c>
      <c r="D1725" s="116">
        <v>11.324370054230799</v>
      </c>
      <c r="E1725" s="116">
        <v>11.8787098470952</v>
      </c>
      <c r="F1725" s="116">
        <v>723.2</v>
      </c>
      <c r="G1725">
        <v>2709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44547</v>
      </c>
      <c r="B1726" s="116">
        <v>11.5302676915804</v>
      </c>
      <c r="C1726" s="116">
        <v>11.3798040335172</v>
      </c>
      <c r="D1726" s="116">
        <v>11.325953882210399</v>
      </c>
      <c r="E1726" s="116">
        <v>11.340208334026901</v>
      </c>
      <c r="F1726" s="116">
        <v>718.5</v>
      </c>
      <c r="G1726">
        <v>1504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44550</v>
      </c>
      <c r="B1727" s="116">
        <v>11.514429411784301</v>
      </c>
      <c r="C1727" s="116">
        <v>10.9181181774601</v>
      </c>
      <c r="D1727" s="116">
        <v>10.3352694809626</v>
      </c>
      <c r="E1727" s="116">
        <v>11.514429411784301</v>
      </c>
      <c r="F1727" s="116">
        <v>689.35</v>
      </c>
      <c r="G1727">
        <v>5645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44551</v>
      </c>
      <c r="B1728" s="116">
        <v>11.4003937972522</v>
      </c>
      <c r="C1728" s="116">
        <v>11.048783985778201</v>
      </c>
      <c r="D1728" s="116">
        <v>10.849221660347</v>
      </c>
      <c r="E1728" s="116">
        <v>10.9371241132155</v>
      </c>
      <c r="F1728" s="116">
        <v>697.6</v>
      </c>
      <c r="G1728">
        <v>3049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44552</v>
      </c>
      <c r="B1729" s="116">
        <v>11.4027695392216</v>
      </c>
      <c r="C1729" s="116">
        <v>11.188160847984101</v>
      </c>
      <c r="D1729" s="116">
        <v>11.0107721142675</v>
      </c>
      <c r="E1729" s="116">
        <v>11.4027695392216</v>
      </c>
      <c r="F1729" s="116">
        <v>706.4</v>
      </c>
      <c r="G1729">
        <v>1469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44553</v>
      </c>
      <c r="B1730" s="116">
        <v>11.451076292599801</v>
      </c>
      <c r="C1730" s="116">
        <v>11.024234652094201</v>
      </c>
      <c r="D1730" s="116">
        <v>10.950586651042199</v>
      </c>
      <c r="E1730" s="116">
        <v>11.451076292599801</v>
      </c>
      <c r="F1730" s="116">
        <v>696.05</v>
      </c>
      <c r="G1730">
        <v>5734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44554</v>
      </c>
      <c r="B1731" s="116">
        <v>11.434446098813901</v>
      </c>
      <c r="C1731" s="116">
        <v>11.0400729318903</v>
      </c>
      <c r="D1731" s="116">
        <v>10.8650599401431</v>
      </c>
      <c r="E1731" s="116">
        <v>11.340208334026901</v>
      </c>
      <c r="F1731" s="116">
        <v>697.05</v>
      </c>
      <c r="G1731">
        <v>4868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44557</v>
      </c>
      <c r="B1732" s="116">
        <v>11.243594827270501</v>
      </c>
      <c r="C1732" s="116">
        <v>11.1976638158618</v>
      </c>
      <c r="D1732" s="116">
        <v>10.853181230296</v>
      </c>
      <c r="E1732" s="116">
        <v>10.9284130593276</v>
      </c>
      <c r="F1732" s="116">
        <v>707</v>
      </c>
      <c r="G1732">
        <v>1989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44558</v>
      </c>
      <c r="B1733" s="116">
        <v>11.354462785843401</v>
      </c>
      <c r="C1733" s="116">
        <v>11.1873689339943</v>
      </c>
      <c r="D1733" s="116">
        <v>10.9711764147771</v>
      </c>
      <c r="E1733" s="116">
        <v>10.9711764147771</v>
      </c>
      <c r="F1733" s="116">
        <v>706.35</v>
      </c>
      <c r="G1733">
        <v>3257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44559</v>
      </c>
      <c r="B1734" s="116">
        <v>11.420191646997299</v>
      </c>
      <c r="C1734" s="116">
        <v>11.0867958572889</v>
      </c>
      <c r="D1734" s="116">
        <v>11.040864845880099</v>
      </c>
      <c r="E1734" s="116">
        <v>11.420191646997299</v>
      </c>
      <c r="F1734" s="116">
        <v>700</v>
      </c>
      <c r="G1734">
        <v>2570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44560</v>
      </c>
      <c r="B1735" s="116">
        <v>11.352878957863799</v>
      </c>
      <c r="C1735" s="116">
        <v>11.087587771278701</v>
      </c>
      <c r="D1735" s="116">
        <v>11.008396372298</v>
      </c>
      <c r="E1735" s="116">
        <v>11.008396372298</v>
      </c>
      <c r="F1735" s="116">
        <v>700.05</v>
      </c>
      <c r="G1735">
        <v>1709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44561</v>
      </c>
      <c r="B1736" s="116">
        <v>11.3861393454357</v>
      </c>
      <c r="C1736" s="116">
        <v>11.1897446759637</v>
      </c>
      <c r="D1736" s="116">
        <v>11.0392810179005</v>
      </c>
      <c r="E1736" s="116">
        <v>11.2618088490361</v>
      </c>
      <c r="F1736" s="116">
        <v>706.5</v>
      </c>
      <c r="G1736">
        <v>2837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44564</v>
      </c>
      <c r="B1737" s="116">
        <v>11.3085317744346</v>
      </c>
      <c r="C1737" s="116">
        <v>11.0962988251665</v>
      </c>
      <c r="D1737" s="116">
        <v>11.009188286287801</v>
      </c>
      <c r="E1737" s="116">
        <v>11.3085317744346</v>
      </c>
      <c r="F1737" s="116">
        <v>700.6</v>
      </c>
      <c r="G1737">
        <v>8120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44565</v>
      </c>
      <c r="B1738" s="116">
        <v>11.315659000342899</v>
      </c>
      <c r="C1738" s="116">
        <v>11.086003943299101</v>
      </c>
      <c r="D1738" s="116">
        <v>11.0472001577985</v>
      </c>
      <c r="E1738" s="116">
        <v>11.0472001577985</v>
      </c>
      <c r="F1738" s="116">
        <v>699.95</v>
      </c>
      <c r="G1738">
        <v>4275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44566</v>
      </c>
      <c r="B1739" s="116">
        <v>11.385347431445901</v>
      </c>
      <c r="C1739" s="116">
        <v>11.055119297696599</v>
      </c>
      <c r="D1739" s="116">
        <v>10.9284130593276</v>
      </c>
      <c r="E1739" s="116">
        <v>11.385347431445901</v>
      </c>
      <c r="F1739" s="116">
        <v>698</v>
      </c>
      <c r="G1739">
        <v>2557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44567</v>
      </c>
      <c r="B1740" s="116">
        <v>11.102634137084999</v>
      </c>
      <c r="C1740" s="116">
        <v>11.074125233452</v>
      </c>
      <c r="D1740" s="116">
        <v>10.7898281111115</v>
      </c>
      <c r="E1740" s="116">
        <v>11.0234427381044</v>
      </c>
      <c r="F1740" s="116">
        <v>699.2</v>
      </c>
      <c r="G1740">
        <v>4531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44568</v>
      </c>
      <c r="B1741" s="116">
        <v>11.220629321566101</v>
      </c>
      <c r="C1741" s="116">
        <v>10.898320327715</v>
      </c>
      <c r="D1741" s="116">
        <v>10.833383380550799</v>
      </c>
      <c r="E1741" s="116">
        <v>11.220629321566101</v>
      </c>
      <c r="F1741" s="116">
        <v>688.1</v>
      </c>
      <c r="G1741">
        <v>4455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44571</v>
      </c>
      <c r="B1742" s="116">
        <v>11.8628715672991</v>
      </c>
      <c r="C1742" s="116">
        <v>11.5896612408159</v>
      </c>
      <c r="D1742" s="116">
        <v>10.8365510365101</v>
      </c>
      <c r="E1742" s="116">
        <v>11.0677899215335</v>
      </c>
      <c r="F1742" s="116">
        <v>731.75</v>
      </c>
      <c r="G1742">
        <v>8442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44572</v>
      </c>
      <c r="B1743" s="116">
        <v>11.8747502771462</v>
      </c>
      <c r="C1743" s="116">
        <v>11.506510271886199</v>
      </c>
      <c r="D1743" s="116">
        <v>11.324370054230799</v>
      </c>
      <c r="E1743" s="116">
        <v>11.8620796533093</v>
      </c>
      <c r="F1743" s="116">
        <v>726.5</v>
      </c>
      <c r="G1743">
        <v>4730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44573</v>
      </c>
      <c r="B1744" s="116">
        <v>12.5439175985325</v>
      </c>
      <c r="C1744" s="116">
        <v>12.075104516567199</v>
      </c>
      <c r="D1744" s="116">
        <v>11.3433759899861</v>
      </c>
      <c r="E1744" s="116">
        <v>11.506510271886199</v>
      </c>
      <c r="F1744" s="116">
        <v>762.4</v>
      </c>
      <c r="G1744">
        <v>17110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44574</v>
      </c>
      <c r="B1745" s="116">
        <v>12.6690400089219</v>
      </c>
      <c r="C1745" s="116">
        <v>12.300800003661999</v>
      </c>
      <c r="D1745" s="116">
        <v>12.037884559046301</v>
      </c>
      <c r="E1745" s="116">
        <v>12.306343401590601</v>
      </c>
      <c r="F1745" s="116">
        <v>776.65</v>
      </c>
      <c r="G1745">
        <v>5252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44575</v>
      </c>
      <c r="B1746" s="116">
        <v>12.6706238369016</v>
      </c>
      <c r="C1746" s="116">
        <v>12.4140437042043</v>
      </c>
      <c r="D1746" s="116">
        <v>12.148752517619201</v>
      </c>
      <c r="E1746" s="116">
        <v>12.151128259588599</v>
      </c>
      <c r="F1746" s="116">
        <v>783.8</v>
      </c>
      <c r="G1746">
        <v>3936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44578</v>
      </c>
      <c r="B1747" s="116">
        <v>13.4942143863002</v>
      </c>
      <c r="C1747" s="116">
        <v>13.371467717880201</v>
      </c>
      <c r="D1747" s="116">
        <v>12.3221816813868</v>
      </c>
      <c r="E1747" s="116">
        <v>12.4330496399597</v>
      </c>
      <c r="F1747" s="116">
        <v>844.25</v>
      </c>
      <c r="G1747">
        <v>18444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44579</v>
      </c>
      <c r="B1748" s="116">
        <v>13.461745912718101</v>
      </c>
      <c r="C1748" s="116">
        <v>12.817127925015701</v>
      </c>
      <c r="D1748" s="116">
        <v>12.686462116697699</v>
      </c>
      <c r="E1748" s="116">
        <v>13.461745912718101</v>
      </c>
      <c r="F1748" s="116">
        <v>809.25</v>
      </c>
      <c r="G1748">
        <v>8604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44580</v>
      </c>
      <c r="B1749" s="116">
        <v>12.9683834970687</v>
      </c>
      <c r="C1749" s="116">
        <v>12.7450637519434</v>
      </c>
      <c r="D1749" s="116">
        <v>12.5455014265122</v>
      </c>
      <c r="E1749" s="116">
        <v>12.9074061198537</v>
      </c>
      <c r="F1749" s="116">
        <v>804.7</v>
      </c>
      <c r="G1749">
        <v>5992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44581</v>
      </c>
      <c r="B1750" s="116">
        <v>12.9374988514663</v>
      </c>
      <c r="C1750" s="116">
        <v>12.820295580974999</v>
      </c>
      <c r="D1750" s="116">
        <v>12.361777380877101</v>
      </c>
      <c r="E1750" s="116">
        <v>12.6714157508914</v>
      </c>
      <c r="F1750" s="116">
        <v>809.45</v>
      </c>
      <c r="G1750">
        <v>3136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44582</v>
      </c>
      <c r="B1751" s="116">
        <v>12.9089899478333</v>
      </c>
      <c r="C1751" s="116">
        <v>12.384742886581501</v>
      </c>
      <c r="D1751" s="116">
        <v>12.2746668419984</v>
      </c>
      <c r="E1751" s="116">
        <v>12.828214720873</v>
      </c>
      <c r="F1751" s="116">
        <v>781.95</v>
      </c>
      <c r="G1751">
        <v>3884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44585</v>
      </c>
      <c r="B1752" s="116">
        <v>12.369696520775101</v>
      </c>
      <c r="C1752" s="116">
        <v>11.801894190084001</v>
      </c>
      <c r="D1752" s="116">
        <v>11.420191646997299</v>
      </c>
      <c r="E1752" s="116">
        <v>12.369696520775101</v>
      </c>
      <c r="F1752" s="116">
        <v>745.15</v>
      </c>
      <c r="G1752">
        <v>2982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44586</v>
      </c>
      <c r="B1753" s="116">
        <v>12.0679772906589</v>
      </c>
      <c r="C1753" s="116">
        <v>11.925432772493799</v>
      </c>
      <c r="D1753" s="116">
        <v>11.4067291091706</v>
      </c>
      <c r="E1753" s="116">
        <v>11.5627361651625</v>
      </c>
      <c r="F1753" s="116">
        <v>752.95</v>
      </c>
      <c r="G1753">
        <v>2711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44588</v>
      </c>
      <c r="B1754" s="116">
        <v>12.9873894328241</v>
      </c>
      <c r="C1754" s="116">
        <v>12.850388312587601</v>
      </c>
      <c r="D1754" s="116">
        <v>11.482752852192</v>
      </c>
      <c r="E1754" s="116">
        <v>11.8787098470952</v>
      </c>
      <c r="F1754" s="116">
        <v>811.35</v>
      </c>
      <c r="G1754">
        <v>11226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44589</v>
      </c>
      <c r="B1755" s="116">
        <v>13.541729225688499</v>
      </c>
      <c r="C1755" s="116">
        <v>12.6262766534724</v>
      </c>
      <c r="D1755" s="116">
        <v>12.5130329529301</v>
      </c>
      <c r="E1755" s="116">
        <v>13.3833464277273</v>
      </c>
      <c r="F1755" s="116">
        <v>797.2</v>
      </c>
      <c r="G1755">
        <v>13589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44592</v>
      </c>
      <c r="B1756" s="116">
        <v>13.367508147931099</v>
      </c>
      <c r="C1756" s="116">
        <v>12.9287877975784</v>
      </c>
      <c r="D1756" s="116">
        <v>12.7593182037599</v>
      </c>
      <c r="E1756" s="116">
        <v>13.367508147931099</v>
      </c>
      <c r="F1756" s="116">
        <v>816.3</v>
      </c>
      <c r="G1756">
        <v>6047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44593</v>
      </c>
      <c r="B1757" s="116">
        <v>13.2843571790015</v>
      </c>
      <c r="C1757" s="116">
        <v>12.9873894328241</v>
      </c>
      <c r="D1757" s="116">
        <v>12.7038842244734</v>
      </c>
      <c r="E1757" s="116">
        <v>13.063413175845501</v>
      </c>
      <c r="F1757" s="116">
        <v>820</v>
      </c>
      <c r="G1757">
        <v>6457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44594</v>
      </c>
      <c r="B1758" s="116">
        <v>13.3833464277273</v>
      </c>
      <c r="C1758" s="116">
        <v>12.815544097036099</v>
      </c>
      <c r="D1758" s="116">
        <v>12.7735726555764</v>
      </c>
      <c r="E1758" s="116">
        <v>13.000060056661001</v>
      </c>
      <c r="F1758" s="116">
        <v>809.15</v>
      </c>
      <c r="G1758">
        <v>6253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44595</v>
      </c>
      <c r="B1759" s="116">
        <v>13.096673563417401</v>
      </c>
      <c r="C1759" s="116">
        <v>12.5866809539821</v>
      </c>
      <c r="D1759" s="116">
        <v>12.512241038940299</v>
      </c>
      <c r="E1759" s="116">
        <v>12.924036313639601</v>
      </c>
      <c r="F1759" s="116">
        <v>794.7</v>
      </c>
      <c r="G1759">
        <v>2031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44596</v>
      </c>
      <c r="B1760" s="116">
        <v>13.0111468525183</v>
      </c>
      <c r="C1760" s="116">
        <v>12.548669082471401</v>
      </c>
      <c r="D1760" s="116">
        <v>12.2113137228139</v>
      </c>
      <c r="E1760" s="116">
        <v>12.6706238369016</v>
      </c>
      <c r="F1760" s="116">
        <v>792.3</v>
      </c>
      <c r="G1760">
        <v>2900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44599</v>
      </c>
      <c r="B1761" s="116">
        <v>12.702300396493801</v>
      </c>
      <c r="C1761" s="116">
        <v>12.397413510418399</v>
      </c>
      <c r="D1761" s="116">
        <v>12.2382387984673</v>
      </c>
      <c r="E1761" s="116">
        <v>12.512241038940299</v>
      </c>
      <c r="F1761" s="116">
        <v>782.75</v>
      </c>
      <c r="G1761">
        <v>2131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44600</v>
      </c>
      <c r="B1762" s="116">
        <v>12.8923597540473</v>
      </c>
      <c r="C1762" s="116">
        <v>12.169342281354099</v>
      </c>
      <c r="D1762" s="116">
        <v>11.9135540626467</v>
      </c>
      <c r="E1762" s="116">
        <v>12.8923597540473</v>
      </c>
      <c r="F1762" s="116">
        <v>768.35</v>
      </c>
      <c r="G1762">
        <v>1689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44601</v>
      </c>
      <c r="B1763" s="116">
        <v>12.813168355066701</v>
      </c>
      <c r="C1763" s="116">
        <v>12.444136435816899</v>
      </c>
      <c r="D1763" s="116">
        <v>12.179637163221599</v>
      </c>
      <c r="E1763" s="116">
        <v>12.179637163221599</v>
      </c>
      <c r="F1763" s="116">
        <v>785.7</v>
      </c>
      <c r="G1763">
        <v>1129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44602</v>
      </c>
      <c r="B1764" s="116">
        <v>12.6547855571054</v>
      </c>
      <c r="C1764" s="116">
        <v>12.3879105425407</v>
      </c>
      <c r="D1764" s="116">
        <v>12.353858240978999</v>
      </c>
      <c r="E1764" s="116">
        <v>12.6547855571054</v>
      </c>
      <c r="F1764" s="116">
        <v>782.15</v>
      </c>
      <c r="G1764">
        <v>1169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44603</v>
      </c>
      <c r="B1765" s="116">
        <v>12.8123764410769</v>
      </c>
      <c r="C1765" s="116">
        <v>12.298424261692601</v>
      </c>
      <c r="D1765" s="116">
        <v>11.8787098470952</v>
      </c>
      <c r="E1765" s="116">
        <v>12.353858240978999</v>
      </c>
      <c r="F1765" s="116">
        <v>776.5</v>
      </c>
      <c r="G1765">
        <v>3440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44606</v>
      </c>
      <c r="B1766" s="116">
        <v>12.345939101080999</v>
      </c>
      <c r="C1766" s="116">
        <v>11.3821797754866</v>
      </c>
      <c r="D1766" s="116">
        <v>11.245178655250101</v>
      </c>
      <c r="E1766" s="116">
        <v>12.171718023323599</v>
      </c>
      <c r="F1766" s="116">
        <v>718.65</v>
      </c>
      <c r="G1766">
        <v>11469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44607</v>
      </c>
      <c r="B1767" s="116">
        <v>11.701321113378601</v>
      </c>
      <c r="C1767" s="116">
        <v>11.463746916436699</v>
      </c>
      <c r="D1767" s="116">
        <v>11.087587771278701</v>
      </c>
      <c r="E1767" s="116">
        <v>11.701321113378601</v>
      </c>
      <c r="F1767" s="116">
        <v>723.8</v>
      </c>
      <c r="G1767">
        <v>3269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44608</v>
      </c>
      <c r="B1768" s="116">
        <v>11.7995184481146</v>
      </c>
      <c r="C1768" s="116">
        <v>11.537394917488699</v>
      </c>
      <c r="D1768" s="116">
        <v>11.5049264439066</v>
      </c>
      <c r="E1768" s="116">
        <v>11.7678418885223</v>
      </c>
      <c r="F1768" s="116">
        <v>728.45</v>
      </c>
      <c r="G1768">
        <v>1942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44609</v>
      </c>
      <c r="B1769" s="116">
        <v>11.854952427401001</v>
      </c>
      <c r="C1769" s="116">
        <v>11.4130644210891</v>
      </c>
      <c r="D1769" s="116">
        <v>11.1541085464224</v>
      </c>
      <c r="E1769" s="116">
        <v>11.5936208107649</v>
      </c>
      <c r="F1769" s="116">
        <v>720.6</v>
      </c>
      <c r="G1769">
        <v>1690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44610</v>
      </c>
      <c r="B1770" s="116">
        <v>11.482752852192</v>
      </c>
      <c r="C1770" s="116">
        <v>11.2736875588832</v>
      </c>
      <c r="D1770" s="116">
        <v>10.7787413152542</v>
      </c>
      <c r="E1770" s="116">
        <v>11.184993192024899</v>
      </c>
      <c r="F1770" s="116">
        <v>711.8</v>
      </c>
      <c r="G1770">
        <v>1894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44613</v>
      </c>
      <c r="B1771" s="116">
        <v>11.403561453211401</v>
      </c>
      <c r="C1771" s="116">
        <v>10.9822632106344</v>
      </c>
      <c r="D1771" s="116">
        <v>10.770030261366299</v>
      </c>
      <c r="E1771" s="116">
        <v>11.0867958572889</v>
      </c>
      <c r="F1771" s="116">
        <v>693.4</v>
      </c>
      <c r="G1771">
        <v>7332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44614</v>
      </c>
      <c r="B1772" s="116">
        <v>11.102634137084999</v>
      </c>
      <c r="C1772" s="116">
        <v>10.9640491888689</v>
      </c>
      <c r="D1772" s="116">
        <v>10.6924226903653</v>
      </c>
      <c r="E1772" s="116">
        <v>10.770030261366299</v>
      </c>
      <c r="F1772" s="116">
        <v>692.25</v>
      </c>
      <c r="G1772">
        <v>3356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44615</v>
      </c>
      <c r="B1773" s="116">
        <v>11.481960938202199</v>
      </c>
      <c r="C1773" s="116">
        <v>11.0472001577985</v>
      </c>
      <c r="D1773" s="116">
        <v>10.804874476917799</v>
      </c>
      <c r="E1773" s="116">
        <v>10.804874476917799</v>
      </c>
      <c r="F1773" s="116">
        <v>697.5</v>
      </c>
      <c r="G1773">
        <v>3636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44616</v>
      </c>
      <c r="B1774" s="116">
        <v>11.229340375454001</v>
      </c>
      <c r="C1774" s="116">
        <v>10.552253914169601</v>
      </c>
      <c r="D1774" s="116">
        <v>10.4532646654438</v>
      </c>
      <c r="E1774" s="116">
        <v>11.229340375454001</v>
      </c>
      <c r="F1774" s="116">
        <v>666.25</v>
      </c>
      <c r="G1774">
        <v>12819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44617</v>
      </c>
      <c r="B1775" s="116">
        <v>11.466914572395901</v>
      </c>
      <c r="C1775" s="116">
        <v>10.754983895560001</v>
      </c>
      <c r="D1775" s="116">
        <v>10.564924538006499</v>
      </c>
      <c r="E1775" s="116">
        <v>10.564924538006499</v>
      </c>
      <c r="F1775" s="116">
        <v>679.05</v>
      </c>
      <c r="G1775">
        <v>2456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44620</v>
      </c>
      <c r="B1776" s="116">
        <v>11.243594827270501</v>
      </c>
      <c r="C1776" s="116">
        <v>11.1089694490034</v>
      </c>
      <c r="D1776" s="116">
        <v>10.770030261366299</v>
      </c>
      <c r="E1776" s="116">
        <v>11.149357062483601</v>
      </c>
      <c r="F1776" s="116">
        <v>701.4</v>
      </c>
      <c r="G1776">
        <v>2274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44622</v>
      </c>
      <c r="B1777" s="116">
        <v>11.387723173415299</v>
      </c>
      <c r="C1777" s="116">
        <v>11.145397492534499</v>
      </c>
      <c r="D1777" s="116">
        <v>10.770030261366299</v>
      </c>
      <c r="E1777" s="116">
        <v>10.975927898716</v>
      </c>
      <c r="F1777" s="116">
        <v>703.7</v>
      </c>
      <c r="G1777">
        <v>14712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44623</v>
      </c>
      <c r="B1778" s="116">
        <v>11.7678418885223</v>
      </c>
      <c r="C1778" s="116">
        <v>11.4977992179984</v>
      </c>
      <c r="D1778" s="116">
        <v>10.9474189950829</v>
      </c>
      <c r="E1778" s="116">
        <v>11.403561453211401</v>
      </c>
      <c r="F1778" s="116">
        <v>725.95</v>
      </c>
      <c r="G1778">
        <v>4433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44624</v>
      </c>
      <c r="B1779" s="116">
        <v>11.7694257165019</v>
      </c>
      <c r="C1779" s="116">
        <v>10.9814712966446</v>
      </c>
      <c r="D1779" s="116">
        <v>10.770030261366299</v>
      </c>
      <c r="E1779" s="116">
        <v>11.7694257165019</v>
      </c>
      <c r="F1779" s="116">
        <v>693.35</v>
      </c>
      <c r="G1779">
        <v>5604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44627</v>
      </c>
      <c r="B1780" s="116">
        <v>11.4193997330075</v>
      </c>
      <c r="C1780" s="116">
        <v>11.0582869536558</v>
      </c>
      <c r="D1780" s="116">
        <v>10.6132312913847</v>
      </c>
      <c r="E1780" s="116">
        <v>10.6132312913847</v>
      </c>
      <c r="F1780" s="116">
        <v>698.2</v>
      </c>
      <c r="G1780">
        <v>3816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44628</v>
      </c>
      <c r="B1781" s="116">
        <v>11.7203270491339</v>
      </c>
      <c r="C1781" s="116">
        <v>11.6918181455009</v>
      </c>
      <c r="D1781" s="116">
        <v>11.4114805931095</v>
      </c>
      <c r="E1781" s="116">
        <v>11.7203270491339</v>
      </c>
      <c r="F1781" s="116">
        <v>738.2</v>
      </c>
      <c r="G1781">
        <v>6292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44629</v>
      </c>
      <c r="B1782" s="116">
        <v>12.0426360429851</v>
      </c>
      <c r="C1782" s="116">
        <v>11.6846909195927</v>
      </c>
      <c r="D1782" s="116">
        <v>11.403561453211401</v>
      </c>
      <c r="E1782" s="116">
        <v>11.7203270491339</v>
      </c>
      <c r="F1782" s="116">
        <v>737.75</v>
      </c>
      <c r="G1782">
        <v>4879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44630</v>
      </c>
      <c r="B1783" s="116">
        <v>12.220816690691599</v>
      </c>
      <c r="C1783" s="116">
        <v>12.054514752832199</v>
      </c>
      <c r="D1783" s="116">
        <v>11.53185151956</v>
      </c>
      <c r="E1783" s="116">
        <v>11.957901246075799</v>
      </c>
      <c r="F1783" s="116">
        <v>761.1</v>
      </c>
      <c r="G1783">
        <v>1586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44631</v>
      </c>
      <c r="B1784" s="116">
        <v>12.2667477021003</v>
      </c>
      <c r="C1784" s="116">
        <v>11.683107091613</v>
      </c>
      <c r="D1784" s="116">
        <v>11.503342615927</v>
      </c>
      <c r="E1784" s="116">
        <v>12.0054160854642</v>
      </c>
      <c r="F1784" s="116">
        <v>737.65</v>
      </c>
      <c r="G1784">
        <v>1853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44634</v>
      </c>
      <c r="B1785" s="116">
        <v>12.115492130047301</v>
      </c>
      <c r="C1785" s="116">
        <v>11.778928684379601</v>
      </c>
      <c r="D1785" s="116">
        <v>11.5872854988465</v>
      </c>
      <c r="E1785" s="116">
        <v>11.7995184481146</v>
      </c>
      <c r="F1785" s="116">
        <v>743.7</v>
      </c>
      <c r="G1785">
        <v>3588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44635</v>
      </c>
      <c r="B1786" s="116">
        <v>14.1340808900637</v>
      </c>
      <c r="C1786" s="116">
        <v>14.1340808900637</v>
      </c>
      <c r="D1786" s="116">
        <v>12.844844914658999</v>
      </c>
      <c r="E1786" s="116">
        <v>12.844844914658999</v>
      </c>
      <c r="F1786" s="116">
        <v>892.4</v>
      </c>
      <c r="G1786">
        <v>25971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44636</v>
      </c>
      <c r="B1787" s="116">
        <v>15.8366959681473</v>
      </c>
      <c r="C1787" s="116">
        <v>14.6424896715194</v>
      </c>
      <c r="D1787" s="116">
        <v>14.4603494538639</v>
      </c>
      <c r="E1787" s="116">
        <v>15.8066032365347</v>
      </c>
      <c r="F1787" s="116">
        <v>924.5</v>
      </c>
      <c r="G1787">
        <v>28564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44637</v>
      </c>
      <c r="B1788" s="116">
        <v>14.96717440734</v>
      </c>
      <c r="C1788" s="116">
        <v>14.4825230455785</v>
      </c>
      <c r="D1788" s="116">
        <v>14.320180677668199</v>
      </c>
      <c r="E1788" s="116">
        <v>14.8563064487671</v>
      </c>
      <c r="F1788" s="116">
        <v>914.4</v>
      </c>
      <c r="G1788">
        <v>9587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44641</v>
      </c>
      <c r="B1789" s="116">
        <v>16.788576583894599</v>
      </c>
      <c r="C1789" s="116">
        <v>16.594557656391999</v>
      </c>
      <c r="D1789" s="116">
        <v>14.2552437305041</v>
      </c>
      <c r="E1789" s="116">
        <v>14.713761930601899</v>
      </c>
      <c r="F1789" s="116">
        <v>1047.75</v>
      </c>
      <c r="G1789">
        <v>50385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44642</v>
      </c>
      <c r="B1790" s="116">
        <v>16.630193785933301</v>
      </c>
      <c r="C1790" s="116">
        <v>16.3625268573787</v>
      </c>
      <c r="D1790" s="116">
        <v>15.9372690448527</v>
      </c>
      <c r="E1790" s="116">
        <v>16.630193785933301</v>
      </c>
      <c r="F1790" s="116">
        <v>1033.0999999999999</v>
      </c>
      <c r="G1790">
        <v>17499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44643</v>
      </c>
      <c r="B1791" s="116">
        <v>16.642864409770201</v>
      </c>
      <c r="C1791" s="116">
        <v>16.546250903013799</v>
      </c>
      <c r="D1791" s="116">
        <v>16.234236791030099</v>
      </c>
      <c r="E1791" s="116">
        <v>16.598517226340999</v>
      </c>
      <c r="F1791" s="116">
        <v>1044.7</v>
      </c>
      <c r="G1791">
        <v>9683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44644</v>
      </c>
      <c r="B1792" s="116">
        <v>16.487649267768202</v>
      </c>
      <c r="C1792" s="116">
        <v>16.075062079079</v>
      </c>
      <c r="D1792" s="116">
        <v>15.887378463494899</v>
      </c>
      <c r="E1792" s="116">
        <v>16.487649267768202</v>
      </c>
      <c r="F1792" s="116">
        <v>1014.95</v>
      </c>
      <c r="G1792">
        <v>5060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44645</v>
      </c>
      <c r="B1793" s="116">
        <v>16.463891848073999</v>
      </c>
      <c r="C1793" s="116">
        <v>16.19384917755</v>
      </c>
      <c r="D1793" s="116">
        <v>15.9887434541902</v>
      </c>
      <c r="E1793" s="116">
        <v>15.9887434541902</v>
      </c>
      <c r="F1793" s="116">
        <v>1022.45</v>
      </c>
      <c r="G1793">
        <v>5093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44648</v>
      </c>
      <c r="B1794" s="116">
        <v>16.307092878092298</v>
      </c>
      <c r="C1794" s="116">
        <v>16.119409262508199</v>
      </c>
      <c r="D1794" s="116">
        <v>15.8541180759231</v>
      </c>
      <c r="E1794" s="116">
        <v>16.171675585835398</v>
      </c>
      <c r="F1794" s="116">
        <v>1017.75</v>
      </c>
      <c r="G1794">
        <v>5496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44649</v>
      </c>
      <c r="B1795" s="116">
        <v>16.455972708175899</v>
      </c>
      <c r="C1795" s="116">
        <v>16.1122820365999</v>
      </c>
      <c r="D1795" s="116">
        <v>15.9174711951076</v>
      </c>
      <c r="E1795" s="116">
        <v>16.012500873884299</v>
      </c>
      <c r="F1795" s="116">
        <v>1017.3</v>
      </c>
      <c r="G1795">
        <v>3961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44650</v>
      </c>
      <c r="B1796" s="116">
        <v>16.630193785933301</v>
      </c>
      <c r="C1796" s="116">
        <v>16.222358081183</v>
      </c>
      <c r="D1796" s="116">
        <v>15.934101388893501</v>
      </c>
      <c r="E1796" s="116">
        <v>15.934101388893501</v>
      </c>
      <c r="F1796" s="116">
        <v>1024.25</v>
      </c>
      <c r="G1796">
        <v>4324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44651</v>
      </c>
      <c r="B1797" s="116">
        <v>16.3134281900108</v>
      </c>
      <c r="C1797" s="116">
        <v>16.200184489468398</v>
      </c>
      <c r="D1797" s="116">
        <v>15.749585429268601</v>
      </c>
      <c r="E1797" s="116">
        <v>16.265913350622402</v>
      </c>
      <c r="F1797" s="116">
        <v>1022.85</v>
      </c>
      <c r="G1797">
        <v>2450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44652</v>
      </c>
      <c r="B1798" s="116">
        <v>17.8196485986224</v>
      </c>
      <c r="C1798" s="116">
        <v>17.8196485986224</v>
      </c>
      <c r="D1798" s="116">
        <v>16.155045392049502</v>
      </c>
      <c r="E1798" s="116">
        <v>16.155045392049502</v>
      </c>
      <c r="F1798" s="116">
        <v>1125.0999999999999</v>
      </c>
      <c r="G1798">
        <v>19383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44655</v>
      </c>
      <c r="B1799" s="116">
        <v>19.601455075686701</v>
      </c>
      <c r="C1799" s="116">
        <v>19.601455075686701</v>
      </c>
      <c r="D1799" s="116">
        <v>17.9305165571953</v>
      </c>
      <c r="E1799" s="116">
        <v>18.372404563507299</v>
      </c>
      <c r="F1799" s="116">
        <v>1237.5999999999999</v>
      </c>
      <c r="G1799">
        <v>25090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44656</v>
      </c>
      <c r="B1800" s="116">
        <v>21.048281935062899</v>
      </c>
      <c r="C1800" s="116">
        <v>20.3347674302474</v>
      </c>
      <c r="D1800" s="116">
        <v>19.453367159592901</v>
      </c>
      <c r="E1800" s="116">
        <v>19.993452500640899</v>
      </c>
      <c r="F1800" s="116">
        <v>1283.9000000000001</v>
      </c>
      <c r="G1800">
        <v>22808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44657</v>
      </c>
      <c r="B1801" s="116">
        <v>20.5731335411791</v>
      </c>
      <c r="C1801" s="116">
        <v>19.330620491172901</v>
      </c>
      <c r="D1801" s="116">
        <v>19.180156833109699</v>
      </c>
      <c r="E1801" s="116">
        <v>20.3513976240333</v>
      </c>
      <c r="F1801" s="116">
        <v>1220.5</v>
      </c>
      <c r="G1801">
        <v>14694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44658</v>
      </c>
      <c r="B1802" s="116">
        <v>20.906529330887601</v>
      </c>
      <c r="C1802" s="116">
        <v>20.647573456220901</v>
      </c>
      <c r="D1802" s="116">
        <v>19.164318553313599</v>
      </c>
      <c r="E1802" s="116">
        <v>19.164318553313599</v>
      </c>
      <c r="F1802" s="116">
        <v>1303.6500000000001</v>
      </c>
      <c r="G1802">
        <v>20217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44659</v>
      </c>
      <c r="B1803" s="116">
        <v>21.6034136419172</v>
      </c>
      <c r="C1803" s="116">
        <v>19.754294475719298</v>
      </c>
      <c r="D1803" s="116">
        <v>19.671935420779501</v>
      </c>
      <c r="E1803" s="116">
        <v>21.302486325790699</v>
      </c>
      <c r="F1803" s="116">
        <v>1247.25</v>
      </c>
      <c r="G1803">
        <v>12526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44662</v>
      </c>
      <c r="B1804" s="116">
        <v>20.352189538023101</v>
      </c>
      <c r="C1804" s="116">
        <v>20.116199169060799</v>
      </c>
      <c r="D1804" s="116">
        <v>19.814479938944601</v>
      </c>
      <c r="E1804" s="116">
        <v>20.352189538023101</v>
      </c>
      <c r="F1804" s="116">
        <v>1270.0999999999999</v>
      </c>
      <c r="G1804">
        <v>5214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44663</v>
      </c>
      <c r="B1805" s="116">
        <v>20.2484488053585</v>
      </c>
      <c r="C1805" s="116">
        <v>19.462078213480801</v>
      </c>
      <c r="D1805" s="116">
        <v>19.322701351274901</v>
      </c>
      <c r="E1805" s="116">
        <v>20.0195856623045</v>
      </c>
      <c r="F1805" s="116">
        <v>1228.8</v>
      </c>
      <c r="G1805">
        <v>5260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44664</v>
      </c>
      <c r="B1806" s="116">
        <v>20.193014826072101</v>
      </c>
      <c r="C1806" s="116">
        <v>19.369424276673499</v>
      </c>
      <c r="D1806" s="116">
        <v>19.164318553313599</v>
      </c>
      <c r="E1806" s="116">
        <v>19.561067462206601</v>
      </c>
      <c r="F1806" s="116">
        <v>1222.95</v>
      </c>
      <c r="G1806">
        <v>3507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44669</v>
      </c>
      <c r="B1807" s="116">
        <v>20.177968460265699</v>
      </c>
      <c r="C1807" s="116">
        <v>19.357545566826399</v>
      </c>
      <c r="D1807" s="116">
        <v>18.768361558410401</v>
      </c>
      <c r="E1807" s="116">
        <v>19.558691720237199</v>
      </c>
      <c r="F1807" s="116">
        <v>1222.2</v>
      </c>
      <c r="G1807">
        <v>7360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44670</v>
      </c>
      <c r="B1808" s="116">
        <v>20.325264462369699</v>
      </c>
      <c r="C1808" s="116">
        <v>19.963359769028202</v>
      </c>
      <c r="D1808" s="116">
        <v>18.420711316885399</v>
      </c>
      <c r="E1808" s="116">
        <v>19.608582301595</v>
      </c>
      <c r="F1808" s="116">
        <v>1260.45</v>
      </c>
      <c r="G1808">
        <v>12931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44671</v>
      </c>
      <c r="B1809" s="116">
        <v>19.956232543119999</v>
      </c>
      <c r="C1809" s="116">
        <v>19.037612314944599</v>
      </c>
      <c r="D1809" s="116">
        <v>18.965548141872201</v>
      </c>
      <c r="E1809" s="116">
        <v>19.956232543119999</v>
      </c>
      <c r="F1809" s="116">
        <v>1202</v>
      </c>
      <c r="G1809">
        <v>7549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44672</v>
      </c>
      <c r="B1810" s="116">
        <v>19.3543779108671</v>
      </c>
      <c r="C1810" s="116">
        <v>18.892692054809999</v>
      </c>
      <c r="D1810" s="116">
        <v>18.594140480653</v>
      </c>
      <c r="E1810" s="116">
        <v>19.180156833109699</v>
      </c>
      <c r="F1810" s="116">
        <v>1192.8499999999999</v>
      </c>
      <c r="G1810">
        <v>2791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44673</v>
      </c>
      <c r="B1811" s="116">
        <v>19.069288874536799</v>
      </c>
      <c r="C1811" s="116">
        <v>18.285294024628602</v>
      </c>
      <c r="D1811" s="116">
        <v>18.198183485749901</v>
      </c>
      <c r="E1811" s="116">
        <v>18.563255835050601</v>
      </c>
      <c r="F1811" s="116">
        <v>1154.5</v>
      </c>
      <c r="G1811">
        <v>3393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44676</v>
      </c>
      <c r="B1812" s="116">
        <v>19.199162768865101</v>
      </c>
      <c r="C1812" s="116">
        <v>18.731141600889501</v>
      </c>
      <c r="D1812" s="116">
        <v>17.598704595466501</v>
      </c>
      <c r="E1812" s="116">
        <v>18.198183485749901</v>
      </c>
      <c r="F1812" s="116">
        <v>1182.6500000000001</v>
      </c>
      <c r="G1812">
        <v>11175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44677</v>
      </c>
      <c r="B1813" s="116">
        <v>19.667183936840601</v>
      </c>
      <c r="C1813" s="116">
        <v>19.667183936840601</v>
      </c>
      <c r="D1813" s="116">
        <v>19.667183936840601</v>
      </c>
      <c r="E1813" s="116">
        <v>19.667183936840601</v>
      </c>
      <c r="F1813" s="116">
        <v>1241.75</v>
      </c>
      <c r="G1813">
        <v>8173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44678</v>
      </c>
      <c r="B1814" s="116">
        <v>20.649949198190299</v>
      </c>
      <c r="C1814" s="116">
        <v>20.649949198190299</v>
      </c>
      <c r="D1814" s="116">
        <v>20.067100501692799</v>
      </c>
      <c r="E1814" s="116">
        <v>20.649949198190299</v>
      </c>
      <c r="F1814" s="116">
        <v>1303.8</v>
      </c>
      <c r="G1814">
        <v>10201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44679</v>
      </c>
      <c r="B1815" s="116">
        <v>21.681813126908001</v>
      </c>
      <c r="C1815" s="116">
        <v>21.1100512262678</v>
      </c>
      <c r="D1815" s="116">
        <v>20.5889718209752</v>
      </c>
      <c r="E1815" s="116">
        <v>21.6192519217133</v>
      </c>
      <c r="F1815" s="116">
        <v>1332.85</v>
      </c>
      <c r="G1815">
        <v>34313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44680</v>
      </c>
      <c r="B1816" s="116">
        <v>21.983532357024199</v>
      </c>
      <c r="C1816" s="116">
        <v>21.511551619099599</v>
      </c>
      <c r="D1816" s="116">
        <v>21.239133206606201</v>
      </c>
      <c r="E1816" s="116">
        <v>21.983532357024199</v>
      </c>
      <c r="F1816" s="116">
        <v>1358.2</v>
      </c>
      <c r="G1816">
        <v>12702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44683</v>
      </c>
      <c r="B1817" s="116">
        <v>22.450761611009899</v>
      </c>
      <c r="C1817" s="116">
        <v>22.404830599601201</v>
      </c>
      <c r="D1817" s="116">
        <v>20.805956254182199</v>
      </c>
      <c r="E1817" s="116">
        <v>21.4925456833443</v>
      </c>
      <c r="F1817" s="116">
        <v>1414.6</v>
      </c>
      <c r="G1817">
        <v>23530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44685</v>
      </c>
      <c r="B1818" s="116">
        <v>23.120720846386099</v>
      </c>
      <c r="C1818" s="116">
        <v>21.551939232579699</v>
      </c>
      <c r="D1818" s="116">
        <v>21.2866480459946</v>
      </c>
      <c r="E1818" s="116">
        <v>22.933829144791801</v>
      </c>
      <c r="F1818" s="116">
        <v>1360.75</v>
      </c>
      <c r="G1818">
        <v>27826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44686</v>
      </c>
      <c r="B1819" s="116">
        <v>22.6170635488693</v>
      </c>
      <c r="C1819" s="116">
        <v>21.6731020730201</v>
      </c>
      <c r="D1819" s="116">
        <v>21.117178452176098</v>
      </c>
      <c r="E1819" s="116">
        <v>22.6170635488693</v>
      </c>
      <c r="F1819" s="116">
        <v>1368.4</v>
      </c>
      <c r="G1819">
        <v>9080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44687</v>
      </c>
      <c r="B1820" s="116">
        <v>21.6192519217133</v>
      </c>
      <c r="C1820" s="116">
        <v>21.331787143413599</v>
      </c>
      <c r="D1820" s="116">
        <v>20.589763734965</v>
      </c>
      <c r="E1820" s="116">
        <v>21.400683660526699</v>
      </c>
      <c r="F1820" s="116">
        <v>1346.85</v>
      </c>
      <c r="G1820">
        <v>22004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44690</v>
      </c>
      <c r="B1821" s="116">
        <v>22.397703373692899</v>
      </c>
      <c r="C1821" s="116">
        <v>20.4408839048814</v>
      </c>
      <c r="D1821" s="116">
        <v>20.2737900530323</v>
      </c>
      <c r="E1821" s="116">
        <v>22.397703373692899</v>
      </c>
      <c r="F1821" s="116">
        <v>1290.5999999999999</v>
      </c>
      <c r="G1821">
        <v>32468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44691</v>
      </c>
      <c r="B1822" s="116">
        <v>20.8273379319069</v>
      </c>
      <c r="C1822" s="116">
        <v>19.474748837317701</v>
      </c>
      <c r="D1822" s="116">
        <v>19.419314858031299</v>
      </c>
      <c r="E1822" s="116">
        <v>20.177968460265699</v>
      </c>
      <c r="F1822" s="116">
        <v>1229.5999999999999</v>
      </c>
      <c r="G1822">
        <v>14303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44692</v>
      </c>
      <c r="B1823" s="116">
        <v>19.418522944041399</v>
      </c>
      <c r="C1823" s="116">
        <v>18.501486543845701</v>
      </c>
      <c r="D1823" s="116">
        <v>18.501486543845701</v>
      </c>
      <c r="E1823" s="116">
        <v>19.085919068322799</v>
      </c>
      <c r="F1823" s="116">
        <v>1168.1500000000001</v>
      </c>
      <c r="G1823">
        <v>5178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44693</v>
      </c>
      <c r="B1824" s="116">
        <v>18.495943145917099</v>
      </c>
      <c r="C1824" s="116">
        <v>17.591577369558198</v>
      </c>
      <c r="D1824" s="116">
        <v>17.576531003751899</v>
      </c>
      <c r="E1824" s="116">
        <v>17.576531003751899</v>
      </c>
      <c r="F1824" s="116">
        <v>1110.7</v>
      </c>
      <c r="G1824">
        <v>14670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44694</v>
      </c>
      <c r="B1825" s="116">
        <v>18.467434242284</v>
      </c>
      <c r="C1825" s="116">
        <v>17.318367043075</v>
      </c>
      <c r="D1825" s="116">
        <v>17.026150780836499</v>
      </c>
      <c r="E1825" s="116">
        <v>17.469622615127999</v>
      </c>
      <c r="F1825" s="116">
        <v>1093.45</v>
      </c>
      <c r="G1825">
        <v>10453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44697</v>
      </c>
      <c r="B1826" s="116">
        <v>18.1839290339333</v>
      </c>
      <c r="C1826" s="116">
        <v>18.163339270198399</v>
      </c>
      <c r="D1826" s="116">
        <v>16.632569527902699</v>
      </c>
      <c r="E1826" s="116">
        <v>18.134830366565399</v>
      </c>
      <c r="F1826" s="116">
        <v>1146.8</v>
      </c>
      <c r="G1826">
        <v>8318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44698</v>
      </c>
      <c r="B1827" s="116">
        <v>18.815084483808999</v>
      </c>
      <c r="C1827" s="116">
        <v>18.476937210161701</v>
      </c>
      <c r="D1827" s="116">
        <v>17.691358532273799</v>
      </c>
      <c r="E1827" s="116">
        <v>18.530787361468501</v>
      </c>
      <c r="F1827" s="116">
        <v>1166.5999999999999</v>
      </c>
      <c r="G1827">
        <v>5187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44699</v>
      </c>
      <c r="B1828" s="116">
        <v>19.386054470459399</v>
      </c>
      <c r="C1828" s="116">
        <v>18.617897900347199</v>
      </c>
      <c r="D1828" s="116">
        <v>18.231443873321702</v>
      </c>
      <c r="E1828" s="116">
        <v>18.847552957391098</v>
      </c>
      <c r="F1828" s="116">
        <v>1175.5</v>
      </c>
      <c r="G1828">
        <v>4554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44700</v>
      </c>
      <c r="B1829" s="116">
        <v>18.617897900347199</v>
      </c>
      <c r="C1829" s="116">
        <v>17.920221675327799</v>
      </c>
      <c r="D1829" s="116">
        <v>17.770549931254401</v>
      </c>
      <c r="E1829" s="116">
        <v>18.103153806973101</v>
      </c>
      <c r="F1829" s="116">
        <v>1131.45</v>
      </c>
      <c r="G1829">
        <v>3711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44701</v>
      </c>
      <c r="B1830" s="116">
        <v>18.752523278614301</v>
      </c>
      <c r="C1830" s="116">
        <v>18.137206108534802</v>
      </c>
      <c r="D1830" s="116">
        <v>17.976447568604101</v>
      </c>
      <c r="E1830" s="116">
        <v>18.609978760449199</v>
      </c>
      <c r="F1830" s="116">
        <v>1145.1500000000001</v>
      </c>
      <c r="G1830">
        <v>2342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44704</v>
      </c>
      <c r="B1831" s="116">
        <v>18.974259195760101</v>
      </c>
      <c r="C1831" s="116">
        <v>18.481688694100502</v>
      </c>
      <c r="D1831" s="116">
        <v>17.8972561696235</v>
      </c>
      <c r="E1831" s="116">
        <v>18.206102625647901</v>
      </c>
      <c r="F1831" s="116">
        <v>1166.9000000000001</v>
      </c>
      <c r="G1831">
        <v>5132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44705</v>
      </c>
      <c r="B1832" s="116">
        <v>18.8127087418396</v>
      </c>
      <c r="C1832" s="116">
        <v>18.603643448530701</v>
      </c>
      <c r="D1832" s="116">
        <v>18.206102625647901</v>
      </c>
      <c r="E1832" s="116">
        <v>18.5624639210608</v>
      </c>
      <c r="F1832" s="116">
        <v>1174.5999999999999</v>
      </c>
      <c r="G1832">
        <v>1276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44706</v>
      </c>
      <c r="B1833" s="116">
        <v>18.942582636167799</v>
      </c>
      <c r="C1833" s="116">
        <v>17.674728338487899</v>
      </c>
      <c r="D1833" s="116">
        <v>17.673936424498098</v>
      </c>
      <c r="E1833" s="116">
        <v>18.6891701594298</v>
      </c>
      <c r="F1833" s="116">
        <v>1115.95</v>
      </c>
      <c r="G1833">
        <v>3767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44707</v>
      </c>
      <c r="B1834" s="116">
        <v>17.851325158214699</v>
      </c>
      <c r="C1834" s="116">
        <v>16.843218649191201</v>
      </c>
      <c r="D1834" s="116">
        <v>16.791744239853799</v>
      </c>
      <c r="E1834" s="116">
        <v>17.674728338487899</v>
      </c>
      <c r="F1834" s="116">
        <v>1063.45</v>
      </c>
      <c r="G1834">
        <v>6461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44708</v>
      </c>
      <c r="B1835" s="116">
        <v>17.422107775739601</v>
      </c>
      <c r="C1835" s="116">
        <v>16.7854089279353</v>
      </c>
      <c r="D1835" s="116">
        <v>16.631777613912899</v>
      </c>
      <c r="E1835" s="116">
        <v>17.144937879307399</v>
      </c>
      <c r="F1835" s="116">
        <v>1059.8</v>
      </c>
      <c r="G1835">
        <v>3789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44711</v>
      </c>
      <c r="B1836" s="116">
        <v>17.624045843140301</v>
      </c>
      <c r="C1836" s="116">
        <v>17.1378106533992</v>
      </c>
      <c r="D1836" s="116">
        <v>16.646823979719201</v>
      </c>
      <c r="E1836" s="116">
        <v>16.962797661652001</v>
      </c>
      <c r="F1836" s="116">
        <v>1082.05</v>
      </c>
      <c r="G1836">
        <v>8456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44712</v>
      </c>
      <c r="B1837" s="116">
        <v>17.994661590369599</v>
      </c>
      <c r="C1837" s="116">
        <v>17.994661590369599</v>
      </c>
      <c r="D1837" s="116">
        <v>17.263724977778399</v>
      </c>
      <c r="E1837" s="116">
        <v>17.669184940559202</v>
      </c>
      <c r="F1837" s="116">
        <v>1136.1500000000001</v>
      </c>
      <c r="G1837">
        <v>10593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44713</v>
      </c>
      <c r="B1838" s="116">
        <v>18.8942758827896</v>
      </c>
      <c r="C1838" s="116">
        <v>18.8942758827896</v>
      </c>
      <c r="D1838" s="116">
        <v>18.4515959624879</v>
      </c>
      <c r="E1838" s="116">
        <v>18.4515959624879</v>
      </c>
      <c r="F1838" s="116">
        <v>1192.95</v>
      </c>
      <c r="G1838">
        <v>2670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44714</v>
      </c>
      <c r="B1839" s="116">
        <v>19.8382373586388</v>
      </c>
      <c r="C1839" s="116">
        <v>19.8382373586388</v>
      </c>
      <c r="D1839" s="116">
        <v>19.515136450797801</v>
      </c>
      <c r="E1839" s="116">
        <v>19.8382373586388</v>
      </c>
      <c r="F1839" s="116">
        <v>1252.55</v>
      </c>
      <c r="G1839">
        <v>6654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44715</v>
      </c>
      <c r="B1840" s="116">
        <v>20.829713673876402</v>
      </c>
      <c r="C1840" s="116">
        <v>20.829713673876402</v>
      </c>
      <c r="D1840" s="116">
        <v>20.589763734965</v>
      </c>
      <c r="E1840" s="116">
        <v>20.8273379319069</v>
      </c>
      <c r="F1840" s="116">
        <v>1315.15</v>
      </c>
      <c r="G1840">
        <v>5593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44718</v>
      </c>
      <c r="B1841" s="116">
        <v>21.698443320693901</v>
      </c>
      <c r="C1841" s="116">
        <v>20.880396169223999</v>
      </c>
      <c r="D1841" s="116">
        <v>19.7978497451587</v>
      </c>
      <c r="E1841" s="116">
        <v>21.1433116138397</v>
      </c>
      <c r="F1841" s="116">
        <v>1318.35</v>
      </c>
      <c r="G1841">
        <v>20345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44719</v>
      </c>
      <c r="B1842" s="116">
        <v>21.2866480459946</v>
      </c>
      <c r="C1842" s="116">
        <v>20.9500846003269</v>
      </c>
      <c r="D1842" s="116">
        <v>20.627775606475701</v>
      </c>
      <c r="E1842" s="116">
        <v>21.0649121288488</v>
      </c>
      <c r="F1842" s="116">
        <v>1322.75</v>
      </c>
      <c r="G1842">
        <v>4954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44720</v>
      </c>
      <c r="B1843" s="116">
        <v>21.2217110988305</v>
      </c>
      <c r="C1843" s="116">
        <v>20.493150228208702</v>
      </c>
      <c r="D1843" s="116">
        <v>20.2737900530323</v>
      </c>
      <c r="E1843" s="116">
        <v>21.2217110988305</v>
      </c>
      <c r="F1843" s="116">
        <v>1293.9000000000001</v>
      </c>
      <c r="G1843">
        <v>5074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44721</v>
      </c>
      <c r="B1844" s="116">
        <v>20.699047865558299</v>
      </c>
      <c r="C1844" s="116">
        <v>20.371195473778499</v>
      </c>
      <c r="D1844" s="116">
        <v>20.0512622218967</v>
      </c>
      <c r="E1844" s="116">
        <v>20.589763734965</v>
      </c>
      <c r="F1844" s="116">
        <v>1286.2</v>
      </c>
      <c r="G1844">
        <v>5792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44722</v>
      </c>
      <c r="B1845" s="116">
        <v>20.716469973334</v>
      </c>
      <c r="C1845" s="116">
        <v>20.311801924543001</v>
      </c>
      <c r="D1845" s="116">
        <v>20.0512622218967</v>
      </c>
      <c r="E1845" s="116">
        <v>20.379114613676499</v>
      </c>
      <c r="F1845" s="116">
        <v>1282.45</v>
      </c>
      <c r="G1845">
        <v>5922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44725</v>
      </c>
      <c r="B1846" s="116">
        <v>20.214396503796799</v>
      </c>
      <c r="C1846" s="116">
        <v>19.4604943855012</v>
      </c>
      <c r="D1846" s="116">
        <v>19.306863071478698</v>
      </c>
      <c r="E1846" s="116">
        <v>20.212812675817201</v>
      </c>
      <c r="F1846" s="116">
        <v>1228.7</v>
      </c>
      <c r="G1846">
        <v>11284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44726</v>
      </c>
      <c r="B1847" s="116">
        <v>19.782803379352401</v>
      </c>
      <c r="C1847" s="116">
        <v>19.71073920628</v>
      </c>
      <c r="D1847" s="116">
        <v>19.164318553313599</v>
      </c>
      <c r="E1847" s="116">
        <v>19.6378831192178</v>
      </c>
      <c r="F1847" s="116">
        <v>1244.5</v>
      </c>
      <c r="G1847">
        <v>5980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44727</v>
      </c>
      <c r="B1848" s="116">
        <v>20.114615341081201</v>
      </c>
      <c r="C1848" s="116">
        <v>19.718658346178</v>
      </c>
      <c r="D1848" s="116">
        <v>19.008311497321799</v>
      </c>
      <c r="E1848" s="116">
        <v>20.067100501692799</v>
      </c>
      <c r="F1848" s="116">
        <v>1245</v>
      </c>
      <c r="G1848">
        <v>13221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44728</v>
      </c>
      <c r="B1849" s="116">
        <v>20.272206225052699</v>
      </c>
      <c r="C1849" s="116">
        <v>18.732725428869099</v>
      </c>
      <c r="D1849" s="116">
        <v>18.732725428869099</v>
      </c>
      <c r="E1849" s="116">
        <v>20.098777061285102</v>
      </c>
      <c r="F1849" s="116">
        <v>1182.75</v>
      </c>
      <c r="G1849">
        <v>13963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44729</v>
      </c>
      <c r="B1850" s="116">
        <v>19.667975850830398</v>
      </c>
      <c r="C1850" s="116">
        <v>18.084147871217699</v>
      </c>
      <c r="D1850" s="116">
        <v>17.821232426601998</v>
      </c>
      <c r="E1850" s="116">
        <v>19.069288874536799</v>
      </c>
      <c r="F1850" s="116">
        <v>285.45</v>
      </c>
      <c r="G1850">
        <v>37104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44732</v>
      </c>
      <c r="B1851" s="116">
        <v>18.929912012330899</v>
      </c>
      <c r="C1851" s="116">
        <v>17.184533578797701</v>
      </c>
      <c r="D1851" s="116">
        <v>17.181365922838499</v>
      </c>
      <c r="E1851" s="116">
        <v>18.369236907548</v>
      </c>
      <c r="F1851" s="116">
        <v>271.25</v>
      </c>
      <c r="G1851">
        <v>11536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44733</v>
      </c>
      <c r="B1852" s="116">
        <v>17.2320484181861</v>
      </c>
      <c r="C1852" s="116">
        <v>16.817085487527599</v>
      </c>
      <c r="D1852" s="116">
        <v>16.345104749602999</v>
      </c>
      <c r="E1852" s="116">
        <v>17.1053421798171</v>
      </c>
      <c r="F1852" s="116">
        <v>265.45</v>
      </c>
      <c r="G1852">
        <v>11670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44734</v>
      </c>
      <c r="B1853" s="116">
        <v>17.656514316722301</v>
      </c>
      <c r="C1853" s="116">
        <v>17.656514316722301</v>
      </c>
      <c r="D1853" s="116">
        <v>16.478146299890501</v>
      </c>
      <c r="E1853" s="116">
        <v>17.168695299001602</v>
      </c>
      <c r="F1853" s="116">
        <v>278.7</v>
      </c>
      <c r="G1853">
        <v>7876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44735</v>
      </c>
      <c r="B1854" s="116">
        <v>18.537122673387</v>
      </c>
      <c r="C1854" s="116">
        <v>18.5339550174278</v>
      </c>
      <c r="D1854" s="116">
        <v>18.2456983251382</v>
      </c>
      <c r="E1854" s="116">
        <v>18.296380820485901</v>
      </c>
      <c r="F1854" s="116">
        <v>292.55</v>
      </c>
      <c r="G1854">
        <v>28956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44736</v>
      </c>
      <c r="B1855" s="116">
        <v>18.872894205064899</v>
      </c>
      <c r="C1855" s="116">
        <v>18.2171894215052</v>
      </c>
      <c r="D1855" s="116">
        <v>17.608999477333899</v>
      </c>
      <c r="E1855" s="116">
        <v>18.872894205064899</v>
      </c>
      <c r="F1855" s="116">
        <v>287.55</v>
      </c>
      <c r="G1855">
        <v>18952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44739</v>
      </c>
      <c r="B1856" s="116">
        <v>19.126306681802902</v>
      </c>
      <c r="C1856" s="116">
        <v>18.385075187344199</v>
      </c>
      <c r="D1856" s="116">
        <v>17.628005413089301</v>
      </c>
      <c r="E1856" s="116">
        <v>18.686002503470601</v>
      </c>
      <c r="F1856" s="116">
        <v>290.2</v>
      </c>
      <c r="G1856">
        <v>19901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44740</v>
      </c>
      <c r="B1857" s="116">
        <v>17.928932729215699</v>
      </c>
      <c r="C1857" s="116">
        <v>17.4664549591688</v>
      </c>
      <c r="D1857" s="116">
        <v>17.4664549591688</v>
      </c>
      <c r="E1857" s="116">
        <v>17.612167133293202</v>
      </c>
      <c r="F1857" s="116">
        <v>275.7</v>
      </c>
      <c r="G1857">
        <v>9031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44741</v>
      </c>
      <c r="B1858" s="116">
        <v>17.390431216147402</v>
      </c>
      <c r="C1858" s="116">
        <v>16.807582519649898</v>
      </c>
      <c r="D1858" s="116">
        <v>16.595349570381799</v>
      </c>
      <c r="E1858" s="116">
        <v>16.595349570381799</v>
      </c>
      <c r="F1858" s="116">
        <v>265.3</v>
      </c>
      <c r="G1858">
        <v>15723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44742</v>
      </c>
      <c r="B1859" s="116">
        <v>17.317575129085199</v>
      </c>
      <c r="C1859" s="116">
        <v>17.083168588102499</v>
      </c>
      <c r="D1859" s="116">
        <v>16.478146299890501</v>
      </c>
      <c r="E1859" s="116">
        <v>16.478146299890501</v>
      </c>
      <c r="F1859" s="116">
        <v>269.64999999999998</v>
      </c>
      <c r="G1859">
        <v>11974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44743</v>
      </c>
      <c r="B1860" s="116">
        <v>17.2320484181861</v>
      </c>
      <c r="C1860" s="116">
        <v>16.2310691350709</v>
      </c>
      <c r="D1860" s="116">
        <v>16.2310691350709</v>
      </c>
      <c r="E1860" s="116">
        <v>17.048324372551001</v>
      </c>
      <c r="F1860" s="116">
        <v>256.2</v>
      </c>
      <c r="G1860">
        <v>25834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44746</v>
      </c>
      <c r="B1861" s="116">
        <v>16.959630005692699</v>
      </c>
      <c r="C1861" s="116">
        <v>15.797100268656999</v>
      </c>
      <c r="D1861" s="116">
        <v>15.5595260717151</v>
      </c>
      <c r="E1861" s="116">
        <v>16.2152308552748</v>
      </c>
      <c r="F1861" s="116">
        <v>249.35</v>
      </c>
      <c r="G1861">
        <v>15256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44747</v>
      </c>
      <c r="B1862" s="116">
        <v>16.310260534051501</v>
      </c>
      <c r="C1862" s="116">
        <v>15.4328198333461</v>
      </c>
      <c r="D1862" s="116">
        <v>15.0083539348099</v>
      </c>
      <c r="E1862" s="116">
        <v>15.9048005712707</v>
      </c>
      <c r="F1862" s="116">
        <v>243.6</v>
      </c>
      <c r="G1862">
        <v>25726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44748</v>
      </c>
      <c r="B1863" s="116">
        <v>15.8382797961269</v>
      </c>
      <c r="C1863" s="116">
        <v>15.477167016775301</v>
      </c>
      <c r="D1863" s="116">
        <v>15.2459281317518</v>
      </c>
      <c r="E1863" s="116">
        <v>15.2459281317518</v>
      </c>
      <c r="F1863" s="116">
        <v>244.3</v>
      </c>
      <c r="G1863">
        <v>8295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44749</v>
      </c>
      <c r="B1864" s="116">
        <v>16.250075070826199</v>
      </c>
      <c r="C1864" s="116">
        <v>16.034674465598901</v>
      </c>
      <c r="D1864" s="116">
        <v>15.470831704856799</v>
      </c>
      <c r="E1864" s="116">
        <v>15.8351121401677</v>
      </c>
      <c r="F1864" s="116">
        <v>253.1</v>
      </c>
      <c r="G1864">
        <v>22793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44750</v>
      </c>
      <c r="B1865" s="116">
        <v>16.836091423282902</v>
      </c>
      <c r="C1865" s="116">
        <v>16.6048525382595</v>
      </c>
      <c r="D1865" s="116">
        <v>16.034674465598901</v>
      </c>
      <c r="E1865" s="116">
        <v>16.278583974459298</v>
      </c>
      <c r="F1865" s="116">
        <v>262.10000000000002</v>
      </c>
      <c r="G1865">
        <v>18650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44753</v>
      </c>
      <c r="B1866" s="116">
        <v>17.434778399576501</v>
      </c>
      <c r="C1866" s="116">
        <v>17.434778399576501</v>
      </c>
      <c r="D1866" s="116">
        <v>16.155045392049502</v>
      </c>
      <c r="E1866" s="116">
        <v>16.345104749602999</v>
      </c>
      <c r="F1866" s="116">
        <v>275.2</v>
      </c>
      <c r="G1866">
        <v>21901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44754</v>
      </c>
      <c r="B1867" s="116">
        <v>18.2456983251382</v>
      </c>
      <c r="C1867" s="116">
        <v>17.7990588348875</v>
      </c>
      <c r="D1867" s="116">
        <v>17.4252754316989</v>
      </c>
      <c r="E1867" s="116">
        <v>17.738873371662201</v>
      </c>
      <c r="F1867" s="116">
        <v>280.95</v>
      </c>
      <c r="G1867">
        <v>24312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44755</v>
      </c>
      <c r="B1868" s="116">
        <v>18.179177549994499</v>
      </c>
      <c r="C1868" s="116">
        <v>17.8148971146836</v>
      </c>
      <c r="D1868" s="116">
        <v>17.707196812069899</v>
      </c>
      <c r="E1868" s="116">
        <v>18.179177549994499</v>
      </c>
      <c r="F1868" s="116">
        <v>281.2</v>
      </c>
      <c r="G1868">
        <v>9430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44756</v>
      </c>
      <c r="B1869" s="116">
        <v>17.9827828805225</v>
      </c>
      <c r="C1869" s="116">
        <v>17.263724977778399</v>
      </c>
      <c r="D1869" s="116">
        <v>17.140186395368598</v>
      </c>
      <c r="E1869" s="116">
        <v>17.9827828805225</v>
      </c>
      <c r="F1869" s="116">
        <v>272.5</v>
      </c>
      <c r="G1869">
        <v>12500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44757</v>
      </c>
      <c r="B1870" s="116">
        <v>17.1053421798171</v>
      </c>
      <c r="C1870" s="116">
        <v>16.4939845796866</v>
      </c>
      <c r="D1870" s="116">
        <v>16.4116255247467</v>
      </c>
      <c r="E1870" s="116">
        <v>17.1053421798171</v>
      </c>
      <c r="F1870" s="116">
        <v>260.35000000000002</v>
      </c>
      <c r="G1870">
        <v>16151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44760</v>
      </c>
      <c r="B1871" s="116">
        <v>17.317575129085199</v>
      </c>
      <c r="C1871" s="116">
        <v>17.317575129085199</v>
      </c>
      <c r="D1871" s="116">
        <v>16.791744239853799</v>
      </c>
      <c r="E1871" s="116">
        <v>16.978635941448101</v>
      </c>
      <c r="F1871" s="116">
        <v>273.35000000000002</v>
      </c>
      <c r="G1871">
        <v>23457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44761</v>
      </c>
      <c r="B1872" s="116">
        <v>18.182345205953698</v>
      </c>
      <c r="C1872" s="116">
        <v>18.182345205953698</v>
      </c>
      <c r="D1872" s="116">
        <v>17.358754656555099</v>
      </c>
      <c r="E1872" s="116">
        <v>17.5488140141087</v>
      </c>
      <c r="F1872" s="116">
        <v>287</v>
      </c>
      <c r="G1872">
        <v>9068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44762</v>
      </c>
      <c r="B1873" s="116">
        <v>19.0914624662514</v>
      </c>
      <c r="C1873" s="116">
        <v>18.777864526288099</v>
      </c>
      <c r="D1873" s="116">
        <v>18.388242843303399</v>
      </c>
      <c r="E1873" s="116">
        <v>19.0914624662514</v>
      </c>
      <c r="F1873" s="116">
        <v>296.39999999999998</v>
      </c>
      <c r="G1873">
        <v>43133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44763</v>
      </c>
      <c r="B1874" s="116">
        <v>19.639466947197398</v>
      </c>
      <c r="C1874" s="116">
        <v>19.211833392702001</v>
      </c>
      <c r="D1874" s="116">
        <v>18.4515959624879</v>
      </c>
      <c r="E1874" s="116">
        <v>19.126306681802902</v>
      </c>
      <c r="F1874" s="116">
        <v>303.25</v>
      </c>
      <c r="G1874">
        <v>23545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44764</v>
      </c>
      <c r="B1875" s="116">
        <v>19.7028200663819</v>
      </c>
      <c r="C1875" s="116">
        <v>19.275186511886499</v>
      </c>
      <c r="D1875" s="116">
        <v>18.790535150124999</v>
      </c>
      <c r="E1875" s="116">
        <v>19.3828868145002</v>
      </c>
      <c r="F1875" s="116">
        <v>304.25</v>
      </c>
      <c r="G1875">
        <v>20206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44767</v>
      </c>
      <c r="B1876" s="116">
        <v>19.386054470459399</v>
      </c>
      <c r="C1876" s="116">
        <v>18.366069251588801</v>
      </c>
      <c r="D1876" s="116">
        <v>18.312219100282</v>
      </c>
      <c r="E1876" s="116">
        <v>19.386054470459399</v>
      </c>
      <c r="F1876" s="116">
        <v>289.89999999999998</v>
      </c>
      <c r="G1876">
        <v>14450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44768</v>
      </c>
      <c r="B1877" s="116">
        <v>18.777864526288099</v>
      </c>
      <c r="C1877" s="116">
        <v>17.941603353052599</v>
      </c>
      <c r="D1877" s="116">
        <v>17.802226490846699</v>
      </c>
      <c r="E1877" s="116">
        <v>18.746187966695899</v>
      </c>
      <c r="F1877" s="116">
        <v>283.2</v>
      </c>
      <c r="G1877">
        <v>8166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44769</v>
      </c>
      <c r="B1878" s="116">
        <v>18.0493036556663</v>
      </c>
      <c r="C1878" s="116">
        <v>17.821232426601998</v>
      </c>
      <c r="D1878" s="116">
        <v>17.501299174720302</v>
      </c>
      <c r="E1878" s="116">
        <v>17.501299174720302</v>
      </c>
      <c r="F1878" s="116">
        <v>281.3</v>
      </c>
      <c r="G1878">
        <v>9145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44770</v>
      </c>
      <c r="B1879" s="116">
        <v>18.112656774850802</v>
      </c>
      <c r="C1879" s="116">
        <v>17.748376339539899</v>
      </c>
      <c r="D1879" s="116">
        <v>17.428443087658099</v>
      </c>
      <c r="E1879" s="116">
        <v>18.112656774850802</v>
      </c>
      <c r="F1879" s="116">
        <v>280.14999999999998</v>
      </c>
      <c r="G1879">
        <v>10938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44771</v>
      </c>
      <c r="B1880" s="116">
        <v>18.635320008122999</v>
      </c>
      <c r="C1880" s="116">
        <v>17.624837757130098</v>
      </c>
      <c r="D1880" s="116">
        <v>17.143354051327801</v>
      </c>
      <c r="E1880" s="116">
        <v>18.347063315833498</v>
      </c>
      <c r="F1880" s="116">
        <v>278.2</v>
      </c>
      <c r="G1880">
        <v>38801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44774</v>
      </c>
      <c r="B1881" s="116">
        <v>17.738873371662201</v>
      </c>
      <c r="C1881" s="116">
        <v>17.3112398171668</v>
      </c>
      <c r="D1881" s="116">
        <v>16.915282822263599</v>
      </c>
      <c r="E1881" s="116">
        <v>17.7325380597437</v>
      </c>
      <c r="F1881" s="116">
        <v>273.25</v>
      </c>
      <c r="G1881">
        <v>24247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44775</v>
      </c>
      <c r="B1882" s="116">
        <v>17.612167133293202</v>
      </c>
      <c r="C1882" s="116">
        <v>17.456951991291099</v>
      </c>
      <c r="D1882" s="116">
        <v>17.137018739409399</v>
      </c>
      <c r="E1882" s="116">
        <v>17.485460894924099</v>
      </c>
      <c r="F1882" s="116">
        <v>275.55</v>
      </c>
      <c r="G1882">
        <v>14248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44776</v>
      </c>
      <c r="B1883" s="116">
        <v>17.456951991291099</v>
      </c>
      <c r="C1883" s="116">
        <v>17.0926715559802</v>
      </c>
      <c r="D1883" s="116">
        <v>16.851929703079101</v>
      </c>
      <c r="E1883" s="116">
        <v>17.456951991291099</v>
      </c>
      <c r="F1883" s="116">
        <v>269.8</v>
      </c>
      <c r="G1883">
        <v>9711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44777</v>
      </c>
      <c r="B1884" s="116">
        <v>17.2003718585939</v>
      </c>
      <c r="C1884" s="116">
        <v>16.573175978667201</v>
      </c>
      <c r="D1884" s="116">
        <v>16.446469740298198</v>
      </c>
      <c r="E1884" s="116">
        <v>17.2003718585939</v>
      </c>
      <c r="F1884" s="116">
        <v>261.60000000000002</v>
      </c>
      <c r="G1884">
        <v>14251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44778</v>
      </c>
      <c r="B1885" s="116">
        <v>18.169674582116802</v>
      </c>
      <c r="C1885" s="116">
        <v>17.21621013839</v>
      </c>
      <c r="D1885" s="116">
        <v>16.5636730107896</v>
      </c>
      <c r="E1885" s="116">
        <v>16.566840666748799</v>
      </c>
      <c r="F1885" s="116">
        <v>271.75</v>
      </c>
      <c r="G1885">
        <v>19762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44781</v>
      </c>
      <c r="B1886" s="116">
        <v>18.530787361468501</v>
      </c>
      <c r="C1886" s="116">
        <v>18.0081241281963</v>
      </c>
      <c r="D1886" s="116">
        <v>17.422107775739601</v>
      </c>
      <c r="E1886" s="116">
        <v>17.422107775739601</v>
      </c>
      <c r="F1886" s="116">
        <v>284.25</v>
      </c>
      <c r="G1886">
        <v>19415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44783</v>
      </c>
      <c r="B1887" s="116">
        <v>18.372404563507299</v>
      </c>
      <c r="C1887" s="116">
        <v>17.422107775739601</v>
      </c>
      <c r="D1887" s="116">
        <v>17.2320484181861</v>
      </c>
      <c r="E1887" s="116">
        <v>18.366069251588801</v>
      </c>
      <c r="F1887" s="116">
        <v>275</v>
      </c>
      <c r="G1887">
        <v>15045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44784</v>
      </c>
      <c r="B1888" s="116">
        <v>17.992285848400201</v>
      </c>
      <c r="C1888" s="116">
        <v>17.263724977778399</v>
      </c>
      <c r="D1888" s="116">
        <v>17.1053421798171</v>
      </c>
      <c r="E1888" s="116">
        <v>17.738873371662201</v>
      </c>
      <c r="F1888" s="116">
        <v>272.5</v>
      </c>
      <c r="G1888">
        <v>9755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44785</v>
      </c>
      <c r="B1889" s="116">
        <v>17.694526188232999</v>
      </c>
      <c r="C1889" s="116">
        <v>16.642864409770201</v>
      </c>
      <c r="D1889" s="116">
        <v>15.8066032365347</v>
      </c>
      <c r="E1889" s="116">
        <v>17.3397487207998</v>
      </c>
      <c r="F1889" s="116">
        <v>262.7</v>
      </c>
      <c r="G1889">
        <v>28245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44789</v>
      </c>
      <c r="B1890" s="116">
        <v>17.1053421798171</v>
      </c>
      <c r="C1890" s="116">
        <v>15.993494938129</v>
      </c>
      <c r="D1890" s="116">
        <v>15.5215142002044</v>
      </c>
      <c r="E1890" s="116">
        <v>16.851929703079101</v>
      </c>
      <c r="F1890" s="116">
        <v>252.45</v>
      </c>
      <c r="G1890">
        <v>43424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44790</v>
      </c>
      <c r="B1891" s="116">
        <v>16.978635941448101</v>
      </c>
      <c r="C1891" s="116">
        <v>16.807582519649898</v>
      </c>
      <c r="D1891" s="116">
        <v>15.8382797961269</v>
      </c>
      <c r="E1891" s="116">
        <v>15.964986034496</v>
      </c>
      <c r="F1891" s="116">
        <v>265.3</v>
      </c>
      <c r="G1891">
        <v>31685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44791</v>
      </c>
      <c r="B1892" s="116">
        <v>17.358754656555099</v>
      </c>
      <c r="C1892" s="116">
        <v>16.9818035974073</v>
      </c>
      <c r="D1892" s="116">
        <v>16.6048525382595</v>
      </c>
      <c r="E1892" s="116">
        <v>17.099006867898702</v>
      </c>
      <c r="F1892" s="116">
        <v>268.05</v>
      </c>
      <c r="G1892">
        <v>17648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44792</v>
      </c>
      <c r="B1893" s="116">
        <v>17.181365922838499</v>
      </c>
      <c r="C1893" s="116">
        <v>16.8550973590383</v>
      </c>
      <c r="D1893" s="116">
        <v>16.601684882300301</v>
      </c>
      <c r="E1893" s="116">
        <v>17.0926715559802</v>
      </c>
      <c r="F1893" s="116">
        <v>266.05</v>
      </c>
      <c r="G1893">
        <v>8745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44795</v>
      </c>
      <c r="B1894" s="116">
        <v>16.905779854385901</v>
      </c>
      <c r="C1894" s="116">
        <v>16.516158171401202</v>
      </c>
      <c r="D1894" s="116">
        <v>16.193057263560199</v>
      </c>
      <c r="E1894" s="116">
        <v>16.547834730993401</v>
      </c>
      <c r="F1894" s="116">
        <v>260.7</v>
      </c>
      <c r="G1894">
        <v>9195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44796</v>
      </c>
      <c r="B1895" s="116">
        <v>16.459140364135099</v>
      </c>
      <c r="C1895" s="116">
        <v>16.148710080131</v>
      </c>
      <c r="D1895" s="116">
        <v>15.964986034496</v>
      </c>
      <c r="E1895" s="116">
        <v>16.028339153680498</v>
      </c>
      <c r="F1895" s="116">
        <v>254.9</v>
      </c>
      <c r="G1895">
        <v>22285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44797</v>
      </c>
      <c r="B1896" s="116">
        <v>16.503487547564301</v>
      </c>
      <c r="C1896" s="116">
        <v>16.139207112253398</v>
      </c>
      <c r="D1896" s="116">
        <v>15.958650722577501</v>
      </c>
      <c r="E1896" s="116">
        <v>16.091692272865</v>
      </c>
      <c r="F1896" s="116">
        <v>254.75</v>
      </c>
      <c r="G1896">
        <v>32953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44798</v>
      </c>
      <c r="B1897" s="116">
        <v>17.1053421798171</v>
      </c>
      <c r="C1897" s="116">
        <v>16.3134281900108</v>
      </c>
      <c r="D1897" s="116">
        <v>16.155045392049502</v>
      </c>
      <c r="E1897" s="116">
        <v>16.345104749602999</v>
      </c>
      <c r="F1897" s="116">
        <v>257.5</v>
      </c>
      <c r="G1897">
        <v>29089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44799</v>
      </c>
      <c r="B1898" s="116">
        <v>17.285898569493</v>
      </c>
      <c r="C1898" s="116">
        <v>17.1908688907162</v>
      </c>
      <c r="D1898" s="116">
        <v>16.155045392049502</v>
      </c>
      <c r="E1898" s="116">
        <v>16.408457868787501</v>
      </c>
      <c r="F1898" s="116">
        <v>271.35000000000002</v>
      </c>
      <c r="G1898">
        <v>46610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44802</v>
      </c>
      <c r="B1899" s="116">
        <v>17.865579610031201</v>
      </c>
      <c r="C1899" s="116">
        <v>17.475957927046501</v>
      </c>
      <c r="D1899" s="116">
        <v>16.617523162096401</v>
      </c>
      <c r="E1899" s="116">
        <v>16.823420799446001</v>
      </c>
      <c r="F1899" s="116">
        <v>275.85000000000002</v>
      </c>
      <c r="G1899">
        <v>43642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44803</v>
      </c>
      <c r="B1900" s="116">
        <v>18.879229516983301</v>
      </c>
      <c r="C1900" s="116">
        <v>17.691358532273799</v>
      </c>
      <c r="D1900" s="116">
        <v>17.551981670067899</v>
      </c>
      <c r="E1900" s="116">
        <v>17.8275677385205</v>
      </c>
      <c r="F1900" s="116">
        <v>279.25</v>
      </c>
      <c r="G1900">
        <v>41304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44805</v>
      </c>
      <c r="B1901" s="116">
        <v>18.372404563507299</v>
      </c>
      <c r="C1901" s="116">
        <v>17.067330308306399</v>
      </c>
      <c r="D1901" s="116">
        <v>16.943791725896599</v>
      </c>
      <c r="E1901" s="116">
        <v>17.738873371662201</v>
      </c>
      <c r="F1901" s="116">
        <v>269.39999999999998</v>
      </c>
      <c r="G1901">
        <v>31467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44806</v>
      </c>
      <c r="B1902" s="116">
        <v>17.4379460555358</v>
      </c>
      <c r="C1902" s="116">
        <v>16.091692272865</v>
      </c>
      <c r="D1902" s="116">
        <v>15.901632915311501</v>
      </c>
      <c r="E1902" s="116">
        <v>17.067330308306399</v>
      </c>
      <c r="F1902" s="116">
        <v>254</v>
      </c>
      <c r="G1902">
        <v>91808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44809</v>
      </c>
      <c r="B1903" s="116">
        <v>17.7008615001515</v>
      </c>
      <c r="C1903" s="116">
        <v>17.656514316722301</v>
      </c>
      <c r="D1903" s="116">
        <v>15.7749266769424</v>
      </c>
      <c r="E1903" s="116">
        <v>15.9333094749037</v>
      </c>
      <c r="F1903" s="116">
        <v>278.7</v>
      </c>
      <c r="G1903">
        <v>66605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44810</v>
      </c>
      <c r="B1904" s="116">
        <v>19.420898686010901</v>
      </c>
      <c r="C1904" s="116">
        <v>19.420898686010901</v>
      </c>
      <c r="D1904" s="116">
        <v>18.274207228771299</v>
      </c>
      <c r="E1904" s="116">
        <v>19.3828868145002</v>
      </c>
      <c r="F1904" s="116">
        <v>306.55</v>
      </c>
      <c r="G1904">
        <v>178242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44811</v>
      </c>
      <c r="B1905" s="116">
        <v>20.209645019858002</v>
      </c>
      <c r="C1905" s="116">
        <v>19.7978497451587</v>
      </c>
      <c r="D1905" s="116">
        <v>18.508613769754</v>
      </c>
      <c r="E1905" s="116">
        <v>19.417731030051598</v>
      </c>
      <c r="F1905" s="116">
        <v>312.5</v>
      </c>
      <c r="G1905">
        <v>105070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44812</v>
      </c>
      <c r="B1906" s="116">
        <v>20.779823092518601</v>
      </c>
      <c r="C1906" s="116">
        <v>19.7978497451587</v>
      </c>
      <c r="D1906" s="116">
        <v>19.3290366631933</v>
      </c>
      <c r="E1906" s="116">
        <v>20.0195856623045</v>
      </c>
      <c r="F1906" s="116">
        <v>312.5</v>
      </c>
      <c r="G1906">
        <v>45599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44813</v>
      </c>
      <c r="B1907" s="116">
        <v>20.2729981390425</v>
      </c>
      <c r="C1907" s="116">
        <v>19.2023304248243</v>
      </c>
      <c r="D1907" s="116">
        <v>18.0651419354624</v>
      </c>
      <c r="E1907" s="116">
        <v>19.718658346178</v>
      </c>
      <c r="F1907" s="116">
        <v>303.10000000000002</v>
      </c>
      <c r="G1907">
        <v>64469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44816</v>
      </c>
      <c r="B1908" s="116">
        <v>19.582449139931398</v>
      </c>
      <c r="C1908" s="116">
        <v>18.866558893146401</v>
      </c>
      <c r="D1908" s="116">
        <v>18.055638967584699</v>
      </c>
      <c r="E1908" s="116">
        <v>19.534934300543</v>
      </c>
      <c r="F1908" s="116">
        <v>297.8</v>
      </c>
      <c r="G1908">
        <v>36659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44817</v>
      </c>
      <c r="B1909" s="116">
        <v>19.506425396909901</v>
      </c>
      <c r="C1909" s="116">
        <v>18.945750292127101</v>
      </c>
      <c r="D1909" s="116">
        <v>18.8158763977988</v>
      </c>
      <c r="E1909" s="116">
        <v>18.977426851719301</v>
      </c>
      <c r="F1909" s="116">
        <v>299.05</v>
      </c>
      <c r="G1909">
        <v>21022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44818</v>
      </c>
      <c r="B1910" s="116">
        <v>19.316366039356399</v>
      </c>
      <c r="C1910" s="116">
        <v>18.625817040245298</v>
      </c>
      <c r="D1910" s="116">
        <v>18.195015829790599</v>
      </c>
      <c r="E1910" s="116">
        <v>18.195015829790599</v>
      </c>
      <c r="F1910" s="116">
        <v>294</v>
      </c>
      <c r="G1910">
        <v>25783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44819</v>
      </c>
      <c r="B1911" s="116">
        <v>19.512760708828399</v>
      </c>
      <c r="C1911" s="116">
        <v>18.248865981097499</v>
      </c>
      <c r="D1911" s="116">
        <v>18.030297719910902</v>
      </c>
      <c r="E1911" s="116">
        <v>18.692337815388999</v>
      </c>
      <c r="F1911" s="116">
        <v>288.05</v>
      </c>
      <c r="G1911">
        <v>32349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44820</v>
      </c>
      <c r="B1912" s="116">
        <v>18.686002503470601</v>
      </c>
      <c r="C1912" s="116">
        <v>17.985950536481798</v>
      </c>
      <c r="D1912" s="116">
        <v>17.6185024452116</v>
      </c>
      <c r="E1912" s="116">
        <v>18.686002503470601</v>
      </c>
      <c r="F1912" s="116">
        <v>283.89999999999998</v>
      </c>
      <c r="G1912">
        <v>32190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44823</v>
      </c>
      <c r="B1913" s="116">
        <v>18.5624639210608</v>
      </c>
      <c r="C1913" s="116">
        <v>17.719867435906799</v>
      </c>
      <c r="D1913" s="116">
        <v>17.612167133293202</v>
      </c>
      <c r="E1913" s="116">
        <v>18.058806623543902</v>
      </c>
      <c r="F1913" s="116">
        <v>279.7</v>
      </c>
      <c r="G1913">
        <v>25118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44824</v>
      </c>
      <c r="B1914" s="116">
        <v>18.2456983251382</v>
      </c>
      <c r="C1914" s="116">
        <v>17.767382275295201</v>
      </c>
      <c r="D1914" s="116">
        <v>17.206707170512299</v>
      </c>
      <c r="E1914" s="116">
        <v>18.055638967584699</v>
      </c>
      <c r="F1914" s="116">
        <v>280.45</v>
      </c>
      <c r="G1914">
        <v>33078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44825</v>
      </c>
      <c r="B1915" s="116">
        <v>17.8972561696235</v>
      </c>
      <c r="C1915" s="116">
        <v>17.5646522939048</v>
      </c>
      <c r="D1915" s="116">
        <v>17.422107775739601</v>
      </c>
      <c r="E1915" s="116">
        <v>17.742041027621401</v>
      </c>
      <c r="F1915" s="116">
        <v>277.25</v>
      </c>
      <c r="G1915">
        <v>13215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44826</v>
      </c>
      <c r="B1916" s="116">
        <v>18.157003958279901</v>
      </c>
      <c r="C1916" s="116">
        <v>17.947938664971101</v>
      </c>
      <c r="D1916" s="116">
        <v>17.2320484181861</v>
      </c>
      <c r="E1916" s="116">
        <v>17.2320484181861</v>
      </c>
      <c r="F1916" s="116">
        <v>283.3</v>
      </c>
      <c r="G1916">
        <v>14400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44827</v>
      </c>
      <c r="B1917" s="116">
        <v>18.103153806973101</v>
      </c>
      <c r="C1917" s="116">
        <v>17.767382275295201</v>
      </c>
      <c r="D1917" s="116">
        <v>17.488628550883401</v>
      </c>
      <c r="E1917" s="116">
        <v>18.103153806973101</v>
      </c>
      <c r="F1917" s="116">
        <v>280.45</v>
      </c>
      <c r="G1917">
        <v>16553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44830</v>
      </c>
      <c r="B1918" s="116">
        <v>19.322701351274901</v>
      </c>
      <c r="C1918" s="116">
        <v>18.727182030940501</v>
      </c>
      <c r="D1918" s="116">
        <v>17.928932729215699</v>
      </c>
      <c r="E1918" s="116">
        <v>19.256180576131101</v>
      </c>
      <c r="F1918" s="116">
        <v>295.60000000000002</v>
      </c>
      <c r="G1918">
        <v>111252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44831</v>
      </c>
      <c r="B1919" s="116">
        <v>18.974259195760101</v>
      </c>
      <c r="C1919" s="116">
        <v>18.2171894215052</v>
      </c>
      <c r="D1919" s="116">
        <v>17.944771009011799</v>
      </c>
      <c r="E1919" s="116">
        <v>18.5783022008569</v>
      </c>
      <c r="F1919" s="116">
        <v>287.55</v>
      </c>
      <c r="G1919">
        <v>26302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44832</v>
      </c>
      <c r="B1920" s="116">
        <v>18.796870462043501</v>
      </c>
      <c r="C1920" s="116">
        <v>18.144333334443001</v>
      </c>
      <c r="D1920" s="116">
        <v>17.960609288808001</v>
      </c>
      <c r="E1920" s="116">
        <v>18.055638967584699</v>
      </c>
      <c r="F1920" s="116">
        <v>286.39999999999998</v>
      </c>
      <c r="G1920">
        <v>38238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44833</v>
      </c>
      <c r="B1921" s="116">
        <v>19.322701351274901</v>
      </c>
      <c r="C1921" s="116">
        <v>18.9394149802086</v>
      </c>
      <c r="D1921" s="116">
        <v>18.651158287919099</v>
      </c>
      <c r="E1921" s="116">
        <v>18.6891701594298</v>
      </c>
      <c r="F1921" s="116">
        <v>298.95</v>
      </c>
      <c r="G1921">
        <v>46615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44834</v>
      </c>
      <c r="B1922" s="116">
        <v>19.164318553313599</v>
      </c>
      <c r="C1922" s="116">
        <v>18.838049989513401</v>
      </c>
      <c r="D1922" s="116">
        <v>18.6891701594298</v>
      </c>
      <c r="E1922" s="116">
        <v>18.9394149802086</v>
      </c>
      <c r="F1922" s="116">
        <v>297.35000000000002</v>
      </c>
      <c r="G1922">
        <v>25946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44837</v>
      </c>
      <c r="B1923" s="116">
        <v>19.195995112905901</v>
      </c>
      <c r="C1923" s="116">
        <v>18.762026246491999</v>
      </c>
      <c r="D1923" s="116">
        <v>18.5624639210608</v>
      </c>
      <c r="E1923" s="116">
        <v>19.072456530496101</v>
      </c>
      <c r="F1923" s="116">
        <v>296.14999999999998</v>
      </c>
      <c r="G1923">
        <v>19336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44838</v>
      </c>
      <c r="B1924" s="116">
        <v>19.306863071478698</v>
      </c>
      <c r="C1924" s="116">
        <v>18.594140480653</v>
      </c>
      <c r="D1924" s="116">
        <v>18.442092994610199</v>
      </c>
      <c r="E1924" s="116">
        <v>19.306863071478698</v>
      </c>
      <c r="F1924" s="116">
        <v>293.5</v>
      </c>
      <c r="G1924">
        <v>24572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44840</v>
      </c>
      <c r="B1925" s="116">
        <v>19.0344446589854</v>
      </c>
      <c r="C1925" s="116">
        <v>18.616314072367601</v>
      </c>
      <c r="D1925" s="116">
        <v>18.277374884730499</v>
      </c>
      <c r="E1925" s="116">
        <v>18.594140480653</v>
      </c>
      <c r="F1925" s="116">
        <v>293.85000000000002</v>
      </c>
      <c r="G1925">
        <v>21216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44841</v>
      </c>
      <c r="B1926" s="116">
        <v>19.069288874536799</v>
      </c>
      <c r="C1926" s="116">
        <v>19.0344446589854</v>
      </c>
      <c r="D1926" s="116">
        <v>18.252033637056702</v>
      </c>
      <c r="E1926" s="116">
        <v>18.727182030940501</v>
      </c>
      <c r="F1926" s="116">
        <v>300.45</v>
      </c>
      <c r="G1926">
        <v>25504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44844</v>
      </c>
      <c r="B1927" s="116">
        <v>19.069288874536799</v>
      </c>
      <c r="C1927" s="116">
        <v>19.012271067270799</v>
      </c>
      <c r="D1927" s="116">
        <v>18.435757682691801</v>
      </c>
      <c r="E1927" s="116">
        <v>18.879229516983301</v>
      </c>
      <c r="F1927" s="116">
        <v>300.10000000000002</v>
      </c>
      <c r="G1927">
        <v>25047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44845</v>
      </c>
      <c r="B1928" s="116">
        <v>20.589763734965</v>
      </c>
      <c r="C1928" s="116">
        <v>19.848532240506302</v>
      </c>
      <c r="D1928" s="116">
        <v>18.847552957391098</v>
      </c>
      <c r="E1928" s="116">
        <v>18.996432787474699</v>
      </c>
      <c r="F1928" s="116">
        <v>313.3</v>
      </c>
      <c r="G1928">
        <v>87941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44846</v>
      </c>
      <c r="B1929" s="116">
        <v>20.779823092518601</v>
      </c>
      <c r="C1929" s="116">
        <v>19.7851791213218</v>
      </c>
      <c r="D1929" s="116">
        <v>19.458910557521602</v>
      </c>
      <c r="E1929" s="116">
        <v>19.956232543119999</v>
      </c>
      <c r="F1929" s="116">
        <v>312.3</v>
      </c>
      <c r="G1929">
        <v>48407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44847</v>
      </c>
      <c r="B1930" s="116">
        <v>20.2729981390425</v>
      </c>
      <c r="C1930" s="116">
        <v>19.436736965807</v>
      </c>
      <c r="D1930" s="116">
        <v>19.1199713698845</v>
      </c>
      <c r="E1930" s="116">
        <v>19.9530648871607</v>
      </c>
      <c r="F1930" s="116">
        <v>306.8</v>
      </c>
      <c r="G1930">
        <v>38154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44848</v>
      </c>
      <c r="B1931" s="116">
        <v>20.010082694426799</v>
      </c>
      <c r="C1931" s="116">
        <v>19.671143506789701</v>
      </c>
      <c r="D1931" s="116">
        <v>19.500090084991498</v>
      </c>
      <c r="E1931" s="116">
        <v>19.705987722341099</v>
      </c>
      <c r="F1931" s="116">
        <v>310.5</v>
      </c>
      <c r="G1931">
        <v>16366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44851</v>
      </c>
      <c r="B1932" s="116">
        <v>19.851699896465501</v>
      </c>
      <c r="C1932" s="116">
        <v>19.6869817865858</v>
      </c>
      <c r="D1932" s="116">
        <v>19.176989177150499</v>
      </c>
      <c r="E1932" s="116">
        <v>19.4525752456031</v>
      </c>
      <c r="F1932" s="116">
        <v>310.75</v>
      </c>
      <c r="G1932">
        <v>19504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44852</v>
      </c>
      <c r="B1933" s="116">
        <v>19.8421969285878</v>
      </c>
      <c r="C1933" s="116">
        <v>19.259348232090399</v>
      </c>
      <c r="D1933" s="116">
        <v>18.942582636167799</v>
      </c>
      <c r="E1933" s="116">
        <v>19.8421969285878</v>
      </c>
      <c r="F1933" s="116">
        <v>304</v>
      </c>
      <c r="G1933">
        <v>29857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44853</v>
      </c>
      <c r="B1934" s="116">
        <v>19.7028200663819</v>
      </c>
      <c r="C1934" s="116">
        <v>18.806373429921099</v>
      </c>
      <c r="D1934" s="116">
        <v>18.6891701594298</v>
      </c>
      <c r="E1934" s="116">
        <v>19.7028200663819</v>
      </c>
      <c r="F1934" s="116">
        <v>296.85000000000002</v>
      </c>
      <c r="G1934">
        <v>19484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44854</v>
      </c>
      <c r="B1935" s="116">
        <v>19.310030727438001</v>
      </c>
      <c r="C1935" s="116">
        <v>18.7841998382066</v>
      </c>
      <c r="D1935" s="116">
        <v>18.625817040245298</v>
      </c>
      <c r="E1935" s="116">
        <v>19.310030727438001</v>
      </c>
      <c r="F1935" s="116">
        <v>296.5</v>
      </c>
      <c r="G1935">
        <v>18746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44855</v>
      </c>
      <c r="B1936" s="116">
        <v>21.115594624196401</v>
      </c>
      <c r="C1936" s="116">
        <v>20.630943262435</v>
      </c>
      <c r="D1936" s="116">
        <v>18.879229516983301</v>
      </c>
      <c r="E1936" s="116">
        <v>18.879229516983301</v>
      </c>
      <c r="F1936" s="116">
        <v>325.64999999999998</v>
      </c>
      <c r="G1936">
        <v>105293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44858</v>
      </c>
      <c r="B1937" s="116">
        <v>22.236944833762202</v>
      </c>
      <c r="C1937" s="116">
        <v>21.780802375633801</v>
      </c>
      <c r="D1937" s="116">
        <v>21.0649121288488</v>
      </c>
      <c r="E1937" s="116">
        <v>21.0649121288488</v>
      </c>
      <c r="F1937" s="116">
        <v>343.8</v>
      </c>
      <c r="G1937">
        <v>92011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44859</v>
      </c>
      <c r="B1938" s="116">
        <v>22.1735917145777</v>
      </c>
      <c r="C1938" s="116">
        <v>21.445030843955902</v>
      </c>
      <c r="D1938" s="116">
        <v>21.026900257338099</v>
      </c>
      <c r="E1938" s="116">
        <v>21.856826118655199</v>
      </c>
      <c r="F1938" s="116">
        <v>338.5</v>
      </c>
      <c r="G1938">
        <v>55448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44861</v>
      </c>
      <c r="B1939" s="116">
        <v>22.439674815152699</v>
      </c>
      <c r="C1939" s="116">
        <v>22.335142168498201</v>
      </c>
      <c r="D1939" s="116">
        <v>21.6192519217133</v>
      </c>
      <c r="E1939" s="116">
        <v>22.037382508331</v>
      </c>
      <c r="F1939" s="116">
        <v>352.55</v>
      </c>
      <c r="G1939">
        <v>78101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44862</v>
      </c>
      <c r="B1940" s="116">
        <v>25.3412476738031</v>
      </c>
      <c r="C1940" s="116">
        <v>24.349771358565601</v>
      </c>
      <c r="D1940" s="116">
        <v>22.3002979529467</v>
      </c>
      <c r="E1940" s="116">
        <v>22.487189654541002</v>
      </c>
      <c r="F1940" s="116">
        <v>384.35</v>
      </c>
      <c r="G1940">
        <v>175101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44865</v>
      </c>
      <c r="B1941" s="116">
        <v>29.136099512955099</v>
      </c>
      <c r="C1941" s="116">
        <v>27.248176561256798</v>
      </c>
      <c r="D1941" s="116">
        <v>24.485980564812301</v>
      </c>
      <c r="E1941" s="116">
        <v>25.024482077880599</v>
      </c>
      <c r="F1941" s="116">
        <v>430.1</v>
      </c>
      <c r="G1941">
        <v>336083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44866</v>
      </c>
      <c r="B1942" s="116">
        <v>28.318844275475001</v>
      </c>
      <c r="C1942" s="116">
        <v>26.237694310263901</v>
      </c>
      <c r="D1942" s="116">
        <v>25.417271416824502</v>
      </c>
      <c r="E1942" s="116">
        <v>28.318844275475001</v>
      </c>
      <c r="F1942" s="116">
        <v>414.15</v>
      </c>
      <c r="G1942">
        <v>115521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44867</v>
      </c>
      <c r="B1943" s="116">
        <v>27.368547487707399</v>
      </c>
      <c r="C1943" s="116">
        <v>26.424586011858199</v>
      </c>
      <c r="D1943" s="116">
        <v>25.7562106044616</v>
      </c>
      <c r="E1943" s="116">
        <v>26.605142401534</v>
      </c>
      <c r="F1943" s="116">
        <v>417.1</v>
      </c>
      <c r="G1943">
        <v>41367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44868</v>
      </c>
      <c r="B1944" s="116">
        <v>27.115135010969301</v>
      </c>
      <c r="C1944" s="116">
        <v>26.833213630598301</v>
      </c>
      <c r="D1944" s="116">
        <v>26.038131984832699</v>
      </c>
      <c r="E1944" s="116">
        <v>26.038131984832699</v>
      </c>
      <c r="F1944" s="116">
        <v>423.55</v>
      </c>
      <c r="G1944">
        <v>41841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44869</v>
      </c>
      <c r="B1945" s="116">
        <v>27.495253726076399</v>
      </c>
      <c r="C1945" s="116">
        <v>26.440424291654299</v>
      </c>
      <c r="D1945" s="116">
        <v>26.164838223201698</v>
      </c>
      <c r="E1945" s="116">
        <v>27.178488130153799</v>
      </c>
      <c r="F1945" s="116">
        <v>417.35</v>
      </c>
      <c r="G1945">
        <v>24961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44872</v>
      </c>
      <c r="B1946" s="116">
        <v>28.825669228951</v>
      </c>
      <c r="C1946" s="116">
        <v>28.331514899311902</v>
      </c>
      <c r="D1946" s="116">
        <v>26.735016295862302</v>
      </c>
      <c r="E1946" s="116">
        <v>26.858554878272098</v>
      </c>
      <c r="F1946" s="116">
        <v>447.2</v>
      </c>
      <c r="G1946">
        <v>88470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44874</v>
      </c>
      <c r="B1947" s="116">
        <v>30.029378493456701</v>
      </c>
      <c r="C1947" s="116">
        <v>29.091752329525999</v>
      </c>
      <c r="D1947" s="116">
        <v>28.635609871397499</v>
      </c>
      <c r="E1947" s="116">
        <v>28.822501572991801</v>
      </c>
      <c r="F1947" s="116">
        <v>459.2</v>
      </c>
      <c r="G1947">
        <v>70156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44875</v>
      </c>
      <c r="B1948" s="116">
        <v>29.1424348248736</v>
      </c>
      <c r="C1948" s="116">
        <v>26.817375350802099</v>
      </c>
      <c r="D1948" s="116">
        <v>26.3548975807552</v>
      </c>
      <c r="E1948" s="116">
        <v>29.136099512955099</v>
      </c>
      <c r="F1948" s="116">
        <v>423.3</v>
      </c>
      <c r="G1948">
        <v>67279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44876</v>
      </c>
      <c r="B1949" s="116">
        <v>28.1731321013506</v>
      </c>
      <c r="C1949" s="116">
        <v>26.972590492804201</v>
      </c>
      <c r="D1949" s="116">
        <v>26.4372566356951</v>
      </c>
      <c r="E1949" s="116">
        <v>27.742330890896</v>
      </c>
      <c r="F1949" s="116">
        <v>425.75</v>
      </c>
      <c r="G1949">
        <v>44190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44879</v>
      </c>
      <c r="B1950" s="116">
        <v>27.2418412493384</v>
      </c>
      <c r="C1950" s="116">
        <v>26.301047429448399</v>
      </c>
      <c r="D1950" s="116">
        <v>25.594660150541099</v>
      </c>
      <c r="E1950" s="116">
        <v>27.2418412493384</v>
      </c>
      <c r="F1950" s="116">
        <v>415.15</v>
      </c>
      <c r="G1950">
        <v>31733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44880</v>
      </c>
      <c r="B1951" s="116">
        <v>29.5732360353282</v>
      </c>
      <c r="C1951" s="116">
        <v>28.150958509635998</v>
      </c>
      <c r="D1951" s="116">
        <v>26.7952017590876</v>
      </c>
      <c r="E1951" s="116">
        <v>26.7952017590876</v>
      </c>
      <c r="F1951" s="116">
        <v>444.35</v>
      </c>
      <c r="G1951">
        <v>67709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44881</v>
      </c>
      <c r="B1952" s="116">
        <v>29.139267168914401</v>
      </c>
      <c r="C1952" s="116">
        <v>28.052761174900098</v>
      </c>
      <c r="D1952" s="116">
        <v>27.2703501529714</v>
      </c>
      <c r="E1952" s="116">
        <v>28.946040155401601</v>
      </c>
      <c r="F1952" s="116">
        <v>442.8</v>
      </c>
      <c r="G1952">
        <v>64455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44882</v>
      </c>
      <c r="B1953" s="116">
        <v>29.3926796456524</v>
      </c>
      <c r="C1953" s="116">
        <v>28.4898976972732</v>
      </c>
      <c r="D1953" s="116">
        <v>27.371715143666599</v>
      </c>
      <c r="E1953" s="116">
        <v>28.122449606002998</v>
      </c>
      <c r="F1953" s="116">
        <v>449.7</v>
      </c>
      <c r="G1953">
        <v>30129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44883</v>
      </c>
      <c r="B1954" s="116">
        <v>29.237464503650301</v>
      </c>
      <c r="C1954" s="116">
        <v>28.543747848580001</v>
      </c>
      <c r="D1954" s="116">
        <v>27.5776127810162</v>
      </c>
      <c r="E1954" s="116">
        <v>29.132931856995899</v>
      </c>
      <c r="F1954" s="116">
        <v>450.55</v>
      </c>
      <c r="G1954">
        <v>22392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44886</v>
      </c>
      <c r="B1955" s="116">
        <v>28.952375467320099</v>
      </c>
      <c r="C1955" s="116">
        <v>28.052761174900098</v>
      </c>
      <c r="D1955" s="116">
        <v>27.558606845260901</v>
      </c>
      <c r="E1955" s="116">
        <v>28.952375467320099</v>
      </c>
      <c r="F1955" s="116">
        <v>442.8</v>
      </c>
      <c r="G1955">
        <v>15587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44887</v>
      </c>
      <c r="B1956" s="116">
        <v>28.493065353232399</v>
      </c>
      <c r="C1956" s="116">
        <v>27.986240399756301</v>
      </c>
      <c r="D1956" s="116">
        <v>27.8817077531019</v>
      </c>
      <c r="E1956" s="116">
        <v>28.0464258629816</v>
      </c>
      <c r="F1956" s="116">
        <v>441.75</v>
      </c>
      <c r="G1956">
        <v>15993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44888</v>
      </c>
      <c r="B1957" s="116">
        <v>28.5025683211101</v>
      </c>
      <c r="C1957" s="116">
        <v>27.368547487707399</v>
      </c>
      <c r="D1957" s="116">
        <v>26.925075653415799</v>
      </c>
      <c r="E1957" s="116">
        <v>28.1034436702477</v>
      </c>
      <c r="F1957" s="116">
        <v>432</v>
      </c>
      <c r="G1957">
        <v>44611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44889</v>
      </c>
      <c r="B1958" s="116">
        <v>27.995743367633999</v>
      </c>
      <c r="C1958" s="116">
        <v>27.666307147874601</v>
      </c>
      <c r="D1958" s="116">
        <v>27.013770020274102</v>
      </c>
      <c r="E1958" s="116">
        <v>27.371715143666599</v>
      </c>
      <c r="F1958" s="116">
        <v>436.7</v>
      </c>
      <c r="G1958">
        <v>11515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44890</v>
      </c>
      <c r="B1959" s="116">
        <v>28.0622641427777</v>
      </c>
      <c r="C1959" s="116">
        <v>27.010602364314899</v>
      </c>
      <c r="D1959" s="116">
        <v>26.8933990938236</v>
      </c>
      <c r="E1959" s="116">
        <v>28.0622641427777</v>
      </c>
      <c r="F1959" s="116">
        <v>426.35</v>
      </c>
      <c r="G1959">
        <v>19432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44893</v>
      </c>
      <c r="B1960" s="116">
        <v>27.805684010080501</v>
      </c>
      <c r="C1960" s="116">
        <v>27.666307147874601</v>
      </c>
      <c r="D1960" s="116">
        <v>27.010602364314899</v>
      </c>
      <c r="E1960" s="116">
        <v>27.238673593379101</v>
      </c>
      <c r="F1960" s="116">
        <v>436.7</v>
      </c>
      <c r="G1960">
        <v>16171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44894</v>
      </c>
      <c r="B1961" s="116">
        <v>27.9355579044087</v>
      </c>
      <c r="C1961" s="116">
        <v>27.6156246525269</v>
      </c>
      <c r="D1961" s="116">
        <v>27.058117203703301</v>
      </c>
      <c r="E1961" s="116">
        <v>27.431900606891901</v>
      </c>
      <c r="F1961" s="116">
        <v>435.9</v>
      </c>
      <c r="G1961">
        <v>14645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44895</v>
      </c>
      <c r="B1962" s="116">
        <v>27.748666202814402</v>
      </c>
      <c r="C1962" s="116">
        <v>27.4097270151773</v>
      </c>
      <c r="D1962" s="116">
        <v>27.083458451377101</v>
      </c>
      <c r="E1962" s="116">
        <v>27.729660267059099</v>
      </c>
      <c r="F1962" s="116">
        <v>432.65</v>
      </c>
      <c r="G1962">
        <v>16345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44896</v>
      </c>
      <c r="B1963" s="116">
        <v>28.508903633028499</v>
      </c>
      <c r="C1963" s="116">
        <v>28.401203330414798</v>
      </c>
      <c r="D1963" s="116">
        <v>27.2418412493384</v>
      </c>
      <c r="E1963" s="116">
        <v>27.558606845260901</v>
      </c>
      <c r="F1963" s="116">
        <v>448.3</v>
      </c>
      <c r="G1963">
        <v>28921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44897</v>
      </c>
      <c r="B1964" s="116">
        <v>28.749645485929602</v>
      </c>
      <c r="C1964" s="116">
        <v>28.261826468208898</v>
      </c>
      <c r="D1964" s="116">
        <v>27.476247790321001</v>
      </c>
      <c r="E1964" s="116">
        <v>27.875372441183401</v>
      </c>
      <c r="F1964" s="116">
        <v>446.1</v>
      </c>
      <c r="G1964">
        <v>26151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44900</v>
      </c>
      <c r="B1965" s="116">
        <v>28.889022348135601</v>
      </c>
      <c r="C1965" s="116">
        <v>28.496233009191599</v>
      </c>
      <c r="D1965" s="116">
        <v>28.1984733490244</v>
      </c>
      <c r="E1965" s="116">
        <v>28.445550513844001</v>
      </c>
      <c r="F1965" s="116">
        <v>449.8</v>
      </c>
      <c r="G1965">
        <v>34707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44901</v>
      </c>
      <c r="B1966" s="116">
        <v>28.816166261073398</v>
      </c>
      <c r="C1966" s="116">
        <v>27.913384312694099</v>
      </c>
      <c r="D1966" s="116">
        <v>27.403391703258801</v>
      </c>
      <c r="E1966" s="116">
        <v>28.816166261073398</v>
      </c>
      <c r="F1966" s="116">
        <v>440.6</v>
      </c>
      <c r="G1966">
        <v>13861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44902</v>
      </c>
      <c r="B1967" s="116">
        <v>28.3125089635565</v>
      </c>
      <c r="C1967" s="116">
        <v>27.026440644110998</v>
      </c>
      <c r="D1967" s="116">
        <v>26.608310057493298</v>
      </c>
      <c r="E1967" s="116">
        <v>28.3125089635565</v>
      </c>
      <c r="F1967" s="116">
        <v>426.6</v>
      </c>
      <c r="G1967">
        <v>32466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44903</v>
      </c>
      <c r="B1968" s="116">
        <v>27.8785400971427</v>
      </c>
      <c r="C1968" s="116">
        <v>27.2956914006452</v>
      </c>
      <c r="D1968" s="116">
        <v>26.861722534231301</v>
      </c>
      <c r="E1968" s="116">
        <v>27.0612848596625</v>
      </c>
      <c r="F1968" s="116">
        <v>430.85</v>
      </c>
      <c r="G1968">
        <v>17416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44904</v>
      </c>
      <c r="B1969" s="116">
        <v>27.7138219872629</v>
      </c>
      <c r="C1969" s="116">
        <v>27.153146882480002</v>
      </c>
      <c r="D1969" s="116">
        <v>26.988428772600301</v>
      </c>
      <c r="E1969" s="116">
        <v>27.251344217216001</v>
      </c>
      <c r="F1969" s="116">
        <v>428.6</v>
      </c>
      <c r="G1969">
        <v>16194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44907</v>
      </c>
      <c r="B1970" s="116">
        <v>27.539600909505499</v>
      </c>
      <c r="C1970" s="116">
        <v>26.484771475083502</v>
      </c>
      <c r="D1970" s="116">
        <v>26.3548975807552</v>
      </c>
      <c r="E1970" s="116">
        <v>27.181655786113101</v>
      </c>
      <c r="F1970" s="116">
        <v>418.05</v>
      </c>
      <c r="G1970">
        <v>27018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44908</v>
      </c>
      <c r="B1971" s="116">
        <v>26.605142401534</v>
      </c>
      <c r="C1971" s="116">
        <v>25.677019205480999</v>
      </c>
      <c r="D1971" s="116">
        <v>25.594660150541099</v>
      </c>
      <c r="E1971" s="116">
        <v>26.605142401534</v>
      </c>
      <c r="F1971" s="116">
        <v>405.3</v>
      </c>
      <c r="G1971">
        <v>39960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44909</v>
      </c>
      <c r="B1972" s="116">
        <v>26.291544461570702</v>
      </c>
      <c r="C1972" s="116">
        <v>25.5471453111528</v>
      </c>
      <c r="D1972" s="116">
        <v>25.024482077880599</v>
      </c>
      <c r="E1972" s="116">
        <v>25.848072627279201</v>
      </c>
      <c r="F1972" s="116">
        <v>403.25</v>
      </c>
      <c r="G1972">
        <v>33466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44910</v>
      </c>
      <c r="B1973" s="116">
        <v>26.259867901978499</v>
      </c>
      <c r="C1973" s="116">
        <v>25.151188316249598</v>
      </c>
      <c r="D1973" s="116">
        <v>25.024482077880599</v>
      </c>
      <c r="E1973" s="116">
        <v>25.7847195080947</v>
      </c>
      <c r="F1973" s="116">
        <v>397</v>
      </c>
      <c r="G1973">
        <v>20470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44911</v>
      </c>
      <c r="B1974" s="116">
        <v>25.594660150541099</v>
      </c>
      <c r="C1974" s="116">
        <v>24.790075536897898</v>
      </c>
      <c r="D1974" s="116">
        <v>24.660201642569699</v>
      </c>
      <c r="E1974" s="116">
        <v>25.135350036453499</v>
      </c>
      <c r="F1974" s="116">
        <v>391.3</v>
      </c>
      <c r="G1974">
        <v>15706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44914</v>
      </c>
      <c r="B1975" s="116">
        <v>25.151188316249598</v>
      </c>
      <c r="C1975" s="116">
        <v>24.210394496359701</v>
      </c>
      <c r="D1975" s="116">
        <v>23.789096253782699</v>
      </c>
      <c r="E1975" s="116">
        <v>25.0878351970651</v>
      </c>
      <c r="F1975" s="116">
        <v>382.15</v>
      </c>
      <c r="G1975">
        <v>40758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44915</v>
      </c>
      <c r="B1976" s="116">
        <v>24.6443633627735</v>
      </c>
      <c r="C1976" s="116">
        <v>24.257909335748</v>
      </c>
      <c r="D1976" s="116">
        <v>23.7732579739865</v>
      </c>
      <c r="E1976" s="116">
        <v>24.454304005219999</v>
      </c>
      <c r="F1976" s="116">
        <v>382.9</v>
      </c>
      <c r="G1976">
        <v>16223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44916</v>
      </c>
      <c r="B1977" s="116">
        <v>25.689689829317899</v>
      </c>
      <c r="C1977" s="116">
        <v>23.801766877619599</v>
      </c>
      <c r="D1977" s="116">
        <v>23.551522056840799</v>
      </c>
      <c r="E1977" s="116">
        <v>24.273747615544199</v>
      </c>
      <c r="F1977" s="116">
        <v>375.7</v>
      </c>
      <c r="G1977">
        <v>29681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44917</v>
      </c>
      <c r="B1978" s="116">
        <v>24.707716481957998</v>
      </c>
      <c r="C1978" s="116">
        <v>23.016188199731701</v>
      </c>
      <c r="D1978" s="116">
        <v>22.401662943641998</v>
      </c>
      <c r="E1978" s="116">
        <v>24.080520602031399</v>
      </c>
      <c r="F1978" s="116">
        <v>363.3</v>
      </c>
      <c r="G1978">
        <v>44120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44918</v>
      </c>
      <c r="B1979" s="116">
        <v>23.060535383160801</v>
      </c>
      <c r="C1979" s="116">
        <v>21.384845380730599</v>
      </c>
      <c r="D1979" s="116">
        <v>20.906529330887601</v>
      </c>
      <c r="E1979" s="116">
        <v>22.870476025607299</v>
      </c>
      <c r="F1979" s="116">
        <v>337.55</v>
      </c>
      <c r="G1979">
        <v>39889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44921</v>
      </c>
      <c r="B1980" s="116">
        <v>23.947479051743901</v>
      </c>
      <c r="C1980" s="116">
        <v>23.706737198842799</v>
      </c>
      <c r="D1980" s="116">
        <v>21.350001165179101</v>
      </c>
      <c r="E1980" s="116">
        <v>21.3975160045675</v>
      </c>
      <c r="F1980" s="116">
        <v>374.2</v>
      </c>
      <c r="G1980">
        <v>37537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44922</v>
      </c>
      <c r="B1981" s="116">
        <v>25.2145414354341</v>
      </c>
      <c r="C1981" s="116">
        <v>23.7574196941904</v>
      </c>
      <c r="D1981" s="116">
        <v>23.459660034023202</v>
      </c>
      <c r="E1981" s="116">
        <v>24.327597766851</v>
      </c>
      <c r="F1981" s="116">
        <v>375</v>
      </c>
      <c r="G1981">
        <v>25356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44923</v>
      </c>
      <c r="B1982" s="116">
        <v>24.295921207258701</v>
      </c>
      <c r="C1982" s="116">
        <v>23.7289107905574</v>
      </c>
      <c r="D1982" s="116">
        <v>23.6307134558214</v>
      </c>
      <c r="E1982" s="116">
        <v>24.137538409297498</v>
      </c>
      <c r="F1982" s="116">
        <v>374.55</v>
      </c>
      <c r="G1982">
        <v>14713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44924</v>
      </c>
      <c r="B1983" s="116">
        <v>24.010832170928499</v>
      </c>
      <c r="C1983" s="116">
        <v>23.6465517356175</v>
      </c>
      <c r="D1983" s="116">
        <v>23.5230131532077</v>
      </c>
      <c r="E1983" s="116">
        <v>24.004496859010001</v>
      </c>
      <c r="F1983" s="116">
        <v>373.25</v>
      </c>
      <c r="G1983">
        <v>15660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44925</v>
      </c>
      <c r="B1984" s="116">
        <v>24.454304005219999</v>
      </c>
      <c r="C1984" s="116">
        <v>24.3117594870549</v>
      </c>
      <c r="D1984" s="116">
        <v>23.7574196941904</v>
      </c>
      <c r="E1984" s="116">
        <v>23.998161547091598</v>
      </c>
      <c r="F1984" s="116">
        <v>383.75</v>
      </c>
      <c r="G1984">
        <v>24532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44928</v>
      </c>
      <c r="B1985" s="116">
        <v>25.024482077880599</v>
      </c>
      <c r="C1985" s="116">
        <v>24.289585895340299</v>
      </c>
      <c r="D1985" s="116">
        <v>24.0900235699091</v>
      </c>
      <c r="E1985" s="116">
        <v>24.638028050855102</v>
      </c>
      <c r="F1985" s="116">
        <v>383.4</v>
      </c>
      <c r="G1985">
        <v>15374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44929</v>
      </c>
      <c r="B1986" s="116">
        <v>24.961128958696101</v>
      </c>
      <c r="C1986" s="116">
        <v>24.780572569020201</v>
      </c>
      <c r="D1986" s="116">
        <v>24.305424175136402</v>
      </c>
      <c r="E1986" s="116">
        <v>24.5746749316706</v>
      </c>
      <c r="F1986" s="116">
        <v>391.15</v>
      </c>
      <c r="G1986">
        <v>7280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44930</v>
      </c>
      <c r="B1987" s="116">
        <v>25.024482077880599</v>
      </c>
      <c r="C1987" s="116">
        <v>24.286418239381099</v>
      </c>
      <c r="D1987" s="116">
        <v>23.668725327332101</v>
      </c>
      <c r="E1987" s="116">
        <v>25.018146765962101</v>
      </c>
      <c r="F1987" s="116">
        <v>383.35</v>
      </c>
      <c r="G1987">
        <v>13722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44931</v>
      </c>
      <c r="B1988" s="116">
        <v>25.018146765962101</v>
      </c>
      <c r="C1988" s="116">
        <v>24.5746749316706</v>
      </c>
      <c r="D1988" s="116">
        <v>24.137538409297498</v>
      </c>
      <c r="E1988" s="116">
        <v>24.549333683996799</v>
      </c>
      <c r="F1988" s="116">
        <v>387.9</v>
      </c>
      <c r="G1988">
        <v>20258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44932</v>
      </c>
      <c r="B1989" s="116">
        <v>25.974778865648201</v>
      </c>
      <c r="C1989" s="116">
        <v>25.486959847927501</v>
      </c>
      <c r="D1989" s="116">
        <v>24.707716481957998</v>
      </c>
      <c r="E1989" s="116">
        <v>24.834422720327101</v>
      </c>
      <c r="F1989" s="116">
        <v>402.3</v>
      </c>
      <c r="G1989">
        <v>27852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44935</v>
      </c>
      <c r="B1990" s="116">
        <v>27.140476258643101</v>
      </c>
      <c r="C1990" s="116">
        <v>26.855387222312899</v>
      </c>
      <c r="D1990" s="116">
        <v>25.6580132697257</v>
      </c>
      <c r="E1990" s="116">
        <v>25.6580132697257</v>
      </c>
      <c r="F1990" s="116">
        <v>423.9</v>
      </c>
      <c r="G1990">
        <v>46980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44936</v>
      </c>
      <c r="B1991" s="116">
        <v>27.368547487707399</v>
      </c>
      <c r="C1991" s="116">
        <v>27.175320474194599</v>
      </c>
      <c r="D1991" s="116">
        <v>26.608310057493298</v>
      </c>
      <c r="E1991" s="116">
        <v>26.925075653415799</v>
      </c>
      <c r="F1991" s="116">
        <v>428.95</v>
      </c>
      <c r="G1991">
        <v>31168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44937</v>
      </c>
      <c r="B1992" s="116">
        <v>27.368547487707399</v>
      </c>
      <c r="C1992" s="116">
        <v>26.4911067870019</v>
      </c>
      <c r="D1992" s="116">
        <v>26.2281913423862</v>
      </c>
      <c r="E1992" s="116">
        <v>27.2418412493384</v>
      </c>
      <c r="F1992" s="116">
        <v>418.15</v>
      </c>
      <c r="G1992">
        <v>13946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44938</v>
      </c>
      <c r="B1993" s="116">
        <v>27.2418412493384</v>
      </c>
      <c r="C1993" s="116">
        <v>27.146811570561599</v>
      </c>
      <c r="D1993" s="116">
        <v>25.721366388910202</v>
      </c>
      <c r="E1993" s="116">
        <v>26.2281913423862</v>
      </c>
      <c r="F1993" s="116">
        <v>428.5</v>
      </c>
      <c r="G1993">
        <v>32444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44939</v>
      </c>
      <c r="B1994" s="116">
        <v>27.2418412493384</v>
      </c>
      <c r="C1994" s="116">
        <v>26.206017750671599</v>
      </c>
      <c r="D1994" s="116">
        <v>25.911425746463699</v>
      </c>
      <c r="E1994" s="116">
        <v>27.146811570561599</v>
      </c>
      <c r="F1994" s="116">
        <v>413.65</v>
      </c>
      <c r="G1994">
        <v>16199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44942</v>
      </c>
      <c r="B1995" s="116">
        <v>27.146811570561599</v>
      </c>
      <c r="C1995" s="116">
        <v>26.5893041217379</v>
      </c>
      <c r="D1995" s="116">
        <v>25.974778865648201</v>
      </c>
      <c r="E1995" s="116">
        <v>27.080290795417898</v>
      </c>
      <c r="F1995" s="116">
        <v>419.7</v>
      </c>
      <c r="G1995">
        <v>15402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44943</v>
      </c>
      <c r="B1996" s="116">
        <v>26.985261116641102</v>
      </c>
      <c r="C1996" s="116">
        <v>26.735016295862302</v>
      </c>
      <c r="D1996" s="116">
        <v>26.136329319568699</v>
      </c>
      <c r="E1996" s="116">
        <v>26.5449569383088</v>
      </c>
      <c r="F1996" s="116">
        <v>422</v>
      </c>
      <c r="G1996">
        <v>13608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44944</v>
      </c>
      <c r="B1997" s="116">
        <v>26.703339736269999</v>
      </c>
      <c r="C1997" s="116">
        <v>26.196514782794001</v>
      </c>
      <c r="D1997" s="116">
        <v>26.038131984832699</v>
      </c>
      <c r="E1997" s="116">
        <v>26.5449569383088</v>
      </c>
      <c r="F1997" s="116">
        <v>413.5</v>
      </c>
      <c r="G1997">
        <v>24757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44945</v>
      </c>
      <c r="B1998" s="116">
        <v>26.731848639903099</v>
      </c>
      <c r="C1998" s="116">
        <v>26.1458322874464</v>
      </c>
      <c r="D1998" s="116">
        <v>25.848072627279201</v>
      </c>
      <c r="E1998" s="116">
        <v>26.291544461570702</v>
      </c>
      <c r="F1998" s="116">
        <v>412.7</v>
      </c>
      <c r="G1998">
        <v>11268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44946</v>
      </c>
      <c r="B1999" s="116">
        <v>26.291544461570702</v>
      </c>
      <c r="C1999" s="116">
        <v>25.382427201273</v>
      </c>
      <c r="D1999" s="116">
        <v>25.097338164942801</v>
      </c>
      <c r="E1999" s="116">
        <v>26.069808544425001</v>
      </c>
      <c r="F1999" s="116">
        <v>400.65</v>
      </c>
      <c r="G1999">
        <v>26913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44949</v>
      </c>
      <c r="B2000" s="116">
        <v>26.956752213008102</v>
      </c>
      <c r="C2000" s="116">
        <v>26.206017750671599</v>
      </c>
      <c r="D2000" s="116">
        <v>25.499630471764402</v>
      </c>
      <c r="E2000" s="116">
        <v>25.502798127723601</v>
      </c>
      <c r="F2000" s="116">
        <v>413.65</v>
      </c>
      <c r="G2000">
        <v>33007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44950</v>
      </c>
      <c r="B2001" s="116">
        <v>27.3527092079112</v>
      </c>
      <c r="C2001" s="116">
        <v>26.522783346594199</v>
      </c>
      <c r="D2001" s="116">
        <v>26.323221021163</v>
      </c>
      <c r="E2001" s="116">
        <v>26.925075653415799</v>
      </c>
      <c r="F2001" s="116">
        <v>418.65</v>
      </c>
      <c r="G2001">
        <v>27159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44951</v>
      </c>
      <c r="B2002" s="116">
        <v>26.735016295862302</v>
      </c>
      <c r="C2002" s="116">
        <v>25.886084498789899</v>
      </c>
      <c r="D2002" s="116">
        <v>25.594660150541099</v>
      </c>
      <c r="E2002" s="116">
        <v>26.608310057493298</v>
      </c>
      <c r="F2002" s="116">
        <v>408.6</v>
      </c>
      <c r="G2002">
        <v>18965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44953</v>
      </c>
      <c r="B2003" s="116">
        <v>27.051781891784799</v>
      </c>
      <c r="C2003" s="116">
        <v>25.955772929892799</v>
      </c>
      <c r="D2003" s="116">
        <v>25.5914924945819</v>
      </c>
      <c r="E2003" s="116">
        <v>26.7983694150468</v>
      </c>
      <c r="F2003" s="116">
        <v>409.7</v>
      </c>
      <c r="G2003">
        <v>41727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44956</v>
      </c>
      <c r="B2004" s="116">
        <v>26.411915388021299</v>
      </c>
      <c r="C2004" s="116">
        <v>25.455283288335199</v>
      </c>
      <c r="D2004" s="116">
        <v>24.843925688204699</v>
      </c>
      <c r="E2004" s="116">
        <v>26.2281913423862</v>
      </c>
      <c r="F2004" s="116">
        <v>401.8</v>
      </c>
      <c r="G2004">
        <v>24410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44957</v>
      </c>
      <c r="B2005" s="116">
        <v>26.190179470875499</v>
      </c>
      <c r="C2005" s="116">
        <v>25.800557787890799</v>
      </c>
      <c r="D2005" s="116">
        <v>24.793243192857101</v>
      </c>
      <c r="E2005" s="116">
        <v>25.6580132697257</v>
      </c>
      <c r="F2005" s="116">
        <v>407.25</v>
      </c>
      <c r="G2005">
        <v>13547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44958</v>
      </c>
      <c r="B2006" s="116">
        <v>26.8268783186798</v>
      </c>
      <c r="C2006" s="116">
        <v>25.613666086296501</v>
      </c>
      <c r="D2006" s="116">
        <v>25.0339850457583</v>
      </c>
      <c r="E2006" s="116">
        <v>26.285209149652299</v>
      </c>
      <c r="F2006" s="116">
        <v>404.3</v>
      </c>
      <c r="G2006">
        <v>21396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44959</v>
      </c>
      <c r="B2007" s="116">
        <v>26.2155207185493</v>
      </c>
      <c r="C2007" s="116">
        <v>25.385594857232299</v>
      </c>
      <c r="D2007" s="116">
        <v>24.897775839511599</v>
      </c>
      <c r="E2007" s="116">
        <v>25.151188316249598</v>
      </c>
      <c r="F2007" s="116">
        <v>400.7</v>
      </c>
      <c r="G2007">
        <v>16571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44960</v>
      </c>
      <c r="B2008" s="116">
        <v>25.848072627279201</v>
      </c>
      <c r="C2008" s="116">
        <v>24.9231170871854</v>
      </c>
      <c r="D2008" s="116">
        <v>24.390950886035501</v>
      </c>
      <c r="E2008" s="116">
        <v>25.848072627279201</v>
      </c>
      <c r="F2008" s="116">
        <v>393.4</v>
      </c>
      <c r="G2008">
        <v>20553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44963</v>
      </c>
      <c r="B2009" s="116">
        <v>25.594660150541099</v>
      </c>
      <c r="C2009" s="116">
        <v>25.2842298665371</v>
      </c>
      <c r="D2009" s="116">
        <v>24.1470413771751</v>
      </c>
      <c r="E2009" s="116">
        <v>25.303235802292399</v>
      </c>
      <c r="F2009" s="116">
        <v>399.1</v>
      </c>
      <c r="G2009">
        <v>12692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44964</v>
      </c>
      <c r="B2010" s="116">
        <v>25.778384196176201</v>
      </c>
      <c r="C2010" s="116">
        <v>24.657033986610401</v>
      </c>
      <c r="D2010" s="116">
        <v>24.390950886035501</v>
      </c>
      <c r="E2010" s="116">
        <v>25.778384196176201</v>
      </c>
      <c r="F2010" s="116">
        <v>389.2</v>
      </c>
      <c r="G2010">
        <v>13955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44965</v>
      </c>
      <c r="B2011" s="116">
        <v>25.974778865648201</v>
      </c>
      <c r="C2011" s="116">
        <v>25.461618600253701</v>
      </c>
      <c r="D2011" s="116">
        <v>24.904111151430001</v>
      </c>
      <c r="E2011" s="116">
        <v>25.176529563923399</v>
      </c>
      <c r="F2011" s="116">
        <v>401.9</v>
      </c>
      <c r="G2011">
        <v>37511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44966</v>
      </c>
      <c r="B2012" s="116">
        <v>25.791054820013098</v>
      </c>
      <c r="C2012" s="116">
        <v>25.357085953599199</v>
      </c>
      <c r="D2012" s="116">
        <v>25.154355972208801</v>
      </c>
      <c r="E2012" s="116">
        <v>25.6580132697257</v>
      </c>
      <c r="F2012" s="116">
        <v>400.25</v>
      </c>
      <c r="G2012">
        <v>6151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44967</v>
      </c>
      <c r="B2013" s="116">
        <v>25.531307031356601</v>
      </c>
      <c r="C2013" s="116">
        <v>25.081499885146599</v>
      </c>
      <c r="D2013" s="116">
        <v>24.707716481957998</v>
      </c>
      <c r="E2013" s="116">
        <v>25.531307031356601</v>
      </c>
      <c r="F2013" s="116">
        <v>395.9</v>
      </c>
      <c r="G2013">
        <v>7126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44970</v>
      </c>
      <c r="B2014" s="116">
        <v>25.404600792987601</v>
      </c>
      <c r="C2014" s="116">
        <v>24.793243192857101</v>
      </c>
      <c r="D2014" s="116">
        <v>24.676039922365799</v>
      </c>
      <c r="E2014" s="116">
        <v>25.404600792987601</v>
      </c>
      <c r="F2014" s="116">
        <v>391.35</v>
      </c>
      <c r="G2014">
        <v>6292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44971</v>
      </c>
      <c r="B2015" s="116">
        <v>25.208206123515598</v>
      </c>
      <c r="C2015" s="116">
        <v>24.473309940975401</v>
      </c>
      <c r="D2015" s="116">
        <v>24.390950886035501</v>
      </c>
      <c r="E2015" s="116">
        <v>25.208206123515598</v>
      </c>
      <c r="F2015" s="116">
        <v>386.3</v>
      </c>
      <c r="G2015">
        <v>8180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44972</v>
      </c>
      <c r="B2016" s="116">
        <v>24.961128958696101</v>
      </c>
      <c r="C2016" s="116">
        <v>24.669704610447301</v>
      </c>
      <c r="D2016" s="116">
        <v>24.264244647666501</v>
      </c>
      <c r="E2016" s="116">
        <v>24.6316927389366</v>
      </c>
      <c r="F2016" s="116">
        <v>389.4</v>
      </c>
      <c r="G2016">
        <v>10133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44973</v>
      </c>
      <c r="B2017" s="116">
        <v>25.277894554618602</v>
      </c>
      <c r="C2017" s="116">
        <v>24.8946081835523</v>
      </c>
      <c r="D2017" s="116">
        <v>24.7267224177134</v>
      </c>
      <c r="E2017" s="116">
        <v>25.277894554618602</v>
      </c>
      <c r="F2017" s="116">
        <v>392.95</v>
      </c>
      <c r="G2017">
        <v>6814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44974</v>
      </c>
      <c r="B2018" s="116">
        <v>25.277894554618602</v>
      </c>
      <c r="C2018" s="116">
        <v>24.7140517938765</v>
      </c>
      <c r="D2018" s="116">
        <v>24.327597766851</v>
      </c>
      <c r="E2018" s="116">
        <v>25.277894554618602</v>
      </c>
      <c r="F2018" s="116">
        <v>390.1</v>
      </c>
      <c r="G2018">
        <v>7586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44977</v>
      </c>
      <c r="B2019" s="116">
        <v>26.291544461570702</v>
      </c>
      <c r="C2019" s="116">
        <v>25.844904971319998</v>
      </c>
      <c r="D2019" s="116">
        <v>25.277894554618602</v>
      </c>
      <c r="E2019" s="116">
        <v>25.277894554618602</v>
      </c>
      <c r="F2019" s="116">
        <v>407.95</v>
      </c>
      <c r="G2019">
        <v>25186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44978</v>
      </c>
      <c r="B2020" s="116">
        <v>25.943102306055899</v>
      </c>
      <c r="C2020" s="116">
        <v>25.708695765073301</v>
      </c>
      <c r="D2020" s="116">
        <v>25.376091889354601</v>
      </c>
      <c r="E2020" s="116">
        <v>25.911425746463699</v>
      </c>
      <c r="F2020" s="116">
        <v>405.8</v>
      </c>
      <c r="G2020">
        <v>6573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44979</v>
      </c>
      <c r="B2021" s="116">
        <v>26.133161663609499</v>
      </c>
      <c r="C2021" s="116">
        <v>24.9928055182883</v>
      </c>
      <c r="D2021" s="116">
        <v>24.707716481957998</v>
      </c>
      <c r="E2021" s="116">
        <v>25.344415329762299</v>
      </c>
      <c r="F2021" s="116">
        <v>394.5</v>
      </c>
      <c r="G2021">
        <v>18470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44980</v>
      </c>
      <c r="B2022" s="116">
        <v>25.452115632376</v>
      </c>
      <c r="C2022" s="116">
        <v>24.973799582533001</v>
      </c>
      <c r="D2022" s="116">
        <v>24.707716481957998</v>
      </c>
      <c r="E2022" s="116">
        <v>25.452115632376</v>
      </c>
      <c r="F2022" s="116">
        <v>394.2</v>
      </c>
      <c r="G2022">
        <v>10577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44981</v>
      </c>
      <c r="B2023" s="116">
        <v>25.404600792987601</v>
      </c>
      <c r="C2023" s="116">
        <v>25.249385650985602</v>
      </c>
      <c r="D2023" s="116">
        <v>24.7140517938765</v>
      </c>
      <c r="E2023" s="116">
        <v>24.7140517938765</v>
      </c>
      <c r="F2023" s="116">
        <v>398.55</v>
      </c>
      <c r="G2023">
        <v>5964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44984</v>
      </c>
      <c r="B2024" s="116">
        <v>25.271559242700199</v>
      </c>
      <c r="C2024" s="116">
        <v>24.786907880938699</v>
      </c>
      <c r="D2024" s="116">
        <v>24.5208247803637</v>
      </c>
      <c r="E2024" s="116">
        <v>24.847093344164001</v>
      </c>
      <c r="F2024" s="116">
        <v>391.25</v>
      </c>
      <c r="G2024">
        <v>8441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44985</v>
      </c>
      <c r="B2025" s="116">
        <v>25.125847068575801</v>
      </c>
      <c r="C2025" s="116">
        <v>24.679207578324998</v>
      </c>
      <c r="D2025" s="116">
        <v>24.581010243588999</v>
      </c>
      <c r="E2025" s="116">
        <v>24.8660992799193</v>
      </c>
      <c r="F2025" s="116">
        <v>389.55</v>
      </c>
      <c r="G2025">
        <v>7416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44986</v>
      </c>
      <c r="B2026" s="116">
        <v>25.974778865648201</v>
      </c>
      <c r="C2026" s="116">
        <v>25.382427201273</v>
      </c>
      <c r="D2026" s="116">
        <v>24.707716481957998</v>
      </c>
      <c r="E2026" s="116">
        <v>24.831255064367799</v>
      </c>
      <c r="F2026" s="116">
        <v>400.65</v>
      </c>
      <c r="G2026">
        <v>11563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44987</v>
      </c>
      <c r="B2027" s="116">
        <v>25.9652758977705</v>
      </c>
      <c r="C2027" s="116">
        <v>25.195535499678702</v>
      </c>
      <c r="D2027" s="116">
        <v>25.040320357676698</v>
      </c>
      <c r="E2027" s="116">
        <v>25.467953912172099</v>
      </c>
      <c r="F2027" s="116">
        <v>397.7</v>
      </c>
      <c r="G2027">
        <v>6186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44988</v>
      </c>
      <c r="B2028" s="116">
        <v>25.746707636583999</v>
      </c>
      <c r="C2028" s="116">
        <v>25.1860325318011</v>
      </c>
      <c r="D2028" s="116">
        <v>24.9928055182883</v>
      </c>
      <c r="E2028" s="116">
        <v>25.224044403311801</v>
      </c>
      <c r="F2028" s="116">
        <v>397.55</v>
      </c>
      <c r="G2028">
        <v>16337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44991</v>
      </c>
      <c r="B2029" s="116">
        <v>25.651677957807198</v>
      </c>
      <c r="C2029" s="116">
        <v>24.932620055063001</v>
      </c>
      <c r="D2029" s="116">
        <v>24.707716481957998</v>
      </c>
      <c r="E2029" s="116">
        <v>24.834422720327101</v>
      </c>
      <c r="F2029" s="116">
        <v>393.55</v>
      </c>
      <c r="G2029">
        <v>15602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44993</v>
      </c>
      <c r="B2030" s="116">
        <v>25.021314421921399</v>
      </c>
      <c r="C2030" s="116">
        <v>24.736225385591101</v>
      </c>
      <c r="D2030" s="116">
        <v>24.397286197953999</v>
      </c>
      <c r="E2030" s="116">
        <v>24.888272871633902</v>
      </c>
      <c r="F2030" s="116">
        <v>390.45</v>
      </c>
      <c r="G2030">
        <v>12614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44994</v>
      </c>
      <c r="B2031" s="116">
        <v>25.192367843719499</v>
      </c>
      <c r="C2031" s="116">
        <v>24.850261000123201</v>
      </c>
      <c r="D2031" s="116">
        <v>24.6443633627735</v>
      </c>
      <c r="E2031" s="116">
        <v>25.192367843719499</v>
      </c>
      <c r="F2031" s="116">
        <v>392.25</v>
      </c>
      <c r="G2031">
        <v>9306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44995</v>
      </c>
      <c r="B2032" s="116">
        <v>24.831255064367799</v>
      </c>
      <c r="C2032" s="116">
        <v>24.723554761754201</v>
      </c>
      <c r="D2032" s="116">
        <v>24.390950886035501</v>
      </c>
      <c r="E2032" s="116">
        <v>24.653866330651201</v>
      </c>
      <c r="F2032" s="116">
        <v>390.25</v>
      </c>
      <c r="G2032">
        <v>11428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44998</v>
      </c>
      <c r="B2033" s="116">
        <v>25.211373779474901</v>
      </c>
      <c r="C2033" s="116">
        <v>24.647531018732799</v>
      </c>
      <c r="D2033" s="116">
        <v>24.390950886035501</v>
      </c>
      <c r="E2033" s="116">
        <v>24.707716481957998</v>
      </c>
      <c r="F2033" s="116">
        <v>389.05</v>
      </c>
      <c r="G2033">
        <v>16005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44999</v>
      </c>
      <c r="B2034" s="116">
        <v>24.834422720327101</v>
      </c>
      <c r="C2034" s="116">
        <v>23.9791556113362</v>
      </c>
      <c r="D2034" s="116">
        <v>23.1872416215299</v>
      </c>
      <c r="E2034" s="116">
        <v>24.733057729631799</v>
      </c>
      <c r="F2034" s="116">
        <v>378.5</v>
      </c>
      <c r="G2034">
        <v>41557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45000</v>
      </c>
      <c r="B2035" s="116">
        <v>26.291544461570702</v>
      </c>
      <c r="C2035" s="116">
        <v>24.403621509872401</v>
      </c>
      <c r="D2035" s="116">
        <v>24.390950886035501</v>
      </c>
      <c r="E2035" s="116">
        <v>24.390950886035501</v>
      </c>
      <c r="F2035" s="116">
        <v>385.2</v>
      </c>
      <c r="G2035">
        <v>16749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45001</v>
      </c>
      <c r="B2036" s="116">
        <v>24.577842587629799</v>
      </c>
      <c r="C2036" s="116">
        <v>23.877790620641001</v>
      </c>
      <c r="D2036" s="116">
        <v>23.377300979083401</v>
      </c>
      <c r="E2036" s="116">
        <v>24.403621509872401</v>
      </c>
      <c r="F2036" s="116">
        <v>376.9</v>
      </c>
      <c r="G2036">
        <v>32228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45002</v>
      </c>
      <c r="B2037" s="116">
        <v>25.265223930781701</v>
      </c>
      <c r="C2037" s="116">
        <v>24.523992436322999</v>
      </c>
      <c r="D2037" s="116">
        <v>24.169214968889701</v>
      </c>
      <c r="E2037" s="116">
        <v>24.292753551299501</v>
      </c>
      <c r="F2037" s="116">
        <v>387.1</v>
      </c>
      <c r="G2037">
        <v>12258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45005</v>
      </c>
      <c r="B2038" s="116">
        <v>24.7710696011425</v>
      </c>
      <c r="C2038" s="116">
        <v>24.628525082977401</v>
      </c>
      <c r="D2038" s="116">
        <v>24.140706065256701</v>
      </c>
      <c r="E2038" s="116">
        <v>24.7710696011425</v>
      </c>
      <c r="F2038" s="116">
        <v>388.75</v>
      </c>
      <c r="G2038">
        <v>19384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45006</v>
      </c>
      <c r="B2039" s="116">
        <v>24.739393041550301</v>
      </c>
      <c r="C2039" s="116">
        <v>24.010832170928499</v>
      </c>
      <c r="D2039" s="116">
        <v>23.820772813374901</v>
      </c>
      <c r="E2039" s="116">
        <v>24.704548825998799</v>
      </c>
      <c r="F2039" s="116">
        <v>379</v>
      </c>
      <c r="G2039">
        <v>32377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45007</v>
      </c>
      <c r="B2040" s="116">
        <v>25.056158637472802</v>
      </c>
      <c r="C2040" s="116">
        <v>24.904111151430001</v>
      </c>
      <c r="D2040" s="116">
        <v>24.264244647666501</v>
      </c>
      <c r="E2040" s="116">
        <v>24.371944950280099</v>
      </c>
      <c r="F2040" s="116">
        <v>393.1</v>
      </c>
      <c r="G2040">
        <v>13222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45008</v>
      </c>
      <c r="B2041" s="116">
        <v>25.151188316249598</v>
      </c>
      <c r="C2041" s="116">
        <v>24.821752096490201</v>
      </c>
      <c r="D2041" s="116">
        <v>24.153376689093601</v>
      </c>
      <c r="E2041" s="116">
        <v>24.9928055182883</v>
      </c>
      <c r="F2041" s="116">
        <v>391.8</v>
      </c>
      <c r="G2041">
        <v>6725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45009</v>
      </c>
      <c r="B2042" s="116">
        <v>24.828087408408599</v>
      </c>
      <c r="C2042" s="116">
        <v>24.555668995915202</v>
      </c>
      <c r="D2042" s="116">
        <v>24.318094798973299</v>
      </c>
      <c r="E2042" s="116">
        <v>24.802746160734799</v>
      </c>
      <c r="F2042" s="116">
        <v>387.6</v>
      </c>
      <c r="G2042">
        <v>10193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45012</v>
      </c>
      <c r="B2043" s="116">
        <v>24.7013811700396</v>
      </c>
      <c r="C2043" s="116">
        <v>23.9664849874993</v>
      </c>
      <c r="D2043" s="116">
        <v>23.763755006108902</v>
      </c>
      <c r="E2043" s="116">
        <v>24.7013811700396</v>
      </c>
      <c r="F2043" s="116">
        <v>378.3</v>
      </c>
      <c r="G2043">
        <v>11853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45013</v>
      </c>
      <c r="B2044" s="116">
        <v>24.378280262198601</v>
      </c>
      <c r="C2044" s="116">
        <v>23.3519597314096</v>
      </c>
      <c r="D2044" s="116">
        <v>22.997182263976299</v>
      </c>
      <c r="E2044" s="116">
        <v>24.378280262198601</v>
      </c>
      <c r="F2044" s="116">
        <v>368.6</v>
      </c>
      <c r="G2044">
        <v>31083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45014</v>
      </c>
      <c r="B2045" s="116">
        <v>25.5883248386227</v>
      </c>
      <c r="C2045" s="116">
        <v>25.0086437980844</v>
      </c>
      <c r="D2045" s="116">
        <v>23.567360336636899</v>
      </c>
      <c r="E2045" s="116">
        <v>23.6877312630875</v>
      </c>
      <c r="F2045" s="116">
        <v>394.75</v>
      </c>
      <c r="G2045">
        <v>25125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45016</v>
      </c>
      <c r="B2046" s="116">
        <v>26.291544461570702</v>
      </c>
      <c r="C2046" s="116">
        <v>25.581989526704199</v>
      </c>
      <c r="D2046" s="116">
        <v>24.457471661179198</v>
      </c>
      <c r="E2046" s="116">
        <v>25.518636407519701</v>
      </c>
      <c r="F2046" s="116">
        <v>403.8</v>
      </c>
      <c r="G2046">
        <v>29283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45019</v>
      </c>
      <c r="B2047" s="116">
        <v>26.988428772600301</v>
      </c>
      <c r="C2047" s="116">
        <v>26.421418355899</v>
      </c>
      <c r="D2047" s="116">
        <v>25.962108241811301</v>
      </c>
      <c r="E2047" s="116">
        <v>25.962108241811301</v>
      </c>
      <c r="F2047" s="116">
        <v>417.05</v>
      </c>
      <c r="G2047">
        <v>34664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45021</v>
      </c>
      <c r="B2048" s="116">
        <v>28.933369531564701</v>
      </c>
      <c r="C2048" s="116">
        <v>28.660951119071299</v>
      </c>
      <c r="D2048" s="116">
        <v>26.481603819124299</v>
      </c>
      <c r="E2048" s="116">
        <v>26.988428772600301</v>
      </c>
      <c r="F2048" s="116">
        <v>452.4</v>
      </c>
      <c r="G2048">
        <v>91529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45022</v>
      </c>
      <c r="B2049" s="116">
        <v>29.072746393770601</v>
      </c>
      <c r="C2049" s="116">
        <v>28.293503027801201</v>
      </c>
      <c r="D2049" s="116">
        <v>27.583948092934701</v>
      </c>
      <c r="E2049" s="116">
        <v>29.041069834178401</v>
      </c>
      <c r="F2049" s="116">
        <v>446.6</v>
      </c>
      <c r="G2049">
        <v>34172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45026</v>
      </c>
      <c r="B2050" s="116">
        <v>29.680936337941901</v>
      </c>
      <c r="C2050" s="116">
        <v>28.5057359770693</v>
      </c>
      <c r="D2050" s="116">
        <v>28.341017867189599</v>
      </c>
      <c r="E2050" s="116">
        <v>28.445550513844001</v>
      </c>
      <c r="F2050" s="116">
        <v>449.95</v>
      </c>
      <c r="G2050">
        <v>44065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45027</v>
      </c>
      <c r="B2051" s="116">
        <v>29.1424348248736</v>
      </c>
      <c r="C2051" s="116">
        <v>28.771819077644199</v>
      </c>
      <c r="D2051" s="116">
        <v>28.572256752213001</v>
      </c>
      <c r="E2051" s="116">
        <v>28.939704843483199</v>
      </c>
      <c r="F2051" s="116">
        <v>454.15</v>
      </c>
      <c r="G2051">
        <v>24292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45028</v>
      </c>
      <c r="B2052" s="116">
        <v>29.649259778349599</v>
      </c>
      <c r="C2052" s="116">
        <v>29.4338591731223</v>
      </c>
      <c r="D2052" s="116">
        <v>28.2554911562905</v>
      </c>
      <c r="E2052" s="116">
        <v>29.072746393770601</v>
      </c>
      <c r="F2052" s="116">
        <v>464.6</v>
      </c>
      <c r="G2052">
        <v>53115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45029</v>
      </c>
      <c r="B2053" s="116">
        <v>31.673391936294699</v>
      </c>
      <c r="C2053" s="116">
        <v>31.4769972668227</v>
      </c>
      <c r="D2053" s="116">
        <v>28.572256752213001</v>
      </c>
      <c r="E2053" s="116">
        <v>29.953354750435299</v>
      </c>
      <c r="F2053" s="116">
        <v>496.85</v>
      </c>
      <c r="G2053">
        <v>237144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45033</v>
      </c>
      <c r="B2054" s="116">
        <v>32.056678307360897</v>
      </c>
      <c r="C2054" s="116">
        <v>31.508673826414999</v>
      </c>
      <c r="D2054" s="116">
        <v>30.206767227173302</v>
      </c>
      <c r="E2054" s="116">
        <v>31.743080367397599</v>
      </c>
      <c r="F2054" s="116">
        <v>497.35</v>
      </c>
      <c r="G2054">
        <v>74504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45034</v>
      </c>
      <c r="B2055" s="116">
        <v>32.056678307360897</v>
      </c>
      <c r="C2055" s="116">
        <v>30.4760179837075</v>
      </c>
      <c r="D2055" s="116">
        <v>30.285958626153899</v>
      </c>
      <c r="E2055" s="116">
        <v>31.929972068991901</v>
      </c>
      <c r="F2055" s="116">
        <v>481.05</v>
      </c>
      <c r="G2055">
        <v>46029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45035</v>
      </c>
      <c r="B2056" s="116">
        <v>30.970172313346598</v>
      </c>
      <c r="C2056" s="116">
        <v>30.374652993012301</v>
      </c>
      <c r="D2056" s="116">
        <v>30.263785034439401</v>
      </c>
      <c r="E2056" s="116">
        <v>30.460179703911301</v>
      </c>
      <c r="F2056" s="116">
        <v>479.45</v>
      </c>
      <c r="G2056">
        <v>28694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45036</v>
      </c>
      <c r="B2057" s="116">
        <v>32.234067041077601</v>
      </c>
      <c r="C2057" s="116">
        <v>31.214081822207</v>
      </c>
      <c r="D2057" s="116">
        <v>30.618562501872599</v>
      </c>
      <c r="E2057" s="116">
        <v>30.6439037495464</v>
      </c>
      <c r="F2057" s="116">
        <v>492.7</v>
      </c>
      <c r="G2057">
        <v>69196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45037</v>
      </c>
      <c r="B2058" s="116">
        <v>32.044007683524001</v>
      </c>
      <c r="C2058" s="116">
        <v>30.967004657387399</v>
      </c>
      <c r="D2058" s="116">
        <v>30.5995565661173</v>
      </c>
      <c r="E2058" s="116">
        <v>31.800098174663699</v>
      </c>
      <c r="F2058" s="116">
        <v>488.8</v>
      </c>
      <c r="G2058">
        <v>39132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45040</v>
      </c>
      <c r="B2059" s="116">
        <v>31.986989876258001</v>
      </c>
      <c r="C2059" s="116">
        <v>31.160231670900199</v>
      </c>
      <c r="D2059" s="116">
        <v>30.577382974402699</v>
      </c>
      <c r="E2059" s="116">
        <v>31.6005358492325</v>
      </c>
      <c r="F2059" s="116">
        <v>491.85</v>
      </c>
      <c r="G2059">
        <v>32347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45041</v>
      </c>
      <c r="B2060" s="116">
        <v>31.359793996331401</v>
      </c>
      <c r="C2060" s="116">
        <v>30.469682671788998</v>
      </c>
      <c r="D2060" s="116">
        <v>30.428503144319102</v>
      </c>
      <c r="E2060" s="116">
        <v>31.233087757962299</v>
      </c>
      <c r="F2060" s="116">
        <v>480.95</v>
      </c>
      <c r="G2060">
        <v>23091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45042</v>
      </c>
      <c r="B2061" s="116">
        <v>30.897316226284399</v>
      </c>
      <c r="C2061" s="116">
        <v>30.1434141079888</v>
      </c>
      <c r="D2061" s="116">
        <v>30.0610550530489</v>
      </c>
      <c r="E2061" s="116">
        <v>30.0610550530489</v>
      </c>
      <c r="F2061" s="116">
        <v>475.8</v>
      </c>
      <c r="G2061">
        <v>18779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45043</v>
      </c>
      <c r="B2062" s="116">
        <v>31.043028400408801</v>
      </c>
      <c r="C2062" s="116">
        <v>30.650239061464902</v>
      </c>
      <c r="D2062" s="116">
        <v>30.118072860314999</v>
      </c>
      <c r="E2062" s="116">
        <v>30.118072860314999</v>
      </c>
      <c r="F2062" s="116">
        <v>483.8</v>
      </c>
      <c r="G2062">
        <v>31512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45044</v>
      </c>
      <c r="B2063" s="116">
        <v>30.973339969305901</v>
      </c>
      <c r="C2063" s="116">
        <v>30.3936589287676</v>
      </c>
      <c r="D2063" s="116">
        <v>30.206767227173302</v>
      </c>
      <c r="E2063" s="116">
        <v>30.7262628044863</v>
      </c>
      <c r="F2063" s="116">
        <v>479.75</v>
      </c>
      <c r="G2063">
        <v>15014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45048</v>
      </c>
      <c r="B2064" s="116">
        <v>30.979675281224299</v>
      </c>
      <c r="C2064" s="116">
        <v>30.7421010842824</v>
      </c>
      <c r="D2064" s="116">
        <v>30.108569892437298</v>
      </c>
      <c r="E2064" s="116">
        <v>30.8941485703252</v>
      </c>
      <c r="F2064" s="116">
        <v>485.25</v>
      </c>
      <c r="G2064">
        <v>31813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45049</v>
      </c>
      <c r="B2065" s="116">
        <v>31.2964408771469</v>
      </c>
      <c r="C2065" s="116">
        <v>30.8656396666922</v>
      </c>
      <c r="D2065" s="116">
        <v>30.472850327748201</v>
      </c>
      <c r="E2065" s="116">
        <v>30.916322162039801</v>
      </c>
      <c r="F2065" s="116">
        <v>487.2</v>
      </c>
      <c r="G2065">
        <v>19726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45050</v>
      </c>
      <c r="B2066" s="116">
        <v>31.0050165288981</v>
      </c>
      <c r="C2066" s="116">
        <v>30.609059533994898</v>
      </c>
      <c r="D2066" s="116">
        <v>30.4094972085637</v>
      </c>
      <c r="E2066" s="116">
        <v>30.567880006525002</v>
      </c>
      <c r="F2066" s="116">
        <v>483.15</v>
      </c>
      <c r="G2066">
        <v>12384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45051</v>
      </c>
      <c r="B2067" s="116">
        <v>30.973339969305901</v>
      </c>
      <c r="C2067" s="116">
        <v>30.010372557701299</v>
      </c>
      <c r="D2067" s="116">
        <v>29.775966016718701</v>
      </c>
      <c r="E2067" s="116">
        <v>30.441173768155998</v>
      </c>
      <c r="F2067" s="116">
        <v>473.7</v>
      </c>
      <c r="G2067">
        <v>33164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45054</v>
      </c>
      <c r="B2068" s="116">
        <v>30.216270195050999</v>
      </c>
      <c r="C2068" s="116">
        <v>29.592241971083599</v>
      </c>
      <c r="D2068" s="116">
        <v>29.459200420796101</v>
      </c>
      <c r="E2068" s="116">
        <v>30.2131025390918</v>
      </c>
      <c r="F2068" s="116">
        <v>467.1</v>
      </c>
      <c r="G2068">
        <v>21313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45055</v>
      </c>
      <c r="B2069" s="116">
        <v>29.918510534883801</v>
      </c>
      <c r="C2069" s="116">
        <v>29.6714333700642</v>
      </c>
      <c r="D2069" s="116">
        <v>29.459200420796101</v>
      </c>
      <c r="E2069" s="116">
        <v>29.9058399110469</v>
      </c>
      <c r="F2069" s="116">
        <v>468.35</v>
      </c>
      <c r="G2069">
        <v>12591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45056</v>
      </c>
      <c r="B2070" s="116">
        <v>31.423147115515899</v>
      </c>
      <c r="C2070" s="116">
        <v>31.1032138636341</v>
      </c>
      <c r="D2070" s="116">
        <v>29.9090075670061</v>
      </c>
      <c r="E2070" s="116">
        <v>30.2827909701947</v>
      </c>
      <c r="F2070" s="116">
        <v>490.95</v>
      </c>
      <c r="G2070">
        <v>79843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45057</v>
      </c>
      <c r="B2071" s="116">
        <v>31.9458103487881</v>
      </c>
      <c r="C2071" s="116">
        <v>31.733577399520001</v>
      </c>
      <c r="D2071" s="116">
        <v>31.011351840816602</v>
      </c>
      <c r="E2071" s="116">
        <v>31.638547720743201</v>
      </c>
      <c r="F2071" s="116">
        <v>500.9</v>
      </c>
      <c r="G2071">
        <v>44824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45058</v>
      </c>
      <c r="B2072" s="116">
        <v>32.310090784099003</v>
      </c>
      <c r="C2072" s="116">
        <v>31.857115981929699</v>
      </c>
      <c r="D2072" s="116">
        <v>31.359793996331401</v>
      </c>
      <c r="E2072" s="116">
        <v>31.7399127114384</v>
      </c>
      <c r="F2072" s="116">
        <v>502.85</v>
      </c>
      <c r="G2072">
        <v>33730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45061</v>
      </c>
      <c r="B2073" s="116">
        <v>32.151707986137701</v>
      </c>
      <c r="C2073" s="116">
        <v>31.480164922781899</v>
      </c>
      <c r="D2073" s="116">
        <v>31.043028400408801</v>
      </c>
      <c r="E2073" s="116">
        <v>32.104193146749303</v>
      </c>
      <c r="F2073" s="116">
        <v>496.9</v>
      </c>
      <c r="G2073">
        <v>18405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45062</v>
      </c>
      <c r="B2074" s="116">
        <v>31.993325188176399</v>
      </c>
      <c r="C2074" s="116">
        <v>31.090543239797199</v>
      </c>
      <c r="D2074" s="116">
        <v>30.916322162039801</v>
      </c>
      <c r="E2074" s="116">
        <v>31.6290447528655</v>
      </c>
      <c r="F2074" s="116">
        <v>490.75</v>
      </c>
      <c r="G2074">
        <v>16621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45063</v>
      </c>
      <c r="B2075" s="116">
        <v>31.423147115515899</v>
      </c>
      <c r="C2075" s="116">
        <v>30.827627795181499</v>
      </c>
      <c r="D2075" s="116">
        <v>30.748436396200901</v>
      </c>
      <c r="E2075" s="116">
        <v>31.423147115515899</v>
      </c>
      <c r="F2075" s="116">
        <v>486.6</v>
      </c>
      <c r="G2075">
        <v>11322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45064</v>
      </c>
      <c r="B2076" s="116">
        <v>31.638547720743201</v>
      </c>
      <c r="C2076" s="116">
        <v>31.413644147638198</v>
      </c>
      <c r="D2076" s="116">
        <v>30.662909685301798</v>
      </c>
      <c r="E2076" s="116">
        <v>30.979675281224299</v>
      </c>
      <c r="F2076" s="116">
        <v>495.85</v>
      </c>
      <c r="G2076">
        <v>13711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45065</v>
      </c>
      <c r="B2077" s="116">
        <v>31.7399127114384</v>
      </c>
      <c r="C2077" s="116">
        <v>31.4611589870266</v>
      </c>
      <c r="D2077" s="116">
        <v>31.359793996331401</v>
      </c>
      <c r="E2077" s="116">
        <v>31.6005358492325</v>
      </c>
      <c r="F2077" s="116">
        <v>496.6</v>
      </c>
      <c r="G2077">
        <v>15631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45068</v>
      </c>
      <c r="B2078" s="116">
        <v>32.5603356048778</v>
      </c>
      <c r="C2078" s="116">
        <v>32.392449839038797</v>
      </c>
      <c r="D2078" s="116">
        <v>31.4611589870266</v>
      </c>
      <c r="E2078" s="116">
        <v>31.676559592253899</v>
      </c>
      <c r="F2078" s="116">
        <v>511.3</v>
      </c>
      <c r="G2078">
        <v>77439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45069</v>
      </c>
      <c r="B2079" s="116">
        <v>32.816915737575002</v>
      </c>
      <c r="C2079" s="116">
        <v>32.031337059687097</v>
      </c>
      <c r="D2079" s="116">
        <v>31.549853353884899</v>
      </c>
      <c r="E2079" s="116">
        <v>32.753562618390497</v>
      </c>
      <c r="F2079" s="116">
        <v>505.6</v>
      </c>
      <c r="G2079">
        <v>83935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45070</v>
      </c>
      <c r="B2080" s="116">
        <v>32.614185756184597</v>
      </c>
      <c r="C2080" s="116">
        <v>31.093710895756399</v>
      </c>
      <c r="D2080" s="116">
        <v>31.043028400408801</v>
      </c>
      <c r="E2080" s="116">
        <v>32.389282183079601</v>
      </c>
      <c r="F2080" s="116">
        <v>490.8</v>
      </c>
      <c r="G2080">
        <v>22614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45071</v>
      </c>
      <c r="B2081" s="116">
        <v>31.8096011425414</v>
      </c>
      <c r="C2081" s="116">
        <v>31.153896358981701</v>
      </c>
      <c r="D2081" s="116">
        <v>31.043028400408801</v>
      </c>
      <c r="E2081" s="116">
        <v>31.356626340372099</v>
      </c>
      <c r="F2081" s="116">
        <v>491.75</v>
      </c>
      <c r="G2081">
        <v>16416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45072</v>
      </c>
      <c r="B2082" s="116">
        <v>31.6005358492325</v>
      </c>
      <c r="C2082" s="116">
        <v>31.125387455348701</v>
      </c>
      <c r="D2082" s="116">
        <v>31.043028400408801</v>
      </c>
      <c r="E2082" s="116">
        <v>31.537182730047999</v>
      </c>
      <c r="F2082" s="116">
        <v>491.3</v>
      </c>
      <c r="G2082">
        <v>19544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45075</v>
      </c>
      <c r="B2083" s="116">
        <v>32.246737664914498</v>
      </c>
      <c r="C2083" s="116">
        <v>31.2552613496769</v>
      </c>
      <c r="D2083" s="116">
        <v>31.049363712327299</v>
      </c>
      <c r="E2083" s="116">
        <v>31.1697346387778</v>
      </c>
      <c r="F2083" s="116">
        <v>493.35</v>
      </c>
      <c r="G2083">
        <v>24780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45076</v>
      </c>
      <c r="B2084" s="116">
        <v>32.310090784099003</v>
      </c>
      <c r="C2084" s="116">
        <v>31.3787999320867</v>
      </c>
      <c r="D2084" s="116">
        <v>31.055699024245701</v>
      </c>
      <c r="E2084" s="116">
        <v>31.480164922781899</v>
      </c>
      <c r="F2084" s="116">
        <v>495.3</v>
      </c>
      <c r="G2084">
        <v>17688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45077</v>
      </c>
      <c r="B2085" s="116">
        <v>31.8096011425414</v>
      </c>
      <c r="C2085" s="116">
        <v>31.499170858537301</v>
      </c>
      <c r="D2085" s="116">
        <v>31.106381519593299</v>
      </c>
      <c r="E2085" s="116">
        <v>31.803265830622902</v>
      </c>
      <c r="F2085" s="116">
        <v>497.2</v>
      </c>
      <c r="G2085">
        <v>28400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45078</v>
      </c>
      <c r="B2086" s="116">
        <v>31.917301445155001</v>
      </c>
      <c r="C2086" s="116">
        <v>31.214081822207</v>
      </c>
      <c r="D2086" s="116">
        <v>31.055699024245701</v>
      </c>
      <c r="E2086" s="116">
        <v>31.499170858537301</v>
      </c>
      <c r="F2086" s="116">
        <v>492.7</v>
      </c>
      <c r="G2086">
        <v>36435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45079</v>
      </c>
      <c r="B2087" s="116">
        <v>31.7399127114384</v>
      </c>
      <c r="C2087" s="116">
        <v>31.597368193273301</v>
      </c>
      <c r="D2087" s="116">
        <v>31.049363712327299</v>
      </c>
      <c r="E2087" s="116">
        <v>31.049363712327299</v>
      </c>
      <c r="F2087" s="116">
        <v>498.75</v>
      </c>
      <c r="G2087">
        <v>28361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45082</v>
      </c>
      <c r="B2088" s="116">
        <v>33.884415795834002</v>
      </c>
      <c r="C2088" s="116">
        <v>33.377590842357897</v>
      </c>
      <c r="D2088" s="116">
        <v>31.692397872050002</v>
      </c>
      <c r="E2088" s="116">
        <v>31.929972068991901</v>
      </c>
      <c r="F2088" s="116">
        <v>526.85</v>
      </c>
      <c r="G2088">
        <v>99217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45083</v>
      </c>
      <c r="B2089" s="116">
        <v>34.527449955556698</v>
      </c>
      <c r="C2089" s="116">
        <v>34.1283253046944</v>
      </c>
      <c r="D2089" s="116">
        <v>33.396596778113299</v>
      </c>
      <c r="E2089" s="116">
        <v>33.941433603100101</v>
      </c>
      <c r="F2089" s="116">
        <v>538.70000000000005</v>
      </c>
      <c r="G2089">
        <v>69762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45084</v>
      </c>
      <c r="B2090" s="116">
        <v>35.664638444918701</v>
      </c>
      <c r="C2090" s="116">
        <v>35.468243775446702</v>
      </c>
      <c r="D2090" s="116">
        <v>33.672182846565903</v>
      </c>
      <c r="E2090" s="116">
        <v>34.758688840580199</v>
      </c>
      <c r="F2090" s="116">
        <v>559.85</v>
      </c>
      <c r="G2090">
        <v>68478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45085</v>
      </c>
      <c r="B2091" s="116">
        <v>38.3223017947088</v>
      </c>
      <c r="C2091" s="116">
        <v>38.053051038174601</v>
      </c>
      <c r="D2091" s="116">
        <v>35.800847651165398</v>
      </c>
      <c r="E2091" s="116">
        <v>35.984571696800401</v>
      </c>
      <c r="F2091" s="116">
        <v>600.65</v>
      </c>
      <c r="G2091">
        <v>158678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45086</v>
      </c>
      <c r="B2092" s="116">
        <v>39.722405728686397</v>
      </c>
      <c r="C2092" s="116">
        <v>37.907338864050203</v>
      </c>
      <c r="D2092" s="116">
        <v>37.387843286737301</v>
      </c>
      <c r="E2092" s="116">
        <v>38.328637106627198</v>
      </c>
      <c r="F2092" s="116">
        <v>598.35</v>
      </c>
      <c r="G2092">
        <v>57524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45089</v>
      </c>
      <c r="B2093" s="116">
        <v>42.003118019328703</v>
      </c>
      <c r="C2093" s="116">
        <v>41.689520079365401</v>
      </c>
      <c r="D2093" s="116">
        <v>39.874453214729201</v>
      </c>
      <c r="E2093" s="116">
        <v>39.874453214729201</v>
      </c>
      <c r="F2093" s="116">
        <v>658.05</v>
      </c>
      <c r="G2093">
        <v>166447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45090</v>
      </c>
      <c r="B2094" s="116">
        <v>44.600595905893499</v>
      </c>
      <c r="C2094" s="116">
        <v>42.297710023536602</v>
      </c>
      <c r="D2094" s="116">
        <v>39.6685555773796</v>
      </c>
      <c r="E2094" s="116">
        <v>42.700002330358302</v>
      </c>
      <c r="F2094" s="116">
        <v>667.65</v>
      </c>
      <c r="G2094">
        <v>173336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45091</v>
      </c>
      <c r="B2095" s="116">
        <v>43.080121045465297</v>
      </c>
      <c r="C2095" s="116">
        <v>41.223874653359204</v>
      </c>
      <c r="D2095" s="116">
        <v>40.229230682162402</v>
      </c>
      <c r="E2095" s="116">
        <v>42.890061687911803</v>
      </c>
      <c r="F2095" s="116">
        <v>650.70000000000005</v>
      </c>
      <c r="G2095">
        <v>59668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45092</v>
      </c>
      <c r="B2096" s="116">
        <v>42.700002330358302</v>
      </c>
      <c r="C2096" s="116">
        <v>42.110818321942297</v>
      </c>
      <c r="D2096" s="116">
        <v>41.407598698994299</v>
      </c>
      <c r="E2096" s="116">
        <v>41.809891005815899</v>
      </c>
      <c r="F2096" s="116">
        <v>664.7</v>
      </c>
      <c r="G2096">
        <v>45032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45093</v>
      </c>
      <c r="B2097" s="116">
        <v>43.586945998941403</v>
      </c>
      <c r="C2097" s="116">
        <v>43.187821348078998</v>
      </c>
      <c r="D2097" s="116">
        <v>42.132991913656902</v>
      </c>
      <c r="E2097" s="116">
        <v>42.661990458847498</v>
      </c>
      <c r="F2097" s="116">
        <v>681.7</v>
      </c>
      <c r="G2097">
        <v>38985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45096</v>
      </c>
      <c r="B2098" s="116">
        <v>45.044067740185</v>
      </c>
      <c r="C2098" s="116">
        <v>43.219497907671197</v>
      </c>
      <c r="D2098" s="116">
        <v>42.953414807096301</v>
      </c>
      <c r="E2098" s="116">
        <v>43.954394090211501</v>
      </c>
      <c r="F2098" s="116">
        <v>682.2</v>
      </c>
      <c r="G2098">
        <v>45190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45097</v>
      </c>
      <c r="B2099" s="116">
        <v>44.2648243742156</v>
      </c>
      <c r="C2099" s="116">
        <v>43.910046906782298</v>
      </c>
      <c r="D2099" s="116">
        <v>43.143474164649803</v>
      </c>
      <c r="E2099" s="116">
        <v>44.214141878867999</v>
      </c>
      <c r="F2099" s="116">
        <v>693.1</v>
      </c>
      <c r="G2099">
        <v>31370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45098</v>
      </c>
      <c r="B2100" s="116">
        <v>44.663949025077997</v>
      </c>
      <c r="C2100" s="116">
        <v>43.301856962611097</v>
      </c>
      <c r="D2100" s="116">
        <v>42.465595789375598</v>
      </c>
      <c r="E2100" s="116">
        <v>44.660781369118801</v>
      </c>
      <c r="F2100" s="116">
        <v>683.5</v>
      </c>
      <c r="G2100">
        <v>25174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45099</v>
      </c>
      <c r="B2101" s="116">
        <v>44.439045451973001</v>
      </c>
      <c r="C2101" s="116">
        <v>43.6249578704521</v>
      </c>
      <c r="D2101" s="116">
        <v>43.396886641387802</v>
      </c>
      <c r="E2101" s="116">
        <v>44.344015773196197</v>
      </c>
      <c r="F2101" s="116">
        <v>688.6</v>
      </c>
      <c r="G2101">
        <v>37869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45100</v>
      </c>
      <c r="B2102" s="116">
        <v>44.980714621000502</v>
      </c>
      <c r="C2102" s="116">
        <v>44.350351085114703</v>
      </c>
      <c r="D2102" s="116">
        <v>42.449757509579399</v>
      </c>
      <c r="E2102" s="116">
        <v>43.8466937875978</v>
      </c>
      <c r="F2102" s="116">
        <v>700.05</v>
      </c>
      <c r="G2102">
        <v>56817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45103</v>
      </c>
      <c r="B2103" s="116">
        <v>48.465136176148498</v>
      </c>
      <c r="C2103" s="116">
        <v>47.492665796666302</v>
      </c>
      <c r="D2103" s="116">
        <v>45.614245812845603</v>
      </c>
      <c r="E2103" s="116">
        <v>47.191738480539897</v>
      </c>
      <c r="F2103" s="116">
        <v>749.65</v>
      </c>
      <c r="G2103">
        <v>84161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45104</v>
      </c>
      <c r="B2104" s="116">
        <v>50.992925631610298</v>
      </c>
      <c r="C2104" s="116">
        <v>50.752183778709202</v>
      </c>
      <c r="D2104" s="116">
        <v>47.907628727324798</v>
      </c>
      <c r="E2104" s="116">
        <v>48.148370580225901</v>
      </c>
      <c r="F2104" s="116">
        <v>801.1</v>
      </c>
      <c r="G2104">
        <v>94679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45105</v>
      </c>
      <c r="B2105" s="116">
        <v>52.266323327218899</v>
      </c>
      <c r="C2105" s="116">
        <v>49.744869183675497</v>
      </c>
      <c r="D2105" s="116">
        <v>48.813578331663301</v>
      </c>
      <c r="E2105" s="116">
        <v>51.949557731296402</v>
      </c>
      <c r="F2105" s="116">
        <v>785.2</v>
      </c>
      <c r="G2105">
        <v>59792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45107</v>
      </c>
      <c r="B2106" s="116">
        <v>49.744869183675497</v>
      </c>
      <c r="C2106" s="116">
        <v>47.150558953069897</v>
      </c>
      <c r="D2106" s="116">
        <v>42.757020137624302</v>
      </c>
      <c r="E2106" s="116">
        <v>49.744869183675497</v>
      </c>
      <c r="F2106" s="116">
        <v>744.25</v>
      </c>
      <c r="G2106">
        <v>82654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45110</v>
      </c>
      <c r="B2107" s="116">
        <v>50.365729751683702</v>
      </c>
      <c r="C2107" s="116">
        <v>50.0521318117204</v>
      </c>
      <c r="D2107" s="116">
        <v>45.867658289583602</v>
      </c>
      <c r="E2107" s="116">
        <v>48.256070882839602</v>
      </c>
      <c r="F2107" s="116">
        <v>790.05</v>
      </c>
      <c r="G2107">
        <v>74898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45111</v>
      </c>
      <c r="B2108" s="116">
        <v>50.682495347606199</v>
      </c>
      <c r="C2108" s="116">
        <v>49.051152528605201</v>
      </c>
      <c r="D2108" s="116">
        <v>48.465136176148498</v>
      </c>
      <c r="E2108" s="116">
        <v>50.0521318117204</v>
      </c>
      <c r="F2108" s="116">
        <v>774.25</v>
      </c>
      <c r="G2108">
        <v>36591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45112</v>
      </c>
      <c r="B2109" s="116">
        <v>50.2897060086623</v>
      </c>
      <c r="C2109" s="116">
        <v>48.9434522259915</v>
      </c>
      <c r="D2109" s="116">
        <v>48.256070882839602</v>
      </c>
      <c r="E2109" s="116">
        <v>48.908608010439998</v>
      </c>
      <c r="F2109" s="116">
        <v>772.55</v>
      </c>
      <c r="G2109">
        <v>45851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45113</v>
      </c>
      <c r="B2110" s="116">
        <v>49.716360280042501</v>
      </c>
      <c r="C2110" s="116">
        <v>49.079661432238197</v>
      </c>
      <c r="D2110" s="116">
        <v>48.297250410309502</v>
      </c>
      <c r="E2110" s="116">
        <v>48.297250410309502</v>
      </c>
      <c r="F2110" s="116">
        <v>774.7</v>
      </c>
      <c r="G2110">
        <v>28221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45114</v>
      </c>
      <c r="B2111" s="116">
        <v>49.415432963916103</v>
      </c>
      <c r="C2111" s="116">
        <v>48.889602074684703</v>
      </c>
      <c r="D2111" s="116">
        <v>48.284579786472598</v>
      </c>
      <c r="E2111" s="116">
        <v>49.079661432238197</v>
      </c>
      <c r="F2111" s="116">
        <v>771.7</v>
      </c>
      <c r="G2111">
        <v>22952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45117</v>
      </c>
      <c r="B2112" s="116">
        <v>49.729030903879398</v>
      </c>
      <c r="C2112" s="116">
        <v>48.9592905057876</v>
      </c>
      <c r="D2112" s="116">
        <v>48.781901772071002</v>
      </c>
      <c r="E2112" s="116">
        <v>49.729030903879398</v>
      </c>
      <c r="F2112" s="116">
        <v>772.8</v>
      </c>
      <c r="G2112">
        <v>18921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45118</v>
      </c>
      <c r="B2113" s="116">
        <v>56.447629193396402</v>
      </c>
      <c r="C2113" s="116">
        <v>55.234416961013103</v>
      </c>
      <c r="D2113" s="116">
        <v>49.415432963916103</v>
      </c>
      <c r="E2113" s="116">
        <v>49.475618427141399</v>
      </c>
      <c r="F2113" s="116">
        <v>871.85</v>
      </c>
      <c r="G2113">
        <v>124138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45119</v>
      </c>
      <c r="B2114" s="116">
        <v>57.420099572878598</v>
      </c>
      <c r="C2114" s="116">
        <v>56.425455601681897</v>
      </c>
      <c r="D2114" s="116">
        <v>55.433979286444298</v>
      </c>
      <c r="E2114" s="116">
        <v>56.564832463887797</v>
      </c>
      <c r="F2114" s="116">
        <v>890.65</v>
      </c>
      <c r="G2114">
        <v>67580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45120</v>
      </c>
      <c r="B2115" s="116">
        <v>57.017807266056998</v>
      </c>
      <c r="C2115" s="116">
        <v>51.721486502232203</v>
      </c>
      <c r="D2115" s="116">
        <v>50.752183778709202</v>
      </c>
      <c r="E2115" s="116">
        <v>56.447629193396402</v>
      </c>
      <c r="F2115" s="116">
        <v>816.4</v>
      </c>
      <c r="G2115">
        <v>148027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45121</v>
      </c>
      <c r="B2116" s="116">
        <v>55.414973350689003</v>
      </c>
      <c r="C2116" s="116">
        <v>55.015848699826599</v>
      </c>
      <c r="D2116" s="116">
        <v>51.3160265394513</v>
      </c>
      <c r="E2116" s="116">
        <v>53.3433263533556</v>
      </c>
      <c r="F2116" s="116">
        <v>868.4</v>
      </c>
      <c r="G2116">
        <v>72679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45124</v>
      </c>
      <c r="B2117" s="116">
        <v>57.014639610097802</v>
      </c>
      <c r="C2117" s="116">
        <v>55.319943671912199</v>
      </c>
      <c r="D2117" s="116">
        <v>54.882807149539097</v>
      </c>
      <c r="E2117" s="116">
        <v>55.433979286444298</v>
      </c>
      <c r="F2117" s="116">
        <v>873.2</v>
      </c>
      <c r="G2117">
        <v>65282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45125</v>
      </c>
      <c r="B2118" s="116">
        <v>56.384276074211897</v>
      </c>
      <c r="C2118" s="116">
        <v>54.933489644886698</v>
      </c>
      <c r="D2118" s="116">
        <v>54.737094975414699</v>
      </c>
      <c r="E2118" s="116">
        <v>55.319943671912199</v>
      </c>
      <c r="F2118" s="116">
        <v>867.1</v>
      </c>
      <c r="G2118">
        <v>33318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45126</v>
      </c>
      <c r="B2119" s="116">
        <v>55.7475772264076</v>
      </c>
      <c r="C2119" s="116">
        <v>54.610388737045703</v>
      </c>
      <c r="D2119" s="116">
        <v>53.618912421808197</v>
      </c>
      <c r="E2119" s="116">
        <v>54.939824956805197</v>
      </c>
      <c r="F2119" s="116">
        <v>862</v>
      </c>
      <c r="G2119">
        <v>19838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45127</v>
      </c>
      <c r="B2120" s="116">
        <v>55.430811630485103</v>
      </c>
      <c r="C2120" s="116">
        <v>53.032896069351501</v>
      </c>
      <c r="D2120" s="116">
        <v>52.646442042326001</v>
      </c>
      <c r="E2120" s="116">
        <v>54.547035617861198</v>
      </c>
      <c r="F2120" s="116">
        <v>837.1</v>
      </c>
      <c r="G2120">
        <v>34960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45128</v>
      </c>
      <c r="B2121" s="116">
        <v>53.153266995801999</v>
      </c>
      <c r="C2121" s="116">
        <v>52.1522877126868</v>
      </c>
      <c r="D2121" s="116">
        <v>51.7594983737429</v>
      </c>
      <c r="E2121" s="116">
        <v>51.9558930432148</v>
      </c>
      <c r="F2121" s="116">
        <v>823.2</v>
      </c>
      <c r="G2121">
        <v>28224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45131</v>
      </c>
      <c r="B2122" s="116">
        <v>52.836501399879502</v>
      </c>
      <c r="C2122" s="116">
        <v>50.0267905640466</v>
      </c>
      <c r="D2122" s="116">
        <v>49.162020487177998</v>
      </c>
      <c r="E2122" s="116">
        <v>52.5799212671822</v>
      </c>
      <c r="F2122" s="116">
        <v>789.65</v>
      </c>
      <c r="G2122">
        <v>53986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45132</v>
      </c>
      <c r="B2123" s="116">
        <v>49.795551679023099</v>
      </c>
      <c r="C2123" s="116">
        <v>47.746078273404301</v>
      </c>
      <c r="D2123" s="116">
        <v>47.261426911642801</v>
      </c>
      <c r="E2123" s="116">
        <v>49.415432963916103</v>
      </c>
      <c r="F2123" s="116">
        <v>753.65</v>
      </c>
      <c r="G2123">
        <v>85378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45133</v>
      </c>
      <c r="B2124" s="116">
        <v>50.682495347606199</v>
      </c>
      <c r="C2124" s="116">
        <v>50.185173362007802</v>
      </c>
      <c r="D2124" s="116">
        <v>46.881308196535798</v>
      </c>
      <c r="E2124" s="116">
        <v>47.324780030827299</v>
      </c>
      <c r="F2124" s="116">
        <v>792.15</v>
      </c>
      <c r="G2124">
        <v>51046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45134</v>
      </c>
      <c r="B2125" s="116">
        <v>53.470032591724603</v>
      </c>
      <c r="C2125" s="116">
        <v>52.4152031573025</v>
      </c>
      <c r="D2125" s="116">
        <v>50.999260943528803</v>
      </c>
      <c r="E2125" s="116">
        <v>51.312858883492098</v>
      </c>
      <c r="F2125" s="116">
        <v>827.35</v>
      </c>
      <c r="G2125">
        <v>39188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45135</v>
      </c>
      <c r="B2126" s="116">
        <v>53.786798187647101</v>
      </c>
      <c r="C2126" s="116">
        <v>52.3170058225665</v>
      </c>
      <c r="D2126" s="116">
        <v>51.696145254558402</v>
      </c>
      <c r="E2126" s="116">
        <v>52.586256579100699</v>
      </c>
      <c r="F2126" s="116">
        <v>825.8</v>
      </c>
      <c r="G2126">
        <v>22534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45138</v>
      </c>
      <c r="B2127" s="116">
        <v>52.507065180120101</v>
      </c>
      <c r="C2127" s="116">
        <v>51.962228355133298</v>
      </c>
      <c r="D2127" s="116">
        <v>50.752183778709202</v>
      </c>
      <c r="E2127" s="116">
        <v>52.507065180120101</v>
      </c>
      <c r="F2127" s="116">
        <v>820.2</v>
      </c>
      <c r="G2127">
        <v>25279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45139</v>
      </c>
      <c r="B2128" s="116">
        <v>55.304105392116099</v>
      </c>
      <c r="C2128" s="116">
        <v>54.6642388883526</v>
      </c>
      <c r="D2128" s="116">
        <v>52.583088923141503</v>
      </c>
      <c r="E2128" s="116">
        <v>52.583088923141503</v>
      </c>
      <c r="F2128" s="116">
        <v>862.85</v>
      </c>
      <c r="G2128">
        <v>57702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45140</v>
      </c>
      <c r="B2129" s="116">
        <v>56.257569835842901</v>
      </c>
      <c r="C2129" s="116">
        <v>54.087725503773498</v>
      </c>
      <c r="D2129" s="116">
        <v>53.3433263533556</v>
      </c>
      <c r="E2129" s="116">
        <v>56.257569835842901</v>
      </c>
      <c r="F2129" s="116">
        <v>853.75</v>
      </c>
      <c r="G2129">
        <v>45349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45141</v>
      </c>
      <c r="B2130" s="116">
        <v>55.757080194285301</v>
      </c>
      <c r="C2130" s="116">
        <v>55.044357603459602</v>
      </c>
      <c r="D2130" s="116">
        <v>53.634750701604297</v>
      </c>
      <c r="E2130" s="116">
        <v>54.103563783569697</v>
      </c>
      <c r="F2130" s="116">
        <v>868.85</v>
      </c>
      <c r="G2130">
        <v>22511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45142</v>
      </c>
      <c r="B2131" s="116">
        <v>55.744409570448397</v>
      </c>
      <c r="C2131" s="116">
        <v>54.752933255210898</v>
      </c>
      <c r="D2131" s="116">
        <v>54.4836824986767</v>
      </c>
      <c r="E2131" s="116">
        <v>55.744409570448397</v>
      </c>
      <c r="F2131" s="116">
        <v>864.25</v>
      </c>
      <c r="G2131">
        <v>17405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45145</v>
      </c>
      <c r="B2132" s="116">
        <v>55.687391763182298</v>
      </c>
      <c r="C2132" s="116">
        <v>54.610388737045703</v>
      </c>
      <c r="D2132" s="116">
        <v>54.429832347369903</v>
      </c>
      <c r="E2132" s="116">
        <v>55.367458511300597</v>
      </c>
      <c r="F2132" s="116">
        <v>862</v>
      </c>
      <c r="G2132">
        <v>30704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45146</v>
      </c>
      <c r="B2133" s="116">
        <v>55.3706261672598</v>
      </c>
      <c r="C2133" s="116">
        <v>54.9271543329683</v>
      </c>
      <c r="D2133" s="116">
        <v>54.547035617861198</v>
      </c>
      <c r="E2133" s="116">
        <v>55.180566809706299</v>
      </c>
      <c r="F2133" s="116">
        <v>867</v>
      </c>
      <c r="G2133">
        <v>21761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45147</v>
      </c>
      <c r="B2134" s="116">
        <v>56.384276074211897</v>
      </c>
      <c r="C2134" s="116">
        <v>56.305084675231299</v>
      </c>
      <c r="D2134" s="116">
        <v>54.800448094599197</v>
      </c>
      <c r="E2134" s="116">
        <v>54.955663236601303</v>
      </c>
      <c r="F2134" s="116">
        <v>888.75</v>
      </c>
      <c r="G2134">
        <v>38340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45148</v>
      </c>
      <c r="B2135" s="116">
        <v>57.968104053824597</v>
      </c>
      <c r="C2135" s="116">
        <v>54.904980741253702</v>
      </c>
      <c r="D2135" s="116">
        <v>53.5397210228275</v>
      </c>
      <c r="E2135" s="116">
        <v>57.011471954138599</v>
      </c>
      <c r="F2135" s="116">
        <v>866.65</v>
      </c>
      <c r="G2135">
        <v>51955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45149</v>
      </c>
      <c r="B2136" s="116">
        <v>55.433979286444298</v>
      </c>
      <c r="C2136" s="116">
        <v>53.264134954374903</v>
      </c>
      <c r="D2136" s="116">
        <v>50.162999770293297</v>
      </c>
      <c r="E2136" s="116">
        <v>54.768771535006998</v>
      </c>
      <c r="F2136" s="116">
        <v>840.75</v>
      </c>
      <c r="G2136">
        <v>63446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45152</v>
      </c>
      <c r="B2137" s="116">
        <v>63.907458977372201</v>
      </c>
      <c r="C2137" s="116">
        <v>63.226412946138801</v>
      </c>
      <c r="D2137" s="116">
        <v>53.850151306831599</v>
      </c>
      <c r="E2137" s="116">
        <v>54.166916902754203</v>
      </c>
      <c r="F2137" s="116">
        <v>199.6</v>
      </c>
      <c r="G2137">
        <v>514659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45154</v>
      </c>
      <c r="B2138" s="116">
        <v>74.424076762000496</v>
      </c>
      <c r="C2138" s="116">
        <v>73.030308139941397</v>
      </c>
      <c r="D2138" s="116">
        <v>64.081680055129596</v>
      </c>
      <c r="E2138" s="116">
        <v>64.620181568198007</v>
      </c>
      <c r="F2138" s="116">
        <v>230.55</v>
      </c>
      <c r="G2138">
        <v>817445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45155</v>
      </c>
      <c r="B2139" s="116">
        <v>70.163579496842402</v>
      </c>
      <c r="C2139" s="116">
        <v>65.364580718615898</v>
      </c>
      <c r="D2139" s="116">
        <v>61.816806044283503</v>
      </c>
      <c r="E2139" s="116">
        <v>69.688431102958603</v>
      </c>
      <c r="F2139" s="116">
        <v>206.35</v>
      </c>
      <c r="G2139">
        <v>741049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45156</v>
      </c>
      <c r="B2140" s="116">
        <v>72.4759683470769</v>
      </c>
      <c r="C2140" s="116">
        <v>67.835352366811705</v>
      </c>
      <c r="D2140" s="116">
        <v>60.9932154948849</v>
      </c>
      <c r="E2140" s="116">
        <v>64.002488656148998</v>
      </c>
      <c r="F2140" s="116">
        <v>214.15</v>
      </c>
      <c r="G2140">
        <v>696911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45159</v>
      </c>
      <c r="B2141" s="116">
        <v>72.159202751154396</v>
      </c>
      <c r="C2141" s="116">
        <v>70.021034978677207</v>
      </c>
      <c r="D2141" s="116">
        <v>68.057088283957498</v>
      </c>
      <c r="E2141" s="116">
        <v>68.057088283957498</v>
      </c>
      <c r="F2141" s="116">
        <v>221.05</v>
      </c>
      <c r="G2141">
        <v>382613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45160</v>
      </c>
      <c r="B2142" s="116">
        <v>74.123149445874105</v>
      </c>
      <c r="C2142" s="116">
        <v>73.489618254028997</v>
      </c>
      <c r="D2142" s="116">
        <v>70.955493486648706</v>
      </c>
      <c r="E2142" s="116">
        <v>71.240582522978997</v>
      </c>
      <c r="F2142" s="116">
        <v>232</v>
      </c>
      <c r="G2142">
        <v>456339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45161</v>
      </c>
      <c r="B2143" s="116">
        <v>76.023743021409302</v>
      </c>
      <c r="C2143" s="116">
        <v>74.471591601388894</v>
      </c>
      <c r="D2143" s="116">
        <v>72.570998025853697</v>
      </c>
      <c r="E2143" s="116">
        <v>75.706977425486798</v>
      </c>
      <c r="F2143" s="116">
        <v>235.1</v>
      </c>
      <c r="G2143">
        <v>366338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45162</v>
      </c>
      <c r="B2144" s="116">
        <v>82.343216660064002</v>
      </c>
      <c r="C2144" s="116">
        <v>79.840768452275896</v>
      </c>
      <c r="D2144" s="116">
        <v>76.340508617331906</v>
      </c>
      <c r="E2144" s="116">
        <v>76.340508617331906</v>
      </c>
      <c r="F2144" s="116">
        <v>252.05</v>
      </c>
      <c r="G2144">
        <v>861593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45163</v>
      </c>
      <c r="B2145" s="116">
        <v>83.942882919472794</v>
      </c>
      <c r="C2145" s="116">
        <v>81.4879495510731</v>
      </c>
      <c r="D2145" s="116">
        <v>80.1416957684024</v>
      </c>
      <c r="E2145" s="116">
        <v>82.343216660064002</v>
      </c>
      <c r="F2145" s="116">
        <v>257.25</v>
      </c>
      <c r="G2145">
        <v>498052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45166</v>
      </c>
      <c r="B2146" s="116">
        <v>86.698743603998906</v>
      </c>
      <c r="C2146" s="116">
        <v>82.168995582306593</v>
      </c>
      <c r="D2146" s="116">
        <v>74.344885363019898</v>
      </c>
      <c r="E2146" s="116">
        <v>85.209945303162996</v>
      </c>
      <c r="F2146" s="116">
        <v>259.39999999999998</v>
      </c>
      <c r="G2146">
        <v>637527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45167</v>
      </c>
      <c r="B2147" s="116">
        <v>83.942882919472794</v>
      </c>
      <c r="C2147" s="116">
        <v>81.582979229849897</v>
      </c>
      <c r="D2147" s="116">
        <v>80.838580079431907</v>
      </c>
      <c r="E2147" s="116">
        <v>82.675820535782705</v>
      </c>
      <c r="F2147" s="116">
        <v>257.55</v>
      </c>
      <c r="G2147">
        <v>242616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45168</v>
      </c>
      <c r="B2148" s="116">
        <v>82.960909572112897</v>
      </c>
      <c r="C2148" s="116">
        <v>78.747927146343201</v>
      </c>
      <c r="D2148" s="116">
        <v>77.607571001021995</v>
      </c>
      <c r="E2148" s="116">
        <v>81.139507395558297</v>
      </c>
      <c r="F2148" s="116">
        <v>248.6</v>
      </c>
      <c r="G2148">
        <v>394939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45169</v>
      </c>
      <c r="B2149" s="116">
        <v>79.824930172479796</v>
      </c>
      <c r="C2149" s="116">
        <v>77.465026482856899</v>
      </c>
      <c r="D2149" s="116">
        <v>76.340508617331906</v>
      </c>
      <c r="E2149" s="116">
        <v>78.747927146343201</v>
      </c>
      <c r="F2149" s="116">
        <v>244.55</v>
      </c>
      <c r="G2149">
        <v>247568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45170</v>
      </c>
      <c r="B2150" s="116">
        <v>81.091992556169998</v>
      </c>
      <c r="C2150" s="116">
        <v>80.442623084528805</v>
      </c>
      <c r="D2150" s="116">
        <v>76.419700016312504</v>
      </c>
      <c r="E2150" s="116">
        <v>78.241102192867103</v>
      </c>
      <c r="F2150" s="116">
        <v>253.95</v>
      </c>
      <c r="G2150">
        <v>255091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45173</v>
      </c>
      <c r="B2151" s="116">
        <v>82.359054939860101</v>
      </c>
      <c r="C2151" s="116">
        <v>80.268402006771396</v>
      </c>
      <c r="D2151" s="116">
        <v>79.824930172479796</v>
      </c>
      <c r="E2151" s="116">
        <v>82.359054939860101</v>
      </c>
      <c r="F2151" s="116">
        <v>253.4</v>
      </c>
      <c r="G2151">
        <v>200154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45174</v>
      </c>
      <c r="B2152" s="116">
        <v>80.680197281470697</v>
      </c>
      <c r="C2152" s="116">
        <v>77.765953798983304</v>
      </c>
      <c r="D2152" s="116">
        <v>77.496703042449198</v>
      </c>
      <c r="E2152" s="116">
        <v>80.680197281470697</v>
      </c>
      <c r="F2152" s="116">
        <v>245.5</v>
      </c>
      <c r="G2152">
        <v>283247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45175</v>
      </c>
      <c r="B2153" s="116">
        <v>78.874633384712197</v>
      </c>
      <c r="C2153" s="116">
        <v>77.956013156536798</v>
      </c>
      <c r="D2153" s="116">
        <v>77.290805405099505</v>
      </c>
      <c r="E2153" s="116">
        <v>78.700412306954803</v>
      </c>
      <c r="F2153" s="116">
        <v>246.1</v>
      </c>
      <c r="G2153">
        <v>189784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45176</v>
      </c>
      <c r="B2154" s="116">
        <v>78.874633384712197</v>
      </c>
      <c r="C2154" s="116">
        <v>76.514729695089301</v>
      </c>
      <c r="D2154" s="116">
        <v>76.166287539574498</v>
      </c>
      <c r="E2154" s="116">
        <v>77.971851436332997</v>
      </c>
      <c r="F2154" s="116">
        <v>241.55</v>
      </c>
      <c r="G2154">
        <v>189838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45177</v>
      </c>
      <c r="B2155" s="116">
        <v>78.526191229197394</v>
      </c>
      <c r="C2155" s="116">
        <v>76.974039809177</v>
      </c>
      <c r="D2155" s="116">
        <v>76.498891415293201</v>
      </c>
      <c r="E2155" s="116">
        <v>78.051042835313595</v>
      </c>
      <c r="F2155" s="116">
        <v>243</v>
      </c>
      <c r="G2155">
        <v>143342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45180</v>
      </c>
      <c r="B2156" s="116">
        <v>78.526191229197394</v>
      </c>
      <c r="C2156" s="116">
        <v>74.360723642815998</v>
      </c>
      <c r="D2156" s="116">
        <v>73.806383849951601</v>
      </c>
      <c r="E2156" s="116">
        <v>78.241102192867103</v>
      </c>
      <c r="F2156" s="116">
        <v>234.75</v>
      </c>
      <c r="G2156">
        <v>279922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45181</v>
      </c>
      <c r="B2157" s="116">
        <v>75.073446233641704</v>
      </c>
      <c r="C2157" s="116">
        <v>70.971331766444806</v>
      </c>
      <c r="D2157" s="116">
        <v>66.869217299248007</v>
      </c>
      <c r="E2157" s="116">
        <v>74.439915041796695</v>
      </c>
      <c r="F2157" s="116">
        <v>224.05</v>
      </c>
      <c r="G2157">
        <v>535751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45182</v>
      </c>
      <c r="B2158" s="116">
        <v>70.923816927056507</v>
      </c>
      <c r="C2158" s="116">
        <v>69.704269382754703</v>
      </c>
      <c r="D2158" s="116">
        <v>64.936947164120497</v>
      </c>
      <c r="E2158" s="116">
        <v>65.253712760043001</v>
      </c>
      <c r="F2158" s="116">
        <v>220.05</v>
      </c>
      <c r="G2158">
        <v>624220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45183</v>
      </c>
      <c r="B2159" s="116">
        <v>72.666027704630395</v>
      </c>
      <c r="C2159" s="116">
        <v>71.113876284610001</v>
      </c>
      <c r="D2159" s="116">
        <v>68.738134315190905</v>
      </c>
      <c r="E2159" s="116">
        <v>72.159202751154396</v>
      </c>
      <c r="F2159" s="116">
        <v>224.5</v>
      </c>
      <c r="G2159">
        <v>165085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45184</v>
      </c>
      <c r="B2160" s="116">
        <v>72.333423828911805</v>
      </c>
      <c r="C2160" s="116">
        <v>69.720107662550802</v>
      </c>
      <c r="D2160" s="116">
        <v>69.134091310094107</v>
      </c>
      <c r="E2160" s="116">
        <v>72.333423828911805</v>
      </c>
      <c r="F2160" s="116">
        <v>220.1</v>
      </c>
      <c r="G2160">
        <v>98362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45187</v>
      </c>
      <c r="B2161" s="116">
        <v>71.193067683590598</v>
      </c>
      <c r="C2161" s="116">
        <v>66.6474813821022</v>
      </c>
      <c r="D2161" s="116">
        <v>66.489098584140905</v>
      </c>
      <c r="E2161" s="116">
        <v>69.735945942346902</v>
      </c>
      <c r="F2161" s="116">
        <v>210.4</v>
      </c>
      <c r="G2161">
        <v>294397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45189</v>
      </c>
      <c r="B2162" s="116">
        <v>66.6474813821022</v>
      </c>
      <c r="C2162" s="116">
        <v>64.636019847994106</v>
      </c>
      <c r="D2162" s="116">
        <v>64.034165215741297</v>
      </c>
      <c r="E2162" s="116">
        <v>66.6474813821022</v>
      </c>
      <c r="F2162" s="116">
        <v>204.05</v>
      </c>
      <c r="G2162">
        <v>241294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45190</v>
      </c>
      <c r="B2163" s="116">
        <v>76.340508617331906</v>
      </c>
      <c r="C2163" s="116">
        <v>68.959870232336698</v>
      </c>
      <c r="D2163" s="116">
        <v>64.667696407586305</v>
      </c>
      <c r="E2163" s="116">
        <v>64.936947164120497</v>
      </c>
      <c r="F2163" s="116">
        <v>217.7</v>
      </c>
      <c r="G2163">
        <v>355504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45191</v>
      </c>
      <c r="B2164" s="116">
        <v>70.923816927056507</v>
      </c>
      <c r="C2164" s="116">
        <v>68.294662480899404</v>
      </c>
      <c r="D2164" s="116">
        <v>67.233497734558895</v>
      </c>
      <c r="E2164" s="116">
        <v>70.923816927056507</v>
      </c>
      <c r="F2164" s="116">
        <v>215.6</v>
      </c>
      <c r="G2164">
        <v>137706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45194</v>
      </c>
      <c r="B2165" s="116">
        <v>71.272259082571296</v>
      </c>
      <c r="C2165" s="116">
        <v>69.086576470705694</v>
      </c>
      <c r="D2165" s="116">
        <v>68.389692159676201</v>
      </c>
      <c r="E2165" s="116">
        <v>68.817325714171602</v>
      </c>
      <c r="F2165" s="116">
        <v>218.1</v>
      </c>
      <c r="G2165">
        <v>139897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45195</v>
      </c>
      <c r="B2166" s="116">
        <v>70.607051331133903</v>
      </c>
      <c r="C2166" s="116">
        <v>69.846813900919798</v>
      </c>
      <c r="D2166" s="116">
        <v>67.5344250506853</v>
      </c>
      <c r="E2166" s="116">
        <v>68.595589797025795</v>
      </c>
      <c r="F2166" s="116">
        <v>220.5</v>
      </c>
      <c r="G2166">
        <v>144970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45196</v>
      </c>
      <c r="B2167" s="116">
        <v>72.856087062184002</v>
      </c>
      <c r="C2167" s="116">
        <v>71.763245756251195</v>
      </c>
      <c r="D2167" s="116">
        <v>68.769810874783204</v>
      </c>
      <c r="E2167" s="116">
        <v>71.256420802775096</v>
      </c>
      <c r="F2167" s="116">
        <v>226.55</v>
      </c>
      <c r="G2167">
        <v>185125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45197</v>
      </c>
      <c r="B2168" s="116">
        <v>75.960389902224804</v>
      </c>
      <c r="C2168" s="116">
        <v>74.424076762000496</v>
      </c>
      <c r="D2168" s="116">
        <v>71.272259082571296</v>
      </c>
      <c r="E2168" s="116">
        <v>72.222555870338894</v>
      </c>
      <c r="F2168" s="116">
        <v>234.95</v>
      </c>
      <c r="G2168">
        <v>398224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45198</v>
      </c>
      <c r="B2169" s="116">
        <v>82.343216660064002</v>
      </c>
      <c r="C2169" s="116">
        <v>79.6982239341108</v>
      </c>
      <c r="D2169" s="116">
        <v>74.804195477107598</v>
      </c>
      <c r="E2169" s="116">
        <v>76.974039809177</v>
      </c>
      <c r="F2169" s="116">
        <v>251.6</v>
      </c>
      <c r="G2169">
        <v>732316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45202</v>
      </c>
      <c r="B2170" s="116">
        <v>87.554010712989793</v>
      </c>
      <c r="C2170" s="116">
        <v>85.780123375823607</v>
      </c>
      <c r="D2170" s="116">
        <v>80.711873841062896</v>
      </c>
      <c r="E2170" s="116">
        <v>81.963097944956999</v>
      </c>
      <c r="F2170" s="116">
        <v>270.8</v>
      </c>
      <c r="G2170">
        <v>700787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45203</v>
      </c>
      <c r="B2171" s="116">
        <v>90.531607314661599</v>
      </c>
      <c r="C2171" s="116">
        <v>89.058647293621803</v>
      </c>
      <c r="D2171" s="116">
        <v>85.875153054600304</v>
      </c>
      <c r="E2171" s="116">
        <v>87.506495873601395</v>
      </c>
      <c r="F2171" s="116">
        <v>281.14999999999998</v>
      </c>
      <c r="G2171">
        <v>609775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45204</v>
      </c>
      <c r="B2172" s="116">
        <v>91.988729055905296</v>
      </c>
      <c r="C2172" s="116">
        <v>89.723855045059196</v>
      </c>
      <c r="D2172" s="116">
        <v>89.327898050155994</v>
      </c>
      <c r="E2172" s="116">
        <v>91.988729055905296</v>
      </c>
      <c r="F2172" s="116">
        <v>283.25</v>
      </c>
      <c r="G2172">
        <v>309904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45205</v>
      </c>
      <c r="B2173" s="116">
        <v>91.133461946914494</v>
      </c>
      <c r="C2173" s="116">
        <v>86.112727251542196</v>
      </c>
      <c r="D2173" s="116">
        <v>79.888283291664294</v>
      </c>
      <c r="E2173" s="116">
        <v>91.133461946914494</v>
      </c>
      <c r="F2173" s="116">
        <v>271.85000000000002</v>
      </c>
      <c r="G2173">
        <v>534168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45208</v>
      </c>
      <c r="B2174" s="116">
        <v>89.011132454233405</v>
      </c>
      <c r="C2174" s="116">
        <v>85.558387458677799</v>
      </c>
      <c r="D2174" s="116">
        <v>82.359054939860101</v>
      </c>
      <c r="E2174" s="116">
        <v>85.083239064794</v>
      </c>
      <c r="F2174" s="116">
        <v>270.10000000000002</v>
      </c>
      <c r="G2174">
        <v>440254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45209</v>
      </c>
      <c r="B2175" s="116">
        <v>102.663729638495</v>
      </c>
      <c r="C2175" s="116">
        <v>100.414693907445</v>
      </c>
      <c r="D2175" s="116">
        <v>95.029678776761699</v>
      </c>
      <c r="E2175" s="116">
        <v>97.880569140064495</v>
      </c>
      <c r="F2175" s="116">
        <v>317</v>
      </c>
      <c r="G2175">
        <v>2318643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45210</v>
      </c>
      <c r="B2176" s="116">
        <v>108.745629080208</v>
      </c>
      <c r="C2176" s="116">
        <v>105.11866300689501</v>
      </c>
      <c r="D2176" s="116">
        <v>103.107201472786</v>
      </c>
      <c r="E2176" s="116">
        <v>105.799709038128</v>
      </c>
      <c r="F2176" s="116">
        <v>331.85</v>
      </c>
      <c r="G2176">
        <v>1039217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45211</v>
      </c>
      <c r="B2177" s="116">
        <v>106.750005825896</v>
      </c>
      <c r="C2177" s="116">
        <v>104.881088809953</v>
      </c>
      <c r="D2177" s="116">
        <v>101.95100704766899</v>
      </c>
      <c r="E2177" s="116">
        <v>106.750005825896</v>
      </c>
      <c r="F2177" s="116">
        <v>331.1</v>
      </c>
      <c r="G2177">
        <v>415600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45212</v>
      </c>
      <c r="B2178" s="116">
        <v>105.15033956648701</v>
      </c>
      <c r="C2178" s="116">
        <v>103.867438903001</v>
      </c>
      <c r="D2178" s="116">
        <v>102.94881867482501</v>
      </c>
      <c r="E2178" s="116">
        <v>104.801897410972</v>
      </c>
      <c r="F2178" s="116">
        <v>327.9</v>
      </c>
      <c r="G2178">
        <v>314583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45215</v>
      </c>
      <c r="B2179" s="116">
        <v>105.59381140077799</v>
      </c>
      <c r="C2179" s="116">
        <v>99.195146363143095</v>
      </c>
      <c r="D2179" s="116">
        <v>98.197334735987098</v>
      </c>
      <c r="E2179" s="116">
        <v>105.482943442205</v>
      </c>
      <c r="F2179" s="116">
        <v>313.14999999999998</v>
      </c>
      <c r="G2179">
        <v>503191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45216</v>
      </c>
      <c r="B2180" s="116">
        <v>102.74292103747599</v>
      </c>
      <c r="C2180" s="116">
        <v>100.747297783164</v>
      </c>
      <c r="D2180" s="116">
        <v>99.765324435803606</v>
      </c>
      <c r="E2180" s="116">
        <v>99.765324435803606</v>
      </c>
      <c r="F2180" s="116">
        <v>318.05</v>
      </c>
      <c r="G2180">
        <v>234763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45217</v>
      </c>
      <c r="B2181" s="116">
        <v>102.47367028094099</v>
      </c>
      <c r="C2181" s="116">
        <v>99.4960736792695</v>
      </c>
      <c r="D2181" s="116">
        <v>98.260687855171597</v>
      </c>
      <c r="E2181" s="116">
        <v>101.650079731543</v>
      </c>
      <c r="F2181" s="116">
        <v>314.10000000000002</v>
      </c>
      <c r="G2181">
        <v>209451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45218</v>
      </c>
      <c r="B2182" s="116">
        <v>100.398855627649</v>
      </c>
      <c r="C2182" s="116">
        <v>98.1656581763948</v>
      </c>
      <c r="D2182" s="116">
        <v>97.563803544142004</v>
      </c>
      <c r="E2182" s="116">
        <v>99.4960736792695</v>
      </c>
      <c r="F2182" s="116">
        <v>309.89999999999998</v>
      </c>
      <c r="G2182">
        <v>190449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45219</v>
      </c>
      <c r="B2183" s="116">
        <v>99.939545513561001</v>
      </c>
      <c r="C2183" s="116">
        <v>99.163469803550797</v>
      </c>
      <c r="D2183" s="116">
        <v>98.1656581763948</v>
      </c>
      <c r="E2183" s="116">
        <v>98.1656581763948</v>
      </c>
      <c r="F2183" s="116">
        <v>313.05</v>
      </c>
      <c r="G2183">
        <v>126112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45222</v>
      </c>
      <c r="B2184" s="116">
        <v>100.24047282968699</v>
      </c>
      <c r="C2184" s="116">
        <v>95.029678776761699</v>
      </c>
      <c r="D2184" s="116">
        <v>94.396147584916605</v>
      </c>
      <c r="E2184" s="116">
        <v>99.781162715599805</v>
      </c>
      <c r="F2184" s="116">
        <v>300</v>
      </c>
      <c r="G2184">
        <v>301075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45224</v>
      </c>
      <c r="B2185" s="116">
        <v>98.514100331909603</v>
      </c>
      <c r="C2185" s="116">
        <v>94.665398341450796</v>
      </c>
      <c r="D2185" s="116">
        <v>91.545257221613795</v>
      </c>
      <c r="E2185" s="116">
        <v>95.647371688810594</v>
      </c>
      <c r="F2185" s="116">
        <v>298.85000000000002</v>
      </c>
      <c r="G2185">
        <v>261179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45225</v>
      </c>
      <c r="B2186" s="116">
        <v>98.102305057210302</v>
      </c>
      <c r="C2186" s="116">
        <v>96.835242673520199</v>
      </c>
      <c r="D2186" s="116">
        <v>86.160242090930595</v>
      </c>
      <c r="E2186" s="116">
        <v>93.129085201226403</v>
      </c>
      <c r="F2186" s="116">
        <v>305.7</v>
      </c>
      <c r="G2186">
        <v>601832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45226</v>
      </c>
      <c r="B2187" s="116">
        <v>99.781162715599805</v>
      </c>
      <c r="C2187" s="116">
        <v>98.957572166201203</v>
      </c>
      <c r="D2187" s="116">
        <v>96.296741160451802</v>
      </c>
      <c r="E2187" s="116">
        <v>96.930272352296896</v>
      </c>
      <c r="F2187" s="116">
        <v>312.39999999999998</v>
      </c>
      <c r="G2187">
        <v>234631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45229</v>
      </c>
      <c r="B2188" s="116">
        <v>100.383017347853</v>
      </c>
      <c r="C2188" s="116">
        <v>98.815027648035993</v>
      </c>
      <c r="D2188" s="116">
        <v>95.029678776761699</v>
      </c>
      <c r="E2188" s="116">
        <v>100.097928311522</v>
      </c>
      <c r="F2188" s="116">
        <v>311.95</v>
      </c>
      <c r="G2188">
        <v>146162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45230</v>
      </c>
      <c r="B2189" s="116">
        <v>100.414693907445</v>
      </c>
      <c r="C2189" s="116">
        <v>99.448558839881102</v>
      </c>
      <c r="D2189" s="116">
        <v>99.147631523754697</v>
      </c>
      <c r="E2189" s="116">
        <v>100.256311109484</v>
      </c>
      <c r="F2189" s="116">
        <v>313.95</v>
      </c>
      <c r="G2189">
        <v>105667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45231</v>
      </c>
      <c r="B2190" s="116">
        <v>101.349152415416</v>
      </c>
      <c r="C2190" s="116">
        <v>100.367179068056</v>
      </c>
      <c r="D2190" s="116">
        <v>98.941733886405004</v>
      </c>
      <c r="E2190" s="116">
        <v>99.781162715599805</v>
      </c>
      <c r="F2190" s="116">
        <v>316.85000000000002</v>
      </c>
      <c r="G2190">
        <v>149876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45232</v>
      </c>
      <c r="B2191" s="116">
        <v>103.58234986667</v>
      </c>
      <c r="C2191" s="116">
        <v>101.729271130523</v>
      </c>
      <c r="D2191" s="116">
        <v>101.364990695212</v>
      </c>
      <c r="E2191" s="116">
        <v>102.94881867482501</v>
      </c>
      <c r="F2191" s="116">
        <v>321.14999999999998</v>
      </c>
      <c r="G2191">
        <v>152180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45233</v>
      </c>
      <c r="B2192" s="116">
        <v>104.247557618108</v>
      </c>
      <c r="C2192" s="116">
        <v>100.446370467037</v>
      </c>
      <c r="D2192" s="116">
        <v>98.276526134967696</v>
      </c>
      <c r="E2192" s="116">
        <v>102.869627275845</v>
      </c>
      <c r="F2192" s="116">
        <v>317.10000000000002</v>
      </c>
      <c r="G2192">
        <v>138316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45236</v>
      </c>
      <c r="B2193" s="116">
        <v>101.93516876787299</v>
      </c>
      <c r="C2193" s="116">
        <v>99.210984642939195</v>
      </c>
      <c r="D2193" s="116">
        <v>97.120331709850404</v>
      </c>
      <c r="E2193" s="116">
        <v>101.364990695212</v>
      </c>
      <c r="F2193" s="116">
        <v>313.2</v>
      </c>
      <c r="G2193">
        <v>207531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45237</v>
      </c>
      <c r="B2194" s="116">
        <v>100.256311109484</v>
      </c>
      <c r="C2194" s="116">
        <v>99.321852601512106</v>
      </c>
      <c r="D2194" s="116">
        <v>97.231199668423301</v>
      </c>
      <c r="E2194" s="116">
        <v>99.210984642939195</v>
      </c>
      <c r="F2194" s="116">
        <v>313.55</v>
      </c>
      <c r="G2194">
        <v>103489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45238</v>
      </c>
      <c r="B2195" s="116">
        <v>100.383017347853</v>
      </c>
      <c r="C2195" s="116">
        <v>97.880569140064495</v>
      </c>
      <c r="D2195" s="116">
        <v>97.532126984549706</v>
      </c>
      <c r="E2195" s="116">
        <v>100.097928311522</v>
      </c>
      <c r="F2195" s="116">
        <v>309</v>
      </c>
      <c r="G2195">
        <v>134187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45239</v>
      </c>
      <c r="B2196" s="116">
        <v>98.672483129870898</v>
      </c>
      <c r="C2196" s="116">
        <v>96.375932559432499</v>
      </c>
      <c r="D2196" s="116">
        <v>95.663209968606793</v>
      </c>
      <c r="E2196" s="116">
        <v>97.2628762280156</v>
      </c>
      <c r="F2196" s="116">
        <v>304.25</v>
      </c>
      <c r="G2196">
        <v>152183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45240</v>
      </c>
      <c r="B2197" s="116">
        <v>99.432720560085002</v>
      </c>
      <c r="C2197" s="116">
        <v>98.640806570278599</v>
      </c>
      <c r="D2197" s="116">
        <v>96.629345036170506</v>
      </c>
      <c r="E2197" s="116">
        <v>96.629345036170506</v>
      </c>
      <c r="F2197" s="116">
        <v>311.39999999999998</v>
      </c>
      <c r="G2197">
        <v>151134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45242</v>
      </c>
      <c r="B2198" s="116">
        <v>104.16836621912699</v>
      </c>
      <c r="C2198" s="116">
        <v>102.39447888196101</v>
      </c>
      <c r="D2198" s="116">
        <v>100.68394466397901</v>
      </c>
      <c r="E2198" s="116">
        <v>101.364990695212</v>
      </c>
      <c r="F2198" s="116">
        <v>323.25</v>
      </c>
      <c r="G2198">
        <v>170490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45243</v>
      </c>
      <c r="B2199" s="116">
        <v>106.116474634051</v>
      </c>
      <c r="C2199" s="116">
        <v>105.19785440587501</v>
      </c>
      <c r="D2199" s="116">
        <v>101.364990695212</v>
      </c>
      <c r="E2199" s="116">
        <v>102.91714211523301</v>
      </c>
      <c r="F2199" s="116">
        <v>332.1</v>
      </c>
      <c r="G2199">
        <v>286425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45245</v>
      </c>
      <c r="B2200" s="116">
        <v>109.474189950829</v>
      </c>
      <c r="C2200" s="116">
        <v>108.935688437761</v>
      </c>
      <c r="D2200" s="116">
        <v>105.19785440587501</v>
      </c>
      <c r="E2200" s="116">
        <v>107.700302613663</v>
      </c>
      <c r="F2200" s="116">
        <v>343.9</v>
      </c>
      <c r="G2200">
        <v>412756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45246</v>
      </c>
      <c r="B2201" s="116">
        <v>109.917661785121</v>
      </c>
      <c r="C2201" s="116">
        <v>109.014879836742</v>
      </c>
      <c r="D2201" s="116">
        <v>108.33383380550799</v>
      </c>
      <c r="E2201" s="116">
        <v>109.600896189198</v>
      </c>
      <c r="F2201" s="116">
        <v>344.15</v>
      </c>
      <c r="G2201">
        <v>249142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45247</v>
      </c>
      <c r="B2202" s="116">
        <v>110.234427381044</v>
      </c>
      <c r="C2202" s="116">
        <v>108.34967208530399</v>
      </c>
      <c r="D2202" s="116">
        <v>106.148151193643</v>
      </c>
      <c r="E2202" s="116">
        <v>110.234427381044</v>
      </c>
      <c r="F2202" s="116">
        <v>342.05</v>
      </c>
      <c r="G2202">
        <v>224831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45250</v>
      </c>
      <c r="B2203" s="116">
        <v>113.71884893619099</v>
      </c>
      <c r="C2203" s="116">
        <v>113.449598179657</v>
      </c>
      <c r="D2203" s="116">
        <v>110.234427381044</v>
      </c>
      <c r="E2203" s="116">
        <v>111.327268686976</v>
      </c>
      <c r="F2203" s="116">
        <v>358.15</v>
      </c>
      <c r="G2203">
        <v>505752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45251</v>
      </c>
      <c r="B2204" s="116">
        <v>117.203270491339</v>
      </c>
      <c r="C2204" s="116">
        <v>112.08750611719</v>
      </c>
      <c r="D2204" s="116">
        <v>107.731979173255</v>
      </c>
      <c r="E2204" s="116">
        <v>116.252973703572</v>
      </c>
      <c r="F2204" s="116">
        <v>353.85</v>
      </c>
      <c r="G2204">
        <v>555315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45252</v>
      </c>
      <c r="B2205" s="116">
        <v>113.71884893619099</v>
      </c>
      <c r="C2205" s="116">
        <v>111.200562448607</v>
      </c>
      <c r="D2205" s="116">
        <v>109.949338344713</v>
      </c>
      <c r="E2205" s="116">
        <v>113.68717237659899</v>
      </c>
      <c r="F2205" s="116">
        <v>351.05</v>
      </c>
      <c r="G2205">
        <v>279996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45253</v>
      </c>
      <c r="B2206" s="116">
        <v>112.610169350463</v>
      </c>
      <c r="C2206" s="116">
        <v>111.2322390082</v>
      </c>
      <c r="D2206" s="116">
        <v>110.25026566084</v>
      </c>
      <c r="E2206" s="116">
        <v>111.501489764734</v>
      </c>
      <c r="F2206" s="116">
        <v>351.15</v>
      </c>
      <c r="G2206">
        <v>362990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45254</v>
      </c>
      <c r="B2207" s="116">
        <v>122.20816690691601</v>
      </c>
      <c r="C2207" s="116">
        <v>122.20816690691601</v>
      </c>
      <c r="D2207" s="116">
        <v>112.135020956579</v>
      </c>
      <c r="E2207" s="116">
        <v>118.59703911339901</v>
      </c>
      <c r="F2207" s="116">
        <v>128.6</v>
      </c>
      <c r="G2207">
        <v>1586614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45258</v>
      </c>
      <c r="B2208" s="116">
        <v>129.24036313639601</v>
      </c>
      <c r="C2208" s="116">
        <v>122.63580046141099</v>
      </c>
      <c r="D2208" s="116">
        <v>118.97715782850599</v>
      </c>
      <c r="E2208" s="116">
        <v>128.29006634862799</v>
      </c>
      <c r="F2208" s="116">
        <v>129.05000000000001</v>
      </c>
      <c r="G2208">
        <v>1867054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45259</v>
      </c>
      <c r="B2209" s="116">
        <v>125.39166114593699</v>
      </c>
      <c r="C2209" s="116">
        <v>121.305384958536</v>
      </c>
      <c r="D2209" s="116">
        <v>120.260058491992</v>
      </c>
      <c r="E2209" s="116">
        <v>123.11094885529501</v>
      </c>
      <c r="F2209" s="116">
        <v>127.65</v>
      </c>
      <c r="G2209">
        <v>752670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45260</v>
      </c>
      <c r="B2210" s="116">
        <v>122.58828562202299</v>
      </c>
      <c r="C2210" s="116">
        <v>117.124079092359</v>
      </c>
      <c r="D2210" s="116">
        <v>114.98591131988201</v>
      </c>
      <c r="E2210" s="116">
        <v>122.58828562202299</v>
      </c>
      <c r="F2210" s="116">
        <v>123.25</v>
      </c>
      <c r="G2210">
        <v>897282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45261</v>
      </c>
      <c r="B2211" s="116">
        <v>117.83680168318401</v>
      </c>
      <c r="C2211" s="116">
        <v>116.981534574194</v>
      </c>
      <c r="D2211" s="116">
        <v>116.173782304591</v>
      </c>
      <c r="E2211" s="116">
        <v>117.83680168318401</v>
      </c>
      <c r="F2211" s="116">
        <v>123.1</v>
      </c>
      <c r="G2211">
        <v>427409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45264</v>
      </c>
      <c r="B2212" s="116">
        <v>123.53858240979</v>
      </c>
      <c r="C2212" s="116">
        <v>120.972781082818</v>
      </c>
      <c r="D2212" s="116">
        <v>119.784910098108</v>
      </c>
      <c r="E2212" s="116">
        <v>120.687692046487</v>
      </c>
      <c r="F2212" s="116">
        <v>127.3</v>
      </c>
      <c r="G2212">
        <v>784009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45265</v>
      </c>
      <c r="B2213" s="116">
        <v>124.346334679393</v>
      </c>
      <c r="C2213" s="116">
        <v>121.020295922206</v>
      </c>
      <c r="D2213" s="116">
        <v>119.54733590116599</v>
      </c>
      <c r="E2213" s="116">
        <v>123.491067570402</v>
      </c>
      <c r="F2213" s="116">
        <v>127.35</v>
      </c>
      <c r="G2213">
        <v>493217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45266</v>
      </c>
      <c r="B2214" s="116">
        <v>120.972781082818</v>
      </c>
      <c r="C2214" s="116">
        <v>120.497632688934</v>
      </c>
      <c r="D2214" s="116">
        <v>114.035614532114</v>
      </c>
      <c r="E2214" s="116">
        <v>120.972781082818</v>
      </c>
      <c r="F2214" s="116">
        <v>126.8</v>
      </c>
      <c r="G2214">
        <v>330269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45267</v>
      </c>
      <c r="B2215" s="116">
        <v>120.35508817076899</v>
      </c>
      <c r="C2215" s="116">
        <v>117.456682968077</v>
      </c>
      <c r="D2215" s="116">
        <v>112.135020956579</v>
      </c>
      <c r="E2215" s="116">
        <v>114.51076292599799</v>
      </c>
      <c r="F2215" s="116">
        <v>123.6</v>
      </c>
      <c r="G2215">
        <v>1184021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45268</v>
      </c>
      <c r="B2216" s="116">
        <v>118.787098470952</v>
      </c>
      <c r="C2216" s="116">
        <v>115.55608939254201</v>
      </c>
      <c r="D2216" s="116">
        <v>114.98591131988201</v>
      </c>
      <c r="E2216" s="116">
        <v>118.69206879217499</v>
      </c>
      <c r="F2216" s="116">
        <v>121.6</v>
      </c>
      <c r="G2216">
        <v>833778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45271</v>
      </c>
      <c r="B2217" s="116">
        <v>115.55608939254201</v>
      </c>
      <c r="C2217" s="116">
        <v>112.99028806557</v>
      </c>
      <c r="D2217" s="116">
        <v>109.284130593276</v>
      </c>
      <c r="E2217" s="116">
        <v>114.035614532114</v>
      </c>
      <c r="F2217" s="116">
        <v>118.9</v>
      </c>
      <c r="G2217">
        <v>1540729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45272</v>
      </c>
      <c r="B2218" s="116">
        <v>113.84555517456</v>
      </c>
      <c r="C2218" s="116">
        <v>110.51951641737401</v>
      </c>
      <c r="D2218" s="116">
        <v>110.234427381044</v>
      </c>
      <c r="E2218" s="116">
        <v>112.99028806557</v>
      </c>
      <c r="F2218" s="116">
        <v>116.3</v>
      </c>
      <c r="G2218">
        <v>681110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45273</v>
      </c>
      <c r="B2219" s="116">
        <v>111.46981320514099</v>
      </c>
      <c r="C2219" s="116">
        <v>109.094071235722</v>
      </c>
      <c r="D2219" s="116">
        <v>108.33383380550799</v>
      </c>
      <c r="E2219" s="116">
        <v>111.37478352636499</v>
      </c>
      <c r="F2219" s="116">
        <v>114.8</v>
      </c>
      <c r="G2219">
        <v>698450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45274</v>
      </c>
      <c r="B2220" s="116">
        <v>116.886504895417</v>
      </c>
      <c r="C2220" s="116">
        <v>114.74833712294</v>
      </c>
      <c r="D2220" s="116">
        <v>109.18910091449899</v>
      </c>
      <c r="E2220" s="116">
        <v>110.234427381044</v>
      </c>
      <c r="F2220" s="116">
        <v>120.75</v>
      </c>
      <c r="G2220">
        <v>983201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45275</v>
      </c>
      <c r="B2221" s="116">
        <v>117.31413844991199</v>
      </c>
      <c r="C2221" s="116">
        <v>114.273188729056</v>
      </c>
      <c r="D2221" s="116">
        <v>113.085317744346</v>
      </c>
      <c r="E2221" s="116">
        <v>116.41135650153301</v>
      </c>
      <c r="F2221" s="116">
        <v>120.25</v>
      </c>
      <c r="G2221">
        <v>581528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45278</v>
      </c>
      <c r="B2222" s="116">
        <v>116.886504895417</v>
      </c>
      <c r="C2222" s="116">
        <v>114.74833712294</v>
      </c>
      <c r="D2222" s="116">
        <v>113.56046613823</v>
      </c>
      <c r="E2222" s="116">
        <v>115.603604231931</v>
      </c>
      <c r="F2222" s="116">
        <v>120.75</v>
      </c>
      <c r="G2222">
        <v>480491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45279</v>
      </c>
      <c r="B2223" s="116">
        <v>115.93620810764899</v>
      </c>
      <c r="C2223" s="116">
        <v>112.895258386793</v>
      </c>
      <c r="D2223" s="116">
        <v>112.135020956579</v>
      </c>
      <c r="E2223" s="116">
        <v>115.698633910707</v>
      </c>
      <c r="F2223" s="116">
        <v>118.8</v>
      </c>
      <c r="G2223">
        <v>394596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45280</v>
      </c>
      <c r="B2224" s="116">
        <v>114.035614532114</v>
      </c>
      <c r="C2224" s="116">
        <v>106.05312151486601</v>
      </c>
      <c r="D2224" s="116">
        <v>104.532646654438</v>
      </c>
      <c r="E2224" s="116">
        <v>113.798040335172</v>
      </c>
      <c r="F2224" s="116">
        <v>111.6</v>
      </c>
      <c r="G2224">
        <v>958644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45281</v>
      </c>
      <c r="B2225" s="116">
        <v>112.99028806557</v>
      </c>
      <c r="C2225" s="116">
        <v>110.662060935539</v>
      </c>
      <c r="D2225" s="116">
        <v>101.01654853969799</v>
      </c>
      <c r="E2225" s="116">
        <v>101.01654853969799</v>
      </c>
      <c r="F2225" s="116">
        <v>116.45</v>
      </c>
      <c r="G2225">
        <v>773884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45282</v>
      </c>
      <c r="B2226" s="116">
        <v>112.515139671686</v>
      </c>
      <c r="C2226" s="116">
        <v>108.85649703878001</v>
      </c>
      <c r="D2226" s="116">
        <v>107.145962820799</v>
      </c>
      <c r="E2226" s="116">
        <v>111.137209329423</v>
      </c>
      <c r="F2226" s="116">
        <v>114.55</v>
      </c>
      <c r="G2226">
        <v>565365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45286</v>
      </c>
      <c r="B2227" s="116">
        <v>110.281942220432</v>
      </c>
      <c r="C2227" s="116">
        <v>108.904011878169</v>
      </c>
      <c r="D2227" s="116">
        <v>108.33383380550799</v>
      </c>
      <c r="E2227" s="116">
        <v>109.284130593276</v>
      </c>
      <c r="F2227" s="116">
        <v>114.6</v>
      </c>
      <c r="G2227">
        <v>429985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45287</v>
      </c>
      <c r="B2228" s="116">
        <v>110.234427381044</v>
      </c>
      <c r="C2228" s="116">
        <v>108.523893163062</v>
      </c>
      <c r="D2228" s="116">
        <v>108.048744769178</v>
      </c>
      <c r="E2228" s="116">
        <v>108.80898219939201</v>
      </c>
      <c r="F2228" s="116">
        <v>114.2</v>
      </c>
      <c r="G2228">
        <v>402288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45288</v>
      </c>
      <c r="B2229" s="116">
        <v>109.854308665936</v>
      </c>
      <c r="C2229" s="116">
        <v>106.338210551196</v>
      </c>
      <c r="D2229" s="116">
        <v>104.67519117260299</v>
      </c>
      <c r="E2229" s="116">
        <v>109.75927898716</v>
      </c>
      <c r="F2229" s="116">
        <v>111.9</v>
      </c>
      <c r="G2229">
        <v>697245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45289</v>
      </c>
      <c r="B2230" s="116">
        <v>109.284130593276</v>
      </c>
      <c r="C2230" s="116">
        <v>107.09844798141</v>
      </c>
      <c r="D2230" s="116">
        <v>104.105013099942</v>
      </c>
      <c r="E2230" s="116">
        <v>106.290695711808</v>
      </c>
      <c r="F2230" s="116">
        <v>112.7</v>
      </c>
      <c r="G2230">
        <v>536950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45292</v>
      </c>
      <c r="B2231" s="116">
        <v>112.610169350463</v>
      </c>
      <c r="C2231" s="116">
        <v>111.42229836575299</v>
      </c>
      <c r="D2231" s="116">
        <v>107.716140893459</v>
      </c>
      <c r="E2231" s="116">
        <v>109.284130593276</v>
      </c>
      <c r="F2231" s="116">
        <v>117.25</v>
      </c>
      <c r="G2231">
        <v>655177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45293</v>
      </c>
      <c r="B2232" s="116">
        <v>113.893070013949</v>
      </c>
      <c r="C2232" s="116">
        <v>110.709575774927</v>
      </c>
      <c r="D2232" s="116">
        <v>109.284130593276</v>
      </c>
      <c r="E2232" s="116">
        <v>113.512951298842</v>
      </c>
      <c r="F2232" s="116">
        <v>116.5</v>
      </c>
      <c r="G2232">
        <v>507949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45294</v>
      </c>
      <c r="B2233" s="116">
        <v>111.04217965064601</v>
      </c>
      <c r="C2233" s="116">
        <v>109.474189950829</v>
      </c>
      <c r="D2233" s="116">
        <v>108.33383380550799</v>
      </c>
      <c r="E2233" s="116">
        <v>111.04217965064601</v>
      </c>
      <c r="F2233" s="116">
        <v>115.2</v>
      </c>
      <c r="G2233">
        <v>304628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45295</v>
      </c>
      <c r="B2234" s="116">
        <v>110.662060935539</v>
      </c>
      <c r="C2234" s="116">
        <v>109.61673446899501</v>
      </c>
      <c r="D2234" s="116">
        <v>108.381348644897</v>
      </c>
      <c r="E2234" s="116">
        <v>110.234427381044</v>
      </c>
      <c r="F2234" s="116">
        <v>115.35</v>
      </c>
      <c r="G2234">
        <v>386295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45296</v>
      </c>
      <c r="B2235" s="116">
        <v>111.707387402083</v>
      </c>
      <c r="C2235" s="116">
        <v>111.04217965064601</v>
      </c>
      <c r="D2235" s="116">
        <v>110.234427381044</v>
      </c>
      <c r="E2235" s="116">
        <v>110.234427381044</v>
      </c>
      <c r="F2235" s="116">
        <v>116.85</v>
      </c>
      <c r="G2235">
        <v>467359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45299</v>
      </c>
      <c r="B2236" s="116">
        <v>111.992476438414</v>
      </c>
      <c r="C2236" s="116">
        <v>108.476378323673</v>
      </c>
      <c r="D2236" s="116">
        <v>108.33383380550799</v>
      </c>
      <c r="E2236" s="116">
        <v>111.184724168811</v>
      </c>
      <c r="F2236" s="116">
        <v>114.15</v>
      </c>
      <c r="G2236">
        <v>468910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45300</v>
      </c>
      <c r="B2237" s="116">
        <v>110.234427381044</v>
      </c>
      <c r="C2237" s="116">
        <v>107.573596375294</v>
      </c>
      <c r="D2237" s="116">
        <v>106.718329266303</v>
      </c>
      <c r="E2237" s="116">
        <v>109.284130593276</v>
      </c>
      <c r="F2237" s="116">
        <v>113.2</v>
      </c>
      <c r="G2237">
        <v>348285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45301</v>
      </c>
      <c r="B2238" s="116">
        <v>109.569219629606</v>
      </c>
      <c r="C2238" s="116">
        <v>108.80898219939201</v>
      </c>
      <c r="D2238" s="116">
        <v>107.003418302634</v>
      </c>
      <c r="E2238" s="116">
        <v>108.23880412673201</v>
      </c>
      <c r="F2238" s="116">
        <v>114.5</v>
      </c>
      <c r="G2238">
        <v>344921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45302</v>
      </c>
      <c r="B2239" s="116">
        <v>109.71176414777101</v>
      </c>
      <c r="C2239" s="116">
        <v>108.28631896612001</v>
      </c>
      <c r="D2239" s="116">
        <v>108.096259608566</v>
      </c>
      <c r="E2239" s="116">
        <v>109.71176414777101</v>
      </c>
      <c r="F2239" s="116">
        <v>113.95</v>
      </c>
      <c r="G2239">
        <v>432753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45303</v>
      </c>
      <c r="B2240" s="116">
        <v>113.56046613823</v>
      </c>
      <c r="C2240" s="116">
        <v>113.27537710190001</v>
      </c>
      <c r="D2240" s="116">
        <v>108.33383380550799</v>
      </c>
      <c r="E2240" s="116">
        <v>108.428863484285</v>
      </c>
      <c r="F2240" s="116">
        <v>119.2</v>
      </c>
      <c r="G2240">
        <v>988497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45306</v>
      </c>
      <c r="B2241" s="116">
        <v>118.311950077068</v>
      </c>
      <c r="C2241" s="116">
        <v>115.651119071319</v>
      </c>
      <c r="D2241" s="116">
        <v>114.98591131988201</v>
      </c>
      <c r="E2241" s="116">
        <v>116.838990056028</v>
      </c>
      <c r="F2241" s="116">
        <v>121.7</v>
      </c>
      <c r="G2241">
        <v>929608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45307</v>
      </c>
      <c r="B2242" s="116">
        <v>117.551712646854</v>
      </c>
      <c r="C2242" s="116">
        <v>113.370406780677</v>
      </c>
      <c r="D2242" s="116">
        <v>111.37478352636499</v>
      </c>
      <c r="E2242" s="116">
        <v>116.648930698475</v>
      </c>
      <c r="F2242" s="116">
        <v>119.3</v>
      </c>
      <c r="G2242">
        <v>665928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45308</v>
      </c>
      <c r="B2243" s="116">
        <v>113.798040335172</v>
      </c>
      <c r="C2243" s="116">
        <v>111.659872562695</v>
      </c>
      <c r="D2243" s="116">
        <v>107.38353701774101</v>
      </c>
      <c r="E2243" s="116">
        <v>111.659872562695</v>
      </c>
      <c r="F2243" s="116">
        <v>117.5</v>
      </c>
      <c r="G2243">
        <v>469783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45309</v>
      </c>
      <c r="B2244" s="116">
        <v>116.22129714398</v>
      </c>
      <c r="C2244" s="116">
        <v>115.366030034989</v>
      </c>
      <c r="D2244" s="116">
        <v>107.38353701774101</v>
      </c>
      <c r="E2244" s="116">
        <v>113.085317744346</v>
      </c>
      <c r="F2244" s="116">
        <v>121.4</v>
      </c>
      <c r="G2244">
        <v>685908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45310</v>
      </c>
      <c r="B2245" s="116">
        <v>122.493255943246</v>
      </c>
      <c r="C2245" s="116">
        <v>118.216920398292</v>
      </c>
      <c r="D2245" s="116">
        <v>112.135020956579</v>
      </c>
      <c r="E2245" s="116">
        <v>116.886504895417</v>
      </c>
      <c r="F2245" s="116">
        <v>124.4</v>
      </c>
      <c r="G2245">
        <v>2453830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45311</v>
      </c>
      <c r="B2246" s="116">
        <v>122.018107549362</v>
      </c>
      <c r="C2246" s="116">
        <v>116.031237786426</v>
      </c>
      <c r="D2246" s="116">
        <v>114.70082228355101</v>
      </c>
      <c r="E2246" s="116">
        <v>121.067810761594</v>
      </c>
      <c r="F2246" s="116">
        <v>122.1</v>
      </c>
      <c r="G2246">
        <v>1363295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45314</v>
      </c>
      <c r="B2247" s="116">
        <v>133.04155028746601</v>
      </c>
      <c r="C2247" s="116">
        <v>123.11094885529501</v>
      </c>
      <c r="D2247" s="116">
        <v>120.212543652604</v>
      </c>
      <c r="E2247" s="116">
        <v>121.82804819180799</v>
      </c>
      <c r="F2247" s="116">
        <v>129.55000000000001</v>
      </c>
      <c r="G2247">
        <v>2950715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45315</v>
      </c>
      <c r="B2248" s="116">
        <v>128.670185063735</v>
      </c>
      <c r="C2248" s="116">
        <v>122.30319658569201</v>
      </c>
      <c r="D2248" s="116">
        <v>118.97715782850599</v>
      </c>
      <c r="E2248" s="116">
        <v>126.389472773093</v>
      </c>
      <c r="F2248" s="116">
        <v>128.69999999999999</v>
      </c>
      <c r="G2248">
        <v>1039997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45316</v>
      </c>
      <c r="B2249" s="116">
        <v>123.53858240979</v>
      </c>
      <c r="C2249" s="116">
        <v>118.454494595233</v>
      </c>
      <c r="D2249" s="116">
        <v>117.26662361052399</v>
      </c>
      <c r="E2249" s="116">
        <v>123.53858240979</v>
      </c>
      <c r="F2249" s="116">
        <v>124.65</v>
      </c>
      <c r="G2249">
        <v>821588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45320</v>
      </c>
      <c r="B2250" s="116">
        <v>120.592662367711</v>
      </c>
      <c r="C2250" s="116">
        <v>115.413544874377</v>
      </c>
      <c r="D2250" s="116">
        <v>112.135020956579</v>
      </c>
      <c r="E2250" s="116">
        <v>120.592662367711</v>
      </c>
      <c r="F2250" s="116">
        <v>121.45</v>
      </c>
      <c r="G2250">
        <v>819186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45321</v>
      </c>
      <c r="B2251" s="116">
        <v>116.886504895417</v>
      </c>
      <c r="C2251" s="116">
        <v>115.08094099865799</v>
      </c>
      <c r="D2251" s="116">
        <v>114.13064421089101</v>
      </c>
      <c r="E2251" s="116">
        <v>115.93620810764899</v>
      </c>
      <c r="F2251" s="116">
        <v>121.1</v>
      </c>
      <c r="G2251">
        <v>517057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45322</v>
      </c>
      <c r="B2252" s="116">
        <v>115.93620810764899</v>
      </c>
      <c r="C2252" s="116">
        <v>115.08094099865799</v>
      </c>
      <c r="D2252" s="116">
        <v>113.085317744346</v>
      </c>
      <c r="E2252" s="116">
        <v>115.88869326826099</v>
      </c>
      <c r="F2252" s="116">
        <v>121.1</v>
      </c>
      <c r="G2252">
        <v>590330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45323</v>
      </c>
      <c r="B2253" s="116">
        <v>116.696445537863</v>
      </c>
      <c r="C2253" s="116">
        <v>110.376971899209</v>
      </c>
      <c r="D2253" s="116">
        <v>109.284130593276</v>
      </c>
      <c r="E2253" s="116">
        <v>115.175970677435</v>
      </c>
      <c r="F2253" s="116">
        <v>116.15</v>
      </c>
      <c r="G2253">
        <v>1654625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45324</v>
      </c>
      <c r="B2254" s="116">
        <v>112.135020956579</v>
      </c>
      <c r="C2254" s="116">
        <v>110.472001577985</v>
      </c>
      <c r="D2254" s="116">
        <v>110.186912541655</v>
      </c>
      <c r="E2254" s="116">
        <v>110.376971899209</v>
      </c>
      <c r="F2254" s="116">
        <v>116.25</v>
      </c>
      <c r="G2254">
        <v>603525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45327</v>
      </c>
      <c r="B2255" s="116">
        <v>111.992476438414</v>
      </c>
      <c r="C2255" s="116">
        <v>108.523893163062</v>
      </c>
      <c r="D2255" s="116">
        <v>107.38353701774101</v>
      </c>
      <c r="E2255" s="116">
        <v>110.234427381044</v>
      </c>
      <c r="F2255" s="116">
        <v>114.2</v>
      </c>
      <c r="G2255">
        <v>758474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45328</v>
      </c>
      <c r="B2256" s="116">
        <v>112.80022870801599</v>
      </c>
      <c r="C2256" s="116">
        <v>111.46981320514099</v>
      </c>
      <c r="D2256" s="116">
        <v>106.43324022997299</v>
      </c>
      <c r="E2256" s="116">
        <v>106.43324022997299</v>
      </c>
      <c r="F2256" s="116">
        <v>117.3</v>
      </c>
      <c r="G2256">
        <v>681777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45329</v>
      </c>
      <c r="B2257" s="116">
        <v>113.893070013949</v>
      </c>
      <c r="C2257" s="116">
        <v>109.331645432664</v>
      </c>
      <c r="D2257" s="116">
        <v>108.85649703878001</v>
      </c>
      <c r="E2257" s="116">
        <v>112.562654511074</v>
      </c>
      <c r="F2257" s="116">
        <v>115.05</v>
      </c>
      <c r="G2257">
        <v>492795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45330</v>
      </c>
      <c r="B2258" s="116">
        <v>110.186912541655</v>
      </c>
      <c r="C2258" s="116">
        <v>109.236615753888</v>
      </c>
      <c r="D2258" s="116">
        <v>107.38353701774101</v>
      </c>
      <c r="E2258" s="116">
        <v>110.186912541655</v>
      </c>
      <c r="F2258" s="116">
        <v>114.95</v>
      </c>
      <c r="G2258">
        <v>534193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45331</v>
      </c>
      <c r="B2259" s="116">
        <v>109.284130593276</v>
      </c>
      <c r="C2259" s="116">
        <v>107.716140893459</v>
      </c>
      <c r="D2259" s="116">
        <v>105.15033956648701</v>
      </c>
      <c r="E2259" s="116">
        <v>109.284130593276</v>
      </c>
      <c r="F2259" s="116">
        <v>113.35</v>
      </c>
      <c r="G2259">
        <v>582159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45334</v>
      </c>
      <c r="B2260" s="116">
        <v>110.234427381044</v>
      </c>
      <c r="C2260" s="116">
        <v>104.009983421166</v>
      </c>
      <c r="D2260" s="116">
        <v>103.392290509117</v>
      </c>
      <c r="E2260" s="116">
        <v>108.28631896612001</v>
      </c>
      <c r="F2260" s="116">
        <v>109.45</v>
      </c>
      <c r="G2260">
        <v>639936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45335</v>
      </c>
      <c r="B2261" s="116">
        <v>103.58234986667</v>
      </c>
      <c r="C2261" s="116">
        <v>102.584538239514</v>
      </c>
      <c r="D2261" s="116">
        <v>95.504827170645498</v>
      </c>
      <c r="E2261" s="116">
        <v>103.58234986667</v>
      </c>
      <c r="F2261" s="116">
        <v>107.95</v>
      </c>
      <c r="G2261">
        <v>722638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45336</v>
      </c>
      <c r="B2262" s="116">
        <v>109.284130593276</v>
      </c>
      <c r="C2262" s="116">
        <v>108.999041556946</v>
      </c>
      <c r="D2262" s="116">
        <v>98.878380767220506</v>
      </c>
      <c r="E2262" s="116">
        <v>101.206607897251</v>
      </c>
      <c r="F2262" s="116">
        <v>114.7</v>
      </c>
      <c r="G2262">
        <v>657428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45337</v>
      </c>
      <c r="B2263" s="116">
        <v>110.32945705982</v>
      </c>
      <c r="C2263" s="116">
        <v>107.240992499576</v>
      </c>
      <c r="D2263" s="116">
        <v>106.05312151486601</v>
      </c>
      <c r="E2263" s="116">
        <v>110.32945705982</v>
      </c>
      <c r="F2263" s="116">
        <v>112.85</v>
      </c>
      <c r="G2263">
        <v>406921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45338</v>
      </c>
      <c r="B2264" s="116">
        <v>109.569219629606</v>
      </c>
      <c r="C2264" s="116">
        <v>106.43324022997299</v>
      </c>
      <c r="D2264" s="116">
        <v>106.00560667547801</v>
      </c>
      <c r="E2264" s="116">
        <v>108.33383380550799</v>
      </c>
      <c r="F2264" s="116">
        <v>112</v>
      </c>
      <c r="G2264">
        <v>311693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45341</v>
      </c>
      <c r="B2265" s="116">
        <v>108.713952520615</v>
      </c>
      <c r="C2265" s="116">
        <v>107.858685411625</v>
      </c>
      <c r="D2265" s="116">
        <v>106.148151193643</v>
      </c>
      <c r="E2265" s="116">
        <v>108.143774447955</v>
      </c>
      <c r="F2265" s="116">
        <v>113.5</v>
      </c>
      <c r="G2265">
        <v>358298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45342</v>
      </c>
      <c r="B2266" s="116">
        <v>108.33383380550799</v>
      </c>
      <c r="C2266" s="116">
        <v>107.145962820799</v>
      </c>
      <c r="D2266" s="116">
        <v>106.43324022997299</v>
      </c>
      <c r="E2266" s="116">
        <v>108.33383380550799</v>
      </c>
      <c r="F2266" s="116">
        <v>112.75</v>
      </c>
      <c r="G2266">
        <v>269017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45343</v>
      </c>
      <c r="B2267" s="116">
        <v>107.858685411625</v>
      </c>
      <c r="C2267" s="116">
        <v>104.295072457496</v>
      </c>
      <c r="D2267" s="116">
        <v>102.632053078903</v>
      </c>
      <c r="E2267" s="116">
        <v>107.145962820799</v>
      </c>
      <c r="F2267" s="116">
        <v>109.75</v>
      </c>
      <c r="G2267">
        <v>474293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45344</v>
      </c>
      <c r="B2268" s="116">
        <v>109.18910091449899</v>
      </c>
      <c r="C2268" s="116">
        <v>107.81117057223599</v>
      </c>
      <c r="D2268" s="116">
        <v>104.67519117260299</v>
      </c>
      <c r="E2268" s="116">
        <v>106.90838862385699</v>
      </c>
      <c r="F2268" s="116">
        <v>113.45</v>
      </c>
      <c r="G2268">
        <v>430057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45345</v>
      </c>
      <c r="B2269" s="116">
        <v>109.18910091449899</v>
      </c>
      <c r="C2269" s="116">
        <v>107.621111214683</v>
      </c>
      <c r="D2269" s="116">
        <v>106.480755069361</v>
      </c>
      <c r="E2269" s="116">
        <v>109.046556396334</v>
      </c>
      <c r="F2269" s="116">
        <v>113.25</v>
      </c>
      <c r="G2269">
        <v>329058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45348</v>
      </c>
      <c r="B2270" s="116">
        <v>113.465436459453</v>
      </c>
      <c r="C2270" s="116">
        <v>108.904011878169</v>
      </c>
      <c r="D2270" s="116">
        <v>106.43324022997299</v>
      </c>
      <c r="E2270" s="116">
        <v>108.523893163062</v>
      </c>
      <c r="F2270" s="116">
        <v>114.6</v>
      </c>
      <c r="G2270">
        <v>788400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45349</v>
      </c>
      <c r="B2271" s="116">
        <v>113.940584853337</v>
      </c>
      <c r="C2271" s="116">
        <v>109.75927898716</v>
      </c>
      <c r="D2271" s="116">
        <v>105.482943442205</v>
      </c>
      <c r="E2271" s="116">
        <v>108.33383380550799</v>
      </c>
      <c r="F2271" s="116">
        <v>115.5</v>
      </c>
      <c r="G2271">
        <v>425812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45350</v>
      </c>
      <c r="B2272" s="116">
        <v>111.184724168811</v>
      </c>
      <c r="C2272" s="116">
        <v>106.57578474813801</v>
      </c>
      <c r="D2272" s="116">
        <v>106.00560667547801</v>
      </c>
      <c r="E2272" s="116">
        <v>110.424486738597</v>
      </c>
      <c r="F2272" s="116">
        <v>112.15</v>
      </c>
      <c r="G2272">
        <v>350889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45351</v>
      </c>
      <c r="B2273" s="116">
        <v>108.048744769178</v>
      </c>
      <c r="C2273" s="116">
        <v>106.765844105692</v>
      </c>
      <c r="D2273" s="116">
        <v>105.625487960371</v>
      </c>
      <c r="E2273" s="116">
        <v>106.623299587527</v>
      </c>
      <c r="F2273" s="116">
        <v>112.35</v>
      </c>
      <c r="G2273">
        <v>203678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45352</v>
      </c>
      <c r="B2274" s="116">
        <v>111.612357723307</v>
      </c>
      <c r="C2274" s="116">
        <v>107.336022178352</v>
      </c>
      <c r="D2274" s="116">
        <v>107.003418302634</v>
      </c>
      <c r="E2274" s="116">
        <v>107.38353701774101</v>
      </c>
      <c r="F2274" s="116">
        <v>112.95</v>
      </c>
      <c r="G2274">
        <v>223250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45353</v>
      </c>
      <c r="B2275" s="116">
        <v>109.75927898716</v>
      </c>
      <c r="C2275" s="116">
        <v>107.43105185712901</v>
      </c>
      <c r="D2275" s="116">
        <v>104.62767633321501</v>
      </c>
      <c r="E2275" s="116">
        <v>108.761467360004</v>
      </c>
      <c r="F2275" s="116">
        <v>113.05</v>
      </c>
      <c r="G2275">
        <v>74716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45355</v>
      </c>
      <c r="B2276" s="116">
        <v>111.184724168811</v>
      </c>
      <c r="C2276" s="116">
        <v>108.523893163062</v>
      </c>
      <c r="D2276" s="116">
        <v>107.38353701774101</v>
      </c>
      <c r="E2276" s="116">
        <v>111.184724168811</v>
      </c>
      <c r="F2276" s="116">
        <v>114.2</v>
      </c>
      <c r="G2276">
        <v>451283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45356</v>
      </c>
      <c r="B2277" s="116">
        <v>109.14158607511099</v>
      </c>
      <c r="C2277" s="116">
        <v>107.193477660187</v>
      </c>
      <c r="D2277" s="116">
        <v>106.52826990875</v>
      </c>
      <c r="E2277" s="116">
        <v>108.523893163062</v>
      </c>
      <c r="F2277" s="116">
        <v>112.8</v>
      </c>
      <c r="G2277">
        <v>209498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45357</v>
      </c>
      <c r="B2278" s="116">
        <v>107.38353701774101</v>
      </c>
      <c r="C2278" s="116">
        <v>105.102824727098</v>
      </c>
      <c r="D2278" s="116">
        <v>103.487320187893</v>
      </c>
      <c r="E2278" s="116">
        <v>107.38353701774101</v>
      </c>
      <c r="F2278" s="116">
        <v>110.6</v>
      </c>
      <c r="G2278">
        <v>453411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45358</v>
      </c>
      <c r="B2279" s="116">
        <v>107.38353701774101</v>
      </c>
      <c r="C2279" s="116">
        <v>106.05312151486601</v>
      </c>
      <c r="D2279" s="116">
        <v>104.77022085138</v>
      </c>
      <c r="E2279" s="116">
        <v>105.53045828159399</v>
      </c>
      <c r="F2279" s="116">
        <v>111.6</v>
      </c>
      <c r="G2279">
        <v>269800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45362</v>
      </c>
      <c r="B2280" s="116">
        <v>106.81335894508</v>
      </c>
      <c r="C2280" s="116">
        <v>102.822112436456</v>
      </c>
      <c r="D2280" s="116">
        <v>102.632053078903</v>
      </c>
      <c r="E2280" s="116">
        <v>106.10063635425399</v>
      </c>
      <c r="F2280" s="116">
        <v>108.2</v>
      </c>
      <c r="G2280">
        <v>383255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45363</v>
      </c>
      <c r="B2281" s="116">
        <v>102.822112436456</v>
      </c>
      <c r="C2281" s="116">
        <v>98.1656581763948</v>
      </c>
      <c r="D2281" s="116">
        <v>95.504827170645498</v>
      </c>
      <c r="E2281" s="116">
        <v>101.96684532746499</v>
      </c>
      <c r="F2281" s="116">
        <v>103.3</v>
      </c>
      <c r="G2281">
        <v>781534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45364</v>
      </c>
      <c r="B2282" s="116">
        <v>99.638618197434596</v>
      </c>
      <c r="C2282" s="116">
        <v>88.520145780553506</v>
      </c>
      <c r="D2282" s="116">
        <v>87.427304474620698</v>
      </c>
      <c r="E2282" s="116">
        <v>97.452935585569094</v>
      </c>
      <c r="F2282" s="116">
        <v>93.15</v>
      </c>
      <c r="G2282">
        <v>1612013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45365</v>
      </c>
      <c r="B2283" s="116">
        <v>100.73145950336701</v>
      </c>
      <c r="C2283" s="116">
        <v>100.16128143070701</v>
      </c>
      <c r="D2283" s="116">
        <v>81.773038587403406</v>
      </c>
      <c r="E2283" s="116">
        <v>85.526710899085501</v>
      </c>
      <c r="F2283" s="116">
        <v>105.4</v>
      </c>
      <c r="G2283">
        <v>1059746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45366</v>
      </c>
      <c r="B2284" s="116">
        <v>103.01217179401</v>
      </c>
      <c r="C2284" s="116">
        <v>102.014360166854</v>
      </c>
      <c r="D2284" s="116">
        <v>91.323521304468002</v>
      </c>
      <c r="E2284" s="116">
        <v>100.398855627649</v>
      </c>
      <c r="F2284" s="116">
        <v>107.35</v>
      </c>
      <c r="G2284">
        <v>565879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45369</v>
      </c>
      <c r="B2285" s="116">
        <v>103.487320187893</v>
      </c>
      <c r="C2285" s="116">
        <v>98.1656581763948</v>
      </c>
      <c r="D2285" s="116">
        <v>97.405420746180695</v>
      </c>
      <c r="E2285" s="116">
        <v>103.487320187893</v>
      </c>
      <c r="F2285" s="116">
        <v>103.3</v>
      </c>
      <c r="G2285">
        <v>296270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45370</v>
      </c>
      <c r="B2286" s="116">
        <v>97.405420746180695</v>
      </c>
      <c r="C2286" s="116">
        <v>96.550153637189894</v>
      </c>
      <c r="D2286" s="116">
        <v>95.979975564529298</v>
      </c>
      <c r="E2286" s="116">
        <v>97.405420746180695</v>
      </c>
      <c r="F2286" s="116">
        <v>101.6</v>
      </c>
      <c r="G2286">
        <v>313025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45371</v>
      </c>
      <c r="B2287" s="116">
        <v>98.830865927832093</v>
      </c>
      <c r="C2287" s="116">
        <v>95.172223294926795</v>
      </c>
      <c r="D2287" s="116">
        <v>94.174411667770798</v>
      </c>
      <c r="E2287" s="116">
        <v>96.835242673520199</v>
      </c>
      <c r="F2287" s="116">
        <v>100.15</v>
      </c>
      <c r="G2287">
        <v>239123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45372</v>
      </c>
      <c r="B2288" s="116">
        <v>97.880569140064495</v>
      </c>
      <c r="C2288" s="116">
        <v>96.882757512908498</v>
      </c>
      <c r="D2288" s="116">
        <v>96.075005243306094</v>
      </c>
      <c r="E2288" s="116">
        <v>97.595480103734204</v>
      </c>
      <c r="F2288" s="116">
        <v>101.95</v>
      </c>
      <c r="G2288">
        <v>240771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45373</v>
      </c>
      <c r="B2289" s="116">
        <v>98.830865927832093</v>
      </c>
      <c r="C2289" s="116">
        <v>97.310391067403998</v>
      </c>
      <c r="D2289" s="116">
        <v>95.219738134315193</v>
      </c>
      <c r="E2289" s="116">
        <v>96.407609119024698</v>
      </c>
      <c r="F2289" s="116">
        <v>102.4</v>
      </c>
      <c r="G2289">
        <v>348346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45377</v>
      </c>
      <c r="B2290" s="116">
        <v>98.023113658229704</v>
      </c>
      <c r="C2290" s="116">
        <v>94.792104579819807</v>
      </c>
      <c r="D2290" s="116">
        <v>94.459500704101103</v>
      </c>
      <c r="E2290" s="116">
        <v>96.882757512908498</v>
      </c>
      <c r="F2290" s="116">
        <v>99.75</v>
      </c>
      <c r="G2290">
        <v>463560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45378</v>
      </c>
      <c r="B2291" s="116">
        <v>96.930272352296896</v>
      </c>
      <c r="C2291" s="116">
        <v>94.079381988994101</v>
      </c>
      <c r="D2291" s="116">
        <v>93.129085201226403</v>
      </c>
      <c r="E2291" s="116">
        <v>94.887134258596504</v>
      </c>
      <c r="F2291" s="116">
        <v>99</v>
      </c>
      <c r="G2291">
        <v>640185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45379</v>
      </c>
      <c r="B2292" s="116">
        <v>95.789916206975803</v>
      </c>
      <c r="C2292" s="116">
        <v>94.079381988994101</v>
      </c>
      <c r="D2292" s="116">
        <v>93.6517484344986</v>
      </c>
      <c r="E2292" s="116">
        <v>95.789916206975803</v>
      </c>
      <c r="F2292" s="116">
        <v>99</v>
      </c>
      <c r="G2292">
        <v>508401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45383</v>
      </c>
      <c r="B2293" s="116">
        <v>98.450747212725105</v>
      </c>
      <c r="C2293" s="116">
        <v>97.966095850963598</v>
      </c>
      <c r="D2293" s="116">
        <v>95.029678776761699</v>
      </c>
      <c r="E2293" s="116">
        <v>95.837431046364102</v>
      </c>
      <c r="F2293" s="116">
        <v>103.09</v>
      </c>
      <c r="G2293">
        <v>619568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45384</v>
      </c>
      <c r="B2294" s="116">
        <v>102.32795810681699</v>
      </c>
      <c r="C2294" s="116">
        <v>101.624738483869</v>
      </c>
      <c r="D2294" s="116">
        <v>98.925895606608904</v>
      </c>
      <c r="E2294" s="116">
        <v>99.733647876211407</v>
      </c>
      <c r="F2294" s="116">
        <v>106.94</v>
      </c>
      <c r="G2294">
        <v>607661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45385</v>
      </c>
      <c r="B2295" s="116">
        <v>106.43324022997299</v>
      </c>
      <c r="C2295" s="116">
        <v>105.606482024615</v>
      </c>
      <c r="D2295" s="116">
        <v>101.624738483869</v>
      </c>
      <c r="E2295" s="116">
        <v>102.156904685019</v>
      </c>
      <c r="F2295" s="116">
        <v>111.13</v>
      </c>
      <c r="G2295">
        <v>774186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45386</v>
      </c>
      <c r="B2296" s="116">
        <v>108.33383380550799</v>
      </c>
      <c r="C2296" s="116">
        <v>105.89157106094601</v>
      </c>
      <c r="D2296" s="116">
        <v>104.542149622316</v>
      </c>
      <c r="E2296" s="116">
        <v>107.687631989826</v>
      </c>
      <c r="F2296" s="116">
        <v>111.43</v>
      </c>
      <c r="G2296">
        <v>385585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45387</v>
      </c>
      <c r="B2297" s="116">
        <v>107.76365573284799</v>
      </c>
      <c r="C2297" s="116">
        <v>105.30238705252999</v>
      </c>
      <c r="D2297" s="116">
        <v>103.040680697643</v>
      </c>
      <c r="E2297" s="116">
        <v>105.89157106094601</v>
      </c>
      <c r="F2297" s="116">
        <v>110.81</v>
      </c>
      <c r="G2297">
        <v>338788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45390</v>
      </c>
      <c r="B2298" s="116">
        <v>104.105013099942</v>
      </c>
      <c r="C2298" s="116">
        <v>102.270940299551</v>
      </c>
      <c r="D2298" s="116">
        <v>101.681756291135</v>
      </c>
      <c r="E2298" s="116">
        <v>102.831615404334</v>
      </c>
      <c r="F2298" s="116">
        <v>107.62</v>
      </c>
      <c r="G2298">
        <v>465003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45391</v>
      </c>
      <c r="B2299" s="116">
        <v>106.56628178026099</v>
      </c>
      <c r="C2299" s="116">
        <v>103.838929999367</v>
      </c>
      <c r="D2299" s="116">
        <v>99.7906656834774</v>
      </c>
      <c r="E2299" s="116">
        <v>99.7906656834774</v>
      </c>
      <c r="F2299" s="116">
        <v>109.27</v>
      </c>
      <c r="G2299">
        <v>432979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45392</v>
      </c>
      <c r="B2300" s="116">
        <v>106.41423429421801</v>
      </c>
      <c r="C2300" s="116">
        <v>104.21904871447499</v>
      </c>
      <c r="D2300" s="116">
        <v>103.58234986667</v>
      </c>
      <c r="E2300" s="116">
        <v>104.52314368656</v>
      </c>
      <c r="F2300" s="116">
        <v>109.67</v>
      </c>
      <c r="G2300">
        <v>300647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45394</v>
      </c>
      <c r="B2301" s="116">
        <v>105.482943442205</v>
      </c>
      <c r="C2301" s="116">
        <v>103.52533205940399</v>
      </c>
      <c r="D2301" s="116">
        <v>102.73658572555701</v>
      </c>
      <c r="E2301" s="116">
        <v>104.057498260554</v>
      </c>
      <c r="F2301" s="116">
        <v>108.94</v>
      </c>
      <c r="G2301">
        <v>272372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45397</v>
      </c>
      <c r="B2302" s="116">
        <v>100.73145950336701</v>
      </c>
      <c r="C2302" s="116">
        <v>99.277505418082896</v>
      </c>
      <c r="D2302" s="116">
        <v>94.126896828382399</v>
      </c>
      <c r="E2302" s="116">
        <v>97.557468232223499</v>
      </c>
      <c r="F2302" s="116">
        <v>104.47</v>
      </c>
      <c r="G2302">
        <v>960575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45398</v>
      </c>
      <c r="B2303" s="116">
        <v>101.91933048807699</v>
      </c>
      <c r="C2303" s="116">
        <v>101.149590089985</v>
      </c>
      <c r="D2303" s="116">
        <v>97.405420746180695</v>
      </c>
      <c r="E2303" s="116">
        <v>98.127646304884095</v>
      </c>
      <c r="F2303" s="116">
        <v>106.44</v>
      </c>
      <c r="G2303">
        <v>300803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45400</v>
      </c>
      <c r="B2304" s="116">
        <v>103.572846898793</v>
      </c>
      <c r="C2304" s="116">
        <v>100.56990904944701</v>
      </c>
      <c r="D2304" s="116">
        <v>99.828677554988104</v>
      </c>
      <c r="E2304" s="116">
        <v>103.17372224793</v>
      </c>
      <c r="F2304" s="116">
        <v>105.83</v>
      </c>
      <c r="G2304">
        <v>288156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45401</v>
      </c>
      <c r="B2305" s="116">
        <v>107.050933142022</v>
      </c>
      <c r="C2305" s="116">
        <v>105.71101467126999</v>
      </c>
      <c r="D2305" s="116">
        <v>96.027490403917696</v>
      </c>
      <c r="E2305" s="116">
        <v>96.027490403917696</v>
      </c>
      <c r="F2305" s="116">
        <v>111.24</v>
      </c>
      <c r="G2305">
        <v>763754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45404</v>
      </c>
      <c r="B2306" s="116">
        <v>108.33383380550799</v>
      </c>
      <c r="C2306" s="116">
        <v>106.24318087242</v>
      </c>
      <c r="D2306" s="116">
        <v>105.57797312098199</v>
      </c>
      <c r="E2306" s="116">
        <v>108.33383380550799</v>
      </c>
      <c r="F2306" s="116">
        <v>111.8</v>
      </c>
      <c r="G2306">
        <v>510419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45405</v>
      </c>
      <c r="B2307" s="116">
        <v>116.981534574194</v>
      </c>
      <c r="C2307" s="116">
        <v>116.468374308799</v>
      </c>
      <c r="D2307" s="116">
        <v>106.452246165728</v>
      </c>
      <c r="E2307" s="116">
        <v>108.229301158854</v>
      </c>
      <c r="F2307" s="116">
        <v>122.56</v>
      </c>
      <c r="G2307">
        <v>3276622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45406</v>
      </c>
      <c r="B2308" s="116">
        <v>123.53858240979</v>
      </c>
      <c r="C2308" s="116">
        <v>121.35289979792501</v>
      </c>
      <c r="D2308" s="116">
        <v>119.072187507282</v>
      </c>
      <c r="E2308" s="116">
        <v>121.637988834255</v>
      </c>
      <c r="F2308" s="116">
        <v>127.7</v>
      </c>
      <c r="G2308">
        <v>2332972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45407</v>
      </c>
      <c r="B2309" s="116">
        <v>123.53858240979</v>
      </c>
      <c r="C2309" s="116">
        <v>106.043618546988</v>
      </c>
      <c r="D2309" s="116">
        <v>99.781162715599805</v>
      </c>
      <c r="E2309" s="116">
        <v>121.35289979792501</v>
      </c>
      <c r="F2309" s="116">
        <v>111.59</v>
      </c>
      <c r="G2309">
        <v>5465867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45408</v>
      </c>
      <c r="B2310" s="116">
        <v>116.202291208224</v>
      </c>
      <c r="C2310" s="116">
        <v>112.07800314931301</v>
      </c>
      <c r="D2310" s="116">
        <v>106.43324022997299</v>
      </c>
      <c r="E2310" s="116">
        <v>107.240992499576</v>
      </c>
      <c r="F2310" s="116">
        <v>117.94</v>
      </c>
      <c r="G2310">
        <v>3089102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45411</v>
      </c>
      <c r="B2311" s="116">
        <v>114.938396480493</v>
      </c>
      <c r="C2311" s="116">
        <v>109.426675111441</v>
      </c>
      <c r="D2311" s="116">
        <v>108.85649703878001</v>
      </c>
      <c r="E2311" s="116">
        <v>114.035614532114</v>
      </c>
      <c r="F2311" s="116">
        <v>115.15</v>
      </c>
      <c r="G2311">
        <v>966399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45412</v>
      </c>
      <c r="B2312" s="116">
        <v>111.165718233056</v>
      </c>
      <c r="C2312" s="116">
        <v>108.80898219939201</v>
      </c>
      <c r="D2312" s="116">
        <v>108.523893163062</v>
      </c>
      <c r="E2312" s="116">
        <v>111.165718233056</v>
      </c>
      <c r="F2312" s="116">
        <v>114.5</v>
      </c>
      <c r="G2312">
        <v>562491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45414</v>
      </c>
      <c r="B2313" s="116">
        <v>110.709575774927</v>
      </c>
      <c r="C2313" s="116">
        <v>108.85649703878001</v>
      </c>
      <c r="D2313" s="116">
        <v>108.33383380550799</v>
      </c>
      <c r="E2313" s="116">
        <v>109.71176414777101</v>
      </c>
      <c r="F2313" s="116">
        <v>114.55</v>
      </c>
      <c r="G2313">
        <v>507377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45415</v>
      </c>
      <c r="B2314" s="116">
        <v>111.184724168811</v>
      </c>
      <c r="C2314" s="116">
        <v>108.33383380550799</v>
      </c>
      <c r="D2314" s="116">
        <v>106.52826990875</v>
      </c>
      <c r="E2314" s="116">
        <v>110.09188286287799</v>
      </c>
      <c r="F2314" s="116">
        <v>114</v>
      </c>
      <c r="G2314">
        <v>639972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45418</v>
      </c>
      <c r="B2315" s="116">
        <v>110.186912541655</v>
      </c>
      <c r="C2315" s="116">
        <v>105.245369245264</v>
      </c>
      <c r="D2315" s="116">
        <v>104.532646654438</v>
      </c>
      <c r="E2315" s="116">
        <v>108.713952520615</v>
      </c>
      <c r="F2315" s="116">
        <v>110.75</v>
      </c>
      <c r="G2315">
        <v>716886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45419</v>
      </c>
      <c r="B2316" s="116">
        <v>107.38353701774101</v>
      </c>
      <c r="C2316" s="116">
        <v>104.34258729688401</v>
      </c>
      <c r="D2316" s="116">
        <v>103.77240922422401</v>
      </c>
      <c r="E2316" s="116">
        <v>106.81335894508</v>
      </c>
      <c r="F2316" s="116">
        <v>109.8</v>
      </c>
      <c r="G2316">
        <v>499438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45420</v>
      </c>
      <c r="B2317" s="116">
        <v>106.290695711808</v>
      </c>
      <c r="C2317" s="116">
        <v>103.439805348505</v>
      </c>
      <c r="D2317" s="116">
        <v>102.632053078903</v>
      </c>
      <c r="E2317" s="116">
        <v>105.482943442205</v>
      </c>
      <c r="F2317" s="116">
        <v>108.85</v>
      </c>
      <c r="G2317">
        <v>469614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45421</v>
      </c>
      <c r="B2318" s="116">
        <v>104.960280208933</v>
      </c>
      <c r="C2318" s="116">
        <v>101.776785969912</v>
      </c>
      <c r="D2318" s="116">
        <v>100.874004021533</v>
      </c>
      <c r="E2318" s="116">
        <v>104.485131815049</v>
      </c>
      <c r="F2318" s="116">
        <v>107.1</v>
      </c>
      <c r="G2318">
        <v>442499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45422</v>
      </c>
      <c r="B2319" s="116">
        <v>103.58234986667</v>
      </c>
      <c r="C2319" s="116">
        <v>102.346964042572</v>
      </c>
      <c r="D2319" s="116">
        <v>99.353529161104305</v>
      </c>
      <c r="E2319" s="116">
        <v>102.727082757679</v>
      </c>
      <c r="F2319" s="116">
        <v>107.7</v>
      </c>
      <c r="G2319">
        <v>466936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45425</v>
      </c>
      <c r="B2320" s="116">
        <v>102.679567918291</v>
      </c>
      <c r="C2320" s="116">
        <v>99.448558839881102</v>
      </c>
      <c r="D2320" s="116">
        <v>96.930272352296896</v>
      </c>
      <c r="E2320" s="116">
        <v>102.632053078903</v>
      </c>
      <c r="F2320" s="116">
        <v>104.65</v>
      </c>
      <c r="G2320">
        <v>655925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45426</v>
      </c>
      <c r="B2321" s="116">
        <v>105.815547317924</v>
      </c>
      <c r="C2321" s="116">
        <v>104.72270601199099</v>
      </c>
      <c r="D2321" s="116">
        <v>101.491696933581</v>
      </c>
      <c r="E2321" s="116">
        <v>101.58672661235801</v>
      </c>
      <c r="F2321" s="116">
        <v>110.2</v>
      </c>
      <c r="G2321">
        <v>733735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45427</v>
      </c>
      <c r="B2322" s="116">
        <v>109.71176414777101</v>
      </c>
      <c r="C2322" s="116">
        <v>109.284130593276</v>
      </c>
      <c r="D2322" s="116">
        <v>106.81335894508</v>
      </c>
      <c r="E2322" s="116">
        <v>107.193477660187</v>
      </c>
      <c r="F2322" s="116">
        <v>115</v>
      </c>
      <c r="G2322">
        <v>794373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45428</v>
      </c>
      <c r="B2323" s="116">
        <v>112.135020956579</v>
      </c>
      <c r="C2323" s="116">
        <v>110.757090614316</v>
      </c>
      <c r="D2323" s="116">
        <v>107.38353701774101</v>
      </c>
      <c r="E2323" s="116">
        <v>110.614546096151</v>
      </c>
      <c r="F2323" s="116">
        <v>116.55</v>
      </c>
      <c r="G2323">
        <v>654218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45429</v>
      </c>
      <c r="B2324" s="116">
        <v>112.562654511074</v>
      </c>
      <c r="C2324" s="116">
        <v>111.37478352636499</v>
      </c>
      <c r="D2324" s="116">
        <v>110.281942220432</v>
      </c>
      <c r="E2324" s="116">
        <v>111.08969449003401</v>
      </c>
      <c r="F2324" s="116">
        <v>117.2</v>
      </c>
      <c r="G2324">
        <v>544873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45430</v>
      </c>
      <c r="B2325" s="116">
        <v>113.940584853337</v>
      </c>
      <c r="C2325" s="116">
        <v>113.085317744346</v>
      </c>
      <c r="D2325" s="116">
        <v>106.95590346324499</v>
      </c>
      <c r="E2325" s="116">
        <v>111.37478352636499</v>
      </c>
      <c r="F2325" s="116">
        <v>119</v>
      </c>
      <c r="G2325">
        <v>365279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45433</v>
      </c>
      <c r="B2326" s="116">
        <v>114.98591131988201</v>
      </c>
      <c r="C2326" s="116">
        <v>111.04217965064601</v>
      </c>
      <c r="D2326" s="116">
        <v>110.04436802348999</v>
      </c>
      <c r="E2326" s="116">
        <v>114.17815905027901</v>
      </c>
      <c r="F2326" s="116">
        <v>116.85</v>
      </c>
      <c r="G2326">
        <v>922816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45434</v>
      </c>
      <c r="B2327" s="116">
        <v>112.99028806557</v>
      </c>
      <c r="C2327" s="116">
        <v>109.949338344713</v>
      </c>
      <c r="D2327" s="116">
        <v>109.854308665936</v>
      </c>
      <c r="E2327" s="116">
        <v>111.992476438414</v>
      </c>
      <c r="F2327" s="116">
        <v>115.7</v>
      </c>
      <c r="G2327">
        <v>570657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45435</v>
      </c>
      <c r="B2328" s="116">
        <v>110.662060935539</v>
      </c>
      <c r="C2328" s="116">
        <v>107.858685411625</v>
      </c>
      <c r="D2328" s="116">
        <v>106.05312151486601</v>
      </c>
      <c r="E2328" s="116">
        <v>110.662060935539</v>
      </c>
      <c r="F2328" s="116">
        <v>113.5</v>
      </c>
      <c r="G2328">
        <v>680127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45436</v>
      </c>
      <c r="B2329" s="116">
        <v>110.424486738597</v>
      </c>
      <c r="C2329" s="116">
        <v>109.426675111441</v>
      </c>
      <c r="D2329" s="116">
        <v>108.048744769178</v>
      </c>
      <c r="E2329" s="116">
        <v>108.33383380550799</v>
      </c>
      <c r="F2329" s="116">
        <v>115.15</v>
      </c>
      <c r="G2329">
        <v>515737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45439</v>
      </c>
      <c r="B2330" s="116">
        <v>112.46762483229701</v>
      </c>
      <c r="C2330" s="116">
        <v>110.472001577985</v>
      </c>
      <c r="D2330" s="116">
        <v>110.04436802348999</v>
      </c>
      <c r="E2330" s="116">
        <v>111.564842883918</v>
      </c>
      <c r="F2330" s="116">
        <v>116.25</v>
      </c>
      <c r="G2330">
        <v>602226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45440</v>
      </c>
      <c r="B2331" s="116">
        <v>113.84555517456</v>
      </c>
      <c r="C2331" s="116">
        <v>109.949338344713</v>
      </c>
      <c r="D2331" s="116">
        <v>109.284130593276</v>
      </c>
      <c r="E2331" s="116">
        <v>111.04217965064601</v>
      </c>
      <c r="F2331" s="116">
        <v>115.7</v>
      </c>
      <c r="G2331">
        <v>749111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45441</v>
      </c>
      <c r="B2332" s="116">
        <v>110.139397702267</v>
      </c>
      <c r="C2332" s="116">
        <v>108.904011878169</v>
      </c>
      <c r="D2332" s="116">
        <v>106.52826990875</v>
      </c>
      <c r="E2332" s="116">
        <v>109.284130593276</v>
      </c>
      <c r="F2332" s="116">
        <v>114.6</v>
      </c>
      <c r="G2332">
        <v>440859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45442</v>
      </c>
      <c r="B2333" s="116">
        <v>120.212543652604</v>
      </c>
      <c r="C2333" s="116">
        <v>115.461059713765</v>
      </c>
      <c r="D2333" s="116">
        <v>114.98591131988201</v>
      </c>
      <c r="E2333" s="116">
        <v>118.787098470952</v>
      </c>
      <c r="F2333" s="116">
        <v>121.5</v>
      </c>
      <c r="G2333">
        <v>2840931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45443</v>
      </c>
      <c r="B2334" s="116">
        <v>118.739583631564</v>
      </c>
      <c r="C2334" s="116">
        <v>115.698633910707</v>
      </c>
      <c r="D2334" s="116">
        <v>115.413544874377</v>
      </c>
      <c r="E2334" s="116">
        <v>117.78928684379601</v>
      </c>
      <c r="F2334" s="116">
        <v>121.75</v>
      </c>
      <c r="G2334">
        <v>873713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45446</v>
      </c>
      <c r="B2335" s="116">
        <v>122.493255943246</v>
      </c>
      <c r="C2335" s="116">
        <v>119.357276543613</v>
      </c>
      <c r="D2335" s="116">
        <v>116.45887134092099</v>
      </c>
      <c r="E2335" s="116">
        <v>122.493255943246</v>
      </c>
      <c r="F2335" s="116">
        <v>125.6</v>
      </c>
      <c r="G2335">
        <v>1780286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45447</v>
      </c>
      <c r="B2336" s="116">
        <v>119.73739525872</v>
      </c>
      <c r="C2336" s="116">
        <v>109.901823505325</v>
      </c>
      <c r="D2336" s="116">
        <v>100.778974342756</v>
      </c>
      <c r="E2336" s="116">
        <v>119.73739525872</v>
      </c>
      <c r="F2336" s="116">
        <v>115.65</v>
      </c>
      <c r="G2336">
        <v>2218086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45448</v>
      </c>
      <c r="B2337" s="116">
        <v>114.035614532114</v>
      </c>
      <c r="C2337" s="116">
        <v>113.84555517456</v>
      </c>
      <c r="D2337" s="116">
        <v>104.532646654438</v>
      </c>
      <c r="E2337" s="116">
        <v>110.234427381044</v>
      </c>
      <c r="F2337" s="116">
        <v>119.8</v>
      </c>
      <c r="G2337">
        <v>914611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45449</v>
      </c>
      <c r="B2338" s="116">
        <v>118.54952427401</v>
      </c>
      <c r="C2338" s="116">
        <v>117.694257165019</v>
      </c>
      <c r="D2338" s="116">
        <v>114.938396480493</v>
      </c>
      <c r="E2338" s="116">
        <v>115.88869326826099</v>
      </c>
      <c r="F2338" s="116">
        <v>123.85</v>
      </c>
      <c r="G2338">
        <v>1006832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45450</v>
      </c>
      <c r="B2339" s="116">
        <v>119.642365579943</v>
      </c>
      <c r="C2339" s="116">
        <v>116.696445537863</v>
      </c>
      <c r="D2339" s="116">
        <v>116.41135650153301</v>
      </c>
      <c r="E2339" s="116">
        <v>117.83680168318401</v>
      </c>
      <c r="F2339" s="116">
        <v>122.8</v>
      </c>
      <c r="G2339">
        <v>665980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45453</v>
      </c>
      <c r="B2340" s="116">
        <v>119.54733590116599</v>
      </c>
      <c r="C2340" s="116">
        <v>117.31413844991199</v>
      </c>
      <c r="D2340" s="116">
        <v>116.886504895417</v>
      </c>
      <c r="E2340" s="116">
        <v>117.599227486243</v>
      </c>
      <c r="F2340" s="116">
        <v>123.45</v>
      </c>
      <c r="G2340">
        <v>502432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45454</v>
      </c>
      <c r="B2341" s="116">
        <v>119.16721718605901</v>
      </c>
      <c r="C2341" s="116">
        <v>117.21910877113601</v>
      </c>
      <c r="D2341" s="116">
        <v>116.316326822756</v>
      </c>
      <c r="E2341" s="116">
        <v>117.83680168318401</v>
      </c>
      <c r="F2341" s="116">
        <v>123.35</v>
      </c>
      <c r="G2341">
        <v>700478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45455</v>
      </c>
      <c r="B2342" s="116">
        <v>129.76302636966801</v>
      </c>
      <c r="C2342" s="116">
        <v>127.57734375780301</v>
      </c>
      <c r="D2342" s="116">
        <v>117.361653289301</v>
      </c>
      <c r="E2342" s="116">
        <v>117.646742325631</v>
      </c>
      <c r="F2342" s="116">
        <v>134.25</v>
      </c>
      <c r="G2342">
        <v>3762188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45456</v>
      </c>
      <c r="B2343" s="116">
        <v>136.842737438537</v>
      </c>
      <c r="C2343" s="116">
        <v>134.13439159339899</v>
      </c>
      <c r="D2343" s="116">
        <v>131.14095671193101</v>
      </c>
      <c r="E2343" s="116">
        <v>131.521075427038</v>
      </c>
      <c r="F2343" s="116">
        <v>141.15</v>
      </c>
      <c r="G2343">
        <v>3049682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45457</v>
      </c>
      <c r="B2344" s="116">
        <v>159.64986034495999</v>
      </c>
      <c r="C2344" s="116">
        <v>155.753643515112</v>
      </c>
      <c r="D2344" s="116">
        <v>135.892440650769</v>
      </c>
      <c r="E2344" s="116">
        <v>136.36758904465299</v>
      </c>
      <c r="F2344" s="116">
        <v>163.9</v>
      </c>
      <c r="G2344">
        <v>7061726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45461</v>
      </c>
      <c r="B2345" s="116">
        <v>175.80490573700899</v>
      </c>
      <c r="C2345" s="116">
        <v>174.331945715969</v>
      </c>
      <c r="D2345" s="116">
        <v>159.459800987406</v>
      </c>
      <c r="E2345" s="116">
        <v>159.64986034495999</v>
      </c>
      <c r="F2345" s="116">
        <v>183.45</v>
      </c>
      <c r="G2345">
        <v>5923494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45462</v>
      </c>
      <c r="B2346" s="116">
        <v>184.35757682691801</v>
      </c>
      <c r="C2346" s="116">
        <v>171.43354051327799</v>
      </c>
      <c r="D2346" s="116">
        <v>156.98902933920999</v>
      </c>
      <c r="E2346" s="116">
        <v>183.787398754257</v>
      </c>
      <c r="F2346" s="116">
        <v>180.4</v>
      </c>
      <c r="G2346">
        <v>5403503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45463</v>
      </c>
      <c r="B2347" s="116">
        <v>172.954015373706</v>
      </c>
      <c r="C2347" s="116">
        <v>165.87430430483801</v>
      </c>
      <c r="D2347" s="116">
        <v>161.55045392049499</v>
      </c>
      <c r="E2347" s="116">
        <v>171.053421798171</v>
      </c>
      <c r="F2347" s="116">
        <v>174.55</v>
      </c>
      <c r="G2347">
        <v>1876685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45464</v>
      </c>
      <c r="B2348" s="116">
        <v>172.954015373706</v>
      </c>
      <c r="C2348" s="116">
        <v>170.34069920734501</v>
      </c>
      <c r="D2348" s="116">
        <v>164.40134428379801</v>
      </c>
      <c r="E2348" s="116">
        <v>166.349452698721</v>
      </c>
      <c r="F2348" s="116">
        <v>179.25</v>
      </c>
      <c r="G2348">
        <v>1872265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45467</v>
      </c>
      <c r="B2349" s="116">
        <v>172.954015373706</v>
      </c>
      <c r="C2349" s="116">
        <v>171.67111471022</v>
      </c>
      <c r="D2349" s="116">
        <v>167.72738304098399</v>
      </c>
      <c r="E2349" s="116">
        <v>170.86336244061701</v>
      </c>
      <c r="F2349" s="116">
        <v>180.65</v>
      </c>
      <c r="G2349">
        <v>1297756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45468</v>
      </c>
      <c r="B2350" s="116">
        <v>172.954015373706</v>
      </c>
      <c r="C2350" s="116">
        <v>168.20253143486801</v>
      </c>
      <c r="D2350" s="116">
        <v>167.25223464710101</v>
      </c>
      <c r="E2350" s="116">
        <v>171.053421798171</v>
      </c>
      <c r="F2350" s="116">
        <v>177</v>
      </c>
      <c r="G2350">
        <v>877819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45469</v>
      </c>
      <c r="B2351" s="116">
        <v>169.62797661651999</v>
      </c>
      <c r="C2351" s="116">
        <v>163.64110685358401</v>
      </c>
      <c r="D2351" s="116">
        <v>161.64548359927201</v>
      </c>
      <c r="E2351" s="116">
        <v>168.67767982875199</v>
      </c>
      <c r="F2351" s="116">
        <v>172.2</v>
      </c>
      <c r="G2351">
        <v>997384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45470</v>
      </c>
      <c r="B2352" s="116">
        <v>168.915254025694</v>
      </c>
      <c r="C2352" s="116">
        <v>158.74707839658001</v>
      </c>
      <c r="D2352" s="116">
        <v>156.798969981657</v>
      </c>
      <c r="E2352" s="116">
        <v>163.45104749602999</v>
      </c>
      <c r="F2352" s="116">
        <v>167.05</v>
      </c>
      <c r="G2352">
        <v>1251524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45471</v>
      </c>
      <c r="B2353" s="116">
        <v>166.30193785933301</v>
      </c>
      <c r="C2353" s="116">
        <v>163.97371072930201</v>
      </c>
      <c r="D2353" s="116">
        <v>159.64986034495999</v>
      </c>
      <c r="E2353" s="116">
        <v>159.64986034495999</v>
      </c>
      <c r="F2353" s="116">
        <v>172.55</v>
      </c>
      <c r="G2353">
        <v>919240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45474</v>
      </c>
      <c r="B2354" s="116">
        <v>176.28005413089301</v>
      </c>
      <c r="C2354" s="116">
        <v>175.614846379456</v>
      </c>
      <c r="D2354" s="116">
        <v>166.349452698721</v>
      </c>
      <c r="E2354" s="116">
        <v>166.349452698721</v>
      </c>
      <c r="F2354" s="116">
        <v>184.8</v>
      </c>
      <c r="G2354">
        <v>2880130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45475</v>
      </c>
      <c r="B2355" s="116">
        <v>180.081241281963</v>
      </c>
      <c r="C2355" s="116">
        <v>175.32975734312501</v>
      </c>
      <c r="D2355" s="116">
        <v>172.003718585939</v>
      </c>
      <c r="E2355" s="116">
        <v>179.986211603187</v>
      </c>
      <c r="F2355" s="116">
        <v>184.5</v>
      </c>
      <c r="G2355">
        <v>1886480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45476</v>
      </c>
      <c r="B2356" s="116">
        <v>179.60609288808001</v>
      </c>
      <c r="C2356" s="116">
        <v>176.66017284599999</v>
      </c>
      <c r="D2356" s="116">
        <v>174.854608949241</v>
      </c>
      <c r="E2356" s="116">
        <v>177.04029156110701</v>
      </c>
      <c r="F2356" s="116">
        <v>185.9</v>
      </c>
      <c r="G2356">
        <v>1257390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45477</v>
      </c>
      <c r="B2357" s="116">
        <v>179.60609288808001</v>
      </c>
      <c r="C2357" s="116">
        <v>175.66236121884401</v>
      </c>
      <c r="D2357" s="116">
        <v>173.33413408881299</v>
      </c>
      <c r="E2357" s="116">
        <v>178.608281260924</v>
      </c>
      <c r="F2357" s="116">
        <v>184.85</v>
      </c>
      <c r="G2357">
        <v>1004052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45478</v>
      </c>
      <c r="B2358" s="116">
        <v>179.60609288808001</v>
      </c>
      <c r="C2358" s="116">
        <v>178.7033109397</v>
      </c>
      <c r="D2358" s="116">
        <v>173.19158957064801</v>
      </c>
      <c r="E2358" s="116">
        <v>176.75520252477699</v>
      </c>
      <c r="F2358" s="116">
        <v>188.05</v>
      </c>
      <c r="G2358">
        <v>1395712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45481</v>
      </c>
      <c r="B2359" s="116">
        <v>196.568890549732</v>
      </c>
      <c r="C2359" s="116">
        <v>195.95119763768301</v>
      </c>
      <c r="D2359" s="116">
        <v>179.60609288808001</v>
      </c>
      <c r="E2359" s="116">
        <v>181.50668646361501</v>
      </c>
      <c r="F2359" s="116">
        <v>206.2</v>
      </c>
      <c r="G2359">
        <v>3887197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45482</v>
      </c>
      <c r="B2360" s="116">
        <v>212.67642110239299</v>
      </c>
      <c r="C2360" s="116">
        <v>203.69611645798901</v>
      </c>
      <c r="D2360" s="116">
        <v>195.95119763768301</v>
      </c>
      <c r="E2360" s="116">
        <v>196.71143506789701</v>
      </c>
      <c r="F2360" s="116">
        <v>214.35</v>
      </c>
      <c r="G2360">
        <v>4782456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45483</v>
      </c>
      <c r="B2361" s="116">
        <v>207.87742232416599</v>
      </c>
      <c r="C2361" s="116">
        <v>196.71143506789701</v>
      </c>
      <c r="D2361" s="116">
        <v>184.310061987529</v>
      </c>
      <c r="E2361" s="116">
        <v>206.214402945573</v>
      </c>
      <c r="F2361" s="116">
        <v>207</v>
      </c>
      <c r="G2361">
        <v>3595433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45484</v>
      </c>
      <c r="B2362" s="116">
        <v>198.992147358539</v>
      </c>
      <c r="C2362" s="116">
        <v>195.42853440440999</v>
      </c>
      <c r="D2362" s="116">
        <v>192.91024791682599</v>
      </c>
      <c r="E2362" s="116">
        <v>198.61202864343201</v>
      </c>
      <c r="F2362" s="116">
        <v>205.65</v>
      </c>
      <c r="G2362">
        <v>1360992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45485</v>
      </c>
      <c r="B2363" s="116">
        <v>200.51262221896701</v>
      </c>
      <c r="C2363" s="116">
        <v>199.13469187670401</v>
      </c>
      <c r="D2363" s="116">
        <v>196.52137571034299</v>
      </c>
      <c r="E2363" s="116">
        <v>196.71143506789701</v>
      </c>
      <c r="F2363" s="116">
        <v>209.55</v>
      </c>
      <c r="G2363">
        <v>1343029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45488</v>
      </c>
      <c r="B2364" s="116">
        <v>201.652978364288</v>
      </c>
      <c r="C2364" s="116">
        <v>197.89930605260599</v>
      </c>
      <c r="D2364" s="116">
        <v>195.09593052869201</v>
      </c>
      <c r="E2364" s="116">
        <v>200.51262221896701</v>
      </c>
      <c r="F2364" s="116">
        <v>208.25</v>
      </c>
      <c r="G2364">
        <v>1136345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45489</v>
      </c>
      <c r="B2365" s="116">
        <v>201.27285964918099</v>
      </c>
      <c r="C2365" s="116">
        <v>196.663920228508</v>
      </c>
      <c r="D2365" s="116">
        <v>194.81084149236099</v>
      </c>
      <c r="E2365" s="116">
        <v>198.564513804044</v>
      </c>
      <c r="F2365" s="116">
        <v>206.95</v>
      </c>
      <c r="G2365">
        <v>924468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45491</v>
      </c>
      <c r="B2366" s="116">
        <v>198.61202864343201</v>
      </c>
      <c r="C2366" s="116">
        <v>189.67923883841601</v>
      </c>
      <c r="D2366" s="116">
        <v>183.69236907548</v>
      </c>
      <c r="E2366" s="116">
        <v>197.281613140557</v>
      </c>
      <c r="F2366" s="116">
        <v>199.6</v>
      </c>
      <c r="G2366">
        <v>1674133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45492</v>
      </c>
      <c r="B2367" s="116">
        <v>195.28598988624501</v>
      </c>
      <c r="C2367" s="116">
        <v>173.66673796453199</v>
      </c>
      <c r="D2367" s="116">
        <v>170.720817922452</v>
      </c>
      <c r="E2367" s="116">
        <v>189.109060765756</v>
      </c>
      <c r="F2367" s="116">
        <v>182.75</v>
      </c>
      <c r="G2367">
        <v>5413011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45495</v>
      </c>
      <c r="B2368" s="116">
        <v>191.009654341291</v>
      </c>
      <c r="C2368" s="116">
        <v>189.58420915964001</v>
      </c>
      <c r="D2368" s="116">
        <v>159.64986034495999</v>
      </c>
      <c r="E2368" s="116">
        <v>170.530758564899</v>
      </c>
      <c r="F2368" s="116">
        <v>199.5</v>
      </c>
      <c r="G2368">
        <v>2710880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45496</v>
      </c>
      <c r="B2369" s="116">
        <v>198.61202864343201</v>
      </c>
      <c r="C2369" s="116">
        <v>191.34225821701</v>
      </c>
      <c r="D2369" s="116">
        <v>172.14626310410401</v>
      </c>
      <c r="E2369" s="116">
        <v>197.37664281933399</v>
      </c>
      <c r="F2369" s="116">
        <v>201.35</v>
      </c>
      <c r="G2369">
        <v>2716282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45497</v>
      </c>
      <c r="B2370" s="116">
        <v>196.426346031566</v>
      </c>
      <c r="C2370" s="116">
        <v>190.24941691107699</v>
      </c>
      <c r="D2370" s="116">
        <v>187.20846719022001</v>
      </c>
      <c r="E2370" s="116">
        <v>191.95995112905899</v>
      </c>
      <c r="F2370" s="116">
        <v>200.2</v>
      </c>
      <c r="G2370">
        <v>825559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45498</v>
      </c>
      <c r="B2371" s="116">
        <v>190.059357553523</v>
      </c>
      <c r="C2371" s="116">
        <v>187.49355622655099</v>
      </c>
      <c r="D2371" s="116">
        <v>181.50668646361501</v>
      </c>
      <c r="E2371" s="116">
        <v>188.158763977988</v>
      </c>
      <c r="F2371" s="116">
        <v>197.3</v>
      </c>
      <c r="G2371">
        <v>768355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45499</v>
      </c>
      <c r="B2372" s="116">
        <v>194.620782134808</v>
      </c>
      <c r="C2372" s="116">
        <v>189.48917948086299</v>
      </c>
      <c r="D2372" s="116">
        <v>188.72894205064901</v>
      </c>
      <c r="E2372" s="116">
        <v>191.38977305639801</v>
      </c>
      <c r="F2372" s="116">
        <v>199.4</v>
      </c>
      <c r="G2372">
        <v>774225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45502</v>
      </c>
      <c r="B2373" s="116">
        <v>195.76113828012899</v>
      </c>
      <c r="C2373" s="116">
        <v>189.72675367780499</v>
      </c>
      <c r="D2373" s="116">
        <v>187.303496868997</v>
      </c>
      <c r="E2373" s="116">
        <v>190.059357553523</v>
      </c>
      <c r="F2373" s="116">
        <v>199.65</v>
      </c>
      <c r="G2373">
        <v>1193487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45503</v>
      </c>
      <c r="B2374" s="116">
        <v>201.93806740061899</v>
      </c>
      <c r="C2374" s="116">
        <v>200.41759254018999</v>
      </c>
      <c r="D2374" s="116">
        <v>190.96213950190301</v>
      </c>
      <c r="E2374" s="116">
        <v>191.009654341291</v>
      </c>
      <c r="F2374" s="116">
        <v>210.9</v>
      </c>
      <c r="G2374">
        <v>2244883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45504</v>
      </c>
      <c r="B2375" s="116">
        <v>201.46291900673501</v>
      </c>
      <c r="C2375" s="116">
        <v>194.24066341970101</v>
      </c>
      <c r="D2375" s="116">
        <v>193.86054470459399</v>
      </c>
      <c r="E2375" s="116">
        <v>201.46291900673501</v>
      </c>
      <c r="F2375" s="116">
        <v>204.4</v>
      </c>
      <c r="G2375">
        <v>590832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45505</v>
      </c>
      <c r="B2376" s="116">
        <v>195.61859376196401</v>
      </c>
      <c r="C2376" s="116">
        <v>189.15657560514401</v>
      </c>
      <c r="D2376" s="116">
        <v>186.780833635725</v>
      </c>
      <c r="E2376" s="116">
        <v>195.19096020746801</v>
      </c>
      <c r="F2376" s="116">
        <v>199.05</v>
      </c>
      <c r="G2376">
        <v>667377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45506</v>
      </c>
      <c r="B2377" s="116">
        <v>190.059357553523</v>
      </c>
      <c r="C2377" s="116">
        <v>187.96870462043501</v>
      </c>
      <c r="D2377" s="116">
        <v>183.40728003915001</v>
      </c>
      <c r="E2377" s="116">
        <v>185.497932972239</v>
      </c>
      <c r="F2377" s="116">
        <v>197.8</v>
      </c>
      <c r="G2377">
        <v>375015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45509</v>
      </c>
      <c r="B2378" s="116">
        <v>182.409468411994</v>
      </c>
      <c r="C2378" s="116">
        <v>176.70768768538801</v>
      </c>
      <c r="D2378" s="116">
        <v>173.19158957064801</v>
      </c>
      <c r="E2378" s="116">
        <v>178.608281260924</v>
      </c>
      <c r="F2378" s="116">
        <v>185.95</v>
      </c>
      <c r="G2378">
        <v>671571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45510</v>
      </c>
      <c r="B2379" s="116">
        <v>184.45260650569401</v>
      </c>
      <c r="C2379" s="116">
        <v>174.37946055535801</v>
      </c>
      <c r="D2379" s="116">
        <v>171.10093663755899</v>
      </c>
      <c r="E2379" s="116">
        <v>177.04029156110701</v>
      </c>
      <c r="F2379" s="116">
        <v>183.5</v>
      </c>
      <c r="G2379">
        <v>627987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45511</v>
      </c>
      <c r="B2380" s="116">
        <v>183.97745811181099</v>
      </c>
      <c r="C2380" s="116">
        <v>182.076864536275</v>
      </c>
      <c r="D2380" s="116">
        <v>175.80490573700899</v>
      </c>
      <c r="E2380" s="116">
        <v>179.986211603187</v>
      </c>
      <c r="F2380" s="116">
        <v>191.6</v>
      </c>
      <c r="G2380">
        <v>333251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45512</v>
      </c>
      <c r="B2381" s="116">
        <v>182.45698325138201</v>
      </c>
      <c r="C2381" s="116">
        <v>179.653607727468</v>
      </c>
      <c r="D2381" s="116">
        <v>178.89337029725399</v>
      </c>
      <c r="E2381" s="116">
        <v>182.26692389382899</v>
      </c>
      <c r="F2381" s="116">
        <v>189.05</v>
      </c>
      <c r="G2381">
        <v>264867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45513</v>
      </c>
      <c r="B2382" s="116">
        <v>182.219409054441</v>
      </c>
      <c r="C2382" s="116">
        <v>177.65798447315601</v>
      </c>
      <c r="D2382" s="116">
        <v>175.80490573700899</v>
      </c>
      <c r="E2382" s="116">
        <v>181.17408258789601</v>
      </c>
      <c r="F2382" s="116">
        <v>186.95</v>
      </c>
      <c r="G2382">
        <v>231206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45516</v>
      </c>
      <c r="B2383" s="116">
        <v>186.258170402453</v>
      </c>
      <c r="C2383" s="116">
        <v>182.88461680587801</v>
      </c>
      <c r="D2383" s="116">
        <v>171.52857019205501</v>
      </c>
      <c r="E2383" s="116">
        <v>175.75739089762101</v>
      </c>
      <c r="F2383" s="116">
        <v>192.45</v>
      </c>
      <c r="G2383">
        <v>657492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45517</v>
      </c>
      <c r="B2384" s="116">
        <v>184.16751746936399</v>
      </c>
      <c r="C2384" s="116">
        <v>175.092183146183</v>
      </c>
      <c r="D2384" s="116">
        <v>173.95182700086201</v>
      </c>
      <c r="E2384" s="116">
        <v>182.26692389382899</v>
      </c>
      <c r="F2384" s="116">
        <v>184.25</v>
      </c>
      <c r="G2384">
        <v>401771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45518</v>
      </c>
      <c r="B2385" s="116">
        <v>175.04466830679499</v>
      </c>
      <c r="C2385" s="116">
        <v>169.53294693774299</v>
      </c>
      <c r="D2385" s="116">
        <v>167.774897880373</v>
      </c>
      <c r="E2385" s="116">
        <v>175.04466830679499</v>
      </c>
      <c r="F2385" s="116">
        <v>178.4</v>
      </c>
      <c r="G2385">
        <v>313197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45520</v>
      </c>
      <c r="B2386" s="116">
        <v>174.56951991291101</v>
      </c>
      <c r="C2386" s="116">
        <v>170.15063984979199</v>
      </c>
      <c r="D2386" s="116">
        <v>168.297561113645</v>
      </c>
      <c r="E2386" s="116">
        <v>173.00153021309501</v>
      </c>
      <c r="F2386" s="116">
        <v>179.05</v>
      </c>
      <c r="G2386">
        <v>312356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45523</v>
      </c>
      <c r="B2387" s="116">
        <v>174.331945715969</v>
      </c>
      <c r="C2387" s="116">
        <v>172.57389665859901</v>
      </c>
      <c r="D2387" s="116">
        <v>170.19815468918</v>
      </c>
      <c r="E2387" s="116">
        <v>170.19815468918</v>
      </c>
      <c r="F2387" s="116">
        <v>181.6</v>
      </c>
      <c r="G2387">
        <v>144335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45524</v>
      </c>
      <c r="B2388" s="116">
        <v>179.27348901236101</v>
      </c>
      <c r="C2388" s="116">
        <v>174.141886358416</v>
      </c>
      <c r="D2388" s="116">
        <v>172.19377794349199</v>
      </c>
      <c r="E2388" s="116">
        <v>175.519816700679</v>
      </c>
      <c r="F2388" s="116">
        <v>183.25</v>
      </c>
      <c r="G2388">
        <v>292336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45525</v>
      </c>
      <c r="B2389" s="116">
        <v>181.459171624226</v>
      </c>
      <c r="C2389" s="116">
        <v>176.70768768538801</v>
      </c>
      <c r="D2389" s="116">
        <v>171.52857019205501</v>
      </c>
      <c r="E2389" s="116">
        <v>173.476678606978</v>
      </c>
      <c r="F2389" s="116">
        <v>185.95</v>
      </c>
      <c r="G2389">
        <v>605316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45526</v>
      </c>
      <c r="B2390" s="116">
        <v>185.02278457835499</v>
      </c>
      <c r="C2390" s="116">
        <v>181.554201303003</v>
      </c>
      <c r="D2390" s="116">
        <v>176.992776721719</v>
      </c>
      <c r="E2390" s="116">
        <v>176.992776721719</v>
      </c>
      <c r="F2390" s="116">
        <v>191.05</v>
      </c>
      <c r="G2390">
        <v>444523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45527</v>
      </c>
      <c r="B2391" s="116">
        <v>183.54982455731499</v>
      </c>
      <c r="C2391" s="116">
        <v>177.99058834887501</v>
      </c>
      <c r="D2391" s="116">
        <v>177.230350918661</v>
      </c>
      <c r="E2391" s="116">
        <v>182.12437937566401</v>
      </c>
      <c r="F2391" s="116">
        <v>187.3</v>
      </c>
      <c r="G2391">
        <v>167836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45530</v>
      </c>
      <c r="B2392" s="116">
        <v>179.41603353052599</v>
      </c>
      <c r="C2392" s="116">
        <v>175.66236121884401</v>
      </c>
      <c r="D2392" s="116">
        <v>174.90212378863001</v>
      </c>
      <c r="E2392" s="116">
        <v>178.608281260924</v>
      </c>
      <c r="F2392" s="116">
        <v>184.85</v>
      </c>
      <c r="G2392">
        <v>127558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45531</v>
      </c>
      <c r="B2393" s="116">
        <v>177.70549931254399</v>
      </c>
      <c r="C2393" s="116">
        <v>175.614846379456</v>
      </c>
      <c r="D2393" s="116">
        <v>173.99934184025099</v>
      </c>
      <c r="E2393" s="116">
        <v>176.37508380967</v>
      </c>
      <c r="F2393" s="116">
        <v>184.8</v>
      </c>
      <c r="G2393">
        <v>128459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45532</v>
      </c>
      <c r="B2394" s="116">
        <v>177.70549931254399</v>
      </c>
      <c r="C2394" s="116">
        <v>172.66892633737601</v>
      </c>
      <c r="D2394" s="116">
        <v>172.003718585939</v>
      </c>
      <c r="E2394" s="116">
        <v>174.42697539474599</v>
      </c>
      <c r="F2394" s="116">
        <v>181.7</v>
      </c>
      <c r="G2394">
        <v>219497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45533</v>
      </c>
      <c r="B2395" s="116">
        <v>174.854608949241</v>
      </c>
      <c r="C2395" s="116">
        <v>167.964957237926</v>
      </c>
      <c r="D2395" s="116">
        <v>166.68205657444</v>
      </c>
      <c r="E2395" s="116">
        <v>174.759579270465</v>
      </c>
      <c r="F2395" s="116">
        <v>176.75</v>
      </c>
      <c r="G2395">
        <v>190769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45534</v>
      </c>
      <c r="B2396" s="116">
        <v>171.38602567389</v>
      </c>
      <c r="C2396" s="116">
        <v>168.86773918630499</v>
      </c>
      <c r="D2396" s="116">
        <v>167.39477916526599</v>
      </c>
      <c r="E2396" s="116">
        <v>168.15501659547999</v>
      </c>
      <c r="F2396" s="116">
        <v>177.7</v>
      </c>
      <c r="G2396">
        <v>202710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45537</v>
      </c>
      <c r="B2397" s="116">
        <v>170.19815468918</v>
      </c>
      <c r="C2397" s="116">
        <v>164.258799765633</v>
      </c>
      <c r="D2397" s="116">
        <v>163.45104749602999</v>
      </c>
      <c r="E2397" s="116">
        <v>169.62797661651999</v>
      </c>
      <c r="F2397" s="116">
        <v>172.85</v>
      </c>
      <c r="G2397">
        <v>305564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45538</v>
      </c>
      <c r="B2398" s="116">
        <v>169.152828222636</v>
      </c>
      <c r="C2398" s="116">
        <v>165.25661139278901</v>
      </c>
      <c r="D2398" s="116">
        <v>163.54607717480701</v>
      </c>
      <c r="E2398" s="116">
        <v>163.97371072930201</v>
      </c>
      <c r="F2398" s="116">
        <v>173.9</v>
      </c>
      <c r="G2398">
        <v>238471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45539</v>
      </c>
      <c r="B2399" s="116">
        <v>165.11406687462301</v>
      </c>
      <c r="C2399" s="116">
        <v>162.50075070826199</v>
      </c>
      <c r="D2399" s="116">
        <v>161.075305526611</v>
      </c>
      <c r="E2399" s="116">
        <v>162.738324905204</v>
      </c>
      <c r="F2399" s="116">
        <v>171</v>
      </c>
      <c r="G2399">
        <v>178754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45540</v>
      </c>
      <c r="B2400" s="116">
        <v>169.10531338324699</v>
      </c>
      <c r="C2400" s="116">
        <v>166.68205657444</v>
      </c>
      <c r="D2400" s="116">
        <v>164.02122556869099</v>
      </c>
      <c r="E2400" s="116">
        <v>167.82241271976099</v>
      </c>
      <c r="F2400" s="116">
        <v>175.4</v>
      </c>
      <c r="G2400">
        <v>131560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45541</v>
      </c>
      <c r="B2401" s="116">
        <v>168.15501659547999</v>
      </c>
      <c r="C2401" s="116">
        <v>164.02122556869099</v>
      </c>
      <c r="D2401" s="116">
        <v>163.45104749602999</v>
      </c>
      <c r="E2401" s="116">
        <v>166.77708625321699</v>
      </c>
      <c r="F2401" s="116">
        <v>172.6</v>
      </c>
      <c r="G2401">
        <v>98734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45544</v>
      </c>
      <c r="B2402" s="116">
        <v>163.11844362031101</v>
      </c>
      <c r="C2402" s="116">
        <v>158.65204871780401</v>
      </c>
      <c r="D2402" s="116">
        <v>157.749266769424</v>
      </c>
      <c r="E2402" s="116">
        <v>161.78802811743699</v>
      </c>
      <c r="F2402" s="116">
        <v>166.95</v>
      </c>
      <c r="G2402">
        <v>333532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45545</v>
      </c>
      <c r="B2403" s="116">
        <v>165.87430430483801</v>
      </c>
      <c r="C2403" s="116">
        <v>161.74051327804801</v>
      </c>
      <c r="D2403" s="116">
        <v>159.269741629853</v>
      </c>
      <c r="E2403" s="116">
        <v>159.64986034495999</v>
      </c>
      <c r="F2403" s="116">
        <v>170.2</v>
      </c>
      <c r="G2403">
        <v>203146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45546</v>
      </c>
      <c r="B2404" s="116">
        <v>166.919630771382</v>
      </c>
      <c r="C2404" s="116">
        <v>163.35601781725299</v>
      </c>
      <c r="D2404" s="116">
        <v>161.74051327804801</v>
      </c>
      <c r="E2404" s="116">
        <v>163.11844362031101</v>
      </c>
      <c r="F2404" s="116">
        <v>171.9</v>
      </c>
      <c r="G2404">
        <v>182663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45547</v>
      </c>
      <c r="B2405" s="116">
        <v>165.25661139278901</v>
      </c>
      <c r="C2405" s="116">
        <v>162.26317651132101</v>
      </c>
      <c r="D2405" s="116">
        <v>160.07749389945499</v>
      </c>
      <c r="E2405" s="116">
        <v>164.87649267768199</v>
      </c>
      <c r="F2405" s="116">
        <v>170.75</v>
      </c>
      <c r="G2405">
        <v>85380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45548</v>
      </c>
      <c r="B2406" s="116">
        <v>163.16595845969999</v>
      </c>
      <c r="C2406" s="116">
        <v>160.26755325700901</v>
      </c>
      <c r="D2406" s="116">
        <v>159.64986034495999</v>
      </c>
      <c r="E2406" s="116">
        <v>159.64986034495999</v>
      </c>
      <c r="F2406" s="116">
        <v>168.65</v>
      </c>
      <c r="G2406">
        <v>211031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45551</v>
      </c>
      <c r="B2407" s="116">
        <v>163.21347329908801</v>
      </c>
      <c r="C2407" s="116">
        <v>160.07749389945499</v>
      </c>
      <c r="D2407" s="116">
        <v>159.127197111687</v>
      </c>
      <c r="E2407" s="116">
        <v>160.60015713272699</v>
      </c>
      <c r="F2407" s="116">
        <v>168.45</v>
      </c>
      <c r="G2407">
        <v>190649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45552</v>
      </c>
      <c r="B2408" s="116">
        <v>164.40134428379801</v>
      </c>
      <c r="C2408" s="116">
        <v>161.170335205388</v>
      </c>
      <c r="D2408" s="116">
        <v>158.69956355719199</v>
      </c>
      <c r="E2408" s="116">
        <v>159.22222679046399</v>
      </c>
      <c r="F2408" s="116">
        <v>169.6</v>
      </c>
      <c r="G2408">
        <v>203116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45553</v>
      </c>
      <c r="B2409" s="116">
        <v>174.854608949241</v>
      </c>
      <c r="C2409" s="116">
        <v>164.163770086856</v>
      </c>
      <c r="D2409" s="116">
        <v>161.64548359927201</v>
      </c>
      <c r="E2409" s="116">
        <v>165.96933398361401</v>
      </c>
      <c r="F2409" s="116">
        <v>172.75</v>
      </c>
      <c r="G2409">
        <v>893075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45554</v>
      </c>
      <c r="B2410" s="116">
        <v>169.247857901413</v>
      </c>
      <c r="C2410" s="116">
        <v>161.78802811743699</v>
      </c>
      <c r="D2410" s="116">
        <v>158.842108075357</v>
      </c>
      <c r="E2410" s="116">
        <v>166.25442301994499</v>
      </c>
      <c r="F2410" s="116">
        <v>170.25</v>
      </c>
      <c r="G2410">
        <v>334311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45555</v>
      </c>
      <c r="B2411" s="116">
        <v>166.30193785933301</v>
      </c>
      <c r="C2411" s="116">
        <v>163.593592014195</v>
      </c>
      <c r="D2411" s="116">
        <v>161.12282036599899</v>
      </c>
      <c r="E2411" s="116">
        <v>162.78583974459301</v>
      </c>
      <c r="F2411" s="116">
        <v>172.15</v>
      </c>
      <c r="G2411">
        <v>155712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45558</v>
      </c>
      <c r="B2412" s="116">
        <v>165.304126232177</v>
      </c>
      <c r="C2412" s="116">
        <v>163.498562335418</v>
      </c>
      <c r="D2412" s="116">
        <v>163.070928780923</v>
      </c>
      <c r="E2412" s="116">
        <v>165.2090965534</v>
      </c>
      <c r="F2412" s="116">
        <v>172.05</v>
      </c>
      <c r="G2412">
        <v>66740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45559</v>
      </c>
      <c r="B2413" s="116">
        <v>165.39915591095399</v>
      </c>
      <c r="C2413" s="116">
        <v>163.54607717480701</v>
      </c>
      <c r="D2413" s="116">
        <v>161.55045392049499</v>
      </c>
      <c r="E2413" s="116">
        <v>163.926195889914</v>
      </c>
      <c r="F2413" s="116">
        <v>172.1</v>
      </c>
      <c r="G2413">
        <v>95367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45560</v>
      </c>
      <c r="B2414" s="116">
        <v>169.48543209835401</v>
      </c>
      <c r="C2414" s="116">
        <v>167.34726432587701</v>
      </c>
      <c r="D2414" s="116">
        <v>160.647671972116</v>
      </c>
      <c r="E2414" s="116">
        <v>164.02122556869099</v>
      </c>
      <c r="F2414" s="116">
        <v>176.1</v>
      </c>
      <c r="G2414">
        <v>355331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45561</v>
      </c>
      <c r="B2415" s="116">
        <v>170.720817922452</v>
      </c>
      <c r="C2415" s="116">
        <v>164.116255247467</v>
      </c>
      <c r="D2415" s="116">
        <v>163.593592014195</v>
      </c>
      <c r="E2415" s="116">
        <v>170.720817922452</v>
      </c>
      <c r="F2415" s="116">
        <v>172.7</v>
      </c>
      <c r="G2415">
        <v>166632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45562</v>
      </c>
      <c r="B2416" s="116">
        <v>167.25223464710101</v>
      </c>
      <c r="C2416" s="116">
        <v>163.070928780923</v>
      </c>
      <c r="D2416" s="116">
        <v>162.59578038703901</v>
      </c>
      <c r="E2416" s="116">
        <v>164.21128492624399</v>
      </c>
      <c r="F2416" s="116">
        <v>171.6</v>
      </c>
      <c r="G2416">
        <v>112565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45565</v>
      </c>
      <c r="B2417" s="116">
        <v>183.40728003915001</v>
      </c>
      <c r="C2417" s="116">
        <v>174.71206443107599</v>
      </c>
      <c r="D2417" s="116">
        <v>167.34726432587701</v>
      </c>
      <c r="E2417" s="116">
        <v>167.34726432587701</v>
      </c>
      <c r="F2417" s="116">
        <v>183.85</v>
      </c>
      <c r="G2417">
        <v>1275701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45566</v>
      </c>
      <c r="B2418" s="116">
        <v>177.943073509486</v>
      </c>
      <c r="C2418" s="116">
        <v>173.619223125144</v>
      </c>
      <c r="D2418" s="116">
        <v>172.241292782881</v>
      </c>
      <c r="E2418" s="116">
        <v>173.95182700086201</v>
      </c>
      <c r="F2418" s="116">
        <v>182.7</v>
      </c>
      <c r="G2418">
        <v>148409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45568</v>
      </c>
      <c r="B2419" s="116">
        <v>173.619223125144</v>
      </c>
      <c r="C2419" s="116">
        <v>170.86336244061701</v>
      </c>
      <c r="D2419" s="116">
        <v>168.20253143486801</v>
      </c>
      <c r="E2419" s="116">
        <v>168.392590792422</v>
      </c>
      <c r="F2419" s="116">
        <v>179.8</v>
      </c>
      <c r="G2419">
        <v>351700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45569</v>
      </c>
      <c r="B2420" s="116">
        <v>173.809282482697</v>
      </c>
      <c r="C2420" s="116">
        <v>169.53294693774299</v>
      </c>
      <c r="D2420" s="116">
        <v>165.304126232177</v>
      </c>
      <c r="E2420" s="116">
        <v>170.24566952856901</v>
      </c>
      <c r="F2420" s="116">
        <v>178.4</v>
      </c>
      <c r="G2420">
        <v>268176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45572</v>
      </c>
      <c r="B2421" s="116">
        <v>191.009654341291</v>
      </c>
      <c r="C2421" s="116">
        <v>175.56733154006699</v>
      </c>
      <c r="D2421" s="116">
        <v>173.09655989187101</v>
      </c>
      <c r="E2421" s="116">
        <v>189.014031086979</v>
      </c>
      <c r="F2421" s="116">
        <v>184.75</v>
      </c>
      <c r="G2421">
        <v>1802588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45573</v>
      </c>
      <c r="B2422" s="116">
        <v>176.28005413089301</v>
      </c>
      <c r="C2422" s="116">
        <v>167.67986820159601</v>
      </c>
      <c r="D2422" s="116">
        <v>166.587026895663</v>
      </c>
      <c r="E2422" s="116">
        <v>175.56733154006699</v>
      </c>
      <c r="F2422" s="116">
        <v>176.45</v>
      </c>
      <c r="G2422">
        <v>487763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45574</v>
      </c>
      <c r="B2423" s="116">
        <v>179.70112256685599</v>
      </c>
      <c r="C2423" s="116">
        <v>172.431352140434</v>
      </c>
      <c r="D2423" s="116">
        <v>169.62797661651999</v>
      </c>
      <c r="E2423" s="116">
        <v>170.86336244061701</v>
      </c>
      <c r="F2423" s="116">
        <v>181.45</v>
      </c>
      <c r="G2423">
        <v>854581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45575</v>
      </c>
      <c r="B2424" s="116">
        <v>176.70768768538801</v>
      </c>
      <c r="C2424" s="116">
        <v>169.96058049223799</v>
      </c>
      <c r="D2424" s="116">
        <v>168.059986916703</v>
      </c>
      <c r="E2424" s="116">
        <v>173.904312161474</v>
      </c>
      <c r="F2424" s="116">
        <v>178.85</v>
      </c>
      <c r="G2424">
        <v>373856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45576</v>
      </c>
      <c r="B2425" s="116">
        <v>173.286619249425</v>
      </c>
      <c r="C2425" s="116">
        <v>168.96276886508201</v>
      </c>
      <c r="D2425" s="116">
        <v>168.20253143486801</v>
      </c>
      <c r="E2425" s="116">
        <v>171.053421798171</v>
      </c>
      <c r="F2425" s="116">
        <v>177.8</v>
      </c>
      <c r="G2425">
        <v>188683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45579</v>
      </c>
      <c r="B2426" s="116">
        <v>172.003718585939</v>
      </c>
      <c r="C2426" s="116">
        <v>166.39696753811</v>
      </c>
      <c r="D2426" s="116">
        <v>165.35164107156501</v>
      </c>
      <c r="E2426" s="116">
        <v>169.20034306202399</v>
      </c>
      <c r="F2426" s="116">
        <v>175.1</v>
      </c>
      <c r="G2426">
        <v>281692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45580</v>
      </c>
      <c r="B2427" s="116">
        <v>170.008095331627</v>
      </c>
      <c r="C2427" s="116">
        <v>167.25223464710101</v>
      </c>
      <c r="D2427" s="116">
        <v>166.72957141382801</v>
      </c>
      <c r="E2427" s="116">
        <v>167.25223464710101</v>
      </c>
      <c r="F2427" s="116">
        <v>176</v>
      </c>
      <c r="G2427">
        <v>98308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45581</v>
      </c>
      <c r="B2428" s="116">
        <v>172.003718585939</v>
      </c>
      <c r="C2428" s="116">
        <v>167.109690128935</v>
      </c>
      <c r="D2428" s="116">
        <v>166.77708625321699</v>
      </c>
      <c r="E2428" s="116">
        <v>167.25223464710101</v>
      </c>
      <c r="F2428" s="116">
        <v>175.85</v>
      </c>
      <c r="G2428">
        <v>124591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45582</v>
      </c>
      <c r="B2429" s="116">
        <v>171.52857019205501</v>
      </c>
      <c r="C2429" s="116">
        <v>168.059986916703</v>
      </c>
      <c r="D2429" s="116">
        <v>163.26098813847699</v>
      </c>
      <c r="E2429" s="116">
        <v>167.67986820159601</v>
      </c>
      <c r="F2429" s="116">
        <v>176.85</v>
      </c>
      <c r="G2429">
        <v>144467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45583</v>
      </c>
      <c r="B2430" s="116">
        <v>169.152828222636</v>
      </c>
      <c r="C2430" s="116">
        <v>166.82460109260501</v>
      </c>
      <c r="D2430" s="116">
        <v>163.45104749602999</v>
      </c>
      <c r="E2430" s="116">
        <v>168.297561113645</v>
      </c>
      <c r="F2430" s="116">
        <v>175.55</v>
      </c>
      <c r="G2430">
        <v>184689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45586</v>
      </c>
      <c r="B2431" s="116">
        <v>172.954015373706</v>
      </c>
      <c r="C2431" s="116">
        <v>169.96058049223799</v>
      </c>
      <c r="D2431" s="116">
        <v>167.34726432587701</v>
      </c>
      <c r="E2431" s="116">
        <v>170.05561017101499</v>
      </c>
      <c r="F2431" s="116">
        <v>178.85</v>
      </c>
      <c r="G2431">
        <v>216850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45587</v>
      </c>
      <c r="B2432" s="116">
        <v>171.00590695878299</v>
      </c>
      <c r="C2432" s="116">
        <v>161.50293908110601</v>
      </c>
      <c r="D2432" s="116">
        <v>160.60015713272699</v>
      </c>
      <c r="E2432" s="116">
        <v>171.00590695878299</v>
      </c>
      <c r="F2432" s="116">
        <v>169.95</v>
      </c>
      <c r="G2432">
        <v>289626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45588</v>
      </c>
      <c r="B2433" s="116">
        <v>162.50075070826199</v>
      </c>
      <c r="C2433" s="116">
        <v>156.56139578471499</v>
      </c>
      <c r="D2433" s="116">
        <v>155.326009960617</v>
      </c>
      <c r="E2433" s="116">
        <v>160.02997906006701</v>
      </c>
      <c r="F2433" s="116">
        <v>164.75</v>
      </c>
      <c r="G2433">
        <v>479475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45589</v>
      </c>
      <c r="B2434" s="116">
        <v>165.35164107156501</v>
      </c>
      <c r="C2434" s="116">
        <v>164.54388880196299</v>
      </c>
      <c r="D2434" s="116">
        <v>156.798969981657</v>
      </c>
      <c r="E2434" s="116">
        <v>156.84648482104501</v>
      </c>
      <c r="F2434" s="116">
        <v>173.15</v>
      </c>
      <c r="G2434">
        <v>264213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45590</v>
      </c>
      <c r="B2435" s="116">
        <v>166.30193785933301</v>
      </c>
      <c r="C2435" s="116">
        <v>159.269741629853</v>
      </c>
      <c r="D2435" s="116">
        <v>156.798969981657</v>
      </c>
      <c r="E2435" s="116">
        <v>164.59140364135101</v>
      </c>
      <c r="F2435" s="116">
        <v>167.6</v>
      </c>
      <c r="G2435">
        <v>254391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45593</v>
      </c>
      <c r="B2436" s="116">
        <v>161.265364884165</v>
      </c>
      <c r="C2436" s="116">
        <v>159.64986034495999</v>
      </c>
      <c r="D2436" s="116">
        <v>156.84648482104501</v>
      </c>
      <c r="E2436" s="116">
        <v>159.697375184348</v>
      </c>
      <c r="F2436" s="116">
        <v>168</v>
      </c>
      <c r="G2436">
        <v>125757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45594</v>
      </c>
      <c r="B2437" s="116">
        <v>161.360394562941</v>
      </c>
      <c r="C2437" s="116">
        <v>160.26755325700901</v>
      </c>
      <c r="D2437" s="116">
        <v>156.798969981657</v>
      </c>
      <c r="E2437" s="116">
        <v>159.60234550557101</v>
      </c>
      <c r="F2437" s="116">
        <v>168.65</v>
      </c>
      <c r="G2437">
        <v>195462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45595</v>
      </c>
      <c r="B2438" s="116">
        <v>163.87868105052601</v>
      </c>
      <c r="C2438" s="116">
        <v>161.83554295682501</v>
      </c>
      <c r="D2438" s="116">
        <v>159.31725646924099</v>
      </c>
      <c r="E2438" s="116">
        <v>160.60015713272699</v>
      </c>
      <c r="F2438" s="116">
        <v>170.3</v>
      </c>
      <c r="G2438">
        <v>94967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45596</v>
      </c>
      <c r="B2439" s="116">
        <v>164.258799765633</v>
      </c>
      <c r="C2439" s="116">
        <v>163.78365137174899</v>
      </c>
      <c r="D2439" s="116">
        <v>160.60015713272699</v>
      </c>
      <c r="E2439" s="116">
        <v>162.215661671932</v>
      </c>
      <c r="F2439" s="116">
        <v>172.35</v>
      </c>
      <c r="G2439">
        <v>166534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45597</v>
      </c>
      <c r="B2440" s="116">
        <v>166.39696753811</v>
      </c>
      <c r="C2440" s="116">
        <v>165.96933398361401</v>
      </c>
      <c r="D2440" s="116">
        <v>165.16158171401199</v>
      </c>
      <c r="E2440" s="116">
        <v>165.826789465449</v>
      </c>
      <c r="F2440" s="116">
        <v>174.65</v>
      </c>
      <c r="G2440">
        <v>28794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45600</v>
      </c>
      <c r="B2441" s="116">
        <v>165.58921526850699</v>
      </c>
      <c r="C2441" s="116">
        <v>161.075305526611</v>
      </c>
      <c r="D2441" s="116">
        <v>159.887434541902</v>
      </c>
      <c r="E2441" s="116">
        <v>165.49418558972999</v>
      </c>
      <c r="F2441" s="116">
        <v>169.5</v>
      </c>
      <c r="G2441">
        <v>134405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45601</v>
      </c>
      <c r="B2442" s="116">
        <v>163.73613653236001</v>
      </c>
      <c r="C2442" s="116">
        <v>162.40572102948599</v>
      </c>
      <c r="D2442" s="116">
        <v>159.127197111687</v>
      </c>
      <c r="E2442" s="116">
        <v>161.12282036599899</v>
      </c>
      <c r="F2442" s="116">
        <v>170.9</v>
      </c>
      <c r="G2442">
        <v>167043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45602</v>
      </c>
      <c r="B2443" s="116">
        <v>164.54388880196299</v>
      </c>
      <c r="C2443" s="116">
        <v>162.78583974459301</v>
      </c>
      <c r="D2443" s="116">
        <v>161.45542424171799</v>
      </c>
      <c r="E2443" s="116">
        <v>162.88086942337</v>
      </c>
      <c r="F2443" s="116">
        <v>171.3</v>
      </c>
      <c r="G2443">
        <v>167557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45603</v>
      </c>
      <c r="B2444" s="116">
        <v>165.636730107896</v>
      </c>
      <c r="C2444" s="116">
        <v>162.50075070826199</v>
      </c>
      <c r="D2444" s="116">
        <v>162.025602314379</v>
      </c>
      <c r="E2444" s="116">
        <v>164.06874040807901</v>
      </c>
      <c r="F2444" s="116">
        <v>171</v>
      </c>
      <c r="G2444">
        <v>88838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45604</v>
      </c>
      <c r="B2445" s="116">
        <v>164.353829444409</v>
      </c>
      <c r="C2445" s="116">
        <v>160.79021649028101</v>
      </c>
      <c r="D2445" s="116">
        <v>159.697375184348</v>
      </c>
      <c r="E2445" s="116">
        <v>164.353829444409</v>
      </c>
      <c r="F2445" s="116">
        <v>169.2</v>
      </c>
      <c r="G2445">
        <v>74897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45607</v>
      </c>
      <c r="B2446" s="116">
        <v>160.55264229333901</v>
      </c>
      <c r="C2446" s="116">
        <v>154.803346727345</v>
      </c>
      <c r="D2446" s="116">
        <v>154.375713172849</v>
      </c>
      <c r="E2446" s="116">
        <v>158.31944484208501</v>
      </c>
      <c r="F2446" s="116">
        <v>162.9</v>
      </c>
      <c r="G2446">
        <v>236121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45608</v>
      </c>
      <c r="B2447" s="116">
        <v>158.65204871780401</v>
      </c>
      <c r="C2447" s="116">
        <v>148.00872469480601</v>
      </c>
      <c r="D2447" s="116">
        <v>147.29600210398101</v>
      </c>
      <c r="E2447" s="116">
        <v>155.13595060306301</v>
      </c>
      <c r="F2447" s="116">
        <v>155.75</v>
      </c>
      <c r="G2447">
        <v>395808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45609</v>
      </c>
      <c r="B2448" s="116">
        <v>147.81866533725301</v>
      </c>
      <c r="C2448" s="116">
        <v>139.170964568567</v>
      </c>
      <c r="D2448" s="116">
        <v>137.55546002936299</v>
      </c>
      <c r="E2448" s="116">
        <v>147.058427907039</v>
      </c>
      <c r="F2448" s="116">
        <v>146.44999999999999</v>
      </c>
      <c r="G2448">
        <v>567406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45610</v>
      </c>
      <c r="B2449" s="116">
        <v>144.44511174067799</v>
      </c>
      <c r="C2449" s="116">
        <v>137.93557874447001</v>
      </c>
      <c r="D2449" s="116">
        <v>136.082500008323</v>
      </c>
      <c r="E2449" s="116">
        <v>139.170964568567</v>
      </c>
      <c r="F2449" s="116">
        <v>145.15</v>
      </c>
      <c r="G2449">
        <v>345506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45614</v>
      </c>
      <c r="B2450" s="116">
        <v>142.30694396820101</v>
      </c>
      <c r="C2450" s="116">
        <v>140.69143942899601</v>
      </c>
      <c r="D2450" s="116">
        <v>132.85149092991301</v>
      </c>
      <c r="E2450" s="116">
        <v>137.98309358385799</v>
      </c>
      <c r="F2450" s="116">
        <v>148.05000000000001</v>
      </c>
      <c r="G2450">
        <v>419740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45615</v>
      </c>
      <c r="B2451" s="116">
        <v>145.20534917089199</v>
      </c>
      <c r="C2451" s="116">
        <v>140.07374651694701</v>
      </c>
      <c r="D2451" s="116">
        <v>139.40853876550901</v>
      </c>
      <c r="E2451" s="116">
        <v>143.82741882862899</v>
      </c>
      <c r="F2451" s="116">
        <v>147.4</v>
      </c>
      <c r="G2451">
        <v>233518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45617</v>
      </c>
      <c r="B2452" s="116">
        <v>140.07374651694701</v>
      </c>
      <c r="C2452" s="116">
        <v>138.648301335295</v>
      </c>
      <c r="D2452" s="116">
        <v>136.842737438537</v>
      </c>
      <c r="E2452" s="116">
        <v>140.026231677558</v>
      </c>
      <c r="F2452" s="116">
        <v>145.9</v>
      </c>
      <c r="G2452">
        <v>70902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45618</v>
      </c>
      <c r="B2453" s="116">
        <v>140.643924589607</v>
      </c>
      <c r="C2453" s="116">
        <v>139.36102392612099</v>
      </c>
      <c r="D2453" s="116">
        <v>137.50794518997401</v>
      </c>
      <c r="E2453" s="116">
        <v>138.93339037162599</v>
      </c>
      <c r="F2453" s="116">
        <v>146.65</v>
      </c>
      <c r="G2453">
        <v>84581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45621</v>
      </c>
      <c r="B2454" s="116">
        <v>149.00653632196199</v>
      </c>
      <c r="C2454" s="116">
        <v>147.62860597969899</v>
      </c>
      <c r="D2454" s="116">
        <v>142.259429128812</v>
      </c>
      <c r="E2454" s="116">
        <v>144.35008206190099</v>
      </c>
      <c r="F2454" s="116">
        <v>155.35</v>
      </c>
      <c r="G2454">
        <v>187331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45622</v>
      </c>
      <c r="B2455" s="116">
        <v>149.149080840127</v>
      </c>
      <c r="C2455" s="116">
        <v>145.82304208294099</v>
      </c>
      <c r="D2455" s="116">
        <v>144.54014141945501</v>
      </c>
      <c r="E2455" s="116">
        <v>148.81647696440899</v>
      </c>
      <c r="F2455" s="116">
        <v>153.44999999999999</v>
      </c>
      <c r="G2455">
        <v>143949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45623</v>
      </c>
      <c r="B2456" s="116">
        <v>148.24629889174801</v>
      </c>
      <c r="C2456" s="116">
        <v>146.63079435254301</v>
      </c>
      <c r="D2456" s="116">
        <v>144.73020077700801</v>
      </c>
      <c r="E2456" s="116">
        <v>147.01091306764999</v>
      </c>
      <c r="F2456" s="116">
        <v>154.30000000000001</v>
      </c>
      <c r="G2456">
        <v>104867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45624</v>
      </c>
      <c r="B2457" s="116">
        <v>152.19003056098401</v>
      </c>
      <c r="C2457" s="116">
        <v>149.814288591565</v>
      </c>
      <c r="D2457" s="116">
        <v>146.393220155601</v>
      </c>
      <c r="E2457" s="116">
        <v>148.00872469480601</v>
      </c>
      <c r="F2457" s="116">
        <v>157.65</v>
      </c>
      <c r="G2457">
        <v>132474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45625</v>
      </c>
      <c r="B2458" s="116">
        <v>151.23973377321599</v>
      </c>
      <c r="C2458" s="116">
        <v>148.626417606855</v>
      </c>
      <c r="D2458" s="116">
        <v>145.442923367834</v>
      </c>
      <c r="E2458" s="116">
        <v>151.23973377321599</v>
      </c>
      <c r="F2458" s="116">
        <v>156.4</v>
      </c>
      <c r="G2458">
        <v>175958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45628</v>
      </c>
      <c r="B2459" s="116">
        <v>147.866180176641</v>
      </c>
      <c r="C2459" s="116">
        <v>146.203160798048</v>
      </c>
      <c r="D2459" s="116">
        <v>144.96777497394999</v>
      </c>
      <c r="E2459" s="116">
        <v>146.10813111927101</v>
      </c>
      <c r="F2459" s="116">
        <v>153.85</v>
      </c>
      <c r="G2459">
        <v>95493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45629</v>
      </c>
      <c r="B2460" s="116">
        <v>160.60015713272699</v>
      </c>
      <c r="C2460" s="116">
        <v>158.937137754134</v>
      </c>
      <c r="D2460" s="116">
        <v>146.203160798048</v>
      </c>
      <c r="E2460" s="116">
        <v>147.771150497864</v>
      </c>
      <c r="F2460" s="116">
        <v>167.25</v>
      </c>
      <c r="G2460">
        <v>309952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45630</v>
      </c>
      <c r="B2461" s="116">
        <v>170.008095331627</v>
      </c>
      <c r="C2461" s="116">
        <v>162.50075070826199</v>
      </c>
      <c r="D2461" s="116">
        <v>159.887434541902</v>
      </c>
      <c r="E2461" s="116">
        <v>160.55264229333901</v>
      </c>
      <c r="F2461" s="116">
        <v>171</v>
      </c>
      <c r="G2461">
        <v>788443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45631</v>
      </c>
      <c r="B2462" s="116">
        <v>165.87430430483801</v>
      </c>
      <c r="C2462" s="116">
        <v>163.78365137174899</v>
      </c>
      <c r="D2462" s="116">
        <v>161.40790940233001</v>
      </c>
      <c r="E2462" s="116">
        <v>163.73613653236001</v>
      </c>
      <c r="F2462" s="116">
        <v>172.35</v>
      </c>
      <c r="G2462">
        <v>92548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45632</v>
      </c>
      <c r="B2463" s="116">
        <v>165.87430430483801</v>
      </c>
      <c r="C2463" s="116">
        <v>163.070928780923</v>
      </c>
      <c r="D2463" s="116">
        <v>162.215661671932</v>
      </c>
      <c r="E2463" s="116">
        <v>165.87430430483801</v>
      </c>
      <c r="F2463" s="116">
        <v>171.6</v>
      </c>
      <c r="G2463">
        <v>47336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45635</v>
      </c>
      <c r="B2464" s="116">
        <v>165.2090965534</v>
      </c>
      <c r="C2464" s="116">
        <v>158.081870645143</v>
      </c>
      <c r="D2464" s="116">
        <v>157.08405901798699</v>
      </c>
      <c r="E2464" s="116">
        <v>163.45104749602999</v>
      </c>
      <c r="F2464" s="116">
        <v>166.35</v>
      </c>
      <c r="G2464">
        <v>264676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45636</v>
      </c>
      <c r="B2465" s="116">
        <v>160.315068096397</v>
      </c>
      <c r="C2465" s="116">
        <v>154.23316865468399</v>
      </c>
      <c r="D2465" s="116">
        <v>153.520446063858</v>
      </c>
      <c r="E2465" s="116">
        <v>158.27193000269699</v>
      </c>
      <c r="F2465" s="116">
        <v>162.30000000000001</v>
      </c>
      <c r="G2465">
        <v>150419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45637</v>
      </c>
      <c r="B2466" s="116">
        <v>158.17690032391999</v>
      </c>
      <c r="C2466" s="116">
        <v>155.658613836336</v>
      </c>
      <c r="D2466" s="116">
        <v>153.948079618354</v>
      </c>
      <c r="E2466" s="116">
        <v>154.23316865468399</v>
      </c>
      <c r="F2466" s="116">
        <v>163.80000000000001</v>
      </c>
      <c r="G2466">
        <v>149672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45638</v>
      </c>
      <c r="B2467" s="116">
        <v>158.604533878415</v>
      </c>
      <c r="C2467" s="116">
        <v>155.326009960617</v>
      </c>
      <c r="D2467" s="116">
        <v>154.898376406122</v>
      </c>
      <c r="E2467" s="116">
        <v>157.464177733094</v>
      </c>
      <c r="F2467" s="116">
        <v>163.44999999999999</v>
      </c>
      <c r="G2467">
        <v>113945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45639</v>
      </c>
      <c r="B2468" s="116">
        <v>158.17690032391999</v>
      </c>
      <c r="C2468" s="116">
        <v>156.98902933920999</v>
      </c>
      <c r="D2468" s="116">
        <v>153.85304993957701</v>
      </c>
      <c r="E2468" s="116">
        <v>154.043109297131</v>
      </c>
      <c r="F2468" s="116">
        <v>165.2</v>
      </c>
      <c r="G2468">
        <v>130505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45642</v>
      </c>
      <c r="B2469" s="116">
        <v>164.30631460502099</v>
      </c>
      <c r="C2469" s="116">
        <v>162.26317651132101</v>
      </c>
      <c r="D2469" s="116">
        <v>156.84648482104501</v>
      </c>
      <c r="E2469" s="116">
        <v>157.464177733094</v>
      </c>
      <c r="F2469" s="116">
        <v>170.75</v>
      </c>
      <c r="G2469">
        <v>264734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45643</v>
      </c>
      <c r="B2470" s="116">
        <v>166.96714561076999</v>
      </c>
      <c r="C2470" s="116">
        <v>163.26098813847699</v>
      </c>
      <c r="D2470" s="116">
        <v>160.12500873884301</v>
      </c>
      <c r="E2470" s="116">
        <v>163.593592014195</v>
      </c>
      <c r="F2470" s="116">
        <v>171.8</v>
      </c>
      <c r="G2470">
        <v>120061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45644</v>
      </c>
      <c r="B2471" s="116">
        <v>165.87430430483801</v>
      </c>
      <c r="C2471" s="116">
        <v>159.93494938129001</v>
      </c>
      <c r="D2471" s="116">
        <v>159.792404863125</v>
      </c>
      <c r="E2471" s="116">
        <v>163.403532656642</v>
      </c>
      <c r="F2471" s="116">
        <v>168.3</v>
      </c>
      <c r="G2471">
        <v>53003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45645</v>
      </c>
      <c r="B2472" s="116">
        <v>159.41228614801801</v>
      </c>
      <c r="C2472" s="116">
        <v>156.608910624103</v>
      </c>
      <c r="D2472" s="116">
        <v>153.99559445774199</v>
      </c>
      <c r="E2472" s="116">
        <v>153.99559445774199</v>
      </c>
      <c r="F2472" s="116">
        <v>164.8</v>
      </c>
      <c r="G2472">
        <v>127999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45646</v>
      </c>
      <c r="B2473" s="116">
        <v>158.22441516330801</v>
      </c>
      <c r="C2473" s="116">
        <v>152.570149276091</v>
      </c>
      <c r="D2473" s="116">
        <v>151.619852488323</v>
      </c>
      <c r="E2473" s="116">
        <v>155.99121771205401</v>
      </c>
      <c r="F2473" s="116">
        <v>160.55000000000001</v>
      </c>
      <c r="G2473">
        <v>75464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45649</v>
      </c>
      <c r="B2474" s="116">
        <v>156.46636610593799</v>
      </c>
      <c r="C2474" s="116">
        <v>148.103754373583</v>
      </c>
      <c r="D2474" s="116">
        <v>146.34570531621301</v>
      </c>
      <c r="E2474" s="116">
        <v>153.85304993957701</v>
      </c>
      <c r="F2474" s="116">
        <v>155.85</v>
      </c>
      <c r="G2474">
        <v>140205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45650</v>
      </c>
      <c r="B2475" s="116">
        <v>154.803346727345</v>
      </c>
      <c r="C2475" s="116">
        <v>151.57233764893499</v>
      </c>
      <c r="D2475" s="116">
        <v>149.19659567951601</v>
      </c>
      <c r="E2475" s="116">
        <v>150.57452602177901</v>
      </c>
      <c r="F2475" s="116">
        <v>159.5</v>
      </c>
      <c r="G2475">
        <v>139056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45652</v>
      </c>
      <c r="B2476" s="116">
        <v>153.948079618354</v>
      </c>
      <c r="C2476" s="116">
        <v>149.10156600073901</v>
      </c>
      <c r="D2476" s="116">
        <v>148.626417606855</v>
      </c>
      <c r="E2476" s="116">
        <v>153.615475742635</v>
      </c>
      <c r="F2476" s="116">
        <v>156.9</v>
      </c>
      <c r="G2476">
        <v>117861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45653</v>
      </c>
      <c r="B2477" s="116">
        <v>151.99997120342999</v>
      </c>
      <c r="C2477" s="116">
        <v>149.33914019768099</v>
      </c>
      <c r="D2477" s="116">
        <v>149.10156600073901</v>
      </c>
      <c r="E2477" s="116">
        <v>150.81210021872101</v>
      </c>
      <c r="F2477" s="116">
        <v>157.15</v>
      </c>
      <c r="G2477">
        <v>69660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45656</v>
      </c>
      <c r="B2478" s="116">
        <v>150.28943698544899</v>
      </c>
      <c r="C2478" s="116">
        <v>144.255052383124</v>
      </c>
      <c r="D2478" s="116">
        <v>143.58984463168699</v>
      </c>
      <c r="E2478" s="116">
        <v>149.24411051890399</v>
      </c>
      <c r="F2478" s="116">
        <v>151.80000000000001</v>
      </c>
      <c r="G2478">
        <v>110640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45657</v>
      </c>
      <c r="B2479" s="116">
        <v>146.298190476825</v>
      </c>
      <c r="C2479" s="116">
        <v>145.20534917089199</v>
      </c>
      <c r="D2479" s="116">
        <v>142.592033004531</v>
      </c>
      <c r="E2479" s="116">
        <v>144.255052383124</v>
      </c>
      <c r="F2479" s="116">
        <v>152.80000000000001</v>
      </c>
      <c r="G2479">
        <v>132757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45658</v>
      </c>
      <c r="B2480" s="116">
        <v>153.33038670630501</v>
      </c>
      <c r="C2480" s="116">
        <v>151.7148821671</v>
      </c>
      <c r="D2480" s="116">
        <v>145.20534917089199</v>
      </c>
      <c r="E2480" s="116">
        <v>145.347893689057</v>
      </c>
      <c r="F2480" s="116">
        <v>159.65</v>
      </c>
      <c r="G2480">
        <v>102045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45659</v>
      </c>
      <c r="B2481" s="116">
        <v>153.66299058202401</v>
      </c>
      <c r="C2481" s="116">
        <v>150.336951824837</v>
      </c>
      <c r="D2481" s="116">
        <v>148.91150664318599</v>
      </c>
      <c r="E2481" s="116">
        <v>153.18784218814</v>
      </c>
      <c r="F2481" s="116">
        <v>158.19999999999999</v>
      </c>
      <c r="G2481">
        <v>52477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45660</v>
      </c>
      <c r="B2482" s="116">
        <v>152.665178954868</v>
      </c>
      <c r="C2482" s="116">
        <v>149.33914019768099</v>
      </c>
      <c r="D2482" s="116">
        <v>148.626417606855</v>
      </c>
      <c r="E2482" s="116">
        <v>150.004347949118</v>
      </c>
      <c r="F2482" s="116">
        <v>157.15</v>
      </c>
      <c r="G2482">
        <v>53141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45663</v>
      </c>
      <c r="B2483" s="116">
        <v>150.14689246728301</v>
      </c>
      <c r="C2483" s="116">
        <v>141.87931041370501</v>
      </c>
      <c r="D2483" s="116">
        <v>140.643924589607</v>
      </c>
      <c r="E2483" s="116">
        <v>148.29381373113699</v>
      </c>
      <c r="F2483" s="116">
        <v>149.30000000000001</v>
      </c>
      <c r="G2483">
        <v>176697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45664</v>
      </c>
      <c r="B2484" s="116">
        <v>150.47949634300201</v>
      </c>
      <c r="C2484" s="116">
        <v>142.782092362084</v>
      </c>
      <c r="D2484" s="116">
        <v>140.50138007144199</v>
      </c>
      <c r="E2484" s="116">
        <v>150.47949634300201</v>
      </c>
      <c r="F2484" s="116">
        <v>150.25</v>
      </c>
      <c r="G2484">
        <v>116156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45665</v>
      </c>
      <c r="B2485" s="116">
        <v>144.44511174067799</v>
      </c>
      <c r="C2485" s="116">
        <v>141.45167685921001</v>
      </c>
      <c r="D2485" s="116">
        <v>140.643924589607</v>
      </c>
      <c r="E2485" s="116">
        <v>142.82960720147301</v>
      </c>
      <c r="F2485" s="116">
        <v>148.85</v>
      </c>
      <c r="G2485">
        <v>123600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45666</v>
      </c>
      <c r="B2486" s="116">
        <v>141.02404330471401</v>
      </c>
      <c r="C2486" s="116">
        <v>138.980905211014</v>
      </c>
      <c r="D2486" s="116">
        <v>138.410727138353</v>
      </c>
      <c r="E2486" s="116">
        <v>140.881498786549</v>
      </c>
      <c r="F2486" s="116">
        <v>146.25</v>
      </c>
      <c r="G2486">
        <v>67774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45667</v>
      </c>
      <c r="B2487" s="116">
        <v>140.643924589607</v>
      </c>
      <c r="C2487" s="116">
        <v>133.849302557069</v>
      </c>
      <c r="D2487" s="116">
        <v>133.04155028746601</v>
      </c>
      <c r="E2487" s="116">
        <v>140.643924589607</v>
      </c>
      <c r="F2487" s="116">
        <v>140.85</v>
      </c>
      <c r="G2487">
        <v>220995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45670</v>
      </c>
      <c r="B2488" s="116">
        <v>133.326639323797</v>
      </c>
      <c r="C2488" s="116">
        <v>125.676750182267</v>
      </c>
      <c r="D2488" s="116">
        <v>123.63361208856701</v>
      </c>
      <c r="E2488" s="116">
        <v>129.620481851503</v>
      </c>
      <c r="F2488" s="116">
        <v>132.25</v>
      </c>
      <c r="G2488">
        <v>315808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45671</v>
      </c>
      <c r="B2489" s="116">
        <v>133.94433223584599</v>
      </c>
      <c r="C2489" s="116">
        <v>129.620481851503</v>
      </c>
      <c r="D2489" s="116">
        <v>125.676750182267</v>
      </c>
      <c r="E2489" s="116">
        <v>127.529828918414</v>
      </c>
      <c r="F2489" s="116">
        <v>136.4</v>
      </c>
      <c r="G2489">
        <v>136598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45672</v>
      </c>
      <c r="B2490" s="116">
        <v>132.85149092991301</v>
      </c>
      <c r="C2490" s="116">
        <v>128.765214742512</v>
      </c>
      <c r="D2490" s="116">
        <v>127.57734375780301</v>
      </c>
      <c r="E2490" s="116">
        <v>131.99622382092201</v>
      </c>
      <c r="F2490" s="116">
        <v>135.5</v>
      </c>
      <c r="G2490">
        <v>125475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45673</v>
      </c>
      <c r="B2491" s="116">
        <v>133.99184707523401</v>
      </c>
      <c r="C2491" s="116">
        <v>132.32882769664101</v>
      </c>
      <c r="D2491" s="116">
        <v>130.33320444232899</v>
      </c>
      <c r="E2491" s="116">
        <v>131.853679302757</v>
      </c>
      <c r="F2491" s="116">
        <v>139.25</v>
      </c>
      <c r="G2491">
        <v>124439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45674</v>
      </c>
      <c r="B2492" s="116">
        <v>135.559836775051</v>
      </c>
      <c r="C2492" s="116">
        <v>132.94652060869001</v>
      </c>
      <c r="D2492" s="116">
        <v>130.665808318047</v>
      </c>
      <c r="E2492" s="116">
        <v>134.84711418422501</v>
      </c>
      <c r="F2492" s="116">
        <v>139.9</v>
      </c>
      <c r="G2492">
        <v>84438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45677</v>
      </c>
      <c r="B2493" s="116">
        <v>134.942143863002</v>
      </c>
      <c r="C2493" s="116">
        <v>128.62267022434699</v>
      </c>
      <c r="D2493" s="116">
        <v>126.627046970035</v>
      </c>
      <c r="E2493" s="116">
        <v>134.942143863002</v>
      </c>
      <c r="F2493" s="116">
        <v>135.35</v>
      </c>
      <c r="G2493">
        <v>287422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45678</v>
      </c>
      <c r="B2494" s="116">
        <v>141.499191698598</v>
      </c>
      <c r="C2494" s="116">
        <v>134.942143863002</v>
      </c>
      <c r="D2494" s="116">
        <v>130.570778639271</v>
      </c>
      <c r="E2494" s="116">
        <v>131.853679302757</v>
      </c>
      <c r="F2494" s="116">
        <v>142</v>
      </c>
      <c r="G2494">
        <v>437274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45679</v>
      </c>
      <c r="B2495" s="116">
        <v>135.892440650769</v>
      </c>
      <c r="C2495" s="116">
        <v>131.948708981534</v>
      </c>
      <c r="D2495" s="116">
        <v>129.85805604844501</v>
      </c>
      <c r="E2495" s="116">
        <v>135.892440650769</v>
      </c>
      <c r="F2495" s="116">
        <v>138.85</v>
      </c>
      <c r="G2495">
        <v>82177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45680</v>
      </c>
      <c r="B2496" s="116">
        <v>138.2206677808</v>
      </c>
      <c r="C2496" s="116">
        <v>132.281312857252</v>
      </c>
      <c r="D2496" s="116">
        <v>128.29006634862799</v>
      </c>
      <c r="E2496" s="116">
        <v>128.29006634862799</v>
      </c>
      <c r="F2496" s="116">
        <v>139.19999999999999</v>
      </c>
      <c r="G2496">
        <v>193100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45681</v>
      </c>
      <c r="B2497" s="116">
        <v>135.17971805994301</v>
      </c>
      <c r="C2497" s="116">
        <v>129.24036313639601</v>
      </c>
      <c r="D2497" s="116">
        <v>128.670185063735</v>
      </c>
      <c r="E2497" s="116">
        <v>135.17971805994301</v>
      </c>
      <c r="F2497" s="116">
        <v>136</v>
      </c>
      <c r="G2497">
        <v>65781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45684</v>
      </c>
      <c r="B2498" s="116">
        <v>129.24036313639601</v>
      </c>
      <c r="C2498" s="116">
        <v>122.113137228139</v>
      </c>
      <c r="D2498" s="116">
        <v>119.73739525872</v>
      </c>
      <c r="E2498" s="116">
        <v>128.14752183046301</v>
      </c>
      <c r="F2498" s="116">
        <v>128.5</v>
      </c>
      <c r="G2498">
        <v>117997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45685</v>
      </c>
      <c r="B2499" s="116">
        <v>125.34414630654901</v>
      </c>
      <c r="C2499" s="116">
        <v>121.115325600983</v>
      </c>
      <c r="D2499" s="116">
        <v>112.27756547474399</v>
      </c>
      <c r="E2499" s="116">
        <v>122.58828562202299</v>
      </c>
      <c r="F2499" s="116">
        <v>127.45</v>
      </c>
      <c r="G2499">
        <v>356874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45686</v>
      </c>
      <c r="B2500" s="116">
        <v>126.81710632758799</v>
      </c>
      <c r="C2500" s="116">
        <v>125.581720503491</v>
      </c>
      <c r="D2500" s="116">
        <v>121.257870119148</v>
      </c>
      <c r="E2500" s="116">
        <v>121.257870119148</v>
      </c>
      <c r="F2500" s="116">
        <v>132.15</v>
      </c>
      <c r="G2500">
        <v>142739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45687</v>
      </c>
      <c r="B2501" s="116">
        <v>129.66799669089099</v>
      </c>
      <c r="C2501" s="116">
        <v>125.629235342879</v>
      </c>
      <c r="D2501" s="116">
        <v>124.821483073276</v>
      </c>
      <c r="E2501" s="116">
        <v>128.10000699107499</v>
      </c>
      <c r="F2501" s="116">
        <v>132.19999999999999</v>
      </c>
      <c r="G2501">
        <v>113813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45688</v>
      </c>
      <c r="B2502" s="116">
        <v>131.521075427038</v>
      </c>
      <c r="C2502" s="116">
        <v>130.00060056660999</v>
      </c>
      <c r="D2502" s="116">
        <v>125.819294700432</v>
      </c>
      <c r="E2502" s="116">
        <v>125.819294700432</v>
      </c>
      <c r="F2502" s="116">
        <v>136.80000000000001</v>
      </c>
      <c r="G2502">
        <v>124251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45689</v>
      </c>
      <c r="B2503" s="116">
        <v>133.89681739645701</v>
      </c>
      <c r="C2503" s="116">
        <v>126.056868897374</v>
      </c>
      <c r="D2503" s="116">
        <v>124.53639403694601</v>
      </c>
      <c r="E2503" s="116">
        <v>130.00060056660999</v>
      </c>
      <c r="F2503" s="116">
        <v>132.65</v>
      </c>
      <c r="G2503">
        <v>192319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45691</v>
      </c>
      <c r="B2504" s="116">
        <v>125.39166114593699</v>
      </c>
      <c r="C2504" s="116">
        <v>120.830236564652</v>
      </c>
      <c r="D2504" s="116">
        <v>120.260058491992</v>
      </c>
      <c r="E2504" s="116">
        <v>124.298819840004</v>
      </c>
      <c r="F2504" s="116">
        <v>127.15</v>
      </c>
      <c r="G2504">
        <v>103931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45692</v>
      </c>
      <c r="B2505" s="116">
        <v>125.771779861044</v>
      </c>
      <c r="C2505" s="116">
        <v>124.251305000616</v>
      </c>
      <c r="D2505" s="116">
        <v>121.73301851303199</v>
      </c>
      <c r="E2505" s="116">
        <v>121.73301851303199</v>
      </c>
      <c r="F2505" s="116">
        <v>130.75</v>
      </c>
      <c r="G2505">
        <v>98605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45693</v>
      </c>
      <c r="B2506" s="116">
        <v>127.339769560861</v>
      </c>
      <c r="C2506" s="116">
        <v>125.106572109607</v>
      </c>
      <c r="D2506" s="116">
        <v>124.583908876335</v>
      </c>
      <c r="E2506" s="116">
        <v>126.19941341553999</v>
      </c>
      <c r="F2506" s="116">
        <v>131.65</v>
      </c>
      <c r="G2506">
        <v>70889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45694</v>
      </c>
      <c r="B2507" s="116">
        <v>127.339769560861</v>
      </c>
      <c r="C2507" s="116">
        <v>124.91651275205299</v>
      </c>
      <c r="D2507" s="116">
        <v>123.776156606732</v>
      </c>
      <c r="E2507" s="116">
        <v>126.48450245187</v>
      </c>
      <c r="F2507" s="116">
        <v>131.44999999999999</v>
      </c>
      <c r="G2507">
        <v>72121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45695</v>
      </c>
      <c r="B2508" s="116">
        <v>125.91432437920901</v>
      </c>
      <c r="C2508" s="116">
        <v>123.63361208856701</v>
      </c>
      <c r="D2508" s="116">
        <v>122.63580046141099</v>
      </c>
      <c r="E2508" s="116">
        <v>124.91651275205299</v>
      </c>
      <c r="F2508" s="116">
        <v>130.1</v>
      </c>
      <c r="G2508">
        <v>74701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45698</v>
      </c>
      <c r="B2509" s="116">
        <v>124.53639403694601</v>
      </c>
      <c r="C2509" s="116">
        <v>120.640177207099</v>
      </c>
      <c r="D2509" s="116">
        <v>120.212543652604</v>
      </c>
      <c r="E2509" s="116">
        <v>122.63580046141099</v>
      </c>
      <c r="F2509" s="116">
        <v>126.95</v>
      </c>
      <c r="G2509">
        <v>48515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45699</v>
      </c>
      <c r="B2510" s="116">
        <v>120.830236564652</v>
      </c>
      <c r="C2510" s="116">
        <v>113.56046613823</v>
      </c>
      <c r="D2510" s="116">
        <v>112.610169350463</v>
      </c>
      <c r="E2510" s="116">
        <v>120.830236564652</v>
      </c>
      <c r="F2510" s="116">
        <v>119.5</v>
      </c>
      <c r="G2510">
        <v>173852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45700</v>
      </c>
      <c r="B2511" s="116">
        <v>114.70082228355101</v>
      </c>
      <c r="C2511" s="116">
        <v>113.988099692726</v>
      </c>
      <c r="D2511" s="116">
        <v>106.718329266303</v>
      </c>
      <c r="E2511" s="116">
        <v>113.512951298842</v>
      </c>
      <c r="F2511" s="116">
        <v>119.95</v>
      </c>
      <c r="G2511">
        <v>326832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45701</v>
      </c>
      <c r="B2512" s="116">
        <v>116.553901019698</v>
      </c>
      <c r="C2512" s="116">
        <v>112.420109992909</v>
      </c>
      <c r="D2512" s="116">
        <v>110.899635132481</v>
      </c>
      <c r="E2512" s="116">
        <v>116.268811983368</v>
      </c>
      <c r="F2512" s="116">
        <v>118.3</v>
      </c>
      <c r="G2512">
        <v>72642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45702</v>
      </c>
      <c r="B2513" s="116">
        <v>113.940584853337</v>
      </c>
      <c r="C2513" s="116">
        <v>107.573596375294</v>
      </c>
      <c r="D2513" s="116">
        <v>107.003418302634</v>
      </c>
      <c r="E2513" s="116">
        <v>113.940584853337</v>
      </c>
      <c r="F2513" s="116">
        <v>113.2</v>
      </c>
      <c r="G2513">
        <v>119373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45705</v>
      </c>
      <c r="B2514" s="116">
        <v>108.80898219939201</v>
      </c>
      <c r="C2514" s="116">
        <v>103.154716312175</v>
      </c>
      <c r="D2514" s="116">
        <v>101.8243008093</v>
      </c>
      <c r="E2514" s="116">
        <v>106.86087378446901</v>
      </c>
      <c r="F2514" s="116">
        <v>108.55</v>
      </c>
      <c r="G2514">
        <v>287474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45706</v>
      </c>
      <c r="B2515" s="116">
        <v>105.768032478536</v>
      </c>
      <c r="C2515" s="116">
        <v>96.550153637189894</v>
      </c>
      <c r="D2515" s="116">
        <v>95.979975564529298</v>
      </c>
      <c r="E2515" s="116">
        <v>102.679567918291</v>
      </c>
      <c r="F2515" s="116">
        <v>101.6</v>
      </c>
      <c r="G2515">
        <v>302521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45707</v>
      </c>
      <c r="B2516" s="116">
        <v>102.632053078903</v>
      </c>
      <c r="C2516" s="116">
        <v>101.729271130523</v>
      </c>
      <c r="D2516" s="116">
        <v>94.649560061654597</v>
      </c>
      <c r="E2516" s="116">
        <v>95.932460725140899</v>
      </c>
      <c r="F2516" s="116">
        <v>107.05</v>
      </c>
      <c r="G2516">
        <v>393187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45708</v>
      </c>
      <c r="B2517" s="116">
        <v>118.739583631564</v>
      </c>
      <c r="C2517" s="116">
        <v>116.838990056028</v>
      </c>
      <c r="D2517" s="116">
        <v>102.91714211523301</v>
      </c>
      <c r="E2517" s="116">
        <v>108.381348644897</v>
      </c>
      <c r="F2517" s="116">
        <v>122.95</v>
      </c>
      <c r="G2517">
        <v>1090935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45709</v>
      </c>
      <c r="B2518" s="116">
        <v>121.21035527975999</v>
      </c>
      <c r="C2518" s="116">
        <v>115.413544874377</v>
      </c>
      <c r="D2518" s="116">
        <v>114.368218407833</v>
      </c>
      <c r="E2518" s="116">
        <v>117.504197807466</v>
      </c>
      <c r="F2518" s="116">
        <v>121.45</v>
      </c>
      <c r="G2518">
        <v>436960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45712</v>
      </c>
      <c r="B2519" s="116">
        <v>116.50638618031</v>
      </c>
      <c r="C2519" s="116">
        <v>113.22786226251201</v>
      </c>
      <c r="D2519" s="116">
        <v>110.139397702267</v>
      </c>
      <c r="E2519" s="116">
        <v>114.225673889668</v>
      </c>
      <c r="F2519" s="116">
        <v>119.15</v>
      </c>
      <c r="G2519">
        <v>167778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45713</v>
      </c>
      <c r="B2520" s="116">
        <v>116.41135650153301</v>
      </c>
      <c r="C2520" s="116">
        <v>112.08750611719</v>
      </c>
      <c r="D2520" s="116">
        <v>111.42229836575299</v>
      </c>
      <c r="E2520" s="116">
        <v>114.083129371502</v>
      </c>
      <c r="F2520" s="116">
        <v>117.95</v>
      </c>
      <c r="G2520">
        <v>87051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45715</v>
      </c>
      <c r="B2521" s="116">
        <v>114.083129371502</v>
      </c>
      <c r="C2521" s="116">
        <v>108.57140800245</v>
      </c>
      <c r="D2521" s="116">
        <v>108.00122992979</v>
      </c>
      <c r="E2521" s="116">
        <v>114.083129371502</v>
      </c>
      <c r="F2521" s="116">
        <v>114.25</v>
      </c>
      <c r="G2521">
        <v>129835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45716</v>
      </c>
      <c r="B2522" s="116">
        <v>108.428863484285</v>
      </c>
      <c r="C2522" s="116">
        <v>105.19785440587501</v>
      </c>
      <c r="D2522" s="116">
        <v>104.532646654438</v>
      </c>
      <c r="E2522" s="116">
        <v>106.623299587527</v>
      </c>
      <c r="F2522" s="116">
        <v>110.7</v>
      </c>
      <c r="G2522">
        <v>125306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45719</v>
      </c>
      <c r="B2523" s="116">
        <v>108.28631896612001</v>
      </c>
      <c r="C2523" s="116">
        <v>105.007795048322</v>
      </c>
      <c r="D2523" s="116">
        <v>98.830865927832093</v>
      </c>
      <c r="E2523" s="116">
        <v>104.72270601199099</v>
      </c>
      <c r="F2523" s="116">
        <v>110.5</v>
      </c>
      <c r="G2523">
        <v>134522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45720</v>
      </c>
      <c r="B2524" s="116">
        <v>107.38353701774101</v>
      </c>
      <c r="C2524" s="116">
        <v>104.20004277871899</v>
      </c>
      <c r="D2524" s="116">
        <v>102.632053078903</v>
      </c>
      <c r="E2524" s="116">
        <v>103.629864706059</v>
      </c>
      <c r="F2524" s="116">
        <v>109.65</v>
      </c>
      <c r="G2524">
        <v>152009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45721</v>
      </c>
      <c r="B2525" s="116">
        <v>112.135020956579</v>
      </c>
      <c r="C2525" s="116">
        <v>111.612357723307</v>
      </c>
      <c r="D2525" s="116">
        <v>104.960280208933</v>
      </c>
      <c r="E2525" s="116">
        <v>105.910576996701</v>
      </c>
      <c r="F2525" s="116">
        <v>117.45</v>
      </c>
      <c r="G2525">
        <v>105196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45722</v>
      </c>
      <c r="B2526" s="116">
        <v>115.603604231931</v>
      </c>
      <c r="C2526" s="116">
        <v>112.32508031413199</v>
      </c>
      <c r="D2526" s="116">
        <v>111.754902241472</v>
      </c>
      <c r="E2526" s="116">
        <v>115.603604231931</v>
      </c>
      <c r="F2526" s="116">
        <v>118.2</v>
      </c>
      <c r="G2526">
        <v>191466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45723</v>
      </c>
      <c r="B2527" s="116">
        <v>116.268811983368</v>
      </c>
      <c r="C2527" s="116">
        <v>113.132832583735</v>
      </c>
      <c r="D2527" s="116">
        <v>111.51732804453</v>
      </c>
      <c r="E2527" s="116">
        <v>112.182535795967</v>
      </c>
      <c r="F2527" s="116">
        <v>119.05</v>
      </c>
      <c r="G2527">
        <v>201212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45726</v>
      </c>
      <c r="B2528" s="116">
        <v>116.22129714398</v>
      </c>
      <c r="C2528" s="116">
        <v>112.135020956579</v>
      </c>
      <c r="D2528" s="116">
        <v>111.137209329423</v>
      </c>
      <c r="E2528" s="116">
        <v>116.22129714398</v>
      </c>
      <c r="F2528" s="116">
        <v>118</v>
      </c>
      <c r="G2528">
        <v>145747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45727</v>
      </c>
      <c r="B2529" s="116">
        <v>111.184724168811</v>
      </c>
      <c r="C2529" s="116">
        <v>107.858685411625</v>
      </c>
      <c r="D2529" s="116">
        <v>105.673002799759</v>
      </c>
      <c r="E2529" s="116">
        <v>110.234427381044</v>
      </c>
      <c r="F2529" s="116">
        <v>113.5</v>
      </c>
      <c r="G2529">
        <v>213692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45728</v>
      </c>
      <c r="B2530" s="116">
        <v>110.51951641737401</v>
      </c>
      <c r="C2530" s="116">
        <v>106.623299587527</v>
      </c>
      <c r="D2530" s="116">
        <v>106.195666033031</v>
      </c>
      <c r="E2530" s="116">
        <v>110.04436802348999</v>
      </c>
      <c r="F2530" s="116">
        <v>112.2</v>
      </c>
      <c r="G2530">
        <v>80714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45729</v>
      </c>
      <c r="B2531" s="116">
        <v>107.573596375294</v>
      </c>
      <c r="C2531" s="116">
        <v>104.009983421166</v>
      </c>
      <c r="D2531" s="116">
        <v>103.58234986667</v>
      </c>
      <c r="E2531" s="116">
        <v>107.573596375294</v>
      </c>
      <c r="F2531" s="116">
        <v>109.45</v>
      </c>
      <c r="G2531">
        <v>126544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45733</v>
      </c>
      <c r="B2532" s="116">
        <v>105.863062157313</v>
      </c>
      <c r="C2532" s="116">
        <v>101.53921177297001</v>
      </c>
      <c r="D2532" s="116">
        <v>101.159093057863</v>
      </c>
      <c r="E2532" s="116">
        <v>104.67519117260299</v>
      </c>
      <c r="F2532" s="116">
        <v>106.85</v>
      </c>
      <c r="G2532">
        <v>197839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45734</v>
      </c>
      <c r="B2533" s="116">
        <v>108.33383380550799</v>
      </c>
      <c r="C2533" s="116">
        <v>107.668626054071</v>
      </c>
      <c r="D2533" s="116">
        <v>102.679567918291</v>
      </c>
      <c r="E2533" s="116">
        <v>102.679567918291</v>
      </c>
      <c r="F2533" s="116">
        <v>113.3</v>
      </c>
      <c r="G2533">
        <v>147622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45735</v>
      </c>
      <c r="B2534" s="116">
        <v>110.804605453704</v>
      </c>
      <c r="C2534" s="116">
        <v>110.281942220432</v>
      </c>
      <c r="D2534" s="116">
        <v>108.191289287343</v>
      </c>
      <c r="E2534" s="116">
        <v>108.191289287343</v>
      </c>
      <c r="F2534" s="116">
        <v>116.05</v>
      </c>
      <c r="G2534">
        <v>305136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45736</v>
      </c>
      <c r="B2535" s="116">
        <v>114.320703568444</v>
      </c>
      <c r="C2535" s="116">
        <v>111.184724168811</v>
      </c>
      <c r="D2535" s="116">
        <v>110.56703125676199</v>
      </c>
      <c r="E2535" s="116">
        <v>111.42229836575299</v>
      </c>
      <c r="F2535" s="116">
        <v>117</v>
      </c>
      <c r="G2535">
        <v>219868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45737</v>
      </c>
      <c r="B2536" s="116">
        <v>117.21910877113601</v>
      </c>
      <c r="C2536" s="116">
        <v>115.175970677435</v>
      </c>
      <c r="D2536" s="116">
        <v>110.234427381044</v>
      </c>
      <c r="E2536" s="116">
        <v>111.707387402083</v>
      </c>
      <c r="F2536" s="116">
        <v>121.2</v>
      </c>
      <c r="G2536">
        <v>286870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45740</v>
      </c>
      <c r="B2537" s="116">
        <v>120.497632688934</v>
      </c>
      <c r="C2537" s="116">
        <v>115.271000356212</v>
      </c>
      <c r="D2537" s="116">
        <v>114.74833712294</v>
      </c>
      <c r="E2537" s="116">
        <v>117.646742325631</v>
      </c>
      <c r="F2537" s="116">
        <v>121.3</v>
      </c>
      <c r="G2537">
        <v>226706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45741</v>
      </c>
      <c r="B2538" s="116">
        <v>116.648930698475</v>
      </c>
      <c r="C2538" s="116">
        <v>108.143774447955</v>
      </c>
      <c r="D2538" s="116">
        <v>107.38353701774101</v>
      </c>
      <c r="E2538" s="116">
        <v>116.41135650153301</v>
      </c>
      <c r="F2538" s="116">
        <v>113.8</v>
      </c>
      <c r="G2538">
        <v>333214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45742</v>
      </c>
      <c r="B2539" s="116">
        <v>109.71176414777101</v>
      </c>
      <c r="C2539" s="116">
        <v>105.57797312098199</v>
      </c>
      <c r="D2539" s="116">
        <v>104.960280208933</v>
      </c>
      <c r="E2539" s="116">
        <v>108.66643768122699</v>
      </c>
      <c r="F2539" s="116">
        <v>111.1</v>
      </c>
      <c r="G2539">
        <v>221993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45743</v>
      </c>
      <c r="B2540" s="116">
        <v>107.906200251013</v>
      </c>
      <c r="C2540" s="116">
        <v>106.00560667547801</v>
      </c>
      <c r="D2540" s="116">
        <v>104.67519117260299</v>
      </c>
      <c r="E2540" s="116">
        <v>105.53045828159399</v>
      </c>
      <c r="F2540" s="116">
        <v>111.55</v>
      </c>
      <c r="G2540">
        <v>357258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45744</v>
      </c>
      <c r="B2541" s="116">
        <v>110.709575774927</v>
      </c>
      <c r="C2541" s="116">
        <v>107.76365573284799</v>
      </c>
      <c r="D2541" s="116">
        <v>105.53045828159399</v>
      </c>
      <c r="E2541" s="116">
        <v>106.24318087242</v>
      </c>
      <c r="F2541" s="116">
        <v>113.4</v>
      </c>
      <c r="G2541">
        <v>429720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45748</v>
      </c>
      <c r="B2542" s="116">
        <v>112.27756547474399</v>
      </c>
      <c r="C2542" s="116">
        <v>108.999041556946</v>
      </c>
      <c r="D2542" s="116">
        <v>107.573596375294</v>
      </c>
      <c r="E2542" s="116">
        <v>107.573596375294</v>
      </c>
      <c r="F2542" s="116">
        <v>114.7</v>
      </c>
      <c r="G2542">
        <v>292984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45749</v>
      </c>
      <c r="B2543" s="116">
        <v>110.614546096151</v>
      </c>
      <c r="C2543" s="116">
        <v>109.854308665936</v>
      </c>
      <c r="D2543" s="116">
        <v>106.480755069361</v>
      </c>
      <c r="E2543" s="116">
        <v>109.18910091449899</v>
      </c>
      <c r="F2543" s="116">
        <v>115.6</v>
      </c>
      <c r="G2543">
        <v>68255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45750</v>
      </c>
      <c r="B2544" s="116">
        <v>112.895258386793</v>
      </c>
      <c r="C2544" s="116">
        <v>111.564842883918</v>
      </c>
      <c r="D2544" s="116">
        <v>107.526081535906</v>
      </c>
      <c r="E2544" s="116">
        <v>108.191289287343</v>
      </c>
      <c r="F2544" s="116">
        <v>117.4</v>
      </c>
      <c r="G2544">
        <v>166679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45751</v>
      </c>
      <c r="B2545" s="116">
        <v>112.23005063535599</v>
      </c>
      <c r="C2545" s="116">
        <v>106.95590346324499</v>
      </c>
      <c r="D2545" s="116">
        <v>105.57797312098199</v>
      </c>
      <c r="E2545" s="116">
        <v>112.23005063535599</v>
      </c>
      <c r="F2545" s="116">
        <v>112.55</v>
      </c>
      <c r="G2545">
        <v>148369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45754</v>
      </c>
      <c r="B2546" s="116">
        <v>102.632053078903</v>
      </c>
      <c r="C2546" s="116">
        <v>101.06406337908599</v>
      </c>
      <c r="D2546" s="116">
        <v>90.325709677312005</v>
      </c>
      <c r="E2546" s="116">
        <v>90.325709677312005</v>
      </c>
      <c r="F2546" s="116">
        <v>106.35</v>
      </c>
      <c r="G2546">
        <v>411797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45755</v>
      </c>
      <c r="B2547" s="116">
        <v>107.668626054071</v>
      </c>
      <c r="C2547" s="116">
        <v>107.09844798141</v>
      </c>
      <c r="D2547" s="116">
        <v>101.206607897251</v>
      </c>
      <c r="E2547" s="116">
        <v>103.392290509117</v>
      </c>
      <c r="F2547" s="116">
        <v>112.7</v>
      </c>
      <c r="G2547">
        <v>134222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45756</v>
      </c>
      <c r="B2548" s="116">
        <v>108.048744769178</v>
      </c>
      <c r="C2548" s="116">
        <v>107.716140893459</v>
      </c>
      <c r="D2548" s="116">
        <v>104.865250530157</v>
      </c>
      <c r="E2548" s="116">
        <v>107.336022178352</v>
      </c>
      <c r="F2548" s="116">
        <v>113.35</v>
      </c>
      <c r="G2548">
        <v>54067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45758</v>
      </c>
      <c r="B2549" s="116">
        <v>110.994664811258</v>
      </c>
      <c r="C2549" s="116">
        <v>109.569219629606</v>
      </c>
      <c r="D2549" s="116">
        <v>109.094071235722</v>
      </c>
      <c r="E2549" s="116">
        <v>110.424486738597</v>
      </c>
      <c r="F2549" s="116">
        <v>115.3</v>
      </c>
      <c r="G2549">
        <v>188373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45762</v>
      </c>
      <c r="B2550" s="116">
        <v>119.642365579943</v>
      </c>
      <c r="C2550" s="116">
        <v>118.216920398292</v>
      </c>
      <c r="D2550" s="116">
        <v>110.424486738597</v>
      </c>
      <c r="E2550" s="116">
        <v>112.32508031413199</v>
      </c>
      <c r="F2550" s="116">
        <v>124.4</v>
      </c>
      <c r="G2550">
        <v>182450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45763</v>
      </c>
      <c r="B2551" s="116">
        <v>121.257870119148</v>
      </c>
      <c r="C2551" s="116">
        <v>119.309761704224</v>
      </c>
      <c r="D2551" s="116">
        <v>117.409168128689</v>
      </c>
      <c r="E2551" s="116">
        <v>118.787098470952</v>
      </c>
      <c r="F2551" s="116">
        <v>125.55</v>
      </c>
      <c r="G2551">
        <v>245454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45764</v>
      </c>
      <c r="B2552" s="116">
        <v>121.305384958536</v>
      </c>
      <c r="C2552" s="116">
        <v>120.782721725264</v>
      </c>
      <c r="D2552" s="116">
        <v>117.78928684379601</v>
      </c>
      <c r="E2552" s="116">
        <v>117.97934620135</v>
      </c>
      <c r="F2552" s="116">
        <v>127.1</v>
      </c>
      <c r="G2552">
        <v>120149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45768</v>
      </c>
      <c r="B2553" s="116">
        <v>126.009354057986</v>
      </c>
      <c r="C2553" s="116">
        <v>124.821483073276</v>
      </c>
      <c r="D2553" s="116">
        <v>121.637988834255</v>
      </c>
      <c r="E2553" s="116">
        <v>121.685503673643</v>
      </c>
      <c r="F2553" s="116">
        <v>131.35</v>
      </c>
      <c r="G2553">
        <v>131160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45769</v>
      </c>
      <c r="B2554" s="116">
        <v>128.90775926067701</v>
      </c>
      <c r="C2554" s="116">
        <v>127.197225042695</v>
      </c>
      <c r="D2554" s="116">
        <v>122.920889497741</v>
      </c>
      <c r="E2554" s="116">
        <v>126.19941341553999</v>
      </c>
      <c r="F2554" s="116">
        <v>133.85</v>
      </c>
      <c r="G2554">
        <v>101740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45770</v>
      </c>
      <c r="B2555" s="116">
        <v>129.71551153028</v>
      </c>
      <c r="C2555" s="116">
        <v>126.76959148820001</v>
      </c>
      <c r="D2555" s="116">
        <v>123.96621596428599</v>
      </c>
      <c r="E2555" s="116">
        <v>128.432610866793</v>
      </c>
      <c r="F2555" s="116">
        <v>133.4</v>
      </c>
      <c r="G2555">
        <v>216367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45771</v>
      </c>
      <c r="B2556" s="116">
        <v>128.765214742512</v>
      </c>
      <c r="C2556" s="116">
        <v>127.909947633521</v>
      </c>
      <c r="D2556" s="116">
        <v>126.104383736763</v>
      </c>
      <c r="E2556" s="116">
        <v>126.76959148820001</v>
      </c>
      <c r="F2556" s="116">
        <v>134.6</v>
      </c>
      <c r="G2556">
        <v>165011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45772</v>
      </c>
      <c r="B2557" s="116">
        <v>128.81272958189999</v>
      </c>
      <c r="C2557" s="116">
        <v>122.920889497741</v>
      </c>
      <c r="D2557" s="116">
        <v>119.214732025448</v>
      </c>
      <c r="E2557" s="116">
        <v>126.436987612481</v>
      </c>
      <c r="F2557" s="116">
        <v>129.35</v>
      </c>
      <c r="G2557">
        <v>443970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45775</v>
      </c>
      <c r="B2558" s="116">
        <v>115.603604231931</v>
      </c>
      <c r="C2558" s="116">
        <v>111.08969449003401</v>
      </c>
      <c r="D2558" s="116">
        <v>105.910576996701</v>
      </c>
      <c r="E2558" s="116">
        <v>107.336022178352</v>
      </c>
      <c r="F2558" s="116">
        <v>116.9</v>
      </c>
      <c r="G2558">
        <v>797956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45776</v>
      </c>
      <c r="B2559" s="116">
        <v>114.225673889668</v>
      </c>
      <c r="C2559" s="116">
        <v>111.08969449003401</v>
      </c>
      <c r="D2559" s="116">
        <v>110.234427381044</v>
      </c>
      <c r="E2559" s="116">
        <v>112.182535795967</v>
      </c>
      <c r="F2559" s="116">
        <v>116.9</v>
      </c>
      <c r="G2559">
        <v>243285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45777</v>
      </c>
      <c r="B2560" s="116">
        <v>113.750525495784</v>
      </c>
      <c r="C2560" s="116">
        <v>107.76365573284799</v>
      </c>
      <c r="D2560" s="116">
        <v>106.718329266303</v>
      </c>
      <c r="E2560" s="116">
        <v>113.750525495784</v>
      </c>
      <c r="F2560" s="116">
        <v>113.4</v>
      </c>
      <c r="G2560">
        <v>122705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45779</v>
      </c>
      <c r="B2561" s="116">
        <v>112.515139671686</v>
      </c>
      <c r="C2561" s="116">
        <v>109.236615753888</v>
      </c>
      <c r="D2561" s="116">
        <v>106.86087378446901</v>
      </c>
      <c r="E2561" s="116">
        <v>112.515139671686</v>
      </c>
      <c r="F2561" s="116">
        <v>114.95</v>
      </c>
      <c r="G2561">
        <v>141196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45782</v>
      </c>
      <c r="B2562" s="116">
        <v>118.739583631564</v>
      </c>
      <c r="C2562" s="116">
        <v>117.504197807466</v>
      </c>
      <c r="D2562" s="116">
        <v>110.139397702267</v>
      </c>
      <c r="E2562" s="116">
        <v>111.754902241472</v>
      </c>
      <c r="F2562" s="116">
        <v>123.65</v>
      </c>
      <c r="G2562">
        <v>360545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45783</v>
      </c>
      <c r="B2563" s="116">
        <v>120.45011784954499</v>
      </c>
      <c r="C2563" s="116">
        <v>108.951526717557</v>
      </c>
      <c r="D2563" s="116">
        <v>107.38353701774101</v>
      </c>
      <c r="E2563" s="116">
        <v>120.117513973827</v>
      </c>
      <c r="F2563" s="116">
        <v>114.65</v>
      </c>
      <c r="G2563">
        <v>262316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45784</v>
      </c>
      <c r="B2564" s="116">
        <v>111</v>
      </c>
      <c r="C2564" s="116">
        <v>108.5</v>
      </c>
      <c r="D2564" s="116">
        <v>107.05</v>
      </c>
      <c r="E2564" s="116">
        <v>108.95</v>
      </c>
      <c r="F2564" s="116">
        <v>108.5</v>
      </c>
      <c r="G2564">
        <v>390513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45785</v>
      </c>
      <c r="B2565" s="116">
        <v>110.95</v>
      </c>
      <c r="C2565" s="116">
        <v>105.7</v>
      </c>
      <c r="D2565" s="116">
        <v>104.7</v>
      </c>
      <c r="E2565" s="116">
        <v>109</v>
      </c>
      <c r="F2565" s="116">
        <v>105.7</v>
      </c>
      <c r="G2565">
        <v>230189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45786</v>
      </c>
      <c r="B2566" s="116">
        <v>110.8</v>
      </c>
      <c r="C2566" s="116">
        <v>106</v>
      </c>
      <c r="D2566" s="116">
        <v>101.35</v>
      </c>
      <c r="E2566" s="116">
        <v>103.5</v>
      </c>
      <c r="F2566" s="116">
        <v>106</v>
      </c>
      <c r="G2566">
        <v>532290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45789</v>
      </c>
      <c r="B2567" s="116">
        <v>113.8</v>
      </c>
      <c r="C2567" s="116">
        <v>110</v>
      </c>
      <c r="D2567" s="116">
        <v>108.8</v>
      </c>
      <c r="E2567" s="116">
        <v>113.8</v>
      </c>
      <c r="F2567" s="116">
        <v>110</v>
      </c>
      <c r="G2567">
        <v>295049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45790</v>
      </c>
      <c r="B2568" s="116">
        <v>114.55</v>
      </c>
      <c r="C2568" s="116">
        <v>114.1</v>
      </c>
      <c r="D2568" s="116">
        <v>108.5</v>
      </c>
      <c r="E2568" s="116">
        <v>111.95</v>
      </c>
      <c r="F2568" s="116">
        <v>114.1</v>
      </c>
      <c r="G2568">
        <v>317668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45791</v>
      </c>
      <c r="B2569" s="116">
        <v>118.3</v>
      </c>
      <c r="C2569" s="116">
        <v>117.25</v>
      </c>
      <c r="D2569" s="116">
        <v>114.55</v>
      </c>
      <c r="E2569" s="116">
        <v>114.95</v>
      </c>
      <c r="F2569" s="116">
        <v>117.25</v>
      </c>
      <c r="G2569">
        <v>468113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45792</v>
      </c>
      <c r="B2570" s="116">
        <v>117.95</v>
      </c>
      <c r="C2570" s="116">
        <v>113.35</v>
      </c>
      <c r="D2570" s="116">
        <v>113</v>
      </c>
      <c r="E2570" s="116">
        <v>117.85</v>
      </c>
      <c r="F2570" s="116">
        <v>113.35</v>
      </c>
      <c r="G2570">
        <v>462429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45793</v>
      </c>
      <c r="B2571" s="116">
        <v>122.9</v>
      </c>
      <c r="C2571" s="116">
        <v>122.15</v>
      </c>
      <c r="D2571" s="116">
        <v>113.2</v>
      </c>
      <c r="E2571" s="116">
        <v>114.05</v>
      </c>
      <c r="F2571" s="116">
        <v>122.15</v>
      </c>
      <c r="G2571">
        <v>866738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45796</v>
      </c>
      <c r="B2572" s="116">
        <v>139.9</v>
      </c>
      <c r="C2572" s="116">
        <v>133.94999999999999</v>
      </c>
      <c r="D2572" s="116">
        <v>125</v>
      </c>
      <c r="E2572" s="116">
        <v>125</v>
      </c>
      <c r="F2572" s="116">
        <v>133.94999999999999</v>
      </c>
      <c r="G2572">
        <v>1397684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45797</v>
      </c>
      <c r="B2573" s="116">
        <v>136.65</v>
      </c>
      <c r="C2573" s="116">
        <v>133.69999999999999</v>
      </c>
      <c r="D2573" s="116">
        <v>129.15</v>
      </c>
      <c r="E2573" s="116">
        <v>135.19999999999999</v>
      </c>
      <c r="F2573" s="116">
        <v>133.69999999999999</v>
      </c>
      <c r="G2573">
        <v>699781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45798</v>
      </c>
      <c r="B2574" s="116">
        <v>135.5</v>
      </c>
      <c r="C2574" s="116">
        <v>132.85</v>
      </c>
      <c r="D2574" s="116">
        <v>130.30000000000001</v>
      </c>
      <c r="E2574" s="116">
        <v>133.6</v>
      </c>
      <c r="F2574" s="116">
        <v>132.85</v>
      </c>
      <c r="G2574">
        <v>244907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45799</v>
      </c>
      <c r="B2575" s="116">
        <v>132.85</v>
      </c>
      <c r="C2575" s="116">
        <v>128.80000000000001</v>
      </c>
      <c r="D2575" s="116">
        <v>127.5</v>
      </c>
      <c r="E2575" s="116">
        <v>132.75</v>
      </c>
      <c r="F2575" s="116">
        <v>128.80000000000001</v>
      </c>
      <c r="G2575">
        <v>206994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45800</v>
      </c>
      <c r="B2576" s="116">
        <v>132</v>
      </c>
      <c r="C2576" s="116">
        <v>127.9</v>
      </c>
      <c r="D2576" s="116">
        <v>127.4</v>
      </c>
      <c r="E2576" s="116">
        <v>128.9</v>
      </c>
      <c r="F2576" s="116">
        <v>127.9</v>
      </c>
      <c r="G2576">
        <v>237289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45803</v>
      </c>
      <c r="B2577" s="116">
        <v>130.6</v>
      </c>
      <c r="C2577" s="116">
        <v>128.55000000000001</v>
      </c>
      <c r="D2577" s="116">
        <v>127.3</v>
      </c>
      <c r="E2577" s="116">
        <v>128.75</v>
      </c>
      <c r="F2577" s="116">
        <v>128.55000000000001</v>
      </c>
      <c r="G2577">
        <v>137253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45804</v>
      </c>
      <c r="B2578" s="116">
        <v>142.5</v>
      </c>
      <c r="C2578" s="116">
        <v>139.1</v>
      </c>
      <c r="D2578" s="116">
        <v>128.05000000000001</v>
      </c>
      <c r="E2578" s="116">
        <v>128.05000000000001</v>
      </c>
      <c r="F2578" s="116">
        <v>139.1</v>
      </c>
      <c r="G2578">
        <v>2070278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45805</v>
      </c>
      <c r="B2579" s="116">
        <v>149.15</v>
      </c>
      <c r="C2579" s="116">
        <v>146.75</v>
      </c>
      <c r="D2579" s="116">
        <v>140.44999999999999</v>
      </c>
      <c r="E2579" s="116">
        <v>140.6</v>
      </c>
      <c r="F2579" s="116">
        <v>146.75</v>
      </c>
      <c r="G2579">
        <v>1292990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45806</v>
      </c>
      <c r="B2580" s="116">
        <v>152.65</v>
      </c>
      <c r="C2580" s="116">
        <v>146.80000000000001</v>
      </c>
      <c r="D2580" s="116">
        <v>145.19999999999999</v>
      </c>
      <c r="E2580" s="116">
        <v>147.4</v>
      </c>
      <c r="F2580" s="116">
        <v>146.80000000000001</v>
      </c>
      <c r="G2580">
        <v>524754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45807</v>
      </c>
      <c r="B2581" s="116">
        <v>148.6</v>
      </c>
      <c r="C2581" s="116">
        <v>140.55000000000001</v>
      </c>
      <c r="D2581" s="116">
        <v>139.94999999999999</v>
      </c>
      <c r="E2581" s="116">
        <v>148.6</v>
      </c>
      <c r="F2581" s="116">
        <v>140.55000000000001</v>
      </c>
      <c r="G2581">
        <v>211716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45810</v>
      </c>
      <c r="B2582" s="116">
        <v>154</v>
      </c>
      <c r="C2582" s="116">
        <v>151.6</v>
      </c>
      <c r="D2582" s="116">
        <v>139.75</v>
      </c>
      <c r="E2582" s="116">
        <v>140.55000000000001</v>
      </c>
      <c r="F2582" s="116">
        <v>151.6</v>
      </c>
      <c r="G2582">
        <v>541013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45811</v>
      </c>
      <c r="B2583" s="116">
        <v>159</v>
      </c>
      <c r="C2583" s="116">
        <v>156.9</v>
      </c>
      <c r="D2583" s="116">
        <v>151.19999999999999</v>
      </c>
      <c r="E2583" s="116">
        <v>153.85</v>
      </c>
      <c r="F2583" s="116">
        <v>156.9</v>
      </c>
      <c r="G2583">
        <v>1270982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45812</v>
      </c>
      <c r="B2584" s="116">
        <v>162.55000000000001</v>
      </c>
      <c r="C2584" s="116">
        <v>160.4</v>
      </c>
      <c r="D2584" s="116">
        <v>155.19999999999999</v>
      </c>
      <c r="E2584" s="116">
        <v>157.85</v>
      </c>
      <c r="F2584" s="116">
        <v>160.4</v>
      </c>
      <c r="G2584">
        <v>626244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45813</v>
      </c>
      <c r="B2585" s="116">
        <v>184.5</v>
      </c>
      <c r="C2585" s="116">
        <v>181.65</v>
      </c>
      <c r="D2585" s="116">
        <v>164</v>
      </c>
      <c r="E2585" s="116">
        <v>165</v>
      </c>
      <c r="F2585" s="116">
        <v>181.65</v>
      </c>
      <c r="G2585">
        <v>3019181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45814</v>
      </c>
      <c r="B2586" s="116">
        <v>189.75</v>
      </c>
      <c r="C2586" s="116">
        <v>171.3</v>
      </c>
      <c r="D2586" s="116">
        <v>170</v>
      </c>
      <c r="E2586" s="116">
        <v>185</v>
      </c>
      <c r="F2586" s="116">
        <v>171.3</v>
      </c>
      <c r="G2586">
        <v>2027982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45817</v>
      </c>
      <c r="B2587" s="116">
        <v>174.55</v>
      </c>
      <c r="C2587" s="116">
        <v>161.30000000000001</v>
      </c>
      <c r="D2587" s="116">
        <v>158.65</v>
      </c>
      <c r="E2587" s="116">
        <v>173</v>
      </c>
      <c r="F2587" s="116">
        <v>161.30000000000001</v>
      </c>
      <c r="G2587">
        <v>982993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45818</v>
      </c>
      <c r="B2588" s="116">
        <v>165.95</v>
      </c>
      <c r="C2588" s="116">
        <v>163.80000000000001</v>
      </c>
      <c r="D2588" s="116">
        <v>156.30000000000001</v>
      </c>
      <c r="E2588" s="116">
        <v>161.6</v>
      </c>
      <c r="F2588" s="116">
        <v>163.80000000000001</v>
      </c>
      <c r="G2588">
        <v>880700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45819</v>
      </c>
      <c r="B2589" s="116">
        <v>168.7</v>
      </c>
      <c r="C2589" s="116">
        <v>165.95</v>
      </c>
      <c r="D2589" s="116">
        <v>161.94999999999999</v>
      </c>
      <c r="E2589" s="116">
        <v>165.85</v>
      </c>
      <c r="F2589" s="116">
        <v>165.95</v>
      </c>
      <c r="G2589">
        <v>341067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45820</v>
      </c>
      <c r="B2590" s="116">
        <v>166</v>
      </c>
      <c r="C2590" s="116">
        <v>161.19999999999999</v>
      </c>
      <c r="D2590" s="116">
        <v>160</v>
      </c>
      <c r="E2590" s="116">
        <v>164.95</v>
      </c>
      <c r="F2590" s="116">
        <v>161.19999999999999</v>
      </c>
      <c r="G2590">
        <v>325136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45821</v>
      </c>
      <c r="B2591" s="116">
        <v>163.25</v>
      </c>
      <c r="C2591" s="116">
        <v>159.30000000000001</v>
      </c>
      <c r="D2591" s="116">
        <v>153.9</v>
      </c>
      <c r="E2591" s="116">
        <v>154.94999999999999</v>
      </c>
      <c r="F2591" s="116">
        <v>159.30000000000001</v>
      </c>
      <c r="G2591">
        <v>324334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45824</v>
      </c>
      <c r="B2592" s="116">
        <v>161</v>
      </c>
      <c r="C2592" s="116">
        <v>156.55000000000001</v>
      </c>
      <c r="D2592" s="116">
        <v>150.30000000000001</v>
      </c>
      <c r="E2592" s="116">
        <v>158.55000000000001</v>
      </c>
      <c r="F2592" s="116">
        <v>156.55000000000001</v>
      </c>
      <c r="G2592">
        <v>419249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45825</v>
      </c>
      <c r="B2593" s="116">
        <v>160.35</v>
      </c>
      <c r="C2593" s="116">
        <v>153.5</v>
      </c>
      <c r="D2593" s="116">
        <v>153</v>
      </c>
      <c r="E2593" s="116">
        <v>155.9</v>
      </c>
      <c r="F2593" s="116">
        <v>153.5</v>
      </c>
      <c r="G2593">
        <v>326305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45826</v>
      </c>
      <c r="B2594" s="116">
        <v>155.5</v>
      </c>
      <c r="C2594" s="116">
        <v>153.05000000000001</v>
      </c>
      <c r="D2594" s="116">
        <v>151.19999999999999</v>
      </c>
      <c r="E2594" s="116">
        <v>152.30000000000001</v>
      </c>
      <c r="F2594" s="116">
        <v>153.05000000000001</v>
      </c>
      <c r="G2594">
        <v>212040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45827</v>
      </c>
      <c r="B2595" s="116">
        <v>159.15</v>
      </c>
      <c r="C2595" s="116">
        <v>153.94999999999999</v>
      </c>
      <c r="D2595" s="116">
        <v>151.44999999999999</v>
      </c>
      <c r="E2595" s="116">
        <v>153.05000000000001</v>
      </c>
      <c r="F2595" s="116">
        <v>153.94999999999999</v>
      </c>
      <c r="G2595">
        <v>280553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45828</v>
      </c>
      <c r="B2596" s="116">
        <v>156.5</v>
      </c>
      <c r="C2596" s="116">
        <v>155</v>
      </c>
      <c r="D2596" s="116">
        <v>151.5</v>
      </c>
      <c r="E2596" s="116">
        <v>154.5</v>
      </c>
      <c r="F2596" s="116">
        <v>155</v>
      </c>
      <c r="G2596">
        <v>121768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45831</v>
      </c>
      <c r="B2597" s="116">
        <v>168.35</v>
      </c>
      <c r="C2597" s="116">
        <v>163.35</v>
      </c>
      <c r="D2597" s="116">
        <v>155.55000000000001</v>
      </c>
      <c r="E2597" s="116">
        <v>155.55000000000001</v>
      </c>
      <c r="F2597" s="116">
        <v>163.35</v>
      </c>
      <c r="G2597">
        <v>1213221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45832</v>
      </c>
      <c r="B2598" s="116">
        <v>167.95</v>
      </c>
      <c r="C2598" s="116">
        <v>161.4</v>
      </c>
      <c r="D2598" s="116">
        <v>159.55000000000001</v>
      </c>
      <c r="E2598" s="116">
        <v>165.1</v>
      </c>
      <c r="F2598" s="116">
        <v>161.4</v>
      </c>
      <c r="G2598">
        <v>277502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45833</v>
      </c>
      <c r="B2599" s="116">
        <v>162.6</v>
      </c>
      <c r="C2599" s="116">
        <v>158.5</v>
      </c>
      <c r="D2599" s="116">
        <v>158</v>
      </c>
      <c r="E2599" s="116">
        <v>161.65</v>
      </c>
      <c r="F2599" s="116">
        <v>158.5</v>
      </c>
      <c r="G2599">
        <v>223530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45834</v>
      </c>
      <c r="B2600" s="116">
        <v>161.05000000000001</v>
      </c>
      <c r="C2600" s="116">
        <v>157.85</v>
      </c>
      <c r="D2600" s="116">
        <v>156.30000000000001</v>
      </c>
      <c r="E2600" s="116">
        <v>159.5</v>
      </c>
      <c r="F2600" s="116">
        <v>157.85</v>
      </c>
      <c r="G2600">
        <v>258507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45835</v>
      </c>
      <c r="B2601" s="116">
        <v>159.65</v>
      </c>
      <c r="C2601" s="116">
        <v>156.30000000000001</v>
      </c>
      <c r="D2601" s="116">
        <v>155.30000000000001</v>
      </c>
      <c r="E2601" s="116">
        <v>157.15</v>
      </c>
      <c r="F2601" s="116">
        <v>156.30000000000001</v>
      </c>
      <c r="G2601">
        <v>184726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45838</v>
      </c>
      <c r="B2602" s="116">
        <v>161.19999999999999</v>
      </c>
      <c r="C2602" s="116">
        <v>158.25</v>
      </c>
      <c r="D2602" s="116">
        <v>156.65</v>
      </c>
      <c r="E2602" s="116">
        <v>157</v>
      </c>
      <c r="F2602" s="116">
        <v>158.25</v>
      </c>
      <c r="G2602">
        <v>113803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45839</v>
      </c>
      <c r="B2603" s="116">
        <v>165.6</v>
      </c>
      <c r="C2603" s="116">
        <v>164.1</v>
      </c>
      <c r="D2603" s="116">
        <v>158.85</v>
      </c>
      <c r="E2603" s="116">
        <v>160.69999999999999</v>
      </c>
      <c r="F2603" s="116">
        <v>164.1</v>
      </c>
      <c r="G2603">
        <v>265083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45840</v>
      </c>
      <c r="B2604" s="116">
        <v>165.9</v>
      </c>
      <c r="C2604" s="116">
        <v>160.35</v>
      </c>
      <c r="D2604" s="116">
        <v>159.25</v>
      </c>
      <c r="E2604" s="116">
        <v>164.3</v>
      </c>
      <c r="F2604" s="116">
        <v>160.35</v>
      </c>
      <c r="G2604">
        <v>296417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45841</v>
      </c>
      <c r="B2605" s="116">
        <v>161.25</v>
      </c>
      <c r="C2605" s="116">
        <v>157.5</v>
      </c>
      <c r="D2605" s="116">
        <v>157</v>
      </c>
      <c r="E2605" s="116">
        <v>161.25</v>
      </c>
      <c r="F2605" s="116">
        <v>157.5</v>
      </c>
      <c r="G2605">
        <v>137185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45842</v>
      </c>
      <c r="B2606" s="116">
        <v>160.69999999999999</v>
      </c>
      <c r="C2606" s="116">
        <v>159.35</v>
      </c>
      <c r="D2606" s="116">
        <v>157.5</v>
      </c>
      <c r="E2606" s="116">
        <v>157.55000000000001</v>
      </c>
      <c r="F2606" s="116">
        <v>159.35</v>
      </c>
      <c r="G2606">
        <v>190740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45845</v>
      </c>
      <c r="B2607" s="116">
        <v>163.30000000000001</v>
      </c>
      <c r="C2607" s="116">
        <v>160.44999999999999</v>
      </c>
      <c r="D2607" s="116">
        <v>156.9</v>
      </c>
      <c r="E2607" s="116">
        <v>159.35</v>
      </c>
      <c r="F2607" s="116">
        <v>160.44999999999999</v>
      </c>
      <c r="G2607">
        <v>167954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45846</v>
      </c>
      <c r="B2608" s="116">
        <v>160.65</v>
      </c>
      <c r="C2608" s="116">
        <v>158.69999999999999</v>
      </c>
      <c r="D2608" s="116">
        <v>156.75</v>
      </c>
      <c r="E2608" s="116">
        <v>160.65</v>
      </c>
      <c r="F2608" s="116">
        <v>158.69999999999999</v>
      </c>
      <c r="G2608">
        <v>147850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45847</v>
      </c>
      <c r="B2609" s="116">
        <v>164.5</v>
      </c>
      <c r="C2609" s="116">
        <v>162.15</v>
      </c>
      <c r="D2609" s="116">
        <v>158.05000000000001</v>
      </c>
      <c r="E2609" s="116">
        <v>159.65</v>
      </c>
      <c r="F2609" s="116">
        <v>162.15</v>
      </c>
      <c r="G2609">
        <v>227556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45848</v>
      </c>
      <c r="B2610" s="116">
        <v>164.4</v>
      </c>
      <c r="C2610" s="116">
        <v>155.94999999999999</v>
      </c>
      <c r="D2610" s="116">
        <v>153.55000000000001</v>
      </c>
      <c r="E2610" s="116">
        <v>163.75</v>
      </c>
      <c r="F2610" s="116">
        <v>155.94999999999999</v>
      </c>
      <c r="G2610">
        <v>157273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45849</v>
      </c>
      <c r="B2611" s="116">
        <v>157.55000000000001</v>
      </c>
      <c r="C2611" s="116">
        <v>154.85</v>
      </c>
      <c r="D2611" s="116">
        <v>154.1</v>
      </c>
      <c r="E2611" s="116">
        <v>156.05000000000001</v>
      </c>
      <c r="F2611" s="116">
        <v>154.85</v>
      </c>
      <c r="G2611">
        <v>72969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45852</v>
      </c>
      <c r="B2612" s="116">
        <v>156.44999999999999</v>
      </c>
      <c r="C2612" s="116">
        <v>156.1</v>
      </c>
      <c r="D2612" s="116">
        <v>151.65</v>
      </c>
      <c r="E2612" s="116">
        <v>156.19999999999999</v>
      </c>
      <c r="F2612" s="116">
        <v>156.1</v>
      </c>
      <c r="G2612">
        <v>82497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45853</v>
      </c>
      <c r="B2613" s="116">
        <v>157.65</v>
      </c>
      <c r="C2613" s="116">
        <v>155.44999999999999</v>
      </c>
      <c r="D2613" s="116">
        <v>154.80000000000001</v>
      </c>
      <c r="E2613" s="116">
        <v>155.05000000000001</v>
      </c>
      <c r="F2613" s="116">
        <v>155.44999999999999</v>
      </c>
      <c r="G2613">
        <v>173999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45854</v>
      </c>
      <c r="B2614" s="116">
        <v>155.6</v>
      </c>
      <c r="C2614" s="116">
        <v>153.85</v>
      </c>
      <c r="D2614" s="116">
        <v>153.55000000000001</v>
      </c>
      <c r="E2614" s="116">
        <v>154.94999999999999</v>
      </c>
      <c r="F2614" s="116">
        <v>153.85</v>
      </c>
      <c r="G2614">
        <v>71911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45855</v>
      </c>
      <c r="B2615" s="116">
        <v>155.80000000000001</v>
      </c>
      <c r="C2615" s="116">
        <v>153.1</v>
      </c>
      <c r="D2615" s="116">
        <v>152.4</v>
      </c>
      <c r="E2615" s="116">
        <v>152.4</v>
      </c>
      <c r="F2615" s="116">
        <v>153.1</v>
      </c>
      <c r="G2615">
        <v>140424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45856</v>
      </c>
      <c r="B2616" s="116">
        <v>154.25</v>
      </c>
      <c r="C2616" s="116">
        <v>151.19999999999999</v>
      </c>
      <c r="D2616" s="116">
        <v>150.25</v>
      </c>
      <c r="E2616" s="116">
        <v>152.85</v>
      </c>
      <c r="F2616" s="116">
        <v>151.19999999999999</v>
      </c>
      <c r="G2616">
        <v>63068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45859</v>
      </c>
      <c r="B2617" s="116">
        <v>151.35</v>
      </c>
      <c r="C2617" s="116">
        <v>144.9</v>
      </c>
      <c r="D2617" s="116">
        <v>143.1</v>
      </c>
      <c r="E2617" s="116">
        <v>150.80000000000001</v>
      </c>
      <c r="F2617" s="116">
        <v>144.9</v>
      </c>
      <c r="G2617">
        <v>370467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45860</v>
      </c>
      <c r="B2618" s="116">
        <v>150.05000000000001</v>
      </c>
      <c r="C2618" s="116">
        <v>147.80000000000001</v>
      </c>
      <c r="D2618" s="116">
        <v>145.19999999999999</v>
      </c>
      <c r="E2618" s="116">
        <v>145.19999999999999</v>
      </c>
      <c r="F2618" s="116">
        <v>147.80000000000001</v>
      </c>
      <c r="G2618">
        <v>247314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45861</v>
      </c>
      <c r="B2619" s="116">
        <v>149.05000000000001</v>
      </c>
      <c r="C2619" s="116">
        <v>144.69999999999999</v>
      </c>
      <c r="D2619" s="116">
        <v>143.6</v>
      </c>
      <c r="E2619" s="116">
        <v>149.05000000000001</v>
      </c>
      <c r="F2619" s="116">
        <v>144.69999999999999</v>
      </c>
      <c r="G2619">
        <v>170720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45862</v>
      </c>
      <c r="B2620" s="116">
        <v>148.35</v>
      </c>
      <c r="C2620" s="116">
        <v>147.15</v>
      </c>
      <c r="D2620" s="116">
        <v>144.25</v>
      </c>
      <c r="E2620" s="116">
        <v>144.35</v>
      </c>
      <c r="F2620" s="116">
        <v>147.15</v>
      </c>
      <c r="G2620">
        <v>99692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45863</v>
      </c>
      <c r="B2621" s="116">
        <v>146.75</v>
      </c>
      <c r="C2621" s="116">
        <v>135.94999999999999</v>
      </c>
      <c r="D2621" s="116">
        <v>135.25</v>
      </c>
      <c r="E2621" s="116">
        <v>146.75</v>
      </c>
      <c r="F2621" s="116">
        <v>135.94999999999999</v>
      </c>
      <c r="G2621">
        <v>334899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45866</v>
      </c>
      <c r="B2622" s="116">
        <v>134.19999999999999</v>
      </c>
      <c r="C2622" s="116">
        <v>129.94999999999999</v>
      </c>
      <c r="D2622" s="116">
        <v>128.5</v>
      </c>
      <c r="E2622" s="116">
        <v>132.55000000000001</v>
      </c>
      <c r="F2622" s="116">
        <v>129.94999999999999</v>
      </c>
      <c r="G2622">
        <v>252834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45867</v>
      </c>
      <c r="B2623" s="116">
        <v>133.94999999999999</v>
      </c>
      <c r="C2623" s="116">
        <v>132.80000000000001</v>
      </c>
      <c r="D2623" s="116">
        <v>127.8</v>
      </c>
      <c r="E2623" s="116">
        <v>128.94999999999999</v>
      </c>
      <c r="F2623" s="116">
        <v>132.80000000000001</v>
      </c>
      <c r="G2623">
        <v>104839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45868</v>
      </c>
      <c r="B2624" s="116">
        <v>134.75</v>
      </c>
      <c r="C2624" s="116">
        <v>131.65</v>
      </c>
      <c r="D2624" s="116">
        <v>130.25</v>
      </c>
      <c r="E2624" s="116">
        <v>131.25</v>
      </c>
      <c r="F2624" s="116">
        <v>131.65</v>
      </c>
      <c r="G2624">
        <v>151222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45869</v>
      </c>
      <c r="B2625" s="116">
        <v>130.6</v>
      </c>
      <c r="C2625" s="116">
        <v>127.55</v>
      </c>
      <c r="D2625" s="116">
        <v>126.6</v>
      </c>
      <c r="E2625" s="116">
        <v>129.65</v>
      </c>
      <c r="F2625" s="116">
        <v>127.55</v>
      </c>
      <c r="G2625">
        <v>85757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45870</v>
      </c>
      <c r="B2626" s="116">
        <v>129.65</v>
      </c>
      <c r="C2626" s="116">
        <v>127.75</v>
      </c>
      <c r="D2626" s="116">
        <v>127.1</v>
      </c>
      <c r="E2626" s="116">
        <v>127.15</v>
      </c>
      <c r="F2626" s="116">
        <v>127.75</v>
      </c>
      <c r="G2626">
        <v>150800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45873</v>
      </c>
      <c r="B2627" s="116">
        <v>132</v>
      </c>
      <c r="C2627" s="116">
        <v>130.65</v>
      </c>
      <c r="D2627" s="116">
        <v>125.5</v>
      </c>
      <c r="E2627" s="116">
        <v>130.65</v>
      </c>
      <c r="F2627" s="116">
        <v>130.65</v>
      </c>
      <c r="G2627">
        <v>64916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45874</v>
      </c>
      <c r="B2628" s="116">
        <v>132.55000000000001</v>
      </c>
      <c r="C2628" s="116">
        <v>129.44999999999999</v>
      </c>
      <c r="D2628" s="116">
        <v>129</v>
      </c>
      <c r="E2628" s="116">
        <v>131.6</v>
      </c>
      <c r="F2628" s="116">
        <v>129.44999999999999</v>
      </c>
      <c r="G2628">
        <v>40849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45875</v>
      </c>
      <c r="B2629" s="116">
        <v>131.15</v>
      </c>
      <c r="C2629" s="116">
        <v>126.4</v>
      </c>
      <c r="D2629" s="116">
        <v>125.7</v>
      </c>
      <c r="E2629" s="116">
        <v>129.15</v>
      </c>
      <c r="F2629" s="116">
        <v>126.4</v>
      </c>
      <c r="G2629">
        <v>41069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45876</v>
      </c>
      <c r="B2630" s="116">
        <v>130.19999999999999</v>
      </c>
      <c r="C2630" s="116">
        <v>129</v>
      </c>
      <c r="D2630" s="116">
        <v>123.35</v>
      </c>
      <c r="E2630" s="116">
        <v>125.85</v>
      </c>
      <c r="F2630" s="116">
        <v>129</v>
      </c>
      <c r="G2630">
        <v>221692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45877</v>
      </c>
      <c r="B2631" s="116">
        <v>130.25</v>
      </c>
      <c r="C2631" s="116">
        <v>125.4</v>
      </c>
      <c r="D2631" s="116">
        <v>125</v>
      </c>
      <c r="E2631" s="116">
        <v>129.05000000000001</v>
      </c>
      <c r="F2631" s="116">
        <v>125.4</v>
      </c>
      <c r="G2631">
        <v>150731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45880</v>
      </c>
      <c r="B2632" s="116">
        <v>129.15</v>
      </c>
      <c r="C2632" s="116">
        <v>128</v>
      </c>
      <c r="D2632" s="116">
        <v>123.5</v>
      </c>
      <c r="E2632" s="116">
        <v>125.35</v>
      </c>
      <c r="F2632" s="116">
        <v>128</v>
      </c>
      <c r="G2632">
        <v>188920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45881</v>
      </c>
      <c r="B2633" s="116">
        <v>135.94999999999999</v>
      </c>
      <c r="C2633" s="116">
        <v>135</v>
      </c>
      <c r="D2633" s="116">
        <v>128</v>
      </c>
      <c r="E2633" s="116">
        <v>129.69999999999999</v>
      </c>
      <c r="F2633" s="116">
        <v>135</v>
      </c>
      <c r="G2633">
        <v>282854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45882</v>
      </c>
      <c r="B2634" s="116">
        <v>136.44999999999999</v>
      </c>
      <c r="C2634" s="116">
        <v>133.6</v>
      </c>
      <c r="D2634" s="116">
        <v>132.6</v>
      </c>
      <c r="E2634" s="116">
        <v>136.19999999999999</v>
      </c>
      <c r="F2634" s="116">
        <v>133.6</v>
      </c>
      <c r="G2634">
        <v>104748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45883</v>
      </c>
      <c r="B2635" s="116">
        <v>135</v>
      </c>
      <c r="C2635" s="116">
        <v>131.69999999999999</v>
      </c>
      <c r="D2635" s="116">
        <v>131</v>
      </c>
      <c r="E2635" s="116">
        <v>134.85</v>
      </c>
      <c r="F2635" s="116">
        <v>131.69999999999999</v>
      </c>
      <c r="G2635">
        <v>115170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45887</v>
      </c>
      <c r="B2636" s="116">
        <v>135.30000000000001</v>
      </c>
      <c r="C2636" s="116">
        <v>132.94999999999999</v>
      </c>
      <c r="D2636" s="116">
        <v>132.15</v>
      </c>
      <c r="E2636" s="116">
        <v>133.65</v>
      </c>
      <c r="F2636" s="116">
        <v>132.94999999999999</v>
      </c>
      <c r="G2636">
        <v>54747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45888</v>
      </c>
      <c r="B2637" s="116">
        <v>133.5</v>
      </c>
      <c r="C2637" s="116">
        <v>133</v>
      </c>
      <c r="D2637" s="116">
        <v>131.35</v>
      </c>
      <c r="E2637" s="116">
        <v>133.05000000000001</v>
      </c>
      <c r="F2637" s="116">
        <v>133</v>
      </c>
      <c r="G2637">
        <v>119401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45889</v>
      </c>
      <c r="B2638" s="116">
        <v>140.4</v>
      </c>
      <c r="C2638" s="116">
        <v>139.75</v>
      </c>
      <c r="D2638" s="116">
        <v>132.69999999999999</v>
      </c>
      <c r="E2638" s="116">
        <v>133.15</v>
      </c>
      <c r="F2638" s="116">
        <v>139.75</v>
      </c>
      <c r="G2638">
        <v>316185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45890</v>
      </c>
      <c r="B2639" s="116">
        <v>143.9</v>
      </c>
      <c r="C2639" s="116">
        <v>141.69999999999999</v>
      </c>
      <c r="D2639" s="116">
        <v>140.55000000000001</v>
      </c>
      <c r="E2639" s="116">
        <v>140.94999999999999</v>
      </c>
      <c r="F2639" s="116">
        <v>141.69999999999999</v>
      </c>
      <c r="G2639">
        <v>250311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45891</v>
      </c>
      <c r="B2640" s="116">
        <v>150.5</v>
      </c>
      <c r="C2640" s="116">
        <v>149.1</v>
      </c>
      <c r="D2640" s="116">
        <v>138.05000000000001</v>
      </c>
      <c r="E2640" s="116">
        <v>142.4</v>
      </c>
      <c r="F2640" s="116">
        <v>149.1</v>
      </c>
      <c r="G2640">
        <v>325609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45894</v>
      </c>
      <c r="B2641" s="116">
        <v>152.19999999999999</v>
      </c>
      <c r="C2641" s="116">
        <v>151</v>
      </c>
      <c r="D2641" s="116">
        <v>147.69999999999999</v>
      </c>
      <c r="E2641" s="116">
        <v>149.85</v>
      </c>
      <c r="F2641" s="116">
        <v>151</v>
      </c>
      <c r="G2641">
        <v>324841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45895</v>
      </c>
      <c r="B2642" s="116">
        <v>153.80000000000001</v>
      </c>
      <c r="C2642" s="116">
        <v>148.15</v>
      </c>
      <c r="D2642" s="116">
        <v>146.44999999999999</v>
      </c>
      <c r="E2642" s="116">
        <v>151.80000000000001</v>
      </c>
      <c r="F2642" s="116">
        <v>148.15</v>
      </c>
      <c r="G2642">
        <v>339770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45897</v>
      </c>
      <c r="B2643" s="116">
        <v>148.85</v>
      </c>
      <c r="C2643" s="116">
        <v>145.69999999999999</v>
      </c>
      <c r="D2643" s="116">
        <v>144</v>
      </c>
      <c r="E2643" s="116">
        <v>148.19999999999999</v>
      </c>
      <c r="F2643" s="116">
        <v>145.69999999999999</v>
      </c>
      <c r="G2643">
        <v>256507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45898</v>
      </c>
      <c r="B2644" s="116">
        <v>153</v>
      </c>
      <c r="C2644" s="116">
        <v>149.69999999999999</v>
      </c>
      <c r="D2644" s="116">
        <v>143.55000000000001</v>
      </c>
      <c r="E2644" s="116">
        <v>144.85</v>
      </c>
      <c r="F2644" s="116">
        <v>149.69999999999999</v>
      </c>
      <c r="G2644">
        <v>426588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45901</v>
      </c>
      <c r="B2645" s="116">
        <v>153.85</v>
      </c>
      <c r="C2645" s="116">
        <v>151</v>
      </c>
      <c r="D2645" s="116">
        <v>149.94999999999999</v>
      </c>
      <c r="E2645" s="116">
        <v>152.19999999999999</v>
      </c>
      <c r="F2645" s="116">
        <v>151</v>
      </c>
      <c r="G2645">
        <v>155829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45902</v>
      </c>
      <c r="B2646" s="116">
        <v>156.19999999999999</v>
      </c>
      <c r="C2646" s="116">
        <v>154.5</v>
      </c>
      <c r="D2646" s="116">
        <v>150.69999999999999</v>
      </c>
      <c r="E2646" s="116">
        <v>151.44999999999999</v>
      </c>
      <c r="F2646" s="116">
        <v>154.5</v>
      </c>
      <c r="G2646">
        <v>348648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45903</v>
      </c>
      <c r="B2647" s="116">
        <v>162.75</v>
      </c>
      <c r="C2647" s="116">
        <v>162.15</v>
      </c>
      <c r="D2647" s="116">
        <v>155.25</v>
      </c>
      <c r="E2647" s="116">
        <v>156.19999999999999</v>
      </c>
      <c r="F2647" s="116">
        <v>162.15</v>
      </c>
      <c r="G2647">
        <v>433626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45904</v>
      </c>
      <c r="B2648" s="116">
        <v>164</v>
      </c>
      <c r="C2648" s="116">
        <v>158.69999999999999</v>
      </c>
      <c r="D2648" s="116">
        <v>157.55000000000001</v>
      </c>
      <c r="E2648" s="116">
        <v>163.9</v>
      </c>
      <c r="F2648" s="116">
        <v>158.69999999999999</v>
      </c>
      <c r="G2648">
        <v>501430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45905</v>
      </c>
      <c r="B2649" s="116">
        <v>180.2</v>
      </c>
      <c r="C2649" s="116">
        <v>176.85</v>
      </c>
      <c r="D2649" s="116">
        <v>158.15</v>
      </c>
      <c r="E2649" s="116">
        <v>159</v>
      </c>
      <c r="F2649" s="116">
        <v>176.85</v>
      </c>
      <c r="G2649">
        <v>3541977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45908</v>
      </c>
      <c r="B2650" s="116">
        <v>183</v>
      </c>
      <c r="C2650" s="116">
        <v>170.45</v>
      </c>
      <c r="D2650" s="116">
        <v>167.3</v>
      </c>
      <c r="E2650" s="116">
        <v>179.8</v>
      </c>
      <c r="F2650" s="116">
        <v>170.45</v>
      </c>
      <c r="G2650">
        <v>1031493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45909</v>
      </c>
      <c r="B2651" s="116">
        <v>177.5</v>
      </c>
      <c r="C2651" s="116">
        <v>173.15</v>
      </c>
      <c r="D2651" s="116">
        <v>166.25</v>
      </c>
      <c r="E2651" s="116">
        <v>170.25</v>
      </c>
      <c r="F2651" s="116">
        <v>173.15</v>
      </c>
      <c r="G2651">
        <v>590744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45910</v>
      </c>
      <c r="B2652" s="116">
        <v>175.8</v>
      </c>
      <c r="C2652" s="116">
        <v>169.75</v>
      </c>
      <c r="D2652" s="116">
        <v>168.4</v>
      </c>
      <c r="E2652" s="116">
        <v>173.9</v>
      </c>
      <c r="F2652" s="116">
        <v>169.75</v>
      </c>
      <c r="G2652">
        <v>339429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45911</v>
      </c>
      <c r="B2653" s="116">
        <v>171.5</v>
      </c>
      <c r="C2653" s="116">
        <v>167.5</v>
      </c>
      <c r="D2653" s="116">
        <v>166.4</v>
      </c>
      <c r="E2653" s="116">
        <v>169.9</v>
      </c>
      <c r="F2653" s="116">
        <v>167.5</v>
      </c>
      <c r="G2653">
        <v>513890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45912</v>
      </c>
      <c r="B2654" s="116">
        <v>177.55</v>
      </c>
      <c r="C2654" s="116">
        <v>174</v>
      </c>
      <c r="D2654" s="116">
        <v>166.25</v>
      </c>
      <c r="E2654" s="116">
        <v>166.25</v>
      </c>
      <c r="F2654" s="116">
        <v>174</v>
      </c>
      <c r="G2654">
        <v>530531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45915</v>
      </c>
      <c r="B2655" s="116">
        <v>179</v>
      </c>
      <c r="C2655" s="116">
        <v>176.65</v>
      </c>
      <c r="D2655" s="116">
        <v>172.65</v>
      </c>
      <c r="E2655" s="116">
        <v>174.2</v>
      </c>
      <c r="F2655" s="116">
        <v>176.65</v>
      </c>
      <c r="G2655">
        <v>605595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45916</v>
      </c>
      <c r="B2656" s="116">
        <v>178.2</v>
      </c>
      <c r="C2656" s="116">
        <v>176.9</v>
      </c>
      <c r="D2656" s="116">
        <v>173.65</v>
      </c>
      <c r="E2656" s="116">
        <v>176.95</v>
      </c>
      <c r="F2656" s="116">
        <v>176.9</v>
      </c>
      <c r="G2656">
        <v>423246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45917</v>
      </c>
      <c r="B2657" s="116">
        <v>186.5</v>
      </c>
      <c r="C2657" s="116">
        <v>176.85</v>
      </c>
      <c r="D2657" s="116">
        <v>174.2</v>
      </c>
      <c r="E2657" s="116">
        <v>179</v>
      </c>
      <c r="F2657" s="116">
        <v>176.85</v>
      </c>
      <c r="G2657">
        <v>732974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45918</v>
      </c>
      <c r="B2658" s="116">
        <v>184.4</v>
      </c>
      <c r="C2658" s="116">
        <v>177.05</v>
      </c>
      <c r="D2658" s="116">
        <v>174.45</v>
      </c>
      <c r="E2658" s="116">
        <v>177.9</v>
      </c>
      <c r="F2658" s="116">
        <v>177.05</v>
      </c>
      <c r="G2658">
        <v>612778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45919</v>
      </c>
      <c r="B2659" s="116">
        <v>184.8</v>
      </c>
      <c r="C2659" s="116">
        <v>183.8</v>
      </c>
      <c r="D2659" s="116">
        <v>175.25</v>
      </c>
      <c r="E2659" s="116">
        <v>177.95</v>
      </c>
      <c r="F2659" s="116">
        <v>183.8</v>
      </c>
      <c r="G2659">
        <v>529784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45922</v>
      </c>
      <c r="B2660" s="116">
        <v>194.4</v>
      </c>
      <c r="C2660" s="116">
        <v>189.75</v>
      </c>
      <c r="D2660" s="116">
        <v>184.25</v>
      </c>
      <c r="E2660" s="116">
        <v>185.25</v>
      </c>
      <c r="F2660" s="116">
        <v>189.75</v>
      </c>
      <c r="G2660">
        <v>1424037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45923</v>
      </c>
      <c r="B2661" s="116">
        <v>196.4</v>
      </c>
      <c r="C2661" s="116">
        <v>193.55</v>
      </c>
      <c r="D2661" s="116">
        <v>188.15</v>
      </c>
      <c r="E2661" s="116">
        <v>192.9</v>
      </c>
      <c r="F2661" s="116">
        <v>193.55</v>
      </c>
      <c r="G2661">
        <v>1234762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45924</v>
      </c>
      <c r="B2662" s="116">
        <v>193</v>
      </c>
      <c r="C2662" s="116">
        <v>186.75</v>
      </c>
      <c r="D2662" s="116">
        <v>185.3</v>
      </c>
      <c r="E2662" s="116">
        <v>192.9</v>
      </c>
      <c r="F2662" s="116">
        <v>186.75</v>
      </c>
      <c r="G2662">
        <v>317623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45925</v>
      </c>
      <c r="B2663" s="116">
        <v>188.15</v>
      </c>
      <c r="C2663" s="116">
        <v>179.85</v>
      </c>
      <c r="D2663" s="116">
        <v>179.25</v>
      </c>
      <c r="E2663" s="116">
        <v>186.6</v>
      </c>
      <c r="F2663" s="116">
        <v>179.85</v>
      </c>
      <c r="G2663">
        <v>631138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45926</v>
      </c>
      <c r="B2664" s="116">
        <v>182.6</v>
      </c>
      <c r="C2664" s="116">
        <v>178.9</v>
      </c>
      <c r="D2664" s="116">
        <v>176.55</v>
      </c>
      <c r="E2664" s="116">
        <v>180.05</v>
      </c>
      <c r="F2664" s="116">
        <v>178.9</v>
      </c>
      <c r="G2664">
        <v>360649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45929</v>
      </c>
      <c r="B2665" s="116">
        <v>185.5</v>
      </c>
      <c r="C2665" s="116">
        <v>178.5</v>
      </c>
      <c r="D2665" s="116">
        <v>177.1</v>
      </c>
      <c r="E2665" s="116">
        <v>179.35</v>
      </c>
      <c r="F2665" s="116">
        <v>178.5</v>
      </c>
      <c r="G2665">
        <v>299784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45930</v>
      </c>
      <c r="B2666" s="116">
        <v>179.75</v>
      </c>
      <c r="C2666" s="116">
        <v>174.3</v>
      </c>
      <c r="D2666" s="116">
        <v>171.35</v>
      </c>
      <c r="E2666" s="116">
        <v>176.55</v>
      </c>
      <c r="F2666" s="116">
        <v>174.3</v>
      </c>
      <c r="G2666">
        <v>380122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45931</v>
      </c>
      <c r="B2667" s="116">
        <v>182.3</v>
      </c>
      <c r="C2667" s="116">
        <v>181.15</v>
      </c>
      <c r="D2667" s="116">
        <v>174.15</v>
      </c>
      <c r="E2667" s="116">
        <v>174.35</v>
      </c>
      <c r="F2667" s="116">
        <v>181.15</v>
      </c>
      <c r="G2667">
        <v>273207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45933</v>
      </c>
      <c r="B2668" s="116">
        <v>211.65</v>
      </c>
      <c r="C2668" s="116">
        <v>202.3</v>
      </c>
      <c r="D2668" s="116">
        <v>180.25</v>
      </c>
      <c r="E2668" s="116">
        <v>181.9</v>
      </c>
      <c r="F2668" s="116">
        <v>202.3</v>
      </c>
      <c r="G2668">
        <v>1874921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45936</v>
      </c>
      <c r="B2669" s="116">
        <v>214.5</v>
      </c>
      <c r="C2669" s="116">
        <v>211.35</v>
      </c>
      <c r="D2669" s="116">
        <v>202.4</v>
      </c>
      <c r="E2669" s="116">
        <v>203.05</v>
      </c>
      <c r="F2669" s="116">
        <v>211.35</v>
      </c>
      <c r="G2669">
        <v>1660322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45937</v>
      </c>
      <c r="B2670" s="116">
        <v>214.1</v>
      </c>
      <c r="C2670" s="116">
        <v>207.2</v>
      </c>
      <c r="D2670" s="116">
        <v>205.65</v>
      </c>
      <c r="E2670" s="116">
        <v>212</v>
      </c>
      <c r="F2670" s="116">
        <v>207.2</v>
      </c>
      <c r="G2670">
        <v>340107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45938</v>
      </c>
      <c r="B2671" s="116">
        <v>212.35</v>
      </c>
      <c r="C2671" s="116">
        <v>202.45</v>
      </c>
      <c r="D2671" s="116">
        <v>197.6</v>
      </c>
      <c r="E2671" s="116">
        <v>208.05</v>
      </c>
      <c r="F2671" s="116">
        <v>202.45</v>
      </c>
      <c r="G2671">
        <v>399590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45939</v>
      </c>
      <c r="B2672" s="116">
        <v>209.2</v>
      </c>
      <c r="C2672" s="116">
        <v>207.3</v>
      </c>
      <c r="D2672" s="116">
        <v>200.55</v>
      </c>
      <c r="E2672" s="116">
        <v>202.8</v>
      </c>
      <c r="F2672" s="116">
        <v>207.3</v>
      </c>
      <c r="G2672">
        <v>348915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45940</v>
      </c>
      <c r="B2673" s="116">
        <v>215</v>
      </c>
      <c r="C2673" s="116">
        <v>203.7</v>
      </c>
      <c r="D2673" s="116">
        <v>202.3</v>
      </c>
      <c r="E2673" s="116">
        <v>209</v>
      </c>
      <c r="F2673" s="116">
        <v>203.7</v>
      </c>
      <c r="G2673">
        <v>722829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45943</v>
      </c>
      <c r="B2674" s="116">
        <v>203.7</v>
      </c>
      <c r="C2674" s="116">
        <v>190.55</v>
      </c>
      <c r="D2674" s="116">
        <v>189.25</v>
      </c>
      <c r="E2674" s="116">
        <v>203.45</v>
      </c>
      <c r="F2674" s="116">
        <v>190.55</v>
      </c>
      <c r="G2674">
        <v>453893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45944</v>
      </c>
      <c r="B2675" s="116">
        <v>193.4</v>
      </c>
      <c r="C2675" s="116">
        <v>183.05</v>
      </c>
      <c r="D2675" s="116">
        <v>182.1</v>
      </c>
      <c r="E2675" s="116">
        <v>192.55</v>
      </c>
      <c r="F2675" s="116">
        <v>183.05</v>
      </c>
      <c r="G2675">
        <v>710444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45945</v>
      </c>
      <c r="B2676" s="116">
        <v>197.75</v>
      </c>
      <c r="C2676" s="116">
        <v>194.85</v>
      </c>
      <c r="D2676" s="116">
        <v>182.6</v>
      </c>
      <c r="E2676" s="116">
        <v>183.9</v>
      </c>
      <c r="F2676" s="116">
        <v>194.85</v>
      </c>
      <c r="G2676">
        <v>745288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45946</v>
      </c>
      <c r="B2677" s="116">
        <v>201.25</v>
      </c>
      <c r="C2677" s="116">
        <v>198.2</v>
      </c>
      <c r="D2677" s="116">
        <v>193.7</v>
      </c>
      <c r="E2677" s="116">
        <v>196.35</v>
      </c>
      <c r="F2677" s="116">
        <v>198.2</v>
      </c>
      <c r="G2677">
        <v>559708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45947</v>
      </c>
      <c r="B2678" s="116">
        <v>199.25</v>
      </c>
      <c r="C2678" s="116">
        <v>190.5</v>
      </c>
      <c r="D2678" s="116">
        <v>190</v>
      </c>
      <c r="E2678" s="116">
        <v>198.2</v>
      </c>
      <c r="F2678" s="116">
        <v>190.5</v>
      </c>
      <c r="G2678">
        <v>260786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45950</v>
      </c>
      <c r="B2679" s="116">
        <v>179.95</v>
      </c>
      <c r="C2679" s="116">
        <v>174.5</v>
      </c>
      <c r="D2679" s="116">
        <v>160.65</v>
      </c>
      <c r="E2679" s="116">
        <v>175.35</v>
      </c>
      <c r="F2679" s="116">
        <v>174.5</v>
      </c>
      <c r="G2679">
        <v>1434931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45951</v>
      </c>
      <c r="B2680" s="116">
        <v>182.65</v>
      </c>
      <c r="C2680" s="116">
        <v>181.65</v>
      </c>
      <c r="D2680" s="116">
        <v>175.5</v>
      </c>
      <c r="E2680" s="116">
        <v>175.5</v>
      </c>
      <c r="F2680" s="116">
        <v>181.65</v>
      </c>
      <c r="G2680">
        <v>207513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45953</v>
      </c>
      <c r="B2681" s="116">
        <v>188.9</v>
      </c>
      <c r="C2681" s="116">
        <v>180.3</v>
      </c>
      <c r="D2681" s="116">
        <v>177.8</v>
      </c>
      <c r="E2681" s="116">
        <v>183.9</v>
      </c>
      <c r="F2681" s="116">
        <v>180.3</v>
      </c>
      <c r="G2681">
        <v>415327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45954</v>
      </c>
      <c r="B2682" s="116">
        <v>183.4</v>
      </c>
      <c r="C2682" s="116">
        <v>179.4</v>
      </c>
      <c r="D2682" s="116">
        <v>178.7</v>
      </c>
      <c r="E2682" s="116">
        <v>181</v>
      </c>
      <c r="F2682" s="116">
        <v>179.4</v>
      </c>
      <c r="G2682">
        <v>214797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45957</v>
      </c>
      <c r="B2683" s="116">
        <v>180.1</v>
      </c>
      <c r="C2683" s="116">
        <v>173.5</v>
      </c>
      <c r="D2683" s="116">
        <v>172.7</v>
      </c>
      <c r="E2683" s="116">
        <v>180.1</v>
      </c>
      <c r="F2683" s="116">
        <v>173.5</v>
      </c>
      <c r="G2683">
        <v>298204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45958</v>
      </c>
      <c r="B2684" s="116">
        <v>175.5</v>
      </c>
      <c r="C2684" s="116">
        <v>173.5</v>
      </c>
      <c r="D2684" s="116">
        <v>172.55</v>
      </c>
      <c r="E2684" s="116">
        <v>174.65</v>
      </c>
      <c r="F2684" s="116">
        <v>173.5</v>
      </c>
      <c r="G2684">
        <v>304481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45959</v>
      </c>
      <c r="B2685" s="116">
        <v>181.45</v>
      </c>
      <c r="C2685" s="116">
        <v>178.45</v>
      </c>
      <c r="D2685" s="116">
        <v>172.25</v>
      </c>
      <c r="E2685" s="116">
        <v>173.7</v>
      </c>
      <c r="F2685" s="116">
        <v>178.45</v>
      </c>
      <c r="G2685">
        <v>399550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45960</v>
      </c>
      <c r="B2686" s="116">
        <v>178.6</v>
      </c>
      <c r="C2686" s="116">
        <v>175.25</v>
      </c>
      <c r="D2686" s="116">
        <v>174.5</v>
      </c>
      <c r="E2686" s="116">
        <v>178.6</v>
      </c>
      <c r="F2686" s="116">
        <v>175.25</v>
      </c>
      <c r="G2686">
        <v>234299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45961</v>
      </c>
      <c r="B2687" s="116">
        <v>176.45</v>
      </c>
      <c r="C2687" s="116">
        <v>171.55</v>
      </c>
      <c r="D2687" s="116">
        <v>171</v>
      </c>
      <c r="E2687" s="116">
        <v>175.25</v>
      </c>
      <c r="F2687" s="116">
        <v>171.55</v>
      </c>
      <c r="G2687">
        <v>206869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45964</v>
      </c>
      <c r="B2688" s="116">
        <v>172.4</v>
      </c>
      <c r="C2688" s="116">
        <v>169.1</v>
      </c>
      <c r="D2688" s="116">
        <v>168.7</v>
      </c>
      <c r="E2688" s="116">
        <v>171.05</v>
      </c>
      <c r="F2688" s="116">
        <v>169.1</v>
      </c>
      <c r="G2688">
        <v>323246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45965</v>
      </c>
      <c r="B2689" s="116">
        <v>171.1</v>
      </c>
      <c r="C2689" s="116">
        <v>167.7</v>
      </c>
      <c r="D2689" s="116">
        <v>167</v>
      </c>
      <c r="E2689" s="116">
        <v>170</v>
      </c>
      <c r="F2689" s="116">
        <v>167.7</v>
      </c>
      <c r="G2689">
        <v>201888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45967</v>
      </c>
      <c r="B2690" s="116">
        <v>168.45</v>
      </c>
      <c r="C2690" s="116">
        <v>162.25</v>
      </c>
      <c r="D2690" s="116">
        <v>161.6</v>
      </c>
      <c r="E2690" s="116">
        <v>167.45</v>
      </c>
      <c r="F2690" s="116">
        <v>162.25</v>
      </c>
      <c r="G2690">
        <v>164181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45968</v>
      </c>
      <c r="B2691" s="116">
        <v>164.1</v>
      </c>
      <c r="C2691" s="116">
        <v>162.55000000000001</v>
      </c>
      <c r="D2691" s="116">
        <v>160.05000000000001</v>
      </c>
      <c r="E2691" s="116">
        <v>163.19999999999999</v>
      </c>
      <c r="F2691" s="116">
        <v>162.55000000000001</v>
      </c>
      <c r="G2691">
        <v>263078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45971</v>
      </c>
      <c r="B2692" s="116">
        <v>164.35</v>
      </c>
      <c r="C2692" s="116">
        <v>161.35</v>
      </c>
      <c r="D2692" s="116">
        <v>160.05000000000001</v>
      </c>
      <c r="E2692" s="116">
        <v>162.75</v>
      </c>
      <c r="F2692" s="116">
        <v>161.35</v>
      </c>
      <c r="G2692">
        <v>150699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45972</v>
      </c>
      <c r="B2693" s="116">
        <v>166</v>
      </c>
      <c r="C2693" s="116">
        <v>164.7</v>
      </c>
      <c r="D2693" s="116">
        <v>160.5</v>
      </c>
      <c r="E2693" s="116">
        <v>160.65</v>
      </c>
      <c r="F2693" s="116">
        <v>164.7</v>
      </c>
      <c r="G2693">
        <v>260653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45973</v>
      </c>
      <c r="B2694" s="116">
        <v>168.25</v>
      </c>
      <c r="C2694" s="116">
        <v>164.75</v>
      </c>
      <c r="D2694" s="116">
        <v>163.9</v>
      </c>
      <c r="E2694" s="116">
        <v>165.15</v>
      </c>
      <c r="F2694" s="116">
        <v>164.75</v>
      </c>
      <c r="G2694">
        <v>191855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45974</v>
      </c>
      <c r="B2695" s="116">
        <v>166.4</v>
      </c>
      <c r="C2695" s="116">
        <v>162.35</v>
      </c>
      <c r="D2695" s="116">
        <v>162</v>
      </c>
      <c r="E2695" s="116">
        <v>164.7</v>
      </c>
      <c r="F2695" s="116">
        <v>162.35</v>
      </c>
      <c r="G2695">
        <v>181392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45975</v>
      </c>
      <c r="B2696" s="116">
        <v>167</v>
      </c>
      <c r="C2696" s="116">
        <v>164</v>
      </c>
      <c r="D2696" s="116">
        <v>162.05000000000001</v>
      </c>
      <c r="E2696" s="116">
        <v>162.35</v>
      </c>
      <c r="F2696" s="116">
        <v>164</v>
      </c>
      <c r="G2696">
        <v>174316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45978</v>
      </c>
      <c r="B2697" s="116">
        <v>166.95</v>
      </c>
      <c r="C2697" s="116">
        <v>161.75</v>
      </c>
      <c r="D2697" s="116">
        <v>161.35</v>
      </c>
      <c r="E2697" s="116">
        <v>166.95</v>
      </c>
      <c r="F2697" s="116">
        <v>161.75</v>
      </c>
      <c r="G2697">
        <v>61146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45979</v>
      </c>
      <c r="B2698" s="116">
        <v>163.35</v>
      </c>
      <c r="C2698" s="116">
        <v>160.75</v>
      </c>
      <c r="D2698" s="116">
        <v>159.5</v>
      </c>
      <c r="E2698" s="116">
        <v>163.35</v>
      </c>
      <c r="F2698" s="116">
        <v>160.75</v>
      </c>
      <c r="G2698">
        <v>142348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45980</v>
      </c>
      <c r="B2699" s="116">
        <v>160.69999999999999</v>
      </c>
      <c r="C2699" s="116">
        <v>157.65</v>
      </c>
      <c r="D2699" s="116">
        <v>157.1</v>
      </c>
      <c r="E2699" s="116">
        <v>160.69999999999999</v>
      </c>
      <c r="F2699" s="116">
        <v>157.65</v>
      </c>
      <c r="G2699">
        <v>202063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45981</v>
      </c>
      <c r="B2700" s="116">
        <v>163.4</v>
      </c>
      <c r="C2700" s="116">
        <v>159.35</v>
      </c>
      <c r="D2700" s="116">
        <v>157.69999999999999</v>
      </c>
      <c r="E2700" s="116">
        <v>158.9</v>
      </c>
      <c r="F2700" s="116">
        <v>159.35</v>
      </c>
      <c r="G2700">
        <v>82368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45982</v>
      </c>
      <c r="B2701" s="116">
        <v>158.65</v>
      </c>
      <c r="C2701" s="116">
        <v>154.94999999999999</v>
      </c>
      <c r="D2701" s="116">
        <v>154.19999999999999</v>
      </c>
      <c r="E2701" s="116">
        <v>157.65</v>
      </c>
      <c r="F2701" s="116">
        <v>154.94999999999999</v>
      </c>
      <c r="G2701">
        <v>171221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45985</v>
      </c>
      <c r="B2702" s="116">
        <v>155.30000000000001</v>
      </c>
      <c r="C2702" s="116">
        <v>149.80000000000001</v>
      </c>
      <c r="D2702" s="116">
        <v>147.9</v>
      </c>
      <c r="E2702" s="116">
        <v>155.30000000000001</v>
      </c>
      <c r="F2702" s="116">
        <v>149.80000000000001</v>
      </c>
      <c r="G2702">
        <v>275389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45986</v>
      </c>
      <c r="B2703" s="116">
        <v>154.1</v>
      </c>
      <c r="C2703" s="116">
        <v>151.25</v>
      </c>
      <c r="D2703" s="116">
        <v>148.5</v>
      </c>
      <c r="E2703" s="116">
        <v>149.75</v>
      </c>
      <c r="F2703" s="116">
        <v>151.25</v>
      </c>
      <c r="G2703">
        <v>143377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45987</v>
      </c>
      <c r="B2704" s="116">
        <v>160</v>
      </c>
      <c r="C2704" s="116">
        <v>154.15</v>
      </c>
      <c r="D2704" s="116">
        <v>152.5</v>
      </c>
      <c r="E2704" s="116">
        <v>155</v>
      </c>
      <c r="F2704" s="116">
        <v>154.15</v>
      </c>
      <c r="G2704">
        <v>267974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45988</v>
      </c>
      <c r="B2705" s="116">
        <v>158.35</v>
      </c>
      <c r="C2705" s="116">
        <v>154.55000000000001</v>
      </c>
      <c r="D2705" s="116">
        <v>154</v>
      </c>
      <c r="E2705" s="116">
        <v>155.19999999999999</v>
      </c>
      <c r="F2705" s="116">
        <v>154.55000000000001</v>
      </c>
      <c r="G2705">
        <v>154562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45989</v>
      </c>
      <c r="B2706" s="116">
        <v>157.69999999999999</v>
      </c>
      <c r="C2706" s="116">
        <v>155.19999999999999</v>
      </c>
      <c r="D2706" s="116">
        <v>152</v>
      </c>
      <c r="E2706" s="116">
        <v>154.5</v>
      </c>
      <c r="F2706" s="116">
        <v>155.19999999999999</v>
      </c>
      <c r="G2706">
        <v>54493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45992</v>
      </c>
      <c r="B2707" s="116">
        <v>160.44999999999999</v>
      </c>
      <c r="C2707" s="116">
        <v>156.6</v>
      </c>
      <c r="D2707" s="116">
        <v>156</v>
      </c>
      <c r="E2707" s="116">
        <v>157.19999999999999</v>
      </c>
      <c r="F2707" s="116">
        <v>156.6</v>
      </c>
      <c r="G2707">
        <v>76856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45993</v>
      </c>
      <c r="B2708" s="116">
        <v>159.4</v>
      </c>
      <c r="C2708" s="116">
        <v>158.69999999999999</v>
      </c>
      <c r="D2708" s="116">
        <v>155.25</v>
      </c>
      <c r="E2708" s="116">
        <v>156.85</v>
      </c>
      <c r="F2708" s="116">
        <v>158.69999999999999</v>
      </c>
      <c r="G2708">
        <v>119356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45994</v>
      </c>
      <c r="B2709">
        <v>159.94999999999999</v>
      </c>
      <c r="C2709">
        <v>152.94999999999999</v>
      </c>
      <c r="D2709">
        <v>152.30000000000001</v>
      </c>
      <c r="E2709">
        <v>159.94999999999999</v>
      </c>
      <c r="F2709">
        <v>152.94999999999999</v>
      </c>
      <c r="G2709">
        <v>52243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45995</v>
      </c>
      <c r="B2710">
        <v>154.69999999999999</v>
      </c>
      <c r="C2710">
        <v>151.65</v>
      </c>
      <c r="D2710">
        <v>149.75</v>
      </c>
      <c r="E2710">
        <v>152.5</v>
      </c>
      <c r="F2710">
        <v>151.65</v>
      </c>
      <c r="G2710">
        <v>71725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45996</v>
      </c>
      <c r="B2711">
        <v>151.5</v>
      </c>
      <c r="C2711">
        <v>148.05000000000001</v>
      </c>
      <c r="D2711">
        <v>147</v>
      </c>
      <c r="E2711">
        <v>150</v>
      </c>
      <c r="F2711">
        <v>148.05000000000001</v>
      </c>
      <c r="G2711">
        <v>142987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45999</v>
      </c>
      <c r="B2712">
        <v>150.25</v>
      </c>
      <c r="C2712">
        <v>142.1</v>
      </c>
      <c r="D2712">
        <v>141</v>
      </c>
      <c r="E2712">
        <v>148.05000000000001</v>
      </c>
      <c r="F2712">
        <v>142.1</v>
      </c>
      <c r="G2712">
        <v>258545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46000</v>
      </c>
      <c r="B2713">
        <v>143.65</v>
      </c>
      <c r="C2713">
        <v>142.69999999999999</v>
      </c>
      <c r="D2713">
        <v>137.15</v>
      </c>
      <c r="E2713">
        <v>139.65</v>
      </c>
      <c r="F2713">
        <v>142.69999999999999</v>
      </c>
      <c r="G2713">
        <v>182065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46001</v>
      </c>
      <c r="B2714">
        <v>147.85</v>
      </c>
      <c r="C2714">
        <v>144.5</v>
      </c>
      <c r="D2714">
        <v>142.69999999999999</v>
      </c>
      <c r="E2714">
        <v>143.55000000000001</v>
      </c>
      <c r="F2714">
        <v>144.5</v>
      </c>
      <c r="G2714">
        <v>171808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46002</v>
      </c>
      <c r="B2715">
        <v>151.9</v>
      </c>
      <c r="C2715">
        <v>147.35</v>
      </c>
      <c r="D2715">
        <v>142.19999999999999</v>
      </c>
      <c r="E2715">
        <v>144.65</v>
      </c>
      <c r="F2715">
        <v>147.35</v>
      </c>
      <c r="G2715">
        <v>122000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46003</v>
      </c>
      <c r="B2716">
        <v>153.6</v>
      </c>
      <c r="C2716">
        <v>152.4</v>
      </c>
      <c r="D2716">
        <v>147.94999999999999</v>
      </c>
      <c r="E2716">
        <v>147.94999999999999</v>
      </c>
      <c r="F2716">
        <v>152.4</v>
      </c>
      <c r="G2716">
        <v>115699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46006</v>
      </c>
      <c r="B2717">
        <v>153.6</v>
      </c>
      <c r="C2717">
        <v>153</v>
      </c>
      <c r="D2717">
        <v>150.25</v>
      </c>
      <c r="E2717">
        <v>152.94999999999999</v>
      </c>
      <c r="F2717">
        <v>153</v>
      </c>
      <c r="G2717">
        <v>56291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46007</v>
      </c>
      <c r="B2718">
        <v>153.9</v>
      </c>
      <c r="C2718">
        <v>149.65</v>
      </c>
      <c r="D2718">
        <v>149.15</v>
      </c>
      <c r="E2718">
        <v>153.9</v>
      </c>
      <c r="F2718">
        <v>149.65</v>
      </c>
      <c r="G2718">
        <v>28845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46008</v>
      </c>
      <c r="B2719">
        <v>150</v>
      </c>
      <c r="C2719">
        <v>146.65</v>
      </c>
      <c r="D2719">
        <v>146</v>
      </c>
      <c r="E2719">
        <v>149.05000000000001</v>
      </c>
      <c r="F2719">
        <v>146.65</v>
      </c>
      <c r="G2719">
        <v>43334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46009</v>
      </c>
      <c r="B2720">
        <v>150.44999999999999</v>
      </c>
      <c r="C2720">
        <v>146.35</v>
      </c>
      <c r="D2720">
        <v>145.75</v>
      </c>
      <c r="E2720">
        <v>147</v>
      </c>
      <c r="F2720">
        <v>146.35</v>
      </c>
      <c r="G2720">
        <v>59228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46010</v>
      </c>
      <c r="B2721">
        <v>155.80000000000001</v>
      </c>
      <c r="C2721">
        <v>153.5</v>
      </c>
      <c r="D2721">
        <v>146.85</v>
      </c>
      <c r="E2721">
        <v>149.9</v>
      </c>
      <c r="F2721">
        <v>153.5</v>
      </c>
      <c r="G2721">
        <v>92416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46013</v>
      </c>
      <c r="B2722">
        <v>160.35</v>
      </c>
      <c r="C2722">
        <v>159.1</v>
      </c>
      <c r="D2722">
        <v>154.9</v>
      </c>
      <c r="E2722">
        <v>155.30000000000001</v>
      </c>
      <c r="F2722">
        <v>159.1</v>
      </c>
      <c r="G2722">
        <v>135381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A2723" s="170">
        <v>46014</v>
      </c>
      <c r="B2723">
        <v>163.80000000000001</v>
      </c>
      <c r="C2723">
        <v>162.6</v>
      </c>
      <c r="D2723">
        <v>158.4</v>
      </c>
      <c r="E2723">
        <v>160.44999999999999</v>
      </c>
      <c r="F2723">
        <v>162.6</v>
      </c>
      <c r="G2723">
        <v>188977</v>
      </c>
      <c r="H2723" s="116"/>
      <c r="I2723" s="116"/>
    </row>
    <row r="2724" spans="1:18" x14ac:dyDescent="0.25">
      <c r="A2724" s="170">
        <v>46015</v>
      </c>
      <c r="B2724">
        <v>164.6</v>
      </c>
      <c r="C2724">
        <v>161.65</v>
      </c>
      <c r="D2724">
        <v>160.4</v>
      </c>
      <c r="E2724">
        <v>163.75</v>
      </c>
      <c r="F2724">
        <v>161.65</v>
      </c>
      <c r="G2724">
        <v>105624</v>
      </c>
      <c r="H2724" s="116"/>
      <c r="I2724" s="116"/>
    </row>
    <row r="2725" spans="1:18" x14ac:dyDescent="0.25">
      <c r="A2725" s="170">
        <v>46017</v>
      </c>
      <c r="B2725">
        <v>163.65</v>
      </c>
      <c r="C2725">
        <v>159.85</v>
      </c>
      <c r="D2725">
        <v>158.69999999999999</v>
      </c>
      <c r="E2725">
        <v>162.19999999999999</v>
      </c>
      <c r="F2725">
        <v>159.85</v>
      </c>
      <c r="G2725">
        <v>92065</v>
      </c>
      <c r="H2725" s="116"/>
      <c r="I2725" s="116"/>
    </row>
    <row r="2726" spans="1:18" x14ac:dyDescent="0.25">
      <c r="A2726" s="170">
        <v>46020</v>
      </c>
      <c r="B2726">
        <v>162.05000000000001</v>
      </c>
      <c r="C2726">
        <v>155.5</v>
      </c>
      <c r="D2726">
        <v>154.65</v>
      </c>
      <c r="E2726">
        <v>161.65</v>
      </c>
      <c r="F2726">
        <v>155.5</v>
      </c>
      <c r="G2726">
        <v>116006</v>
      </c>
      <c r="H2726" s="116"/>
      <c r="I2726" s="116"/>
    </row>
    <row r="2727" spans="1:18" x14ac:dyDescent="0.25">
      <c r="A2727" s="170">
        <v>46021</v>
      </c>
      <c r="B2727">
        <v>157.69999999999999</v>
      </c>
      <c r="C2727">
        <v>155.55000000000001</v>
      </c>
      <c r="D2727">
        <v>154.19999999999999</v>
      </c>
      <c r="E2727">
        <v>156.05000000000001</v>
      </c>
      <c r="F2727">
        <v>155.55000000000001</v>
      </c>
      <c r="G2727">
        <v>66027</v>
      </c>
      <c r="H2727" s="116"/>
      <c r="I2727" s="116"/>
    </row>
    <row r="2728" spans="1:18" x14ac:dyDescent="0.25">
      <c r="A2728" s="170">
        <v>46022</v>
      </c>
      <c r="B2728">
        <v>159</v>
      </c>
      <c r="C2728">
        <v>157.6</v>
      </c>
      <c r="D2728">
        <v>155.44999999999999</v>
      </c>
      <c r="E2728">
        <v>155.55000000000001</v>
      </c>
      <c r="F2728">
        <v>157.6</v>
      </c>
      <c r="G2728">
        <v>81383</v>
      </c>
      <c r="H2728" s="116"/>
      <c r="I2728" s="116"/>
    </row>
    <row r="2729" spans="1:18" x14ac:dyDescent="0.25">
      <c r="A2729" s="170">
        <v>46023</v>
      </c>
      <c r="B2729">
        <v>159.65</v>
      </c>
      <c r="C2729">
        <v>156.65</v>
      </c>
      <c r="D2729">
        <v>154.05000000000001</v>
      </c>
      <c r="E2729">
        <v>156</v>
      </c>
      <c r="F2729">
        <v>156.65</v>
      </c>
      <c r="G2729">
        <v>56881</v>
      </c>
      <c r="H2729" s="116"/>
      <c r="I2729" s="116"/>
    </row>
    <row r="2730" spans="1:18" x14ac:dyDescent="0.25">
      <c r="A2730" s="170">
        <v>46024</v>
      </c>
      <c r="B2730">
        <v>159.15</v>
      </c>
      <c r="C2730">
        <v>157.69999999999999</v>
      </c>
      <c r="D2730">
        <v>155</v>
      </c>
      <c r="E2730">
        <v>155</v>
      </c>
      <c r="F2730">
        <v>157.69999999999999</v>
      </c>
      <c r="G2730">
        <v>60415</v>
      </c>
      <c r="H2730" s="116"/>
      <c r="I2730" s="116"/>
    </row>
    <row r="2731" spans="1:18" x14ac:dyDescent="0.25">
      <c r="A2731" s="170">
        <v>46027</v>
      </c>
      <c r="B2731">
        <v>161.35</v>
      </c>
      <c r="C2731">
        <v>157.44999999999999</v>
      </c>
      <c r="D2731">
        <v>157.1</v>
      </c>
      <c r="E2731">
        <v>158.5</v>
      </c>
      <c r="F2731">
        <v>157.44999999999999</v>
      </c>
      <c r="G2731">
        <v>99748</v>
      </c>
      <c r="H2731" s="116"/>
      <c r="I2731" s="116"/>
    </row>
    <row r="2732" spans="1:18" x14ac:dyDescent="0.25">
      <c r="A2732" s="170">
        <v>46028</v>
      </c>
      <c r="B2732">
        <v>160.4</v>
      </c>
      <c r="C2732">
        <v>155.85</v>
      </c>
      <c r="D2732">
        <v>154.55000000000001</v>
      </c>
      <c r="E2732">
        <v>160.4</v>
      </c>
      <c r="F2732">
        <v>155.85</v>
      </c>
      <c r="G2732">
        <v>42237</v>
      </c>
      <c r="H2732" s="116"/>
      <c r="I2732" s="116"/>
    </row>
    <row r="2733" spans="1:18" x14ac:dyDescent="0.25">
      <c r="A2733" s="170">
        <v>46029</v>
      </c>
      <c r="B2733">
        <v>164.8</v>
      </c>
      <c r="C2733">
        <v>163.75</v>
      </c>
      <c r="D2733">
        <v>154.55000000000001</v>
      </c>
      <c r="E2733">
        <v>156.94999999999999</v>
      </c>
      <c r="F2733">
        <v>163.75</v>
      </c>
      <c r="G2733">
        <v>210684</v>
      </c>
      <c r="H2733" s="116"/>
      <c r="I2733" s="116"/>
    </row>
    <row r="2734" spans="1:18" x14ac:dyDescent="0.25">
      <c r="A2734" s="170">
        <v>46030</v>
      </c>
      <c r="B2734">
        <v>169.45</v>
      </c>
      <c r="C2734">
        <v>163.85</v>
      </c>
      <c r="D2734">
        <v>161.30000000000001</v>
      </c>
      <c r="E2734">
        <v>163.95</v>
      </c>
      <c r="F2734">
        <v>163.85</v>
      </c>
      <c r="G2734">
        <v>199861</v>
      </c>
      <c r="H2734" s="116"/>
      <c r="I2734" s="116"/>
    </row>
    <row r="2735" spans="1:18" x14ac:dyDescent="0.25">
      <c r="A2735" s="170">
        <v>46031</v>
      </c>
      <c r="B2735">
        <v>164.15</v>
      </c>
      <c r="C2735">
        <v>156.65</v>
      </c>
      <c r="D2735">
        <v>155.69999999999999</v>
      </c>
      <c r="E2735">
        <v>162.30000000000001</v>
      </c>
      <c r="F2735">
        <v>156.65</v>
      </c>
      <c r="G2735">
        <v>118121</v>
      </c>
      <c r="H2735" s="116"/>
      <c r="I2735" s="116"/>
    </row>
    <row r="2736" spans="1:18" x14ac:dyDescent="0.25">
      <c r="A2736" s="170">
        <v>46034</v>
      </c>
      <c r="B2736">
        <v>157.35</v>
      </c>
      <c r="C2736">
        <v>155.69999999999999</v>
      </c>
      <c r="D2736">
        <v>151.4</v>
      </c>
      <c r="E2736">
        <v>153.30000000000001</v>
      </c>
      <c r="F2736">
        <v>155.69999999999999</v>
      </c>
      <c r="G2736">
        <v>103277</v>
      </c>
      <c r="H2736" s="116"/>
      <c r="I2736" s="116"/>
    </row>
    <row r="2737" spans="1:9" x14ac:dyDescent="0.25">
      <c r="A2737" s="170">
        <v>46035</v>
      </c>
      <c r="B2737">
        <v>158.25</v>
      </c>
      <c r="C2737">
        <v>152.65</v>
      </c>
      <c r="D2737">
        <v>151.94999999999999</v>
      </c>
      <c r="E2737">
        <v>155.65</v>
      </c>
      <c r="F2737">
        <v>152.65</v>
      </c>
      <c r="G2737">
        <v>62139</v>
      </c>
      <c r="H2737" s="116"/>
      <c r="I2737" s="116"/>
    </row>
    <row r="2738" spans="1:9" x14ac:dyDescent="0.25">
      <c r="A2738" s="170">
        <v>46036</v>
      </c>
      <c r="B2738">
        <v>154.25</v>
      </c>
      <c r="C2738">
        <v>152.15</v>
      </c>
      <c r="D2738">
        <v>151.35</v>
      </c>
      <c r="E2738">
        <v>152.5</v>
      </c>
      <c r="F2738">
        <v>152.15</v>
      </c>
      <c r="G2738">
        <v>47566</v>
      </c>
      <c r="H2738" s="116"/>
      <c r="I2738" s="116"/>
    </row>
    <row r="2739" spans="1:9" x14ac:dyDescent="0.25">
      <c r="A2739" s="170">
        <v>46038</v>
      </c>
      <c r="B2739">
        <v>153.19999999999999</v>
      </c>
      <c r="C2739">
        <v>150.35</v>
      </c>
      <c r="D2739">
        <v>149.69999999999999</v>
      </c>
      <c r="E2739">
        <v>152.65</v>
      </c>
      <c r="F2739">
        <v>150.35</v>
      </c>
      <c r="G2739">
        <v>91803</v>
      </c>
      <c r="H2739" s="116"/>
      <c r="I2739" s="116"/>
    </row>
    <row r="2740" spans="1:9" x14ac:dyDescent="0.25">
      <c r="A2740" s="170">
        <v>46041</v>
      </c>
      <c r="B2740">
        <v>150.19999999999999</v>
      </c>
      <c r="C2740">
        <v>146.9</v>
      </c>
      <c r="D2740">
        <v>146.19999999999999</v>
      </c>
      <c r="E2740">
        <v>148.55000000000001</v>
      </c>
      <c r="F2740">
        <v>146.9</v>
      </c>
      <c r="G2740">
        <v>83767</v>
      </c>
      <c r="H2740" s="116"/>
      <c r="I2740" s="116"/>
    </row>
    <row r="2741" spans="1:9" x14ac:dyDescent="0.25">
      <c r="A2741" s="170">
        <v>46042</v>
      </c>
      <c r="B2741">
        <v>147.35</v>
      </c>
      <c r="C2741">
        <v>138.19999999999999</v>
      </c>
      <c r="D2741">
        <v>137</v>
      </c>
      <c r="E2741">
        <v>147.35</v>
      </c>
      <c r="F2741">
        <v>138.19999999999999</v>
      </c>
      <c r="G2741">
        <v>139238</v>
      </c>
      <c r="H2741" s="116"/>
      <c r="I2741" s="116"/>
    </row>
    <row r="2742" spans="1:9" x14ac:dyDescent="0.25">
      <c r="A2742" s="170">
        <v>46043</v>
      </c>
      <c r="B2742">
        <v>140.05000000000001</v>
      </c>
      <c r="C2742">
        <v>134.5</v>
      </c>
      <c r="D2742">
        <v>133.30000000000001</v>
      </c>
      <c r="E2742">
        <v>136.69999999999999</v>
      </c>
      <c r="F2742">
        <v>134.5</v>
      </c>
      <c r="G2742">
        <v>232283</v>
      </c>
      <c r="H2742" s="116"/>
      <c r="I2742" s="116"/>
    </row>
    <row r="2743" spans="1:9" x14ac:dyDescent="0.25">
      <c r="A2743" s="170">
        <v>46044</v>
      </c>
      <c r="B2743">
        <v>144.19999999999999</v>
      </c>
      <c r="C2743">
        <v>141.9</v>
      </c>
      <c r="D2743">
        <v>135.30000000000001</v>
      </c>
      <c r="E2743">
        <v>135.30000000000001</v>
      </c>
      <c r="F2743">
        <v>141.9</v>
      </c>
      <c r="G2743">
        <v>152808</v>
      </c>
      <c r="H2743" s="116"/>
      <c r="I2743" s="116"/>
    </row>
    <row r="2744" spans="1:9" x14ac:dyDescent="0.25">
      <c r="A2744" s="170">
        <v>46045</v>
      </c>
      <c r="B2744">
        <v>143.5</v>
      </c>
      <c r="C2744">
        <v>136.35</v>
      </c>
      <c r="D2744">
        <v>135</v>
      </c>
      <c r="E2744">
        <v>142.5</v>
      </c>
      <c r="F2744">
        <v>136.35</v>
      </c>
      <c r="G2744">
        <v>73676</v>
      </c>
      <c r="H2744" s="116"/>
      <c r="I2744" s="116"/>
    </row>
    <row r="2745" spans="1:9" x14ac:dyDescent="0.25">
      <c r="A2745" s="170">
        <v>46049</v>
      </c>
      <c r="B2745">
        <v>131.25</v>
      </c>
      <c r="C2745">
        <v>127.35</v>
      </c>
      <c r="D2745">
        <v>122.05</v>
      </c>
      <c r="E2745">
        <v>122.05</v>
      </c>
      <c r="F2745">
        <v>127.35</v>
      </c>
      <c r="G2745">
        <v>514493</v>
      </c>
      <c r="H2745" s="116"/>
      <c r="I2745" s="116"/>
    </row>
    <row r="2746" spans="1:9" x14ac:dyDescent="0.25">
      <c r="A2746" s="170">
        <v>46050</v>
      </c>
      <c r="B2746">
        <v>146</v>
      </c>
      <c r="C2746">
        <v>143.55000000000001</v>
      </c>
      <c r="D2746">
        <v>127.3</v>
      </c>
      <c r="E2746">
        <v>127.35</v>
      </c>
      <c r="F2746">
        <v>143.55000000000001</v>
      </c>
      <c r="G2746">
        <v>389998</v>
      </c>
      <c r="H2746" s="116"/>
      <c r="I2746" s="116"/>
    </row>
    <row r="2747" spans="1:9" x14ac:dyDescent="0.25">
      <c r="A2747" s="170">
        <v>46051</v>
      </c>
      <c r="B2747">
        <v>149.4</v>
      </c>
      <c r="C2747">
        <v>148.65</v>
      </c>
      <c r="D2747">
        <v>141.44999999999999</v>
      </c>
      <c r="E2747">
        <v>144.6</v>
      </c>
      <c r="F2747">
        <v>148.65</v>
      </c>
      <c r="G2747">
        <v>147179</v>
      </c>
      <c r="H2747" s="116"/>
      <c r="I2747" s="116"/>
    </row>
    <row r="2748" spans="1:9" x14ac:dyDescent="0.25">
      <c r="A2748" s="170">
        <v>46052</v>
      </c>
      <c r="B2748">
        <v>158.1</v>
      </c>
      <c r="C2748">
        <v>155.55000000000001</v>
      </c>
      <c r="D2748">
        <v>145.85</v>
      </c>
      <c r="E2748">
        <v>148.55000000000001</v>
      </c>
      <c r="F2748">
        <v>155.55000000000001</v>
      </c>
      <c r="G2748">
        <v>185812</v>
      </c>
      <c r="H2748" s="116"/>
      <c r="I2748" s="116"/>
    </row>
    <row r="2749" spans="1:9" x14ac:dyDescent="0.25">
      <c r="A2749" s="170">
        <v>46054</v>
      </c>
      <c r="B2749">
        <v>162.05000000000001</v>
      </c>
      <c r="C2749">
        <v>146.05000000000001</v>
      </c>
      <c r="D2749">
        <v>140.44999999999999</v>
      </c>
      <c r="E2749">
        <v>155.6</v>
      </c>
      <c r="F2749">
        <v>146.05000000000001</v>
      </c>
      <c r="G2749">
        <v>317120</v>
      </c>
      <c r="H2749" s="116"/>
      <c r="I2749" s="116"/>
    </row>
    <row r="2750" spans="1:9" x14ac:dyDescent="0.25">
      <c r="A2750" s="170">
        <v>46055</v>
      </c>
      <c r="B2750">
        <v>156</v>
      </c>
      <c r="C2750">
        <v>155.44999999999999</v>
      </c>
      <c r="D2750">
        <v>147.65</v>
      </c>
      <c r="E2750">
        <v>147.65</v>
      </c>
      <c r="F2750">
        <v>155.44999999999999</v>
      </c>
      <c r="G2750">
        <v>168977</v>
      </c>
      <c r="H2750" s="116"/>
      <c r="I2750" s="116"/>
    </row>
    <row r="2751" spans="1:9" x14ac:dyDescent="0.25">
      <c r="A2751" s="170">
        <v>46056</v>
      </c>
      <c r="B2751">
        <v>162.44999999999999</v>
      </c>
      <c r="C2751">
        <v>152.65</v>
      </c>
      <c r="D2751">
        <v>151.5</v>
      </c>
      <c r="E2751">
        <v>162.30000000000001</v>
      </c>
      <c r="F2751">
        <v>152.65</v>
      </c>
      <c r="G2751">
        <v>206863</v>
      </c>
      <c r="H2751" s="116"/>
      <c r="I2751" s="116"/>
    </row>
    <row r="2752" spans="1:9" x14ac:dyDescent="0.25">
      <c r="A2752" s="170">
        <v>46057</v>
      </c>
      <c r="B2752">
        <v>156.19999999999999</v>
      </c>
      <c r="C2752">
        <v>152.30000000000001</v>
      </c>
      <c r="D2752">
        <v>151</v>
      </c>
      <c r="E2752">
        <v>152.44999999999999</v>
      </c>
      <c r="F2752">
        <v>152.30000000000001</v>
      </c>
      <c r="G2752">
        <v>82361</v>
      </c>
      <c r="H2752" s="116"/>
      <c r="I2752" s="116"/>
    </row>
    <row r="2753" spans="1:9" x14ac:dyDescent="0.25">
      <c r="A2753" s="170">
        <v>46058</v>
      </c>
      <c r="B2753">
        <v>153</v>
      </c>
      <c r="C2753">
        <v>150.5</v>
      </c>
      <c r="D2753">
        <v>148.94999999999999</v>
      </c>
      <c r="E2753">
        <v>152</v>
      </c>
      <c r="F2753">
        <v>150.5</v>
      </c>
      <c r="G2753">
        <v>61761</v>
      </c>
      <c r="H2753" s="116"/>
      <c r="I2753" s="116"/>
    </row>
    <row r="2754" spans="1:9" x14ac:dyDescent="0.25">
      <c r="A2754" s="170">
        <v>46059</v>
      </c>
      <c r="B2754">
        <v>149.94999999999999</v>
      </c>
      <c r="C2754">
        <v>148.55000000000001</v>
      </c>
      <c r="D2754">
        <v>144.85</v>
      </c>
      <c r="E2754">
        <v>146.44999999999999</v>
      </c>
      <c r="F2754">
        <v>148.55000000000001</v>
      </c>
      <c r="G2754">
        <v>69839</v>
      </c>
      <c r="H2754" s="116"/>
      <c r="I2754" s="116"/>
    </row>
    <row r="2755" spans="1:9" x14ac:dyDescent="0.25">
      <c r="A2755" s="170">
        <v>46062</v>
      </c>
      <c r="B2755">
        <v>154.19999999999999</v>
      </c>
      <c r="C2755">
        <v>151.94999999999999</v>
      </c>
      <c r="D2755">
        <v>149.94999999999999</v>
      </c>
      <c r="E2755">
        <v>151</v>
      </c>
      <c r="F2755">
        <v>151.94999999999999</v>
      </c>
      <c r="G2755">
        <v>83453</v>
      </c>
      <c r="H2755" s="116"/>
      <c r="I2755" s="116"/>
    </row>
    <row r="2756" spans="1:9" x14ac:dyDescent="0.25">
      <c r="A2756" s="170">
        <v>46063</v>
      </c>
      <c r="B2756">
        <v>154.5</v>
      </c>
      <c r="C2756">
        <v>150.55000000000001</v>
      </c>
      <c r="D2756">
        <v>149.80000000000001</v>
      </c>
      <c r="E2756">
        <v>151.75</v>
      </c>
      <c r="F2756">
        <v>150.55000000000001</v>
      </c>
      <c r="G2756">
        <v>68041</v>
      </c>
      <c r="H2756" s="116"/>
      <c r="I2756" s="116"/>
    </row>
    <row r="2757" spans="1:9" x14ac:dyDescent="0.25">
      <c r="A2757" s="170">
        <v>46064</v>
      </c>
      <c r="B2757">
        <v>161.9</v>
      </c>
      <c r="C2757">
        <v>154.5</v>
      </c>
      <c r="D2757">
        <v>149.19999999999999</v>
      </c>
      <c r="E2757">
        <v>151.75</v>
      </c>
      <c r="F2757">
        <v>154.5</v>
      </c>
      <c r="G2757">
        <v>263181</v>
      </c>
      <c r="H2757" s="116"/>
      <c r="I2757" s="116"/>
    </row>
    <row r="2758" spans="1:9" x14ac:dyDescent="0.25">
      <c r="A2758" s="170">
        <v>46065</v>
      </c>
      <c r="B2758">
        <v>154.55000000000001</v>
      </c>
      <c r="C2758">
        <v>151.19999999999999</v>
      </c>
      <c r="D2758">
        <v>150.5</v>
      </c>
      <c r="E2758">
        <v>154.55000000000001</v>
      </c>
      <c r="F2758">
        <v>151.19999999999999</v>
      </c>
      <c r="G2758">
        <v>57445</v>
      </c>
      <c r="H2758" s="116"/>
      <c r="I2758" s="116"/>
    </row>
    <row r="2759" spans="1:9" x14ac:dyDescent="0.25">
      <c r="A2759" s="170">
        <v>46066</v>
      </c>
      <c r="B2759">
        <v>154.35</v>
      </c>
      <c r="C2759">
        <v>151.85</v>
      </c>
      <c r="D2759">
        <v>147.30000000000001</v>
      </c>
      <c r="E2759">
        <v>149.9</v>
      </c>
      <c r="F2759">
        <v>151.85</v>
      </c>
      <c r="G2759">
        <v>71190</v>
      </c>
      <c r="H2759" s="116"/>
      <c r="I2759" s="116"/>
    </row>
    <row r="2760" spans="1:9" x14ac:dyDescent="0.25">
      <c r="A2760" s="170">
        <v>46069</v>
      </c>
      <c r="B2760">
        <v>152.5</v>
      </c>
      <c r="C2760">
        <v>149.94999999999999</v>
      </c>
      <c r="D2760">
        <v>149.30000000000001</v>
      </c>
      <c r="E2760">
        <v>149.30000000000001</v>
      </c>
      <c r="F2760">
        <v>149.94999999999999</v>
      </c>
      <c r="G2760">
        <v>31051</v>
      </c>
      <c r="H2760" s="116"/>
      <c r="I2760" s="116"/>
    </row>
    <row r="2761" spans="1:9" x14ac:dyDescent="0.25">
      <c r="A2761" s="170">
        <v>46070</v>
      </c>
      <c r="B2761">
        <v>152.1</v>
      </c>
      <c r="C2761">
        <v>149.75</v>
      </c>
      <c r="D2761">
        <v>149.1</v>
      </c>
      <c r="E2761">
        <v>150.65</v>
      </c>
      <c r="F2761">
        <v>149.75</v>
      </c>
      <c r="G2761">
        <v>28930</v>
      </c>
      <c r="H2761" s="116"/>
      <c r="I2761" s="116"/>
    </row>
    <row r="2762" spans="1:9" x14ac:dyDescent="0.25">
      <c r="A2762" s="170">
        <v>46071</v>
      </c>
      <c r="B2762">
        <v>151.1</v>
      </c>
      <c r="C2762">
        <v>149.69999999999999</v>
      </c>
      <c r="D2762">
        <v>149.35</v>
      </c>
      <c r="E2762">
        <v>149.9</v>
      </c>
      <c r="F2762">
        <v>149.69999999999999</v>
      </c>
      <c r="G2762">
        <v>29617</v>
      </c>
      <c r="H2762" s="116"/>
      <c r="I2762" s="116"/>
    </row>
    <row r="2763" spans="1:9" x14ac:dyDescent="0.25">
      <c r="A2763" s="170">
        <v>46072</v>
      </c>
      <c r="B2763">
        <v>151.19999999999999</v>
      </c>
      <c r="C2763">
        <v>147.44999999999999</v>
      </c>
      <c r="D2763">
        <v>145.25</v>
      </c>
      <c r="E2763">
        <v>150.69999999999999</v>
      </c>
      <c r="F2763">
        <v>147.44999999999999</v>
      </c>
      <c r="G2763">
        <v>41654</v>
      </c>
      <c r="H2763" s="116"/>
      <c r="I2763" s="116"/>
    </row>
    <row r="2764" spans="1:9" x14ac:dyDescent="0.25">
      <c r="A2764" s="170">
        <v>46073</v>
      </c>
      <c r="B2764">
        <v>149.85</v>
      </c>
      <c r="C2764">
        <v>145.75</v>
      </c>
      <c r="D2764">
        <v>145</v>
      </c>
      <c r="E2764">
        <v>145.94999999999999</v>
      </c>
      <c r="F2764">
        <v>145.75</v>
      </c>
      <c r="G2764">
        <v>34860</v>
      </c>
      <c r="H2764" s="116"/>
      <c r="I2764" s="116"/>
    </row>
    <row r="2765" spans="1:9" x14ac:dyDescent="0.25">
      <c r="A2765" s="170">
        <v>46076</v>
      </c>
      <c r="B2765">
        <v>147.5</v>
      </c>
      <c r="C2765">
        <v>144.30000000000001</v>
      </c>
      <c r="D2765">
        <v>143.15</v>
      </c>
      <c r="E2765">
        <v>145.6</v>
      </c>
      <c r="F2765">
        <v>144.30000000000001</v>
      </c>
      <c r="G2765">
        <v>31784</v>
      </c>
      <c r="H2765" s="116"/>
      <c r="I2765" s="116"/>
    </row>
    <row r="2766" spans="1:9" x14ac:dyDescent="0.25">
      <c r="A2766" s="170">
        <v>46077</v>
      </c>
      <c r="B2766">
        <v>145.65</v>
      </c>
      <c r="C2766">
        <v>144.5</v>
      </c>
      <c r="D2766">
        <v>141.6</v>
      </c>
      <c r="E2766">
        <v>143.05000000000001</v>
      </c>
      <c r="F2766">
        <v>144.5</v>
      </c>
      <c r="G2766">
        <v>79651</v>
      </c>
      <c r="H2766" s="116"/>
      <c r="I2766" s="116"/>
    </row>
    <row r="2767" spans="1:9" x14ac:dyDescent="0.25">
      <c r="A2767" s="170">
        <v>46078</v>
      </c>
      <c r="B2767">
        <v>145.9</v>
      </c>
      <c r="C2767">
        <v>144.05000000000001</v>
      </c>
      <c r="D2767">
        <v>142.4</v>
      </c>
      <c r="E2767">
        <v>142.4</v>
      </c>
      <c r="F2767">
        <v>144.05000000000001</v>
      </c>
      <c r="G2767">
        <v>62901</v>
      </c>
      <c r="H2767" s="116"/>
      <c r="I2767" s="116"/>
    </row>
    <row r="2768" spans="1:9" x14ac:dyDescent="0.25">
      <c r="A2768" s="170">
        <v>46079</v>
      </c>
      <c r="B2768">
        <v>148.4</v>
      </c>
      <c r="C2768">
        <v>146.25</v>
      </c>
      <c r="D2768">
        <v>144</v>
      </c>
      <c r="E2768">
        <v>144</v>
      </c>
      <c r="F2768">
        <v>146.25</v>
      </c>
      <c r="G2768">
        <v>69204</v>
      </c>
      <c r="H2768" s="116"/>
      <c r="I2768" s="116"/>
    </row>
    <row r="2769" spans="1:9" x14ac:dyDescent="0.25">
      <c r="A2769" s="170">
        <v>46080</v>
      </c>
      <c r="B2769">
        <v>146.9</v>
      </c>
      <c r="C2769">
        <v>143.25</v>
      </c>
      <c r="D2769">
        <v>141.94999999999999</v>
      </c>
      <c r="E2769">
        <v>145.94999999999999</v>
      </c>
      <c r="F2769">
        <v>143.25</v>
      </c>
      <c r="G2769">
        <v>67039</v>
      </c>
      <c r="H2769" s="116"/>
      <c r="I2769" s="116"/>
    </row>
    <row r="2770" spans="1:9" x14ac:dyDescent="0.25">
      <c r="A2770" s="170">
        <v>46083</v>
      </c>
      <c r="B2770">
        <v>146.65</v>
      </c>
      <c r="C2770">
        <v>141.69999999999999</v>
      </c>
      <c r="D2770">
        <v>133.25</v>
      </c>
      <c r="E2770">
        <v>133.25</v>
      </c>
      <c r="F2770">
        <v>141.69999999999999</v>
      </c>
      <c r="G2770">
        <v>148188</v>
      </c>
      <c r="H2770" s="116"/>
      <c r="I2770" s="116"/>
    </row>
    <row r="2771" spans="1:9" x14ac:dyDescent="0.25">
      <c r="A2771" s="170">
        <v>46085</v>
      </c>
      <c r="B2771">
        <v>144.80000000000001</v>
      </c>
      <c r="C2771">
        <v>140.65</v>
      </c>
      <c r="D2771">
        <v>139.6</v>
      </c>
      <c r="E2771">
        <v>139.6</v>
      </c>
      <c r="F2771">
        <v>140.65</v>
      </c>
      <c r="G2771">
        <v>149186</v>
      </c>
      <c r="H2771" s="116"/>
      <c r="I2771" s="116"/>
    </row>
    <row r="2772" spans="1:9" x14ac:dyDescent="0.25">
      <c r="A2772" s="170">
        <v>46086</v>
      </c>
      <c r="B2772">
        <v>143.9</v>
      </c>
      <c r="C2772">
        <v>142.5</v>
      </c>
      <c r="D2772">
        <v>141</v>
      </c>
      <c r="E2772">
        <v>143.55000000000001</v>
      </c>
      <c r="F2772">
        <v>142.5</v>
      </c>
      <c r="G2772">
        <v>85749</v>
      </c>
      <c r="H2772" s="116"/>
      <c r="I2772" s="116"/>
    </row>
    <row r="2773" spans="1:9" x14ac:dyDescent="0.25">
      <c r="A2773" s="170">
        <v>46087</v>
      </c>
      <c r="B2773">
        <v>149.5</v>
      </c>
      <c r="C2773">
        <v>144.69999999999999</v>
      </c>
      <c r="D2773">
        <v>142.5</v>
      </c>
      <c r="E2773">
        <v>142.55000000000001</v>
      </c>
      <c r="F2773">
        <v>144.69999999999999</v>
      </c>
      <c r="G2773">
        <v>92497</v>
      </c>
      <c r="H2773" s="116"/>
      <c r="I2773" s="116"/>
    </row>
    <row r="2774" spans="1:9" x14ac:dyDescent="0.25">
      <c r="A2774" s="170">
        <v>46090</v>
      </c>
      <c r="B2774">
        <v>144.05000000000001</v>
      </c>
      <c r="C2774">
        <v>140</v>
      </c>
      <c r="D2774">
        <v>138.44999999999999</v>
      </c>
      <c r="E2774">
        <v>144.05000000000001</v>
      </c>
      <c r="F2774">
        <v>140</v>
      </c>
      <c r="G2774">
        <v>59293</v>
      </c>
      <c r="H2774" s="116"/>
      <c r="I2774" s="116"/>
    </row>
    <row r="2775" spans="1:9" x14ac:dyDescent="0.25">
      <c r="A2775" s="170">
        <v>46091</v>
      </c>
      <c r="B2775">
        <v>146.65</v>
      </c>
      <c r="C2775">
        <v>145.80000000000001</v>
      </c>
      <c r="D2775">
        <v>140.55000000000001</v>
      </c>
      <c r="E2775">
        <v>143.25</v>
      </c>
      <c r="F2775">
        <v>145.80000000000001</v>
      </c>
      <c r="G2775">
        <v>30136</v>
      </c>
      <c r="H2775" s="116"/>
      <c r="I2775" s="116"/>
    </row>
    <row r="2776" spans="1:9" x14ac:dyDescent="0.25">
      <c r="A2776" s="170">
        <v>46092</v>
      </c>
      <c r="B2776">
        <v>148.69999999999999</v>
      </c>
      <c r="C2776">
        <v>142.65</v>
      </c>
      <c r="D2776">
        <v>142.19999999999999</v>
      </c>
      <c r="E2776">
        <v>145</v>
      </c>
      <c r="F2776">
        <v>142.65</v>
      </c>
      <c r="G2776">
        <v>62069</v>
      </c>
      <c r="H2776" s="116"/>
      <c r="I2776" s="116"/>
    </row>
    <row r="2777" spans="1:9" x14ac:dyDescent="0.25">
      <c r="A2777" s="170">
        <v>46093</v>
      </c>
      <c r="B2777">
        <v>146.44999999999999</v>
      </c>
      <c r="C2777">
        <v>144.15</v>
      </c>
      <c r="D2777">
        <v>139.55000000000001</v>
      </c>
      <c r="E2777">
        <v>141.19999999999999</v>
      </c>
      <c r="F2777">
        <v>144.15</v>
      </c>
      <c r="G2777">
        <v>86265</v>
      </c>
      <c r="H2777" s="116"/>
      <c r="I2777" s="116"/>
    </row>
    <row r="2778" spans="1:9" x14ac:dyDescent="0.25">
      <c r="A2778" s="170">
        <v>46094</v>
      </c>
      <c r="B2778">
        <v>144.75</v>
      </c>
      <c r="C2778">
        <v>134.75</v>
      </c>
      <c r="D2778">
        <v>133.4</v>
      </c>
      <c r="E2778">
        <v>144.25</v>
      </c>
      <c r="F2778">
        <v>134.75</v>
      </c>
      <c r="G2778">
        <v>128532</v>
      </c>
      <c r="H2778" s="116"/>
      <c r="I2778" s="116"/>
    </row>
    <row r="2779" spans="1:9" x14ac:dyDescent="0.25">
      <c r="A2779" s="170">
        <v>46097</v>
      </c>
      <c r="B2779">
        <v>136.19999999999999</v>
      </c>
      <c r="C2779">
        <v>130</v>
      </c>
      <c r="D2779">
        <v>127.1</v>
      </c>
      <c r="E2779">
        <v>136.19999999999999</v>
      </c>
      <c r="F2779">
        <v>130</v>
      </c>
      <c r="G2779">
        <v>197477</v>
      </c>
      <c r="H2779" s="116"/>
      <c r="I2779" s="116"/>
    </row>
    <row r="2780" spans="1:9" x14ac:dyDescent="0.25">
      <c r="A2780" s="170">
        <v>46098</v>
      </c>
      <c r="B2780">
        <v>132.44999999999999</v>
      </c>
      <c r="C2780">
        <v>127.6</v>
      </c>
      <c r="D2780">
        <v>126.85</v>
      </c>
      <c r="E2780">
        <v>130.35</v>
      </c>
      <c r="F2780">
        <v>127.6</v>
      </c>
      <c r="G2780">
        <v>123052</v>
      </c>
      <c r="H2780" s="116"/>
      <c r="I2780" s="116"/>
    </row>
    <row r="2781" spans="1:9" x14ac:dyDescent="0.25">
      <c r="A2781" s="170">
        <v>46099</v>
      </c>
      <c r="B2781">
        <v>134.19999999999999</v>
      </c>
      <c r="C2781">
        <v>132.85</v>
      </c>
      <c r="D2781">
        <v>127.75</v>
      </c>
      <c r="E2781">
        <v>127.75</v>
      </c>
      <c r="F2781">
        <v>132.85</v>
      </c>
      <c r="G2781">
        <v>126708</v>
      </c>
      <c r="H2781" s="116"/>
      <c r="I2781" s="116"/>
    </row>
    <row r="2782" spans="1:9" x14ac:dyDescent="0.25">
      <c r="A2782" s="170">
        <v>46100</v>
      </c>
      <c r="B2782">
        <v>131</v>
      </c>
      <c r="C2782">
        <v>126.95</v>
      </c>
      <c r="D2782">
        <v>126</v>
      </c>
      <c r="E2782">
        <v>131</v>
      </c>
      <c r="F2782">
        <v>126.95</v>
      </c>
      <c r="G2782">
        <v>65930</v>
      </c>
      <c r="H2782" s="116"/>
      <c r="I2782" s="116"/>
    </row>
    <row r="2783" spans="1:9" x14ac:dyDescent="0.25">
      <c r="A2783" s="170">
        <v>46101</v>
      </c>
      <c r="B2783">
        <v>130.44999999999999</v>
      </c>
      <c r="C2783">
        <v>127.4</v>
      </c>
      <c r="D2783">
        <v>127</v>
      </c>
      <c r="E2783">
        <v>128.15</v>
      </c>
      <c r="F2783">
        <v>127.4</v>
      </c>
      <c r="G2783">
        <v>100065</v>
      </c>
      <c r="H2783" s="116"/>
      <c r="I2783" s="116"/>
    </row>
    <row r="2784" spans="1:9" x14ac:dyDescent="0.25">
      <c r="A2784" s="170">
        <v>46104</v>
      </c>
      <c r="B2784">
        <v>126.1</v>
      </c>
      <c r="C2784">
        <v>118.3</v>
      </c>
      <c r="D2784">
        <v>117.7</v>
      </c>
      <c r="E2784">
        <v>126.1</v>
      </c>
      <c r="F2784">
        <v>118.3</v>
      </c>
      <c r="G2784">
        <v>369114</v>
      </c>
      <c r="H2784" s="116"/>
      <c r="I2784" s="116"/>
    </row>
    <row r="2785" spans="1:9" x14ac:dyDescent="0.25">
      <c r="A2785" s="170">
        <v>46105</v>
      </c>
      <c r="B2785">
        <v>124.5</v>
      </c>
      <c r="C2785">
        <v>121</v>
      </c>
      <c r="D2785">
        <v>118.35</v>
      </c>
      <c r="E2785">
        <v>121.9</v>
      </c>
      <c r="F2785">
        <v>121</v>
      </c>
      <c r="G2785">
        <v>236454</v>
      </c>
      <c r="H2785" s="116"/>
      <c r="I2785" s="116"/>
    </row>
    <row r="2786" spans="1:9" x14ac:dyDescent="0.25">
      <c r="A2786" s="170">
        <v>46106</v>
      </c>
      <c r="B2786">
        <v>138.9</v>
      </c>
      <c r="C2786">
        <v>130.19999999999999</v>
      </c>
      <c r="D2786">
        <v>128.5</v>
      </c>
      <c r="E2786">
        <v>132.30000000000001</v>
      </c>
      <c r="F2786">
        <v>130.19999999999999</v>
      </c>
      <c r="G2786">
        <v>659665</v>
      </c>
      <c r="H2786" s="116"/>
      <c r="I2786" s="116"/>
    </row>
    <row r="2787" spans="1:9" x14ac:dyDescent="0.25">
      <c r="A2787" s="170">
        <v>46108</v>
      </c>
      <c r="B2787">
        <v>129.5</v>
      </c>
      <c r="C2787">
        <v>124.2</v>
      </c>
      <c r="D2787">
        <v>123.4</v>
      </c>
      <c r="E2787">
        <v>129.5</v>
      </c>
      <c r="F2787">
        <v>124.2</v>
      </c>
      <c r="G2787">
        <v>281978</v>
      </c>
      <c r="H2787" s="116"/>
      <c r="I2787" s="116"/>
    </row>
    <row r="2788" spans="1:9" x14ac:dyDescent="0.25">
      <c r="A2788" s="170">
        <v>46111</v>
      </c>
      <c r="B2788">
        <v>129</v>
      </c>
      <c r="C2788">
        <v>126.45</v>
      </c>
      <c r="D2788">
        <v>122</v>
      </c>
      <c r="E2788">
        <v>124.35</v>
      </c>
      <c r="F2788">
        <v>126.45</v>
      </c>
      <c r="G2788">
        <v>289966</v>
      </c>
      <c r="H2788" s="116"/>
      <c r="I2788" s="116"/>
    </row>
    <row r="2789" spans="1:9" x14ac:dyDescent="0.25">
      <c r="A2789" s="170">
        <v>46113</v>
      </c>
      <c r="B2789">
        <v>136.5</v>
      </c>
      <c r="C2789">
        <v>134.25</v>
      </c>
      <c r="D2789">
        <v>128.69999999999999</v>
      </c>
      <c r="E2789">
        <v>134.6</v>
      </c>
      <c r="F2789">
        <v>134.25</v>
      </c>
      <c r="G2789">
        <v>197737</v>
      </c>
      <c r="H2789" s="116"/>
      <c r="I2789" s="116"/>
    </row>
    <row r="2790" spans="1:9" x14ac:dyDescent="0.25">
      <c r="A2790" s="170">
        <v>46114</v>
      </c>
      <c r="B2790">
        <v>135.25</v>
      </c>
      <c r="C2790">
        <v>134.19999999999999</v>
      </c>
      <c r="D2790">
        <v>129.5</v>
      </c>
      <c r="E2790">
        <v>132.75</v>
      </c>
      <c r="F2790">
        <v>134.19999999999999</v>
      </c>
      <c r="G2790">
        <v>96003</v>
      </c>
      <c r="H2790" s="116"/>
      <c r="I2790" s="116"/>
    </row>
    <row r="2791" spans="1:9" x14ac:dyDescent="0.25">
      <c r="A2791" s="170">
        <v>46118</v>
      </c>
      <c r="B2791">
        <v>137.05000000000001</v>
      </c>
      <c r="C2791">
        <v>136</v>
      </c>
      <c r="D2791">
        <v>131.65</v>
      </c>
      <c r="E2791">
        <v>134.5</v>
      </c>
      <c r="F2791">
        <v>136</v>
      </c>
      <c r="G2791">
        <v>137458</v>
      </c>
      <c r="H2791" s="116"/>
      <c r="I2791" s="116"/>
    </row>
    <row r="2792" spans="1:9" x14ac:dyDescent="0.25">
      <c r="A2792" s="170">
        <v>46119</v>
      </c>
      <c r="B2792">
        <v>139.35</v>
      </c>
      <c r="C2792">
        <v>136.05000000000001</v>
      </c>
      <c r="D2792">
        <v>134.1</v>
      </c>
      <c r="E2792">
        <v>136.15</v>
      </c>
      <c r="F2792">
        <v>136.05000000000001</v>
      </c>
      <c r="G2792">
        <v>90157</v>
      </c>
      <c r="H2792" s="116"/>
      <c r="I2792" s="116"/>
    </row>
    <row r="2793" spans="1:9" x14ac:dyDescent="0.25">
      <c r="A2793" s="170">
        <v>46120</v>
      </c>
      <c r="B2793">
        <v>143.94999999999999</v>
      </c>
      <c r="C2793">
        <v>143.44999999999999</v>
      </c>
      <c r="D2793">
        <v>138.5</v>
      </c>
      <c r="E2793">
        <v>141.75</v>
      </c>
      <c r="F2793">
        <v>143.44999999999999</v>
      </c>
      <c r="G2793">
        <v>124632</v>
      </c>
      <c r="H2793" s="116"/>
      <c r="I2793" s="116"/>
    </row>
    <row r="2794" spans="1:9" x14ac:dyDescent="0.25">
      <c r="A2794" s="170">
        <v>46121</v>
      </c>
      <c r="B2794">
        <v>149.94999999999999</v>
      </c>
      <c r="C2794">
        <v>147.75</v>
      </c>
      <c r="D2794">
        <v>142</v>
      </c>
      <c r="E2794">
        <v>143.44999999999999</v>
      </c>
      <c r="F2794">
        <v>147.75</v>
      </c>
      <c r="G2794">
        <v>123005</v>
      </c>
      <c r="H2794" s="116"/>
      <c r="I2794" s="116"/>
    </row>
    <row r="2795" spans="1:9" x14ac:dyDescent="0.25">
      <c r="A2795" s="170">
        <v>46122</v>
      </c>
      <c r="B2795">
        <v>154.5</v>
      </c>
      <c r="C2795">
        <v>152.5</v>
      </c>
      <c r="D2795">
        <v>149.15</v>
      </c>
      <c r="E2795">
        <v>149.19999999999999</v>
      </c>
      <c r="F2795">
        <v>152.5</v>
      </c>
      <c r="G2795">
        <v>191624</v>
      </c>
      <c r="H2795" s="116"/>
      <c r="I2795" s="116"/>
    </row>
    <row r="2796" spans="1:9" x14ac:dyDescent="0.25">
      <c r="A2796" s="170">
        <v>46125</v>
      </c>
      <c r="B2796">
        <v>153.65</v>
      </c>
      <c r="C2796">
        <v>150.55000000000001</v>
      </c>
      <c r="D2796">
        <v>144.05000000000001</v>
      </c>
      <c r="E2796">
        <v>148.75</v>
      </c>
      <c r="F2796">
        <v>150.55000000000001</v>
      </c>
      <c r="G2796">
        <v>131548</v>
      </c>
      <c r="H2796" s="116"/>
      <c r="I2796" s="116"/>
    </row>
    <row r="2797" spans="1:9" x14ac:dyDescent="0.25">
      <c r="A2797" s="170">
        <v>46127</v>
      </c>
      <c r="B2797">
        <v>155.75</v>
      </c>
      <c r="C2797">
        <v>154.1</v>
      </c>
      <c r="D2797">
        <v>151.9</v>
      </c>
      <c r="E2797">
        <v>155.75</v>
      </c>
      <c r="F2797">
        <v>154.1</v>
      </c>
      <c r="G2797">
        <v>122105</v>
      </c>
      <c r="H2797" s="116"/>
      <c r="I2797" s="116"/>
    </row>
    <row r="2798" spans="1:9" x14ac:dyDescent="0.25">
      <c r="A2798" s="170">
        <v>46128</v>
      </c>
      <c r="B2798">
        <v>157</v>
      </c>
      <c r="C2798">
        <v>154.94999999999999</v>
      </c>
      <c r="D2798">
        <v>152.5</v>
      </c>
      <c r="E2798">
        <v>154.1</v>
      </c>
      <c r="F2798">
        <v>154.94999999999999</v>
      </c>
      <c r="G2798">
        <v>119333</v>
      </c>
      <c r="H2798" s="116"/>
      <c r="I2798" s="116"/>
    </row>
    <row r="2799" spans="1:9" x14ac:dyDescent="0.25">
      <c r="A2799" s="170">
        <v>46129</v>
      </c>
      <c r="B2799">
        <v>162.30000000000001</v>
      </c>
      <c r="C2799">
        <v>160.15</v>
      </c>
      <c r="D2799">
        <v>155</v>
      </c>
      <c r="E2799">
        <v>155.65</v>
      </c>
      <c r="F2799">
        <v>160.15</v>
      </c>
      <c r="G2799">
        <v>246886</v>
      </c>
      <c r="H2799" s="116"/>
      <c r="I2799" s="116"/>
    </row>
    <row r="2800" spans="1:9" x14ac:dyDescent="0.25">
      <c r="A2800" s="170">
        <v>46132</v>
      </c>
      <c r="B2800">
        <v>160.9</v>
      </c>
      <c r="C2800">
        <v>156.80000000000001</v>
      </c>
      <c r="D2800">
        <v>156.05000000000001</v>
      </c>
      <c r="E2800">
        <v>160.30000000000001</v>
      </c>
      <c r="F2800">
        <v>156.80000000000001</v>
      </c>
      <c r="G2800">
        <v>162173</v>
      </c>
      <c r="H2800" s="116"/>
      <c r="I2800" s="116"/>
    </row>
    <row r="2801" spans="1:9" x14ac:dyDescent="0.25">
      <c r="A2801" s="170">
        <v>46133</v>
      </c>
      <c r="B2801">
        <v>160.1</v>
      </c>
      <c r="C2801">
        <v>157.85</v>
      </c>
      <c r="D2801">
        <v>156.44999999999999</v>
      </c>
      <c r="E2801">
        <v>157.65</v>
      </c>
      <c r="F2801">
        <v>157.85</v>
      </c>
      <c r="G2801">
        <v>89057</v>
      </c>
      <c r="H2801" s="116"/>
      <c r="I2801" s="116"/>
    </row>
    <row r="2802" spans="1:9" x14ac:dyDescent="0.25">
      <c r="A2802" s="170">
        <v>46134</v>
      </c>
      <c r="B2802">
        <v>161.94999999999999</v>
      </c>
      <c r="C2802">
        <v>158.15</v>
      </c>
      <c r="D2802">
        <v>157</v>
      </c>
      <c r="E2802">
        <v>157.44999999999999</v>
      </c>
      <c r="F2802">
        <v>158.15</v>
      </c>
      <c r="G2802">
        <v>85317</v>
      </c>
      <c r="H2802" s="116"/>
      <c r="I2802" s="116"/>
    </row>
    <row r="2803" spans="1:9" x14ac:dyDescent="0.25">
      <c r="A2803" s="170">
        <v>46135</v>
      </c>
      <c r="B2803">
        <v>161.75</v>
      </c>
      <c r="C2803">
        <v>158.9</v>
      </c>
      <c r="D2803">
        <v>156.9</v>
      </c>
      <c r="E2803">
        <v>158.15</v>
      </c>
      <c r="F2803">
        <v>158.9</v>
      </c>
      <c r="G2803">
        <v>299090</v>
      </c>
      <c r="H2803" s="116"/>
      <c r="I2803" s="116"/>
    </row>
    <row r="2804" spans="1:9" x14ac:dyDescent="0.25">
      <c r="A2804" s="170">
        <v>46136</v>
      </c>
      <c r="B2804">
        <v>159.44999999999999</v>
      </c>
      <c r="C2804">
        <v>154.55000000000001</v>
      </c>
      <c r="D2804">
        <v>152.69999999999999</v>
      </c>
      <c r="E2804">
        <v>159.05000000000001</v>
      </c>
      <c r="F2804">
        <v>154.55000000000001</v>
      </c>
      <c r="G2804">
        <v>124088</v>
      </c>
      <c r="H2804" s="116"/>
      <c r="I2804" s="116"/>
    </row>
    <row r="2805" spans="1:9" x14ac:dyDescent="0.25">
      <c r="A2805" s="170">
        <v>46139</v>
      </c>
      <c r="B2805">
        <v>157.9</v>
      </c>
      <c r="C2805">
        <v>156.9</v>
      </c>
      <c r="D2805">
        <v>148.1</v>
      </c>
      <c r="E2805">
        <v>150.65</v>
      </c>
      <c r="F2805">
        <v>156.9</v>
      </c>
      <c r="G2805">
        <v>227004</v>
      </c>
      <c r="H2805" s="116"/>
      <c r="I2805" s="116"/>
    </row>
    <row r="2806" spans="1:9" x14ac:dyDescent="0.25">
      <c r="A2806" s="170">
        <v>46140</v>
      </c>
      <c r="B2806">
        <v>158.9</v>
      </c>
      <c r="C2806">
        <v>151.4</v>
      </c>
      <c r="D2806">
        <v>150.65</v>
      </c>
      <c r="E2806">
        <v>157</v>
      </c>
      <c r="F2806">
        <v>151.4</v>
      </c>
      <c r="G2806">
        <v>149071</v>
      </c>
      <c r="H2806" s="116"/>
      <c r="I2806" s="116"/>
    </row>
    <row r="2807" spans="1:9" x14ac:dyDescent="0.25">
      <c r="A2807" s="170">
        <v>46141</v>
      </c>
      <c r="B2807">
        <v>155.55000000000001</v>
      </c>
      <c r="C2807">
        <v>150.15</v>
      </c>
      <c r="D2807">
        <v>149.6</v>
      </c>
      <c r="E2807">
        <v>152.75</v>
      </c>
      <c r="F2807">
        <v>150.15</v>
      </c>
      <c r="G2807">
        <v>131067</v>
      </c>
      <c r="H2807" s="116"/>
      <c r="I2807" s="116"/>
    </row>
    <row r="2808" spans="1:9" x14ac:dyDescent="0.25">
      <c r="A2808" s="170">
        <v>46142</v>
      </c>
      <c r="B2808">
        <v>150.65</v>
      </c>
      <c r="C2808">
        <v>148.85</v>
      </c>
      <c r="D2808">
        <v>146.9</v>
      </c>
      <c r="E2808">
        <v>150.65</v>
      </c>
      <c r="F2808">
        <v>148.85</v>
      </c>
      <c r="G2808">
        <v>106116</v>
      </c>
      <c r="H2808" s="116"/>
      <c r="I2808" s="116"/>
    </row>
    <row r="2809" spans="1:9" x14ac:dyDescent="0.25">
      <c r="A2809" s="170">
        <v>46146</v>
      </c>
      <c r="B2809">
        <v>152.65</v>
      </c>
      <c r="C2809">
        <v>149.65</v>
      </c>
      <c r="D2809">
        <v>147.15</v>
      </c>
      <c r="E2809">
        <v>149.35</v>
      </c>
      <c r="F2809">
        <v>149.65</v>
      </c>
      <c r="G2809">
        <v>92770</v>
      </c>
      <c r="H2809" s="116"/>
      <c r="I2809" s="116"/>
    </row>
    <row r="2810" spans="1:9" x14ac:dyDescent="0.25">
      <c r="A2810" s="170">
        <v>46147</v>
      </c>
      <c r="B2810">
        <v>154.80000000000001</v>
      </c>
      <c r="C2810">
        <v>151.35</v>
      </c>
      <c r="D2810">
        <v>150</v>
      </c>
      <c r="E2810">
        <v>150.25</v>
      </c>
      <c r="F2810">
        <v>151.35</v>
      </c>
      <c r="G2810">
        <v>180288</v>
      </c>
      <c r="H2810" s="116"/>
      <c r="I2810" s="116"/>
    </row>
    <row r="2811" spans="1:9" x14ac:dyDescent="0.25">
      <c r="A2811" s="170">
        <v>46148</v>
      </c>
      <c r="B2811">
        <v>157.80000000000001</v>
      </c>
      <c r="C2811">
        <v>156.69999999999999</v>
      </c>
      <c r="D2811">
        <v>152.19999999999999</v>
      </c>
      <c r="E2811">
        <v>152.25</v>
      </c>
      <c r="F2811">
        <v>156.69999999999999</v>
      </c>
      <c r="G2811">
        <v>204099</v>
      </c>
      <c r="H2811" s="116"/>
      <c r="I2811" s="116"/>
    </row>
    <row r="2812" spans="1:9" x14ac:dyDescent="0.25">
      <c r="A2812" s="170">
        <v>46149</v>
      </c>
      <c r="B2812">
        <v>159.5</v>
      </c>
      <c r="C2812">
        <v>156.75</v>
      </c>
      <c r="D2812">
        <v>155</v>
      </c>
      <c r="E2812">
        <v>157.1</v>
      </c>
      <c r="F2812">
        <v>156.75</v>
      </c>
      <c r="G2812">
        <v>96948</v>
      </c>
      <c r="H2812" s="116"/>
      <c r="I2812" s="116"/>
    </row>
    <row r="2813" spans="1:9" x14ac:dyDescent="0.25">
      <c r="A2813" s="170">
        <v>46150</v>
      </c>
      <c r="B2813">
        <v>166.2</v>
      </c>
      <c r="C2813">
        <v>164.7</v>
      </c>
      <c r="D2813">
        <v>154.65</v>
      </c>
      <c r="E2813">
        <v>157</v>
      </c>
      <c r="F2813">
        <v>164.7</v>
      </c>
      <c r="G2813">
        <v>306968</v>
      </c>
      <c r="H2813" s="116"/>
      <c r="I2813" s="116"/>
    </row>
    <row r="2814" spans="1:9" x14ac:dyDescent="0.25">
      <c r="A2814" s="170">
        <v>46153</v>
      </c>
      <c r="B2814">
        <v>173.5</v>
      </c>
      <c r="C2814">
        <v>166.7</v>
      </c>
      <c r="D2814">
        <v>161.69999999999999</v>
      </c>
      <c r="E2814">
        <v>164.35</v>
      </c>
      <c r="F2814">
        <v>166.7</v>
      </c>
      <c r="G2814">
        <v>660276</v>
      </c>
      <c r="H2814" s="116"/>
      <c r="I2814" s="116"/>
    </row>
    <row r="2815" spans="1:9" x14ac:dyDescent="0.25">
      <c r="A2815" s="170">
        <v>46154</v>
      </c>
      <c r="B2815">
        <v>169</v>
      </c>
      <c r="C2815">
        <v>156.94999999999999</v>
      </c>
      <c r="D2815">
        <v>156.25</v>
      </c>
      <c r="E2815">
        <v>166.75</v>
      </c>
      <c r="F2815">
        <v>156.94999999999999</v>
      </c>
      <c r="G2815">
        <v>309515</v>
      </c>
      <c r="H2815" s="116"/>
      <c r="I2815" s="116"/>
    </row>
    <row r="2816" spans="1:9" x14ac:dyDescent="0.25">
      <c r="A2816" s="170">
        <v>46155</v>
      </c>
      <c r="B2816">
        <v>160.19999999999999</v>
      </c>
      <c r="C2816">
        <v>156.15</v>
      </c>
      <c r="D2816">
        <v>155.19999999999999</v>
      </c>
      <c r="E2816">
        <v>157.19999999999999</v>
      </c>
      <c r="F2816">
        <v>156.15</v>
      </c>
      <c r="G2816">
        <v>130164</v>
      </c>
      <c r="H2816" s="116"/>
      <c r="I2816" s="116"/>
    </row>
    <row r="2817" spans="1:9" x14ac:dyDescent="0.25">
      <c r="A2817" s="170">
        <v>46156</v>
      </c>
      <c r="B2817">
        <v>158.05000000000001</v>
      </c>
      <c r="C2817">
        <v>155.80000000000001</v>
      </c>
      <c r="D2817">
        <v>150.5</v>
      </c>
      <c r="E2817">
        <v>156.75</v>
      </c>
      <c r="F2817">
        <v>155.80000000000001</v>
      </c>
      <c r="G2817">
        <v>183414</v>
      </c>
      <c r="H2817" s="116"/>
      <c r="I2817" s="116"/>
    </row>
    <row r="2818" spans="1:9" x14ac:dyDescent="0.25">
      <c r="A2818" s="170">
        <v>46157</v>
      </c>
      <c r="B2818">
        <v>155.80000000000001</v>
      </c>
      <c r="C2818">
        <v>150.30000000000001</v>
      </c>
      <c r="D2818">
        <v>149.65</v>
      </c>
      <c r="E2818">
        <v>155.80000000000001</v>
      </c>
      <c r="F2818">
        <v>150.30000000000001</v>
      </c>
      <c r="G2818">
        <v>182420</v>
      </c>
      <c r="H2818" s="116"/>
      <c r="I2818" s="116"/>
    </row>
    <row r="2819" spans="1:9" x14ac:dyDescent="0.25">
      <c r="A2819" s="170">
        <v>46160</v>
      </c>
      <c r="B2819">
        <v>149.55000000000001</v>
      </c>
      <c r="C2819">
        <v>148.69999999999999</v>
      </c>
      <c r="D2819">
        <v>144.30000000000001</v>
      </c>
      <c r="E2819">
        <v>147.6</v>
      </c>
      <c r="F2819">
        <v>148.69999999999999</v>
      </c>
      <c r="G2819">
        <v>124879</v>
      </c>
      <c r="H2819" s="116"/>
      <c r="I2819" s="116"/>
    </row>
    <row r="2820" spans="1:9" x14ac:dyDescent="0.25">
      <c r="A2820" s="170">
        <v>46161</v>
      </c>
      <c r="B2820">
        <v>156.75</v>
      </c>
      <c r="C2820">
        <v>151.15</v>
      </c>
      <c r="D2820">
        <v>148.65</v>
      </c>
      <c r="E2820">
        <v>148.69999999999999</v>
      </c>
      <c r="F2820">
        <v>151.15</v>
      </c>
      <c r="G2820">
        <v>147917</v>
      </c>
      <c r="H2820" s="116"/>
      <c r="I2820" s="116"/>
    </row>
    <row r="2821" spans="1:9" x14ac:dyDescent="0.25">
      <c r="A2821" s="170">
        <v>46162</v>
      </c>
      <c r="B2821">
        <v>155.25</v>
      </c>
      <c r="C2821">
        <v>154.44999999999999</v>
      </c>
      <c r="D2821">
        <v>148.75</v>
      </c>
      <c r="E2821">
        <v>150.44999999999999</v>
      </c>
      <c r="F2821">
        <v>154.44999999999999</v>
      </c>
      <c r="G2821">
        <v>97638</v>
      </c>
      <c r="H2821" s="116"/>
      <c r="I2821" s="116"/>
    </row>
    <row r="2822" spans="1:9" x14ac:dyDescent="0.25">
      <c r="A2822" s="170">
        <v>46163</v>
      </c>
      <c r="B2822">
        <v>165.55</v>
      </c>
      <c r="C2822">
        <v>162.1</v>
      </c>
      <c r="D2822">
        <v>156</v>
      </c>
      <c r="E2822">
        <v>156</v>
      </c>
      <c r="F2822">
        <v>162.1</v>
      </c>
      <c r="G2822">
        <v>248955</v>
      </c>
      <c r="H2822" s="116"/>
      <c r="I2822" s="116"/>
    </row>
    <row r="2823" spans="1:9" x14ac:dyDescent="0.25">
      <c r="A2823" s="170">
        <v>46164</v>
      </c>
      <c r="B2823">
        <v>171</v>
      </c>
      <c r="C2823">
        <v>162.25</v>
      </c>
      <c r="D2823">
        <v>160.75</v>
      </c>
      <c r="E2823">
        <v>163.69999999999999</v>
      </c>
      <c r="F2823">
        <v>162.25</v>
      </c>
      <c r="G2823">
        <v>416077</v>
      </c>
      <c r="H2823" s="116"/>
      <c r="I2823" s="116"/>
    </row>
    <row r="2824" spans="1:9" x14ac:dyDescent="0.25">
      <c r="A2824" s="170">
        <v>46167</v>
      </c>
      <c r="B2824">
        <v>172.9</v>
      </c>
      <c r="C2824">
        <v>171.7</v>
      </c>
      <c r="D2824">
        <v>163.15</v>
      </c>
      <c r="E2824">
        <v>165.2</v>
      </c>
      <c r="F2824">
        <v>171.7</v>
      </c>
      <c r="G2824">
        <v>321515</v>
      </c>
      <c r="H2824" s="116"/>
      <c r="I2824" s="116"/>
    </row>
    <row r="2825" spans="1:9" x14ac:dyDescent="0.25">
      <c r="A2825" s="170">
        <v>46168</v>
      </c>
      <c r="B2825">
        <v>177.8</v>
      </c>
      <c r="C2825">
        <v>176.7</v>
      </c>
      <c r="D2825">
        <v>170.65</v>
      </c>
      <c r="E2825">
        <v>172.25</v>
      </c>
      <c r="F2825">
        <v>176.7</v>
      </c>
      <c r="G2825">
        <v>478774</v>
      </c>
      <c r="H2825" s="116"/>
      <c r="I2825" s="116"/>
    </row>
    <row r="2826" spans="1:9" x14ac:dyDescent="0.25">
      <c r="A2826" s="170">
        <v>46169</v>
      </c>
      <c r="B2826">
        <v>188.5</v>
      </c>
      <c r="C2826">
        <v>180.6</v>
      </c>
      <c r="D2826">
        <v>176.15</v>
      </c>
      <c r="E2826">
        <v>178.55</v>
      </c>
      <c r="F2826">
        <v>180.6</v>
      </c>
      <c r="G2826">
        <v>378162</v>
      </c>
      <c r="H2826" s="116"/>
      <c r="I2826" s="116"/>
    </row>
    <row r="2827" spans="1:9" x14ac:dyDescent="0.25">
      <c r="A2827" s="170">
        <v>46171</v>
      </c>
      <c r="B2827">
        <v>183.8</v>
      </c>
      <c r="C2827">
        <v>177.05</v>
      </c>
      <c r="D2827">
        <v>176</v>
      </c>
      <c r="E2827">
        <v>181.8</v>
      </c>
      <c r="F2827">
        <v>177.05</v>
      </c>
      <c r="G2827">
        <v>167622</v>
      </c>
      <c r="H2827" s="116"/>
      <c r="I2827" s="116"/>
    </row>
    <row r="2828" spans="1:9" x14ac:dyDescent="0.25">
      <c r="A2828" s="170">
        <v>46174</v>
      </c>
      <c r="B2828">
        <v>181.55</v>
      </c>
      <c r="C2828">
        <v>173.5</v>
      </c>
      <c r="D2828">
        <v>171.9</v>
      </c>
      <c r="E2828">
        <v>177.85</v>
      </c>
      <c r="F2828">
        <v>173.5</v>
      </c>
      <c r="G2828">
        <v>149057</v>
      </c>
      <c r="H2828" s="116"/>
      <c r="I2828" s="116"/>
    </row>
    <row r="2829" spans="1:9" x14ac:dyDescent="0.25">
      <c r="A2829" s="170">
        <v>46175</v>
      </c>
      <c r="B2829">
        <v>177.7</v>
      </c>
      <c r="C2829">
        <v>175.95</v>
      </c>
      <c r="D2829">
        <v>170.15</v>
      </c>
      <c r="E2829">
        <v>170.95</v>
      </c>
      <c r="F2829">
        <v>175.95</v>
      </c>
      <c r="G2829">
        <v>178129</v>
      </c>
      <c r="H2829" s="116"/>
      <c r="I2829" s="116"/>
    </row>
    <row r="2830" spans="1:9" x14ac:dyDescent="0.25">
      <c r="A2830" s="170">
        <v>46176</v>
      </c>
      <c r="B2830">
        <v>177.15</v>
      </c>
      <c r="C2830">
        <v>175.55</v>
      </c>
      <c r="D2830">
        <v>171.8</v>
      </c>
      <c r="E2830">
        <v>176.35</v>
      </c>
      <c r="F2830">
        <v>175.55</v>
      </c>
      <c r="G2830">
        <v>102931</v>
      </c>
      <c r="H2830" s="116"/>
      <c r="I2830" s="116"/>
    </row>
    <row r="2831" spans="1:9" x14ac:dyDescent="0.25">
      <c r="A2831" s="170">
        <v>46177</v>
      </c>
      <c r="B2831">
        <v>180.85</v>
      </c>
      <c r="C2831">
        <v>175.6</v>
      </c>
      <c r="D2831">
        <v>174.85</v>
      </c>
      <c r="E2831">
        <v>174.85</v>
      </c>
      <c r="F2831">
        <v>175.6</v>
      </c>
      <c r="G2831">
        <v>95659</v>
      </c>
      <c r="H2831" s="116"/>
      <c r="I2831" s="116"/>
    </row>
    <row r="2832" spans="1:9" x14ac:dyDescent="0.25">
      <c r="A2832" s="170">
        <v>46178</v>
      </c>
      <c r="B2832">
        <v>177.1</v>
      </c>
      <c r="C2832">
        <v>170.1</v>
      </c>
      <c r="D2832">
        <v>168.95</v>
      </c>
      <c r="E2832">
        <v>175.8</v>
      </c>
      <c r="F2832">
        <v>170.1</v>
      </c>
      <c r="G2832">
        <v>130466</v>
      </c>
      <c r="H2832" s="116"/>
      <c r="I2832" s="116"/>
    </row>
    <row r="2833" spans="1:9" x14ac:dyDescent="0.25">
      <c r="A2833" s="170">
        <v>46181</v>
      </c>
      <c r="B2833">
        <v>168.35</v>
      </c>
      <c r="C2833">
        <v>160.94999999999999</v>
      </c>
      <c r="D2833">
        <v>159.55000000000001</v>
      </c>
      <c r="E2833">
        <v>165.1</v>
      </c>
      <c r="F2833">
        <v>160.94999999999999</v>
      </c>
      <c r="G2833">
        <v>204725</v>
      </c>
      <c r="H2833" s="116"/>
      <c r="I2833" s="116"/>
    </row>
    <row r="2834" spans="1:9" x14ac:dyDescent="0.25">
      <c r="A2834" s="170">
        <v>46182</v>
      </c>
      <c r="B2834">
        <v>170.25</v>
      </c>
      <c r="C2834">
        <v>167.8</v>
      </c>
      <c r="D2834">
        <v>162.5</v>
      </c>
      <c r="E2834">
        <v>162.5</v>
      </c>
      <c r="F2834">
        <v>167.8</v>
      </c>
      <c r="G2834">
        <v>156141</v>
      </c>
      <c r="H2834" s="116"/>
      <c r="I2834" s="116"/>
    </row>
    <row r="2835" spans="1:9" x14ac:dyDescent="0.25">
      <c r="A2835" s="170">
        <v>46183</v>
      </c>
      <c r="B2835">
        <v>168.65</v>
      </c>
      <c r="C2835">
        <v>161.94999999999999</v>
      </c>
      <c r="D2835">
        <v>161.05000000000001</v>
      </c>
      <c r="E2835">
        <v>168</v>
      </c>
      <c r="F2835">
        <v>161.94999999999999</v>
      </c>
      <c r="G2835">
        <v>63002</v>
      </c>
      <c r="H2835" s="116"/>
      <c r="I2835" s="116"/>
    </row>
    <row r="2836" spans="1:9" x14ac:dyDescent="0.25">
      <c r="A2836" s="170">
        <v>46184</v>
      </c>
      <c r="B2836">
        <v>161.25</v>
      </c>
      <c r="C2836">
        <v>156.9</v>
      </c>
      <c r="D2836">
        <v>155.5</v>
      </c>
      <c r="E2836">
        <v>161.25</v>
      </c>
      <c r="F2836">
        <v>156.9</v>
      </c>
      <c r="G2836">
        <v>109229</v>
      </c>
      <c r="H2836" s="116"/>
      <c r="I2836" s="116"/>
    </row>
    <row r="2837" spans="1:9" x14ac:dyDescent="0.25">
      <c r="A2837" s="170">
        <v>46185</v>
      </c>
      <c r="B2837">
        <v>167.4</v>
      </c>
      <c r="C2837">
        <v>166.6</v>
      </c>
      <c r="D2837">
        <v>161.35</v>
      </c>
      <c r="E2837">
        <v>161.44999999999999</v>
      </c>
      <c r="F2837">
        <v>166.6</v>
      </c>
      <c r="G2837">
        <v>124660</v>
      </c>
      <c r="H2837" s="116"/>
      <c r="I2837" s="116"/>
    </row>
    <row r="2838" spans="1:9" x14ac:dyDescent="0.25">
      <c r="A2838" s="170">
        <v>46188</v>
      </c>
      <c r="B2838">
        <v>172.2</v>
      </c>
      <c r="C2838">
        <v>167.1</v>
      </c>
      <c r="D2838">
        <v>166.6</v>
      </c>
      <c r="E2838">
        <v>170.95</v>
      </c>
      <c r="F2838">
        <v>167.1</v>
      </c>
      <c r="G2838">
        <v>143028</v>
      </c>
      <c r="H2838" s="116"/>
      <c r="I2838" s="116"/>
    </row>
    <row r="2839" spans="1:9" x14ac:dyDescent="0.25">
      <c r="A2839" s="170">
        <v>46189</v>
      </c>
      <c r="B2839">
        <v>174.3</v>
      </c>
      <c r="C2839">
        <v>169.35</v>
      </c>
      <c r="D2839">
        <v>166.1</v>
      </c>
      <c r="E2839">
        <v>168</v>
      </c>
      <c r="F2839">
        <v>169.35</v>
      </c>
      <c r="G2839">
        <v>162653</v>
      </c>
      <c r="H2839" s="116"/>
      <c r="I2839" s="116"/>
    </row>
    <row r="2840" spans="1:9" x14ac:dyDescent="0.25">
      <c r="H2840" s="116"/>
      <c r="I2840" s="116"/>
    </row>
    <row r="2841" spans="1:9" x14ac:dyDescent="0.25">
      <c r="H2841" s="116"/>
      <c r="I2841" s="116"/>
    </row>
    <row r="2842" spans="1:9" x14ac:dyDescent="0.25">
      <c r="H2842" s="116"/>
      <c r="I2842" s="116"/>
    </row>
    <row r="2843" spans="1:9" x14ac:dyDescent="0.25">
      <c r="H2843" s="116"/>
      <c r="I2843" s="116"/>
    </row>
    <row r="2844" spans="1:9" x14ac:dyDescent="0.25">
      <c r="H2844" s="116"/>
      <c r="I2844" s="116"/>
    </row>
    <row r="2845" spans="1:9" x14ac:dyDescent="0.25">
      <c r="H2845" s="116"/>
      <c r="I2845" s="116"/>
    </row>
    <row r="2846" spans="1:9" x14ac:dyDescent="0.25">
      <c r="H2846" s="116"/>
      <c r="I2846" s="116"/>
    </row>
    <row r="2847" spans="1:9" x14ac:dyDescent="0.25">
      <c r="H2847" s="116"/>
      <c r="I2847" s="116"/>
    </row>
    <row r="2848" spans="1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2026-06-17T10:58:28Z</dcterms:modified>
  <cp:category/>
  <cp:contentStatus/>
</cp:coreProperties>
</file>