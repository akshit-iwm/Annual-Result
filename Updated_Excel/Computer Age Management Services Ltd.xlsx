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E6B47D2C-4F27-4F01-9F74-3B26A599C32B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C32" i="2"/>
  <c r="AC80" i="2"/>
  <c r="AC108" i="2"/>
  <c r="AD69" i="2"/>
  <c r="AD85" i="2"/>
  <c r="AD105" i="2"/>
  <c r="AE46" i="2"/>
  <c r="AE85" i="2"/>
  <c r="AC86" i="2"/>
  <c r="AE41" i="2"/>
  <c r="AE53" i="2"/>
  <c r="AD29" i="2"/>
  <c r="AF77" i="2"/>
  <c r="AD15" i="2"/>
  <c r="AC34" i="2"/>
  <c r="AE84" i="2"/>
  <c r="AC99" i="2"/>
  <c r="AF30" i="2"/>
  <c r="AB62" i="2"/>
  <c r="AD67" i="2"/>
  <c r="AD83" i="2"/>
  <c r="AD99" i="2"/>
  <c r="AC51" i="2"/>
  <c r="AC84" i="2"/>
  <c r="AF72" i="2"/>
  <c r="AF88" i="2"/>
  <c r="AE65" i="2"/>
  <c r="AD106" i="2"/>
  <c r="AF18" i="2"/>
  <c r="AE40" i="2"/>
  <c r="AE106" i="2"/>
  <c r="AF64" i="2"/>
  <c r="AB90" i="2"/>
  <c r="AF5" i="2"/>
  <c r="AF111" i="2" s="1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F113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E35" i="2"/>
  <c r="AE83" i="2"/>
  <c r="AE7" i="2"/>
  <c r="AB70" i="2"/>
  <c r="AB86" i="2"/>
  <c r="AB106" i="2"/>
  <c r="AC62" i="2"/>
  <c r="AD48" i="2"/>
  <c r="AF61" i="2"/>
  <c r="AF69" i="2"/>
  <c r="AF85" i="2"/>
  <c r="AC93" i="2"/>
  <c r="AC10" i="2"/>
  <c r="AE60" i="2"/>
  <c r="AE72" i="2"/>
  <c r="AC20" i="2"/>
  <c r="AF108" i="2"/>
  <c r="AE89" i="2"/>
  <c r="AE96" i="2"/>
  <c r="AF53" i="2"/>
  <c r="AE13" i="2"/>
  <c r="AC61" i="2"/>
  <c r="AC73" i="2"/>
  <c r="AC85" i="2"/>
  <c r="AB32" i="2"/>
  <c r="AB68" i="2"/>
  <c r="AB84" i="2"/>
  <c r="AE54" i="2"/>
  <c r="AE23" i="2"/>
  <c r="AD73" i="2"/>
  <c r="AD109" i="2"/>
  <c r="AC66" i="2"/>
  <c r="AD6" i="2"/>
  <c r="AD14" i="2"/>
  <c r="AD22" i="2"/>
  <c r="AD30" i="2"/>
  <c r="AD41" i="2"/>
  <c r="AD49" i="2"/>
  <c r="AD57" i="2"/>
  <c r="AE14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B104" i="2"/>
  <c r="AE87" i="2"/>
  <c r="AD89" i="2"/>
  <c r="AC90" i="2"/>
  <c r="AC88" i="2"/>
  <c r="AC36" i="2"/>
  <c r="AB74" i="2"/>
  <c r="AB110" i="2"/>
  <c r="AE69" i="2"/>
  <c r="AE93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1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67" i="2"/>
  <c r="AE91" i="2"/>
  <c r="AE42" i="2"/>
  <c r="AF76" i="2"/>
  <c r="AF92" i="2"/>
  <c r="AF112" i="2"/>
  <c r="AC70" i="2"/>
  <c r="AC94" i="2"/>
  <c r="AD96" i="2"/>
  <c r="AF26" i="2"/>
  <c r="AC18" i="2"/>
  <c r="AE64" i="2"/>
  <c r="AE88" i="2"/>
  <c r="AB43" i="2"/>
  <c r="AE15" i="2"/>
  <c r="AB72" i="2"/>
  <c r="AD77" i="2"/>
  <c r="AE97" i="2"/>
  <c r="AB94" i="2"/>
  <c r="AC8" i="2"/>
  <c r="AC74" i="2"/>
  <c r="AC98" i="2"/>
  <c r="AC24" i="2"/>
  <c r="AC78" i="2"/>
  <c r="AF19" i="2"/>
  <c r="AF35" i="2"/>
  <c r="AF54" i="2"/>
  <c r="AB99" i="2"/>
  <c r="AC26" i="2"/>
  <c r="AE68" i="2"/>
  <c r="AE92" i="2"/>
  <c r="AE50" i="2"/>
  <c r="AF94" i="2"/>
  <c r="AC16" i="2"/>
  <c r="AC76" i="2"/>
  <c r="AB66" i="2"/>
  <c r="AB98" i="2"/>
  <c r="AE27" i="2"/>
  <c r="AE81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108" i="2"/>
  <c r="AC105" i="2"/>
  <c r="AD59" i="2"/>
  <c r="AC45" i="2"/>
  <c r="AE76" i="2"/>
  <c r="AB8" i="2"/>
  <c r="AB88" i="2"/>
  <c r="AB108" i="2"/>
  <c r="AC68" i="2"/>
  <c r="AC92" i="2"/>
  <c r="AC55" i="2"/>
  <c r="AD93" i="2"/>
  <c r="AE73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E71" i="2"/>
  <c r="AE95" i="2"/>
  <c r="AE58" i="2"/>
  <c r="AB78" i="2"/>
  <c r="AB75" i="2"/>
  <c r="AB91" i="2"/>
  <c r="AF6" i="2"/>
  <c r="AB36" i="2"/>
  <c r="AB64" i="2"/>
  <c r="AC53" i="2"/>
  <c r="AE80" i="2"/>
  <c r="AD19" i="2"/>
  <c r="AF78" i="2"/>
  <c r="AC104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C109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D111" i="2"/>
  <c r="AC72" i="2"/>
  <c r="AC96" i="2"/>
  <c r="AC60" i="2"/>
  <c r="AF80" i="2"/>
  <c r="AF96" i="2"/>
  <c r="AE11" i="2"/>
  <c r="AE77" i="2"/>
  <c r="AE105" i="2"/>
  <c r="AB41" i="2"/>
  <c r="AF34" i="2"/>
  <c r="AD63" i="2"/>
  <c r="AE25" i="2"/>
  <c r="AC67" i="2"/>
  <c r="AB16" i="2"/>
  <c r="AB51" i="2"/>
  <c r="AF27" i="2"/>
  <c r="AF46" i="2"/>
  <c r="AE10" i="2"/>
  <c r="AF24" i="2"/>
  <c r="AF43" i="2"/>
  <c r="AB67" i="2"/>
  <c r="AB83" i="2"/>
  <c r="AD54" i="2"/>
  <c r="AB82" i="2"/>
  <c r="AE109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57" i="2"/>
  <c r="AD66" i="2"/>
  <c r="AD74" i="2"/>
  <c r="AD82" i="2"/>
  <c r="AD90" i="2"/>
  <c r="AD98" i="2"/>
  <c r="AD110" i="2"/>
  <c r="AC113" i="2"/>
  <c r="AE52" i="2"/>
  <c r="AC79" i="2"/>
  <c r="AC91" i="2"/>
  <c r="AC47" i="2"/>
  <c r="AB76" i="2"/>
  <c r="AB92" i="2"/>
  <c r="AE75" i="2"/>
  <c r="AE99" i="2"/>
  <c r="AE63" i="2"/>
  <c r="AD81" i="2"/>
  <c r="AD97" i="2"/>
  <c r="AC106" i="2"/>
  <c r="AF11" i="2"/>
  <c r="AE22" i="2"/>
  <c r="AE34" i="2"/>
  <c r="AE49" i="2"/>
  <c r="AF8" i="2"/>
  <c r="AB59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19" i="2"/>
  <c r="AE79" i="2"/>
  <c r="AE107" i="2"/>
  <c r="AF68" i="2"/>
  <c r="AF84" i="2"/>
  <c r="AF104" i="2"/>
  <c r="AC43" i="2"/>
  <c r="AC82" i="2"/>
  <c r="AC110" i="2"/>
  <c r="AE26" i="2"/>
  <c r="AD13" i="2"/>
  <c r="AF93" i="2"/>
  <c r="AF105" i="2"/>
  <c r="AD50" i="2"/>
  <c r="AD113" i="2"/>
  <c r="AA172" i="1" l="1"/>
  <c r="AA171" i="1"/>
  <c r="AA170" i="1"/>
  <c r="AA164" i="1"/>
  <c r="AA163" i="1"/>
  <c r="AA160" i="1"/>
  <c r="AA155" i="1"/>
  <c r="AA153" i="1"/>
  <c r="AA151" i="1"/>
  <c r="AA150" i="1"/>
  <c r="AA149" i="1"/>
  <c r="AA146" i="1"/>
  <c r="AA145" i="1"/>
  <c r="AA143" i="1"/>
  <c r="AA140" i="1"/>
  <c r="AA136" i="1"/>
  <c r="AA133" i="1"/>
  <c r="AA77" i="1"/>
  <c r="AA51" i="1"/>
  <c r="AA46" i="1"/>
  <c r="AA39" i="1"/>
  <c r="AA35" i="1"/>
  <c r="AA25" i="1"/>
  <c r="AA23" i="1"/>
  <c r="AA21" i="1"/>
  <c r="AA20" i="1"/>
  <c r="AA13" i="1"/>
  <c r="AA9" i="1"/>
  <c r="AA159" i="1"/>
  <c r="AA147" i="1"/>
  <c r="AA144" i="1"/>
  <c r="AA142" i="1"/>
  <c r="AA137" i="1"/>
  <c r="AA135" i="1"/>
  <c r="AA132" i="1"/>
  <c r="AA127" i="1"/>
  <c r="AA126" i="1"/>
  <c r="AA125" i="1"/>
  <c r="AA124" i="1"/>
  <c r="AA128" i="1" s="1"/>
  <c r="AA122" i="1"/>
  <c r="AA119" i="1"/>
  <c r="AA118" i="1"/>
  <c r="AA117" i="1"/>
  <c r="AA79" i="1"/>
  <c r="AA78" i="1"/>
  <c r="AA67" i="1"/>
  <c r="AA47" i="1"/>
  <c r="AA45" i="1"/>
  <c r="AA36" i="1"/>
  <c r="AA32" i="1"/>
  <c r="AA24" i="1"/>
  <c r="AA22" i="1"/>
  <c r="AA15" i="1"/>
  <c r="AA8" i="1"/>
  <c r="AA253" i="1"/>
  <c r="AA252" i="1"/>
  <c r="AA194" i="1"/>
  <c r="AB112" i="2"/>
  <c r="AA73" i="1" s="1"/>
  <c r="AB111" i="2"/>
  <c r="AB113" i="2"/>
  <c r="AA74" i="1" s="1"/>
  <c r="B1" i="9"/>
  <c r="AD112" i="2"/>
  <c r="AC112" i="2"/>
  <c r="AC111" i="2"/>
  <c r="AE112" i="2"/>
  <c r="AE111" i="2"/>
  <c r="A1" i="9"/>
  <c r="L1" i="9"/>
  <c r="AE113" i="2"/>
  <c r="AA154" i="1" l="1"/>
  <c r="AA148" i="1"/>
  <c r="AA26" i="1"/>
  <c r="AA10" i="1"/>
  <c r="AA37" i="1"/>
  <c r="AA231" i="1"/>
  <c r="AA183" i="1"/>
  <c r="AA180" i="1"/>
  <c r="AA179" i="1"/>
  <c r="AA173" i="1"/>
  <c r="AA161" i="1"/>
  <c r="AA156" i="1"/>
  <c r="AA131" i="1"/>
  <c r="AA134" i="1" s="1"/>
  <c r="AA138" i="1" s="1"/>
  <c r="AA120" i="1"/>
  <c r="AA175" i="1"/>
  <c r="AA2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57" i="1" l="1"/>
  <c r="AA182" i="1"/>
  <c r="AA16" i="1"/>
  <c r="AA244" i="1"/>
  <c r="AA98" i="1"/>
  <c r="AA248" i="1"/>
  <c r="AA246" i="1"/>
  <c r="AA185" i="1"/>
  <c r="AA184" i="1" s="1"/>
  <c r="AA168" i="1"/>
  <c r="AA109" i="1" s="1"/>
  <c r="AA33" i="1"/>
  <c r="AA165" i="1"/>
  <c r="AA129" i="1"/>
  <c r="AA166" i="1" s="1"/>
  <c r="AA186" i="1"/>
  <c r="AA181" i="1"/>
  <c r="AA17" i="1"/>
  <c r="AA28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112" i="1"/>
  <c r="AA232" i="1"/>
  <c r="AA233" i="1" s="1"/>
  <c r="AA34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8" i="1" l="1"/>
  <c r="AA234" i="1"/>
  <c r="AA42" i="1"/>
  <c r="AA245" i="1" s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32" i="3"/>
  <c r="BP31" i="3"/>
  <c r="BI5" i="3"/>
  <c r="BG10" i="3"/>
  <c r="BE15" i="3"/>
  <c r="BM19" i="3"/>
  <c r="BK24" i="3"/>
  <c r="BK46" i="3"/>
  <c r="BJ23" i="3"/>
  <c r="BL42" i="3"/>
  <c r="BG23" i="3"/>
  <c r="BN6" i="3"/>
  <c r="BJ20" i="3"/>
  <c r="BL39" i="3"/>
  <c r="BE46" i="3"/>
  <c r="BL9" i="3"/>
  <c r="BT19" i="3"/>
  <c r="BP26" i="3"/>
  <c r="BM35" i="3"/>
  <c r="BF13" i="3"/>
  <c r="BL28" i="3"/>
  <c r="BI6" i="3"/>
  <c r="BE22" i="3"/>
  <c r="BI38" i="3"/>
  <c r="BH7" i="3"/>
  <c r="AA40" i="2"/>
  <c r="Y94" i="2"/>
  <c r="Z48" i="2"/>
  <c r="BU5" i="3"/>
  <c r="BU66" i="3" s="1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6" i="3"/>
  <c r="BP39" i="3"/>
  <c r="BM5" i="3"/>
  <c r="BK10" i="3"/>
  <c r="BI15" i="3"/>
  <c r="BG20" i="3"/>
  <c r="BE25" i="3"/>
  <c r="BF5" i="3"/>
  <c r="BL24" i="3"/>
  <c r="BH46" i="3"/>
  <c r="BM24" i="3"/>
  <c r="BN14" i="3"/>
  <c r="BF22" i="3"/>
  <c r="BH41" i="3"/>
  <c r="BF8" i="3"/>
  <c r="BF16" i="3"/>
  <c r="CL20" i="1" s="1"/>
  <c r="BT25" i="3"/>
  <c r="BP28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J29" i="3"/>
  <c r="BL23" i="3"/>
  <c r="BN42" i="3"/>
  <c r="BJ14" i="3"/>
  <c r="BJ22" i="3"/>
  <c r="BT31" i="3"/>
  <c r="BP34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F6" i="3"/>
  <c r="CL8" i="1" s="1"/>
  <c r="BH25" i="3"/>
  <c r="BL45" i="3"/>
  <c r="BN20" i="3"/>
  <c r="BN28" i="3"/>
  <c r="BT37" i="3"/>
  <c r="BP4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F12" i="4" a="1"/>
  <c r="FD16" i="4" a="1"/>
  <c r="FC6" i="4" a="1"/>
  <c r="FE15" i="4" a="1"/>
  <c r="BB27" i="3"/>
  <c r="Y48" i="2"/>
  <c r="Z16" i="2"/>
  <c r="Y95" i="2"/>
  <c r="Z78" i="2"/>
  <c r="Z63" i="2"/>
  <c r="AA59" i="2"/>
  <c r="BC46" i="3"/>
  <c r="FC7" i="4" a="1"/>
  <c r="FF6" i="4" a="1"/>
  <c r="FA14" i="4" a="1"/>
  <c r="AA74" i="2"/>
  <c r="Y82" i="2"/>
  <c r="Y56" i="2"/>
  <c r="BB42" i="3"/>
  <c r="BB10" i="3"/>
  <c r="BB39" i="3"/>
  <c r="Z51" i="2"/>
  <c r="FA6" i="4" a="1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L7" i="3"/>
  <c r="BN26" i="3"/>
  <c r="BJ46" i="3"/>
  <c r="BH27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31" i="3"/>
  <c r="BD12" i="3"/>
  <c r="BA18" i="3"/>
  <c r="BC26" i="3"/>
  <c r="EY14" i="4" a="1"/>
  <c r="FF11" i="4" a="1"/>
  <c r="FA16" i="4" a="1"/>
  <c r="FB11" i="4" a="1"/>
  <c r="EY16" i="4" a="1"/>
  <c r="Z106" i="2"/>
  <c r="BB26" i="3"/>
  <c r="Z32" i="2"/>
  <c r="Z34" i="2"/>
  <c r="Y110" i="2"/>
  <c r="BB11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H9" i="3"/>
  <c r="BJ28" i="3"/>
  <c r="BH62" i="3"/>
  <c r="BL33" i="3"/>
  <c r="BL41" i="3"/>
  <c r="BT8" i="3"/>
  <c r="BI27" i="3"/>
  <c r="BG42" i="3"/>
  <c r="BJ19" i="3"/>
  <c r="BH36" i="3"/>
  <c r="BM12" i="3"/>
  <c r="BM28" i="3"/>
  <c r="BH13" i="3"/>
  <c r="BJ34" i="3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Z74" i="2"/>
  <c r="AA70" i="2"/>
  <c r="BD41" i="3"/>
  <c r="BC30" i="3"/>
  <c r="Y89" i="2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J12" i="3"/>
  <c r="BL31" i="3"/>
  <c r="BN12" i="3"/>
  <c r="BM46" i="3"/>
  <c r="BJ30" i="3"/>
  <c r="BT30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A31" i="3"/>
  <c r="BA9" i="3"/>
  <c r="BA22" i="3"/>
  <c r="Z47" i="2"/>
  <c r="Y42" i="2"/>
  <c r="AA36" i="2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F14" i="3"/>
  <c r="CL23" i="1" s="1"/>
  <c r="BH33" i="3"/>
  <c r="BH19" i="3"/>
  <c r="BG79" i="3"/>
  <c r="BG45" i="3"/>
  <c r="BT42" i="3"/>
  <c r="BE31" i="3"/>
  <c r="BF7" i="3"/>
  <c r="BN23" i="3"/>
  <c r="BL40" i="3"/>
  <c r="BM16" i="3"/>
  <c r="BG33" i="3"/>
  <c r="BH29" i="3"/>
  <c r="AA55" i="2"/>
  <c r="AA24" i="2"/>
  <c r="AA72" i="2"/>
  <c r="Y68" i="2"/>
  <c r="Z109" i="2"/>
  <c r="AA93" i="2"/>
  <c r="BD32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P57" i="3"/>
  <c r="BH6" i="3"/>
  <c r="BF29" i="3"/>
  <c r="CL39" i="1" s="1"/>
  <c r="BI8" i="3"/>
  <c r="BG29" i="3"/>
  <c r="BN30" i="3"/>
  <c r="BT20" i="3"/>
  <c r="BP21" i="3"/>
  <c r="BP7" i="3"/>
  <c r="BE9" i="3"/>
  <c r="BM13" i="3"/>
  <c r="BK18" i="3"/>
  <c r="BI23" i="3"/>
  <c r="BM39" i="3"/>
  <c r="BH18" i="3"/>
  <c r="BN37" i="3"/>
  <c r="BI18" i="3"/>
  <c r="BM38" i="3"/>
  <c r="BL29" i="3"/>
  <c r="BL15" i="3"/>
  <c r="BN34" i="3"/>
  <c r="BL25" i="3"/>
  <c r="BL17" i="3"/>
  <c r="BP6" i="3"/>
  <c r="BP8" i="3"/>
  <c r="BG32" i="3"/>
  <c r="BL8" i="3"/>
  <c r="BF25" i="3"/>
  <c r="CL36" i="1" s="1"/>
  <c r="BH42" i="3"/>
  <c r="BE18" i="3"/>
  <c r="BI34" i="3"/>
  <c r="BL35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Q8" i="3"/>
  <c r="BQ46" i="3"/>
  <c r="BL22" i="3"/>
  <c r="BV26" i="3"/>
  <c r="BS10" i="3"/>
  <c r="BS34" i="3"/>
  <c r="BJ21" i="3"/>
  <c r="BI46" i="3"/>
  <c r="BK12" i="3"/>
  <c r="BJ13" i="3"/>
  <c r="BN8" i="3"/>
  <c r="BF40" i="3"/>
  <c r="BM45" i="3"/>
  <c r="BI30" i="3"/>
  <c r="AA61" i="2"/>
  <c r="AA90" i="2"/>
  <c r="BB9" i="3"/>
  <c r="Y6" i="2"/>
  <c r="Z53" i="2"/>
  <c r="AA58" i="2"/>
  <c r="BA36" i="3"/>
  <c r="AA108" i="2"/>
  <c r="Y11" i="2"/>
  <c r="Y77" i="2"/>
  <c r="BC31" i="3"/>
  <c r="AA31" i="2"/>
  <c r="BB35" i="3"/>
  <c r="Z28" i="2"/>
  <c r="BB36" i="3"/>
  <c r="AA107" i="2"/>
  <c r="AA15" i="2"/>
  <c r="FF16" i="4" a="1"/>
  <c r="EX13" i="4" a="1"/>
  <c r="FB13" i="4" a="1"/>
  <c r="EX15" i="4" a="1"/>
  <c r="FC15" i="4" a="1"/>
  <c r="FD5" i="4" a="1"/>
  <c r="Z7" i="2"/>
  <c r="Y97" i="2"/>
  <c r="EX11" i="4" a="1"/>
  <c r="EX5" i="4" a="1"/>
  <c r="EX7" i="4" a="1"/>
  <c r="EX14" i="4" a="1"/>
  <c r="Y27" i="2"/>
  <c r="Y41" i="2"/>
  <c r="AA45" i="2"/>
  <c r="EY7" i="4" a="1"/>
  <c r="FA15" i="4" a="1"/>
  <c r="FB9" i="4" a="1"/>
  <c r="FA9" i="4" a="1"/>
  <c r="FC13" i="4" a="1"/>
  <c r="Y63" i="2"/>
  <c r="FA7" i="4" a="1"/>
  <c r="EY15" i="4" a="1"/>
  <c r="FE11" i="4" a="1"/>
  <c r="BS42" i="3"/>
  <c r="BP15" i="3"/>
  <c r="BB30" i="3"/>
  <c r="BC42" i="3"/>
  <c r="AA71" i="2"/>
  <c r="BC21" i="3"/>
  <c r="FE16" i="4" a="1"/>
  <c r="BS22" i="3"/>
  <c r="BG13" i="3"/>
  <c r="BT18" i="3"/>
  <c r="AA9" i="2"/>
  <c r="Z18" i="2"/>
  <c r="BB12" i="3"/>
  <c r="Z24" i="2"/>
  <c r="AA25" i="2"/>
  <c r="Z42" i="2"/>
  <c r="FF15" i="4" a="1"/>
  <c r="EX6" i="4" a="1"/>
  <c r="BU10" i="3"/>
  <c r="BV5" i="3"/>
  <c r="BH30" i="3"/>
  <c r="BV28" i="3"/>
  <c r="BS12" i="3"/>
  <c r="BS38" i="3"/>
  <c r="BF31" i="3"/>
  <c r="BT24" i="3"/>
  <c r="BG14" i="3"/>
  <c r="BH20" i="3"/>
  <c r="BF36" i="3"/>
  <c r="BF24" i="3"/>
  <c r="BN9" i="3"/>
  <c r="BK35" i="3"/>
  <c r="AA110" i="2"/>
  <c r="AA29" i="2"/>
  <c r="BD18" i="3"/>
  <c r="AA87" i="2"/>
  <c r="Z96" i="2"/>
  <c r="Y71" i="2"/>
  <c r="BA37" i="3"/>
  <c r="Z23" i="2"/>
  <c r="Z90" i="2"/>
  <c r="Y81" i="2"/>
  <c r="BB33" i="3"/>
  <c r="AA97" i="2"/>
  <c r="BC22" i="3"/>
  <c r="Z26" i="2"/>
  <c r="BD27" i="3"/>
  <c r="EY5" i="4" a="1"/>
  <c r="EZ6" i="4" a="1"/>
  <c r="BC40" i="3"/>
  <c r="EY13" i="4" a="1"/>
  <c r="FB16" i="4" a="1"/>
  <c r="BM32" i="3"/>
  <c r="BO19" i="3"/>
  <c r="BI12" i="3"/>
  <c r="BF41" i="3"/>
  <c r="BN18" i="3"/>
  <c r="BJ27" i="3"/>
  <c r="Y28" i="2"/>
  <c r="AA66" i="2"/>
  <c r="AA6" i="2"/>
  <c r="BA15" i="3"/>
  <c r="AA5" i="2"/>
  <c r="Z99" i="2"/>
  <c r="AA23" i="2"/>
  <c r="Z60" i="2"/>
  <c r="EZ11" i="4" a="1"/>
  <c r="BQ26" i="3"/>
  <c r="Z87" i="2"/>
  <c r="BA30" i="3"/>
  <c r="FD8" i="4" a="1"/>
  <c r="EZ13" i="4" a="1"/>
  <c r="BQ14" i="3"/>
  <c r="BR9" i="3"/>
  <c r="BN41" i="3"/>
  <c r="BR29" i="3"/>
  <c r="BO13" i="3"/>
  <c r="BS39" i="3"/>
  <c r="BF33" i="3"/>
  <c r="BT28" i="3"/>
  <c r="BK14" i="3"/>
  <c r="BN21" i="3"/>
  <c r="BJ42" i="3"/>
  <c r="BN36" i="3"/>
  <c r="BJ11" i="3"/>
  <c r="BG37" i="3"/>
  <c r="Y88" i="2"/>
  <c r="AA105" i="2"/>
  <c r="BD22" i="3"/>
  <c r="Z107" i="2"/>
  <c r="Y62" i="2"/>
  <c r="Y61" i="2"/>
  <c r="BA40" i="3"/>
  <c r="Y96" i="2"/>
  <c r="AA98" i="2"/>
  <c r="Y90" i="2"/>
  <c r="BA8" i="3"/>
  <c r="Z65" i="2"/>
  <c r="BD38" i="3"/>
  <c r="FD9" i="4" a="1"/>
  <c r="BB34" i="3"/>
  <c r="EZ16" i="4" a="1"/>
  <c r="BR35" i="3"/>
  <c r="BT39" i="3"/>
  <c r="BI19" i="3"/>
  <c r="BT13" i="3"/>
  <c r="BH45" i="3"/>
  <c r="Z13" i="2"/>
  <c r="Z64" i="2"/>
  <c r="BC28" i="3"/>
  <c r="EX9" i="4" a="1"/>
  <c r="BU16" i="3"/>
  <c r="BV11" i="3"/>
  <c r="BE12" i="3"/>
  <c r="BV32" i="3"/>
  <c r="BS16" i="3"/>
  <c r="BT11" i="3"/>
  <c r="BL46" i="3"/>
  <c r="BP25" i="3"/>
  <c r="BI17" i="3"/>
  <c r="BL32" i="3"/>
  <c r="BN10" i="3"/>
  <c r="BH11" i="3"/>
  <c r="BL20" i="3"/>
  <c r="BJ16" i="3"/>
  <c r="AA17" i="2"/>
  <c r="AA78" i="2"/>
  <c r="BB32" i="3"/>
  <c r="Z20" i="2"/>
  <c r="AA86" i="2"/>
  <c r="AA41" i="2"/>
  <c r="BA41" i="3"/>
  <c r="AA20" i="2"/>
  <c r="Z94" i="2"/>
  <c r="AA32" i="2"/>
  <c r="AV10" i="3"/>
  <c r="Z83" i="2"/>
  <c r="BA10" i="3"/>
  <c r="Y52" i="2"/>
  <c r="BD5" i="3"/>
  <c r="BQ20" i="3"/>
  <c r="BS37" i="3"/>
  <c r="BI24" i="3"/>
  <c r="BV34" i="3"/>
  <c r="BS18" i="3"/>
  <c r="BT33" i="3"/>
  <c r="BK9" i="3"/>
  <c r="BP37" i="3"/>
  <c r="BE19" i="3"/>
  <c r="BJ39" i="3"/>
  <c r="BH17" i="3"/>
  <c r="BT9" i="3"/>
  <c r="BH26" i="3"/>
  <c r="BJ40" i="3"/>
  <c r="Z89" i="2"/>
  <c r="Z9" i="2"/>
  <c r="BB22" i="3"/>
  <c r="Z110" i="2"/>
  <c r="AA50" i="2"/>
  <c r="Z68" i="2"/>
  <c r="BC29" i="3"/>
  <c r="AA42" i="2"/>
  <c r="Y5" i="2"/>
  <c r="AA89" i="2"/>
  <c r="BD9" i="3"/>
  <c r="Y67" i="2"/>
  <c r="BC6" i="3"/>
  <c r="Z52" i="2"/>
  <c r="BB28" i="3"/>
  <c r="Z17" i="2"/>
  <c r="FF13" i="4" a="1"/>
  <c r="EZ8" i="4" a="1"/>
  <c r="FC5" i="4" a="1"/>
  <c r="FE6" i="4" a="1"/>
  <c r="FF8" i="4" a="1"/>
  <c r="EX8" i="4" a="1"/>
  <c r="EY6" i="4" a="1"/>
  <c r="BU22" i="3"/>
  <c r="BG22" i="3"/>
  <c r="BN40" i="3"/>
  <c r="Y98" i="2"/>
  <c r="FE5" i="4" a="1"/>
  <c r="BU28" i="3"/>
  <c r="BT14" i="3"/>
  <c r="BF46" i="3"/>
  <c r="CL64" i="1" s="1"/>
  <c r="BV40" i="3"/>
  <c r="BS24" i="3"/>
  <c r="BG26" i="3"/>
  <c r="BM30" i="3"/>
  <c r="BP23" i="3"/>
  <c r="BM23" i="3"/>
  <c r="BE20" i="3"/>
  <c r="BJ36" i="3"/>
  <c r="BP14" i="3"/>
  <c r="BF45" i="3"/>
  <c r="CL63" i="1" s="1"/>
  <c r="CL65" i="1" s="1"/>
  <c r="AA14" i="2"/>
  <c r="AA47" i="2"/>
  <c r="BD39" i="3"/>
  <c r="Y19" i="2"/>
  <c r="Z61" i="2"/>
  <c r="BC13" i="3"/>
  <c r="BD45" i="3"/>
  <c r="Z35" i="2"/>
  <c r="Y45" i="2"/>
  <c r="AA21" i="2"/>
  <c r="BB8" i="3"/>
  <c r="Y66" i="2"/>
  <c r="Z71" i="2"/>
  <c r="Z56" i="2"/>
  <c r="BC35" i="3"/>
  <c r="BD20" i="3"/>
  <c r="FC14" i="4" a="1"/>
  <c r="FE12" i="4" a="1"/>
  <c r="FB7" i="4" a="1"/>
  <c r="FE14" i="4" a="1"/>
  <c r="FB5" i="4" a="1"/>
  <c r="EX12" i="4" a="1"/>
  <c r="BR41" i="3"/>
  <c r="BG24" i="3"/>
  <c r="BF38" i="3"/>
  <c r="BA19" i="3"/>
  <c r="AA63" i="2"/>
  <c r="BD11" i="3"/>
  <c r="AA46" i="2"/>
  <c r="BA33" i="3"/>
  <c r="Z27" i="2"/>
  <c r="Y105" i="2"/>
  <c r="BB29" i="3"/>
  <c r="EZ14" i="4" a="1"/>
  <c r="FA11" i="4" a="1"/>
  <c r="FB12" i="4" a="1"/>
  <c r="FD13" i="4" a="1"/>
  <c r="Z43" i="2"/>
  <c r="EY11" i="4" a="1"/>
  <c r="FD11" i="4" a="1"/>
  <c r="BU40" i="3"/>
  <c r="BI45" i="3"/>
  <c r="AA16" i="2"/>
  <c r="Z10" i="2"/>
  <c r="Z98" i="2"/>
  <c r="AA27" i="2"/>
  <c r="AA67" i="2"/>
  <c r="BA46" i="3"/>
  <c r="FC9" i="4" a="1"/>
  <c r="FE8" i="4" a="1"/>
  <c r="FD14" i="4" a="1"/>
  <c r="FD12" i="4" a="1"/>
  <c r="FE9" i="4" a="1"/>
  <c r="FC11" i="4" a="1"/>
  <c r="BT29" i="3"/>
  <c r="BP32" i="3"/>
  <c r="BQ32" i="3"/>
  <c r="BP38" i="3"/>
  <c r="BV14" i="3"/>
  <c r="BO25" i="3"/>
  <c r="BM27" i="3"/>
  <c r="BI32" i="3"/>
  <c r="BE5" i="3"/>
  <c r="BE85" i="3" s="1"/>
  <c r="BK21" i="3"/>
  <c r="BP20" i="3"/>
  <c r="BK5" i="3"/>
  <c r="Y26" i="2"/>
  <c r="BB20" i="3"/>
  <c r="Y49" i="2"/>
  <c r="BC45" i="3"/>
  <c r="Y8" i="2"/>
  <c r="Z105" i="2"/>
  <c r="BD16" i="3"/>
  <c r="Y79" i="2"/>
  <c r="FC12" i="4" a="1"/>
  <c r="EZ9" i="4" a="1"/>
  <c r="FB8" i="4" a="1"/>
  <c r="FD6" i="4" a="1"/>
  <c r="FE7" i="4" a="1"/>
  <c r="FB15" i="4" a="1"/>
  <c r="BL10" i="3"/>
  <c r="BO7" i="3"/>
  <c r="BO31" i="3"/>
  <c r="BJ9" i="3"/>
  <c r="BN46" i="3"/>
  <c r="BJ38" i="3"/>
  <c r="BG21" i="3"/>
  <c r="Y15" i="2"/>
  <c r="BA12" i="3"/>
  <c r="Z82" i="2"/>
  <c r="FC8" i="4" a="1"/>
  <c r="FA13" i="4" a="1"/>
  <c r="FF7" i="4" a="1"/>
  <c r="AA83" i="2"/>
  <c r="FB6" i="4" a="1"/>
  <c r="BF10" i="3"/>
  <c r="CL13" i="1" s="1"/>
  <c r="BE24" i="3"/>
  <c r="BP45" i="3"/>
  <c r="BF30" i="3"/>
  <c r="BJ37" i="3"/>
  <c r="Y46" i="2"/>
  <c r="AA84" i="2"/>
  <c r="BU34" i="3"/>
  <c r="BM31" i="3"/>
  <c r="BR17" i="3"/>
  <c r="BV46" i="3"/>
  <c r="BS28" i="3"/>
  <c r="BI39" i="3"/>
  <c r="BL11" i="3"/>
  <c r="BM7" i="3"/>
  <c r="BE35" i="3"/>
  <c r="BK33" i="3"/>
  <c r="BJ6" i="3"/>
  <c r="BE29" i="3"/>
  <c r="BI14" i="3"/>
  <c r="AB39" i="3"/>
  <c r="C4" i="2"/>
  <c r="BA45" i="3"/>
  <c r="BC12" i="3"/>
  <c r="AA30" i="2"/>
  <c r="Z70" i="2"/>
  <c r="BC14" i="3"/>
  <c r="BB46" i="3"/>
  <c r="Y47" i="2"/>
  <c r="AA13" i="2"/>
  <c r="AA82" i="2"/>
  <c r="BC36" i="3"/>
  <c r="BC33" i="3"/>
  <c r="BC5" i="3"/>
  <c r="Z8" i="2"/>
  <c r="Z93" i="2"/>
  <c r="BB40" i="3"/>
  <c r="FA8" i="4" a="1"/>
  <c r="FD15" i="4" a="1"/>
  <c r="FC16" i="4" a="1"/>
  <c r="EY12" i="4" a="1"/>
  <c r="EY9" i="4" a="1"/>
  <c r="FF5" i="4" a="1"/>
  <c r="BC34" i="3"/>
  <c r="BD31" i="3"/>
  <c r="BA25" i="3"/>
  <c r="AA57" i="2"/>
  <c r="BR23" i="3"/>
  <c r="BM9" i="3"/>
  <c r="BE42" i="3"/>
  <c r="BK34" i="3"/>
  <c r="Y83" i="2"/>
  <c r="Z108" i="2"/>
  <c r="BC37" i="3"/>
  <c r="BB37" i="3"/>
  <c r="Z5" i="2"/>
  <c r="BC7" i="3"/>
  <c r="BA13" i="3"/>
  <c r="Y53" i="2"/>
  <c r="EZ15" i="4" a="1"/>
  <c r="Y59" i="2"/>
  <c r="Y29" i="2"/>
  <c r="BV38" i="3"/>
  <c r="BC27" i="3"/>
  <c r="BD19" i="3"/>
  <c r="AA52" i="2"/>
  <c r="BQ38" i="3"/>
  <c r="BK42" i="3"/>
  <c r="BV20" i="3"/>
  <c r="BS6" i="3"/>
  <c r="BS30" i="3"/>
  <c r="BN7" i="3"/>
  <c r="BH37" i="3"/>
  <c r="BI9" i="3"/>
  <c r="BK40" i="3"/>
  <c r="BI40" i="3"/>
  <c r="BF32" i="3"/>
  <c r="BI33" i="3"/>
  <c r="BK19" i="3"/>
  <c r="Y60" i="2"/>
  <c r="Y23" i="2"/>
  <c r="BC18" i="3"/>
  <c r="BB15" i="3"/>
  <c r="AA79" i="2"/>
  <c r="Y50" i="2"/>
  <c r="BA32" i="3"/>
  <c r="AA88" i="2"/>
  <c r="Z92" i="2"/>
  <c r="AA99" i="2"/>
  <c r="X6" i="2"/>
  <c r="BB7" i="3"/>
  <c r="AA52" i="1" l="1"/>
  <c r="AA54" i="1"/>
  <c r="AA193" i="1"/>
  <c r="AA195" i="1" s="1"/>
  <c r="BQ62" i="3"/>
  <c r="BQ56" i="3"/>
  <c r="BG66" i="3"/>
  <c r="BG59" i="3"/>
  <c r="CL10" i="1"/>
  <c r="CL231" i="1"/>
  <c r="CL253" i="1"/>
  <c r="CL194" i="1"/>
  <c r="CL252" i="1"/>
  <c r="CL26" i="1"/>
  <c r="CL27" i="1" s="1"/>
  <c r="CK51" i="1"/>
  <c r="CK39" i="1"/>
  <c r="CK46" i="1"/>
  <c r="CK9" i="1"/>
  <c r="CK14" i="1"/>
  <c r="CK25" i="1"/>
  <c r="CK35" i="1"/>
  <c r="CK63" i="1"/>
  <c r="CK47" i="1"/>
  <c r="CK21" i="1"/>
  <c r="CK32" i="1"/>
  <c r="CK13" i="1"/>
  <c r="CK22" i="1"/>
  <c r="CK8" i="1"/>
  <c r="CK15" i="1"/>
  <c r="CK36" i="1"/>
  <c r="CK20" i="1"/>
  <c r="CK64" i="1"/>
  <c r="CK24" i="1"/>
  <c r="CK23" i="1"/>
  <c r="CK45" i="1"/>
  <c r="CK10" i="1"/>
  <c r="CL12" i="1" s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Y161" i="1" s="1"/>
  <c r="Z118" i="1"/>
  <c r="CH118" i="1" s="1"/>
  <c r="CI118" i="1" s="1"/>
  <c r="Y35" i="1"/>
  <c r="Y155" i="1"/>
  <c r="Z79" i="1"/>
  <c r="Z143" i="1"/>
  <c r="CH143" i="1" s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FO13" i="4" a="1"/>
  <c r="FI14" i="4" a="1"/>
  <c r="HE14" i="4" a="1"/>
  <c r="FK12" i="4" a="1"/>
  <c r="GU14" i="4" a="1"/>
  <c r="GR15" i="4" a="1"/>
  <c r="FN16" i="4" a="1"/>
  <c r="GL16" i="4" a="1"/>
  <c r="HE7" i="4" a="1"/>
  <c r="FV9" i="4" a="1"/>
  <c r="HH13" i="4" a="1"/>
  <c r="GA15" i="4" a="1"/>
  <c r="GU9" i="4" a="1"/>
  <c r="FG14" i="4" a="1"/>
  <c r="BP50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BP92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K79" i="3"/>
  <c r="GB5" i="4" a="1"/>
  <c r="FU7" i="4" a="1"/>
  <c r="GE9" i="4" a="1"/>
  <c r="FW6" i="4" a="1"/>
  <c r="HA14" i="4" a="1"/>
  <c r="GC6" i="4" a="1"/>
  <c r="GQ8" i="4" a="1"/>
  <c r="FM9" i="4" a="1"/>
  <c r="GI13" i="4" a="1"/>
  <c r="GL5" i="4" a="1"/>
  <c r="FQ8" i="4" a="1"/>
  <c r="FP8" i="4" a="1"/>
  <c r="GB12" i="4" a="1"/>
  <c r="GI5" i="4" a="1"/>
  <c r="GK7" i="4" a="1"/>
  <c r="HC6" i="4" a="1"/>
  <c r="GM11" i="4" a="1"/>
  <c r="GE5" i="4" a="1"/>
  <c r="FM7" i="4" a="1"/>
  <c r="GG7" i="4" a="1"/>
  <c r="BK84" i="3"/>
  <c r="BP60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H61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T49" i="3"/>
  <c r="BH59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V48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U58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U54" i="3"/>
  <c r="BH94" i="3"/>
  <c r="BI62" i="3"/>
  <c r="BU76" i="3"/>
  <c r="BO59" i="3"/>
  <c r="BS77" i="3"/>
  <c r="BU90" i="3"/>
  <c r="BR96" i="3"/>
  <c r="BV63" i="3"/>
  <c r="BT83" i="3"/>
  <c r="BN75" i="3"/>
  <c r="BN85" i="3"/>
  <c r="AA113" i="2"/>
  <c r="BO96" i="3"/>
  <c r="BG47" i="3"/>
  <c r="BE67" i="3"/>
  <c r="BM47" i="3"/>
  <c r="BJ49" i="3"/>
  <c r="BJ91" i="3"/>
  <c r="BJ73" i="3"/>
  <c r="BK85" i="3"/>
  <c r="BK49" i="3"/>
  <c r="FS5" i="4" a="1"/>
  <c r="FO8" i="4" a="1"/>
  <c r="GZ8" i="4" a="1"/>
  <c r="GA13" i="4" a="1"/>
  <c r="GE7" i="4" a="1"/>
  <c r="GA7" i="4" a="1"/>
  <c r="GU11" i="4" a="1"/>
  <c r="GF6" i="4" a="1"/>
  <c r="FQ6" i="4" a="1"/>
  <c r="GK5" i="4" a="1"/>
  <c r="GF5" i="4" a="1"/>
  <c r="GP5" i="4" a="1"/>
  <c r="FX11" i="4" a="1"/>
  <c r="FZ5" i="4" a="1"/>
  <c r="GW8" i="4" a="1"/>
  <c r="GZ6" i="4" a="1"/>
  <c r="FJ5" i="4" a="1"/>
  <c r="GA8" i="4" a="1"/>
  <c r="GV9" i="4" a="1"/>
  <c r="FG15" i="4" a="1"/>
  <c r="GN11" i="4" a="1"/>
  <c r="GX12" i="4" a="1"/>
  <c r="GZ13" i="4" a="1"/>
  <c r="GY11" i="4" a="1"/>
  <c r="HA12" i="4" a="1"/>
  <c r="HC13" i="4" a="1"/>
  <c r="FO6" i="4" a="1"/>
  <c r="FU13" i="4" a="1"/>
  <c r="GF15" i="4" a="1"/>
  <c r="HF15" i="4" a="1"/>
  <c r="GD16" i="4" a="1"/>
  <c r="HD16" i="4" a="1"/>
  <c r="FV8" i="4" a="1"/>
  <c r="GS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A65" i="3"/>
  <c r="HA6" i="4" a="1"/>
  <c r="GB6" i="4" a="1"/>
  <c r="FH8" i="4" a="1"/>
  <c r="FL6" i="4" a="1"/>
  <c r="GJ5" i="4" a="1"/>
  <c r="GY7" i="4" a="1"/>
  <c r="HF13" i="4" a="1"/>
  <c r="GH15" i="4" a="1"/>
  <c r="GF16" i="4" a="1"/>
  <c r="HB8" i="4" a="1"/>
  <c r="FM11" i="4" a="1"/>
  <c r="FM16" i="4" a="1"/>
  <c r="BC81" i="3"/>
  <c r="BC91" i="3"/>
  <c r="BD87" i="3"/>
  <c r="BD71" i="3"/>
  <c r="BD79" i="3"/>
  <c r="GE13" i="4" a="1"/>
  <c r="HE11" i="4" a="1"/>
  <c r="FH15" i="4" a="1"/>
  <c r="HA15" i="4" a="1"/>
  <c r="BC73" i="3"/>
  <c r="BQ57" i="3"/>
  <c r="BE79" i="3"/>
  <c r="BJ80" i="3"/>
  <c r="BI73" i="3"/>
  <c r="BH82" i="3"/>
  <c r="BI57" i="3"/>
  <c r="BR62" i="3"/>
  <c r="BO66" i="3"/>
  <c r="BS96" i="3"/>
  <c r="BU92" i="3"/>
  <c r="BR94" i="3"/>
  <c r="BV70" i="3"/>
  <c r="BT85" i="3"/>
  <c r="BN55" i="3"/>
  <c r="BN97" i="3"/>
  <c r="Y112" i="2"/>
  <c r="BS66" i="3"/>
  <c r="BG84" i="3"/>
  <c r="BE69" i="3"/>
  <c r="BM58" i="3"/>
  <c r="BJ74" i="3"/>
  <c r="BJ54" i="3"/>
  <c r="BJ75" i="3"/>
  <c r="BK80" i="3"/>
  <c r="BK65" i="3"/>
  <c r="GC5" i="4" a="1"/>
  <c r="FY8" i="4" a="1"/>
  <c r="FR9" i="4" a="1"/>
  <c r="GQ13" i="4" a="1"/>
  <c r="GX7" i="4" a="1"/>
  <c r="FL9" i="4" a="1"/>
  <c r="FQ12" i="4" a="1"/>
  <c r="GT5" i="4" a="1"/>
  <c r="HD5" i="4" a="1"/>
  <c r="GU5" i="4" a="1"/>
  <c r="FR5" i="4" a="1"/>
  <c r="GO8" i="4" a="1"/>
  <c r="FH11" i="4" a="1"/>
  <c r="GV5" i="4" a="1"/>
  <c r="GS11" i="4" a="1"/>
  <c r="HC12" i="4" a="1"/>
  <c r="HE6" i="4" a="1"/>
  <c r="HB11" i="4" a="1"/>
  <c r="HD12" i="4" a="1"/>
  <c r="FY7" i="4" a="1"/>
  <c r="GF13" i="4" a="1"/>
  <c r="HH15" i="4" a="1"/>
  <c r="HF16" i="4" a="1"/>
  <c r="FK14" i="4" a="1"/>
  <c r="GW11" i="4" a="1"/>
  <c r="GM14" i="4" a="1"/>
  <c r="GQ15" i="4" a="1"/>
  <c r="GK16" i="4" a="1"/>
  <c r="GL8" i="4" a="1"/>
  <c r="BC70" i="3"/>
  <c r="Z112" i="2"/>
  <c r="HC9" i="4" a="1"/>
  <c r="FP13" i="4" a="1"/>
  <c r="FW16" i="4" a="1"/>
  <c r="BC89" i="3"/>
  <c r="BS73" i="3"/>
  <c r="BK88" i="3"/>
  <c r="FT12" i="4" a="1"/>
  <c r="GJ6" i="4" a="1"/>
  <c r="GM8" i="4" a="1"/>
  <c r="GP8" i="4" a="1"/>
  <c r="BI97" i="3"/>
  <c r="BL58" i="3"/>
  <c r="BI85" i="3"/>
  <c r="BR92" i="3"/>
  <c r="BO76" i="3"/>
  <c r="BS86" i="3"/>
  <c r="BU97" i="3"/>
  <c r="BR83" i="3"/>
  <c r="BV87" i="3"/>
  <c r="BT60" i="3"/>
  <c r="BN90" i="3"/>
  <c r="BP54" i="3"/>
  <c r="Y111" i="2"/>
  <c r="BS76" i="3"/>
  <c r="BG90" i="3"/>
  <c r="BE77" i="3"/>
  <c r="BM83" i="3"/>
  <c r="BJ82" i="3"/>
  <c r="BJ48" i="3"/>
  <c r="BJ77" i="3"/>
  <c r="BK66" i="3"/>
  <c r="BK97" i="3"/>
  <c r="GQ5" i="4" a="1"/>
  <c r="GK8" i="4" a="1"/>
  <c r="GH9" i="4" a="1"/>
  <c r="FR15" i="4" a="1"/>
  <c r="GW5" i="4" a="1"/>
  <c r="GJ9" i="4" a="1"/>
  <c r="HG13" i="4" a="1"/>
  <c r="FW7" i="4" a="1"/>
  <c r="FV7" i="4" a="1"/>
  <c r="GW12" i="4" a="1"/>
  <c r="FP6" i="4" a="1"/>
  <c r="FR6" i="4" a="1"/>
  <c r="FI12" i="4" a="1"/>
  <c r="FM6" i="4" a="1"/>
  <c r="FT6" i="4" a="1"/>
  <c r="FY12" i="4" a="1"/>
  <c r="GD5" i="4" a="1"/>
  <c r="HA8" i="4" a="1"/>
  <c r="FT11" i="4" a="1"/>
  <c r="FR8" i="4" a="1"/>
  <c r="HD11" i="4" a="1"/>
  <c r="HF12" i="4" a="1"/>
  <c r="FN7" i="4" a="1"/>
  <c r="HG11" i="4" a="1"/>
  <c r="FG13" i="4" a="1"/>
  <c r="FQ14" i="4" a="1"/>
  <c r="FN8" i="4" a="1"/>
  <c r="HA13" i="4" a="1"/>
  <c r="GJ15" i="4" a="1"/>
  <c r="FH16" i="4" a="1"/>
  <c r="GH16" i="4" a="1"/>
  <c r="HH16" i="4" a="1"/>
  <c r="GQ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U86" i="3"/>
  <c r="BV82" i="3"/>
  <c r="BF56" i="3"/>
  <c r="CL117" i="1" s="1"/>
  <c r="GQ11" i="4" a="1"/>
  <c r="FZ16" i="4" a="1"/>
  <c r="FT15" i="4" a="1"/>
  <c r="FR14" i="4" a="1"/>
  <c r="GE16" i="4" a="1"/>
  <c r="BC83" i="3"/>
  <c r="BB57" i="3"/>
  <c r="BL93" i="3"/>
  <c r="BF47" i="3"/>
  <c r="BR54" i="3"/>
  <c r="BO94" i="3"/>
  <c r="BS82" i="3"/>
  <c r="BU65" i="3"/>
  <c r="BR87" i="3"/>
  <c r="BV66" i="3"/>
  <c r="BT62" i="3"/>
  <c r="BN48" i="3"/>
  <c r="BP69" i="3"/>
  <c r="BO48" i="3"/>
  <c r="BS79" i="3"/>
  <c r="BH93" i="3"/>
  <c r="BE81" i="3"/>
  <c r="BM63" i="3"/>
  <c r="BJ47" i="3"/>
  <c r="BJ55" i="3"/>
  <c r="BJ81" i="3"/>
  <c r="BK60" i="3"/>
  <c r="BK47" i="3"/>
  <c r="HG5" i="4" a="1"/>
  <c r="GU8" i="4" a="1"/>
  <c r="GX9" i="4" a="1"/>
  <c r="FT7" i="4" a="1"/>
  <c r="FS6" i="4" a="1"/>
  <c r="GX6" i="4" a="1"/>
  <c r="GC14" i="4" a="1"/>
  <c r="GU7" i="4" a="1"/>
  <c r="HF8" i="4" a="1"/>
  <c r="FS13" i="4" a="1"/>
  <c r="GV6" i="4" a="1"/>
  <c r="FK7" i="4" a="1"/>
  <c r="GG12" i="4" a="1"/>
  <c r="GK6" i="4" a="1"/>
  <c r="GR6" i="4" a="1"/>
  <c r="GZ12" i="4" a="1"/>
  <c r="GY5" i="4" a="1"/>
  <c r="HF5" i="4" a="1"/>
  <c r="GD11" i="4" a="1"/>
  <c r="FN9" i="4" a="1"/>
  <c r="FG12" i="4" a="1"/>
  <c r="FI13" i="4" a="1"/>
  <c r="GI7" i="4" a="1"/>
  <c r="FH12" i="4" a="1"/>
  <c r="FJ13" i="4" a="1"/>
  <c r="FT14" i="4" a="1"/>
  <c r="GT8" i="4" a="1"/>
  <c r="FJ14" i="4" a="1"/>
  <c r="GL15" i="4" a="1"/>
  <c r="FJ16" i="4" a="1"/>
  <c r="GJ16" i="4" a="1"/>
  <c r="GO11" i="4" a="1"/>
  <c r="HG9" i="4" a="1"/>
  <c r="GA14" i="4" a="1"/>
  <c r="GC13" i="4" a="1"/>
  <c r="GA12" i="4" a="1"/>
  <c r="HC14" i="4" a="1"/>
  <c r="GU15" i="4" a="1"/>
  <c r="FQ16" i="4" a="1"/>
  <c r="GO16" i="4" a="1"/>
  <c r="GY9" i="4" a="1"/>
  <c r="BC95" i="3"/>
  <c r="BC61" i="3"/>
  <c r="BC76" i="3"/>
  <c r="BD97" i="3"/>
  <c r="BD66" i="3"/>
  <c r="FO14" i="4" a="1"/>
  <c r="GN15" i="4" a="1"/>
  <c r="FL16" i="4" a="1"/>
  <c r="FS12" i="4" a="1"/>
  <c r="GL14" i="4" a="1"/>
  <c r="GL12" i="4" a="1"/>
  <c r="FN15" i="4" a="1"/>
  <c r="GW15" i="4" a="1"/>
  <c r="GQ16" i="4" a="1"/>
  <c r="BC92" i="3"/>
  <c r="BC97" i="3"/>
  <c r="BD77" i="3"/>
  <c r="BD65" i="3"/>
  <c r="GC12" i="4" a="1"/>
  <c r="GU16" i="4" a="1"/>
  <c r="BC80" i="3"/>
  <c r="BD69" i="3"/>
  <c r="BT84" i="3"/>
  <c r="BF70" i="3"/>
  <c r="CL133" i="1" s="1"/>
  <c r="FK15" i="4" a="1"/>
  <c r="FH5" i="4" a="1"/>
  <c r="FJ11" i="4" a="1"/>
  <c r="FZ15" i="4" a="1"/>
  <c r="GG13" i="4" a="1"/>
  <c r="GT12" i="4" a="1"/>
  <c r="GI15" i="4" a="1"/>
  <c r="BC84" i="3"/>
  <c r="BE87" i="3"/>
  <c r="BN63" i="3"/>
  <c r="BG68" i="3"/>
  <c r="HH7" i="4" a="1"/>
  <c r="GO9" i="4" a="1"/>
  <c r="GZ7" i="4" a="1"/>
  <c r="HG8" i="4" a="1"/>
  <c r="GH12" i="4" a="1"/>
  <c r="GU13" i="4" a="1"/>
  <c r="HB15" i="4" a="1"/>
  <c r="FM13" i="4" a="1"/>
  <c r="FG16" i="4" a="1"/>
  <c r="HC16" i="4" a="1"/>
  <c r="BD72" i="3"/>
  <c r="BA76" i="3"/>
  <c r="BL60" i="3"/>
  <c r="BF78" i="3"/>
  <c r="CL142" i="1" s="1"/>
  <c r="BV64" i="3"/>
  <c r="BO57" i="3"/>
  <c r="BS57" i="3"/>
  <c r="BU70" i="3"/>
  <c r="BV79" i="3"/>
  <c r="BT58" i="3"/>
  <c r="BT48" i="3"/>
  <c r="BN60" i="3"/>
  <c r="BP90" i="3"/>
  <c r="BO69" i="3"/>
  <c r="BS81" i="3"/>
  <c r="BL95" i="3"/>
  <c r="BI63" i="3"/>
  <c r="BM55" i="3"/>
  <c r="BJ68" i="3"/>
  <c r="BJ62" i="3"/>
  <c r="BK81" i="3"/>
  <c r="BK87" i="3"/>
  <c r="BK96" i="3"/>
  <c r="FX6" i="4" a="1"/>
  <c r="GM5" i="4" a="1"/>
  <c r="HH9" i="4" a="1"/>
  <c r="GH8" i="4" a="1"/>
  <c r="GQ6" i="4" a="1"/>
  <c r="GR7" i="4" a="1"/>
  <c r="HD14" i="4" a="1"/>
  <c r="GO5" i="4" a="1"/>
  <c r="GB9" i="4" a="1"/>
  <c r="GY13" i="4" a="1"/>
  <c r="FO7" i="4" a="1"/>
  <c r="HG7" i="4" a="1"/>
  <c r="HH12" i="4" a="1"/>
  <c r="FG7" i="4" a="1"/>
  <c r="GL7" i="4" a="1"/>
  <c r="FV13" i="4" a="1"/>
  <c r="FU6" i="4" a="1"/>
  <c r="GN5" i="4" a="1"/>
  <c r="GO6" i="4" a="1"/>
  <c r="FG11" i="4" a="1"/>
  <c r="FJ12" i="4" a="1"/>
  <c r="FL13" i="4" a="1"/>
  <c r="GT7" i="4" a="1"/>
  <c r="FM12" i="4" a="1"/>
  <c r="FW13" i="4" a="1"/>
  <c r="FY14" i="4" a="1"/>
  <c r="FQ9" i="4" a="1"/>
  <c r="GN16" i="4" a="1"/>
  <c r="FU11" i="4" a="1"/>
  <c r="HE13" i="4" a="1"/>
  <c r="FS16" i="4" a="1"/>
  <c r="GC11" i="4" a="1"/>
  <c r="BC59" i="3"/>
  <c r="BD56" i="3"/>
  <c r="FO11" i="4" a="1"/>
  <c r="GR16" i="4" a="1"/>
  <c r="HB14" i="4" a="1"/>
  <c r="GY12" i="4" a="1"/>
  <c r="BD64" i="3"/>
  <c r="BQ82" i="3"/>
  <c r="HC5" i="4" a="1"/>
  <c r="GL11" i="4" a="1"/>
  <c r="GX16" i="4" a="1"/>
  <c r="FM15" i="4" a="1"/>
  <c r="HD13" i="4" a="1"/>
  <c r="BC55" i="3"/>
  <c r="BD58" i="3"/>
  <c r="BS68" i="3"/>
  <c r="FY6" i="4" a="1"/>
  <c r="FU5" i="4" a="1"/>
  <c r="FN11" i="4" a="1"/>
  <c r="GR13" i="4" a="1"/>
  <c r="GW14" i="4" a="1"/>
  <c r="FS15" i="4" a="1"/>
  <c r="BC74" i="3"/>
  <c r="BC78" i="3"/>
  <c r="BC87" i="3"/>
  <c r="BA74" i="3"/>
  <c r="BL82" i="3"/>
  <c r="BF93" i="3"/>
  <c r="BV56" i="3"/>
  <c r="BO67" i="3"/>
  <c r="BS50" i="3"/>
  <c r="BR88" i="3"/>
  <c r="BV57" i="3"/>
  <c r="BT59" i="3"/>
  <c r="BN57" i="3"/>
  <c r="BN71" i="3"/>
  <c r="BP82" i="3"/>
  <c r="BO54" i="3"/>
  <c r="BS89" i="3"/>
  <c r="BL85" i="3"/>
  <c r="BI71" i="3"/>
  <c r="BF68" i="3"/>
  <c r="CL134" i="1" s="1"/>
  <c r="BJ70" i="3"/>
  <c r="BJ64" i="3"/>
  <c r="BK69" i="3"/>
  <c r="BK62" i="3"/>
  <c r="BK89" i="3"/>
  <c r="GN6" i="4" a="1"/>
  <c r="FI6" i="4" a="1"/>
  <c r="FZ6" i="4" a="1"/>
  <c r="FY9" i="4" a="1"/>
  <c r="HG6" i="4" a="1"/>
  <c r="GP9" i="4" a="1"/>
  <c r="FW15" i="4" a="1"/>
  <c r="FK6" i="4" a="1"/>
  <c r="GN8" i="4" a="1"/>
  <c r="FU14" i="4" a="1"/>
  <c r="GP7" i="4" a="1"/>
  <c r="GW7" i="4" a="1"/>
  <c r="GD13" i="4" a="1"/>
  <c r="FZ7" i="4" a="1"/>
  <c r="FX8" i="4" a="1"/>
  <c r="GT13" i="4" a="1"/>
  <c r="GS6" i="4" a="1"/>
  <c r="GW6" i="4" a="1"/>
  <c r="FS7" i="4" a="1"/>
  <c r="FK11" i="4" a="1"/>
  <c r="FO12" i="4" a="1"/>
  <c r="FQ13" i="4" a="1"/>
  <c r="FM8" i="4" a="1"/>
  <c r="FP12" i="4" a="1"/>
  <c r="FZ13" i="4" a="1"/>
  <c r="GB14" i="4" a="1"/>
  <c r="GL9" i="4" a="1"/>
  <c r="FZ14" i="4" a="1"/>
  <c r="GP15" i="4" a="1"/>
  <c r="FP16" i="4" a="1"/>
  <c r="GP16" i="4" a="1"/>
  <c r="FH13" i="4" a="1"/>
  <c r="GJ11" i="4" a="1"/>
  <c r="GQ14" i="4" a="1"/>
  <c r="GI14" i="4" a="1"/>
  <c r="HG12" i="4" a="1"/>
  <c r="FQ15" i="4" a="1"/>
  <c r="GY15" i="4" a="1"/>
  <c r="FU16" i="4" a="1"/>
  <c r="GS16" i="4" a="1"/>
  <c r="GZ11" i="4" a="1"/>
  <c r="BC75" i="3"/>
  <c r="BC66" i="3"/>
  <c r="BC62" i="3"/>
  <c r="BD80" i="3"/>
  <c r="FL12" i="4" a="1"/>
  <c r="FN14" i="4" a="1"/>
  <c r="BE80" i="3"/>
  <c r="BD84" i="3"/>
  <c r="BT90" i="3"/>
  <c r="BO91" i="3"/>
  <c r="BK83" i="3"/>
  <c r="GE15" i="4" a="1"/>
  <c r="GJ12" i="4" a="1"/>
  <c r="FV5" i="4" a="1"/>
  <c r="GD7" i="4" a="1"/>
  <c r="FV11" i="4" a="1"/>
  <c r="FW8" i="4" a="1"/>
  <c r="FZ8" i="4" a="1"/>
  <c r="FM14" i="4" a="1"/>
  <c r="BA61" i="3"/>
  <c r="BL91" i="3"/>
  <c r="BQ70" i="3"/>
  <c r="BV60" i="3"/>
  <c r="BO82" i="3"/>
  <c r="BU49" i="3"/>
  <c r="BR78" i="3"/>
  <c r="BV93" i="3"/>
  <c r="BT72" i="3"/>
  <c r="BN86" i="3"/>
  <c r="BN96" i="3"/>
  <c r="BP85" i="3"/>
  <c r="BO56" i="3"/>
  <c r="BS49" i="3"/>
  <c r="BL73" i="3"/>
  <c r="BI77" i="3"/>
  <c r="BF74" i="3"/>
  <c r="CL137" i="1" s="1"/>
  <c r="BJ72" i="3"/>
  <c r="BJ92" i="3"/>
  <c r="BK82" i="3"/>
  <c r="BK76" i="3"/>
  <c r="BK93" i="3"/>
  <c r="FJ7" i="4" a="1"/>
  <c r="FG6" i="4" a="1"/>
  <c r="HE8" i="4" a="1"/>
  <c r="HA9" i="4" a="1"/>
  <c r="GC7" i="4" a="1"/>
  <c r="HB9" i="4" a="1"/>
  <c r="GO7" i="4" a="1"/>
  <c r="GI6" i="4" a="1"/>
  <c r="FJ9" i="4" a="1"/>
  <c r="GS14" i="4" a="1"/>
  <c r="FI8" i="4" a="1"/>
  <c r="GF8" i="4" a="1"/>
  <c r="HB13" i="4" a="1"/>
  <c r="HC7" i="4" a="1"/>
  <c r="GV8" i="4" a="1"/>
  <c r="FP14" i="4" a="1"/>
  <c r="FR7" i="4" a="1"/>
  <c r="HB7" i="4" a="1"/>
  <c r="FR12" i="4" a="1"/>
  <c r="FT13" i="4" a="1"/>
  <c r="FK9" i="4" a="1"/>
  <c r="GG14" i="4" a="1"/>
  <c r="GE14" i="4" a="1"/>
  <c r="GT15" i="4" a="1"/>
  <c r="FR16" i="4" a="1"/>
  <c r="FU15" i="4" a="1"/>
  <c r="BR75" i="3"/>
  <c r="BI61" i="3"/>
  <c r="BK95" i="3"/>
  <c r="FG5" i="4" a="1"/>
  <c r="GT9" i="4" a="1"/>
  <c r="FG8" i="4" a="1"/>
  <c r="GE6" i="4" a="1"/>
  <c r="GJ8" i="4" a="1"/>
  <c r="GE12" i="4" a="1"/>
  <c r="GP13" i="4" a="1"/>
  <c r="GR11" i="4" a="1"/>
  <c r="GZ15" i="4" a="1"/>
  <c r="HG15" i="4" a="1"/>
  <c r="HA16" i="4" a="1"/>
  <c r="BR66" i="3"/>
  <c r="BE89" i="3"/>
  <c r="BJ96" i="3"/>
  <c r="BC60" i="3"/>
  <c r="BL79" i="3"/>
  <c r="BQ63" i="3"/>
  <c r="BV85" i="3"/>
  <c r="BO90" i="3"/>
  <c r="BU56" i="3"/>
  <c r="BR76" i="3"/>
  <c r="BV68" i="3"/>
  <c r="BT96" i="3"/>
  <c r="BN79" i="3"/>
  <c r="BN66" i="3"/>
  <c r="BF81" i="3"/>
  <c r="CL144" i="1" s="1"/>
  <c r="CL179" i="1" s="1"/>
  <c r="BO86" i="3"/>
  <c r="BS54" i="3"/>
  <c r="BE49" i="3"/>
  <c r="BI60" i="3"/>
  <c r="BF64" i="3"/>
  <c r="CL149" i="1" s="1"/>
  <c r="BJ76" i="3"/>
  <c r="BJ50" i="3"/>
  <c r="BK77" i="3"/>
  <c r="BK90" i="3"/>
  <c r="BK61" i="3"/>
  <c r="GH7" i="4" a="1"/>
  <c r="HH6" i="4" a="1"/>
  <c r="GI9" i="4" a="1"/>
  <c r="FO5" i="4" a="1"/>
  <c r="HA7" i="4" a="1"/>
  <c r="FL11" i="4" a="1"/>
  <c r="GX8" i="4" a="1"/>
  <c r="HB6" i="4" a="1"/>
  <c r="GK9" i="4" a="1"/>
  <c r="FO15" i="4" a="1"/>
  <c r="HE5" i="4" a="1"/>
  <c r="HD8" i="4" a="1"/>
  <c r="FX14" i="4" a="1"/>
  <c r="GZ5" i="4" a="1"/>
  <c r="FU9" i="4" a="1"/>
  <c r="GN14" i="4" a="1"/>
  <c r="GM7" i="4" a="1"/>
  <c r="FT9" i="4" a="1"/>
  <c r="GR12" i="4" a="1"/>
  <c r="FS11" i="4" a="1"/>
  <c r="FW12" i="4" a="1"/>
  <c r="FY13" i="4" a="1"/>
  <c r="FP9" i="4" a="1"/>
  <c r="GF12" i="4" a="1"/>
  <c r="GH13" i="4" a="1"/>
  <c r="GJ14" i="4" a="1"/>
  <c r="FQ11" i="4" a="1"/>
  <c r="GP14" i="4" a="1"/>
  <c r="GV15" i="4" a="1"/>
  <c r="FT16" i="4" a="1"/>
  <c r="GT16" i="4" a="1"/>
  <c r="GD14" i="4" a="1"/>
  <c r="FN12" i="4" a="1"/>
  <c r="HG14" i="4" a="1"/>
  <c r="FY15" i="4" a="1"/>
  <c r="GK13" i="4" a="1"/>
  <c r="GB15" i="4" a="1"/>
  <c r="HC15" i="4" a="1"/>
  <c r="FY16" i="4" a="1"/>
  <c r="GW16" i="4" a="1"/>
  <c r="GN13" i="4" a="1"/>
  <c r="BC63" i="3"/>
  <c r="BC86" i="3"/>
  <c r="BD47" i="3"/>
  <c r="BD91" i="3"/>
  <c r="BD68" i="3"/>
  <c r="HE15" i="4" a="1"/>
  <c r="GA16" i="4" a="1"/>
  <c r="GY16" i="4" a="1"/>
  <c r="FS14" i="4" a="1"/>
  <c r="BC64" i="3"/>
  <c r="BC79" i="3"/>
  <c r="BD48" i="3"/>
  <c r="BD57" i="3"/>
  <c r="BD81" i="3"/>
  <c r="BT56" i="3"/>
  <c r="BF73" i="3"/>
  <c r="GR5" i="4" a="1"/>
  <c r="GL13" i="4" a="1"/>
  <c r="FP15" i="4" a="1"/>
  <c r="FV15" i="4" a="1"/>
  <c r="BH83" i="3"/>
  <c r="GQ12" i="4" a="1"/>
  <c r="BD67" i="3"/>
  <c r="BD60" i="3"/>
  <c r="BD73" i="3"/>
  <c r="BE83" i="3"/>
  <c r="BQ67" i="3"/>
  <c r="BT50" i="3"/>
  <c r="BS71" i="3"/>
  <c r="BU71" i="3"/>
  <c r="BR59" i="3"/>
  <c r="BV80" i="3"/>
  <c r="BT64" i="3"/>
  <c r="BN89" i="3"/>
  <c r="BN68" i="3"/>
  <c r="BF77" i="3"/>
  <c r="CL140" i="1" s="1"/>
  <c r="BO64" i="3"/>
  <c r="BS58" i="3"/>
  <c r="BE47" i="3"/>
  <c r="BI87" i="3"/>
  <c r="BF72" i="3"/>
  <c r="CL135" i="1" s="1"/>
  <c r="BJ78" i="3"/>
  <c r="BJ65" i="3"/>
  <c r="BK55" i="3"/>
  <c r="BK56" i="3"/>
  <c r="GT14" i="4" a="1"/>
  <c r="HF7" i="4" a="1"/>
  <c r="GH6" i="4" a="1"/>
  <c r="GX11" i="4" a="1"/>
  <c r="GA5" i="4" a="1"/>
  <c r="HC8" i="4" a="1"/>
  <c r="GB11" i="4" a="1"/>
  <c r="GS9" i="4" a="1"/>
  <c r="GC8" i="4" a="1"/>
  <c r="GZ9" i="4" a="1"/>
  <c r="FI7" i="4" a="1"/>
  <c r="HD7" i="4" a="1"/>
  <c r="FZ9" i="4" a="1"/>
  <c r="GV14" i="4" a="1"/>
  <c r="GF7" i="4" a="1"/>
  <c r="GR9" i="4" a="1"/>
  <c r="FJ15" i="4" a="1"/>
  <c r="FL8" i="4" a="1"/>
  <c r="FK8" i="4" a="1"/>
  <c r="FN13" i="4" a="1"/>
  <c r="FW11" i="4" a="1"/>
  <c r="FZ12" i="4" a="1"/>
  <c r="GB13" i="4" a="1"/>
  <c r="GI11" i="4" a="1"/>
  <c r="GK12" i="4" a="1"/>
  <c r="GM13" i="4" a="1"/>
  <c r="GO14" i="4" a="1"/>
  <c r="GG11" i="4" a="1"/>
  <c r="FL15" i="4" a="1"/>
  <c r="GX15" i="4" a="1"/>
  <c r="FV16" i="4" a="1"/>
  <c r="GV16" i="4" a="1"/>
  <c r="GY14" i="4" a="1"/>
  <c r="GI12" i="4" a="1"/>
  <c r="FI15" i="4" a="1"/>
  <c r="HF6" i="4" a="1"/>
  <c r="GV13" i="4" a="1"/>
  <c r="GG15" i="4" a="1"/>
  <c r="BU69" i="3"/>
  <c r="BV58" i="3"/>
  <c r="BN67" i="3"/>
  <c r="BN70" i="3"/>
  <c r="BO83" i="3"/>
  <c r="BG82" i="3"/>
  <c r="BJ67" i="3"/>
  <c r="FQ7" i="4" a="1"/>
  <c r="FU8" i="4" a="1"/>
  <c r="HD9" i="4" a="1"/>
  <c r="HH5" i="4" a="1"/>
  <c r="GA11" i="4" a="1"/>
  <c r="GN12" i="4" a="1"/>
  <c r="GR14" i="4" a="1"/>
  <c r="FX16" i="4" a="1"/>
  <c r="GD8" i="4" a="1"/>
  <c r="GC16" i="4" a="1"/>
  <c r="BC69" i="3"/>
  <c r="BD95" i="3"/>
  <c r="BC48" i="3"/>
  <c r="BQ69" i="3"/>
  <c r="BN59" i="3"/>
  <c r="BF69" i="3"/>
  <c r="BI50" i="3"/>
  <c r="BJ69" i="3"/>
  <c r="BK91" i="3"/>
  <c r="FN6" i="4" a="1"/>
  <c r="GY8" i="4" a="1"/>
  <c r="HF9" i="4" a="1"/>
  <c r="GN7" i="4" a="1"/>
  <c r="GK15" i="4" a="1"/>
  <c r="BC54" i="3"/>
  <c r="Y113" i="2"/>
  <c r="BT55" i="3"/>
  <c r="GG8" i="4" a="1"/>
  <c r="GE11" i="4" a="1"/>
  <c r="GS12" i="4" a="1"/>
  <c r="GZ16" i="4" a="1"/>
  <c r="GP6" i="4" a="1"/>
  <c r="HH8" i="4" a="1"/>
  <c r="BD90" i="3"/>
  <c r="BD63" i="3"/>
  <c r="BB93" i="3"/>
  <c r="BD49" i="3"/>
  <c r="BH58" i="3"/>
  <c r="BE88" i="3"/>
  <c r="BQ96" i="3"/>
  <c r="BN92" i="3"/>
  <c r="BS65" i="3"/>
  <c r="BU83" i="3"/>
  <c r="BR84" i="3"/>
  <c r="BV86" i="3"/>
  <c r="BT79" i="3"/>
  <c r="BN93" i="3"/>
  <c r="BN83" i="3"/>
  <c r="BF48" i="3"/>
  <c r="BO93" i="3"/>
  <c r="BG48" i="3"/>
  <c r="BE59" i="3"/>
  <c r="BM69" i="3"/>
  <c r="BF50" i="3"/>
  <c r="CL74" i="1" s="1"/>
  <c r="BJ89" i="3"/>
  <c r="BJ71" i="3"/>
  <c r="BK59" i="3"/>
  <c r="BK54" i="3"/>
  <c r="FM5" i="4" a="1"/>
  <c r="GS7" i="4" a="1"/>
  <c r="GB8" i="4" a="1"/>
  <c r="HE12" i="4" a="1"/>
  <c r="HD6" i="4" a="1"/>
  <c r="GG6" i="4" a="1"/>
  <c r="FX9" i="4" a="1"/>
  <c r="FH6" i="4" a="1"/>
  <c r="GX5" i="4" a="1"/>
  <c r="GS5" i="4" a="1"/>
  <c r="FT5" i="4" a="1"/>
  <c r="GS8" i="4" a="1"/>
  <c r="FP11" i="4" a="1"/>
  <c r="FN5" i="4" a="1"/>
  <c r="GI8" i="4" a="1"/>
  <c r="GF11" i="4" a="1"/>
  <c r="GD9" i="4" a="1"/>
  <c r="FJ8" i="4" a="1"/>
  <c r="GC9" i="4" a="1"/>
  <c r="GK14" i="4" a="1"/>
  <c r="GK11" i="4" a="1"/>
  <c r="GM12" i="4" a="1"/>
  <c r="GW13" i="4" a="1"/>
  <c r="GT11" i="4" a="1"/>
  <c r="GV12" i="4" a="1"/>
  <c r="GX13" i="4" a="1"/>
  <c r="GZ14" i="4" a="1"/>
  <c r="HB12" i="4" a="1"/>
  <c r="GC15" i="4" a="1"/>
  <c r="HD15" i="4" a="1"/>
  <c r="GB16" i="4" a="1"/>
  <c r="HB16" i="4" a="1"/>
  <c r="GJ7" i="4" a="1"/>
  <c r="FX13" i="4" a="1"/>
  <c r="FX15" i="4" a="1"/>
  <c r="FI11" i="4" a="1"/>
  <c r="FW14" i="4" a="1"/>
  <c r="GM15" i="4" a="1"/>
  <c r="FI16" i="4" a="1"/>
  <c r="GG16" i="4" a="1"/>
  <c r="HE16" i="4" a="1"/>
  <c r="BC96" i="3"/>
  <c r="CH140" i="1" l="1"/>
  <c r="CI140" i="1" s="1"/>
  <c r="AA202" i="1"/>
  <c r="CO20" i="1"/>
  <c r="CS20" i="1" s="1"/>
  <c r="CL120" i="1"/>
  <c r="CL148" i="1"/>
  <c r="CL138" i="1"/>
  <c r="CL98" i="1"/>
  <c r="CL99" i="1" s="1"/>
  <c r="CL16" i="1"/>
  <c r="CL161" i="1"/>
  <c r="CL92" i="1"/>
  <c r="CL156" i="1"/>
  <c r="CL128" i="1"/>
  <c r="CK65" i="1"/>
  <c r="CK16" i="1"/>
  <c r="Y148" i="1"/>
  <c r="CK26" i="1"/>
  <c r="CK27" i="1" s="1"/>
  <c r="X148" i="1"/>
  <c r="Z154" i="1"/>
  <c r="CH154" i="1" s="1"/>
  <c r="KG16" i="4" s="1"/>
  <c r="JY16" i="4" s="1"/>
  <c r="JQ16" i="4" s="1"/>
  <c r="KF16" i="4" s="1"/>
  <c r="JX9" i="4" s="1"/>
  <c r="JV9" i="4" s="1"/>
  <c r="CJ73" i="1"/>
  <c r="CJ125" i="1"/>
  <c r="CK125" i="1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JV16" i="4" s="1"/>
  <c r="JV21" i="4" s="1"/>
  <c r="JU8" i="4" s="1"/>
  <c r="KD16" i="4" s="1"/>
  <c r="KC9" i="4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CJ134" i="1"/>
  <c r="CK33" i="1" s="1"/>
  <c r="CJ154" i="1"/>
  <c r="JX14" i="4" s="1"/>
  <c r="KB14" i="4" s="1"/>
  <c r="JU9" i="4" s="1"/>
  <c r="JZ7" i="4" s="1"/>
  <c r="CK73" i="1"/>
  <c r="KH15" i="4" s="1"/>
  <c r="JT16" i="4" s="1"/>
  <c r="CJ146" i="1"/>
  <c r="CJ159" i="1"/>
  <c r="KC16" i="4" s="1"/>
  <c r="CJ119" i="1"/>
  <c r="CJ149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C7" i="4" s="1"/>
  <c r="KH9" i="4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CJ150" i="1"/>
  <c r="CJ140" i="1"/>
  <c r="CJ202" i="1" s="1"/>
  <c r="KA14" i="4" s="1"/>
  <c r="JR16" i="4" s="1"/>
  <c r="CJ151" i="1"/>
  <c r="KE9" i="4" s="1"/>
  <c r="JZ16" i="4" s="1"/>
  <c r="JY9" i="4" s="1"/>
  <c r="KA16" i="4" s="1"/>
  <c r="JS16" i="4" s="1"/>
  <c r="KH16" i="4" s="1"/>
  <c r="JZ9" i="4" s="1"/>
  <c r="KB8" i="4" s="1"/>
  <c r="JR9" i="4" s="1"/>
  <c r="JT9" i="4" s="1"/>
  <c r="X73" i="1"/>
  <c r="CJ152" i="1"/>
  <c r="JZ15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X16" i="4" s="1"/>
  <c r="JX21" i="4" s="1"/>
  <c r="KD9" i="4" s="1"/>
  <c r="Z74" i="1"/>
  <c r="CJ74" i="1"/>
  <c r="CJ155" i="1"/>
  <c r="CJ124" i="1"/>
  <c r="CK124" i="1" s="1"/>
  <c r="CM124" i="1" s="1"/>
  <c r="CG73" i="1"/>
  <c r="CG74" i="1"/>
  <c r="CJ133" i="1"/>
  <c r="CK133" i="1" s="1"/>
  <c r="CI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CJ153" i="1"/>
  <c r="CJ183" i="1" s="1"/>
  <c r="CK183" i="1" s="1"/>
  <c r="JS7" i="4" s="1"/>
  <c r="JT8" i="4" s="1"/>
  <c r="KF14" i="4" s="1"/>
  <c r="CJ147" i="1"/>
  <c r="Y74" i="1"/>
  <c r="CI74" i="1"/>
  <c r="KG9" i="4" s="1"/>
  <c r="Z73" i="1"/>
  <c r="CJ160" i="1"/>
  <c r="JW9" i="4" s="1"/>
  <c r="KA9" i="4" s="1"/>
  <c r="KA21" i="4" s="1"/>
  <c r="JS9" i="4" s="1"/>
  <c r="JS21" i="4" s="1"/>
  <c r="JQ9" i="4" s="1"/>
  <c r="CK74" i="1"/>
  <c r="CJ142" i="1"/>
  <c r="CH73" i="1"/>
  <c r="X179" i="1"/>
  <c r="Z148" i="1"/>
  <c r="AA196" i="1" s="1"/>
  <c r="CK98" i="1"/>
  <c r="Y173" i="1"/>
  <c r="X180" i="1"/>
  <c r="X183" i="1"/>
  <c r="Y134" i="1"/>
  <c r="X252" i="1"/>
  <c r="Z252" i="1"/>
  <c r="X10" i="1"/>
  <c r="Y26" i="1"/>
  <c r="CJ137" i="1"/>
  <c r="CJ143" i="1"/>
  <c r="Y179" i="1"/>
  <c r="X173" i="1"/>
  <c r="CH159" i="1"/>
  <c r="CH161" i="1" s="1"/>
  <c r="CI209" i="1" s="1"/>
  <c r="Z161" i="1"/>
  <c r="AA209" i="1" s="1"/>
  <c r="X194" i="1"/>
  <c r="X253" i="1"/>
  <c r="Y194" i="1"/>
  <c r="Y253" i="1"/>
  <c r="Z253" i="1"/>
  <c r="Z194" i="1"/>
  <c r="Y252" i="1"/>
  <c r="Y10" i="1"/>
  <c r="Y231" i="1"/>
  <c r="Y183" i="1"/>
  <c r="CH117" i="1"/>
  <c r="Z120" i="1"/>
  <c r="AA207" i="1" s="1"/>
  <c r="CH144" i="1"/>
  <c r="CH148" i="1" s="1"/>
  <c r="CH182" i="1" s="1"/>
  <c r="Z179" i="1"/>
  <c r="Z231" i="1"/>
  <c r="Z180" i="1"/>
  <c r="Z183" i="1"/>
  <c r="CH135" i="1"/>
  <c r="CI135" i="1" s="1"/>
  <c r="Z131" i="1"/>
  <c r="CG194" i="1"/>
  <c r="CG253" i="1"/>
  <c r="Y156" i="1"/>
  <c r="CH253" i="1"/>
  <c r="CG252" i="1"/>
  <c r="X134" i="1"/>
  <c r="CH179" i="1"/>
  <c r="CI179" i="1" s="1"/>
  <c r="CI231" i="1"/>
  <c r="CI10" i="1"/>
  <c r="CJ98" i="1"/>
  <c r="Y202" i="1"/>
  <c r="Y180" i="1"/>
  <c r="CG10" i="1"/>
  <c r="CK11" i="1" s="1"/>
  <c r="Z173" i="1"/>
  <c r="Z10" i="1"/>
  <c r="X156" i="1"/>
  <c r="X157" i="1" s="1"/>
  <c r="Y120" i="1"/>
  <c r="X128" i="1"/>
  <c r="X161" i="1"/>
  <c r="X120" i="1"/>
  <c r="X175" i="1" s="1"/>
  <c r="Y128" i="1"/>
  <c r="Z26" i="1"/>
  <c r="X26" i="1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56" i="1"/>
  <c r="CH185" i="1" s="1"/>
  <c r="CH128" i="1"/>
  <c r="Z156" i="1"/>
  <c r="AA197" i="1" s="1"/>
  <c r="Z209" i="1"/>
  <c r="X182" i="1"/>
  <c r="Y196" i="1"/>
  <c r="Y182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JY21" i="4" l="1"/>
  <c r="CL182" i="1"/>
  <c r="KG21" i="4"/>
  <c r="AA188" i="1"/>
  <c r="AA11" i="1"/>
  <c r="AA206" i="1"/>
  <c r="AA205" i="1" s="1"/>
  <c r="AA249" i="1"/>
  <c r="AA198" i="1"/>
  <c r="AA199" i="1" s="1"/>
  <c r="JT21" i="4"/>
  <c r="KF9" i="4" s="1"/>
  <c r="JY15" i="4" s="1"/>
  <c r="KC21" i="4"/>
  <c r="JU16" i="4" s="1"/>
  <c r="KB16" i="4" s="1"/>
  <c r="KB9" i="4" s="1"/>
  <c r="JR21" i="4"/>
  <c r="CL77" i="1" s="1"/>
  <c r="KC8" i="4"/>
  <c r="KC14" i="4"/>
  <c r="KC19" i="4" s="1"/>
  <c r="JT7" i="4"/>
  <c r="JR8" i="4"/>
  <c r="JY7" i="4"/>
  <c r="KG8" i="4"/>
  <c r="JU14" i="4"/>
  <c r="KE21" i="4"/>
  <c r="JW15" i="4"/>
  <c r="JS15" i="4"/>
  <c r="JS20" i="4" s="1"/>
  <c r="KG7" i="4"/>
  <c r="JR7" i="4"/>
  <c r="JX15" i="4"/>
  <c r="CJ161" i="1"/>
  <c r="CK209" i="1" s="1"/>
  <c r="JU21" i="4"/>
  <c r="KH21" i="4"/>
  <c r="JQ14" i="4"/>
  <c r="CL28" i="1"/>
  <c r="CL17" i="1"/>
  <c r="CL246" i="1"/>
  <c r="CL248" i="1"/>
  <c r="CL181" i="1"/>
  <c r="CL129" i="1"/>
  <c r="CL168" i="1"/>
  <c r="CL109" i="1" s="1"/>
  <c r="JV14" i="4"/>
  <c r="KG15" i="4"/>
  <c r="KA15" i="4"/>
  <c r="KE8" i="4"/>
  <c r="JQ7" i="4"/>
  <c r="KG14" i="4"/>
  <c r="KF15" i="4"/>
  <c r="KH7" i="4"/>
  <c r="JR15" i="4"/>
  <c r="JR20" i="4" s="1"/>
  <c r="CL79" i="1" s="1"/>
  <c r="KE15" i="4"/>
  <c r="KE20" i="4" s="1"/>
  <c r="KB15" i="4"/>
  <c r="KB20" i="4" s="1"/>
  <c r="CJ131" i="1"/>
  <c r="CK131" i="1" s="1"/>
  <c r="KH8" i="4"/>
  <c r="KH20" i="4" s="1"/>
  <c r="KD7" i="4"/>
  <c r="KC15" i="4"/>
  <c r="KF8" i="4"/>
  <c r="JZ21" i="4"/>
  <c r="KA8" i="4"/>
  <c r="JQ8" i="4"/>
  <c r="JV8" i="4"/>
  <c r="JS14" i="4"/>
  <c r="JS19" i="4" s="1"/>
  <c r="KD21" i="4"/>
  <c r="JW8" i="4"/>
  <c r="KA7" i="4"/>
  <c r="KA19" i="4" s="1"/>
  <c r="JX7" i="4"/>
  <c r="JX19" i="4" s="1"/>
  <c r="JY14" i="4"/>
  <c r="KD14" i="4"/>
  <c r="KD19" i="4" s="1"/>
  <c r="JW21" i="4"/>
  <c r="Z196" i="1"/>
  <c r="CK99" i="1"/>
  <c r="CL185" i="1"/>
  <c r="CL157" i="1"/>
  <c r="CL165" i="1" s="1"/>
  <c r="CK17" i="1"/>
  <c r="CK28" i="1"/>
  <c r="CL19" i="1"/>
  <c r="CI16" i="1"/>
  <c r="CL244" i="1"/>
  <c r="CL225" i="1"/>
  <c r="CL188" i="1"/>
  <c r="CL11" i="1"/>
  <c r="CJ128" i="1"/>
  <c r="JQ21" i="4"/>
  <c r="CK77" i="1" s="1"/>
  <c r="JY8" i="4"/>
  <c r="JY20" i="4" s="1"/>
  <c r="JW7" i="4"/>
  <c r="JV7" i="4"/>
  <c r="JU7" i="4"/>
  <c r="KB21" i="4"/>
  <c r="KB7" i="4"/>
  <c r="KB19" i="4" s="1"/>
  <c r="KH14" i="4"/>
  <c r="KH19" i="4" s="1"/>
  <c r="JZ14" i="4"/>
  <c r="JZ19" i="4" s="1"/>
  <c r="KE14" i="4"/>
  <c r="KD8" i="4"/>
  <c r="JW14" i="4"/>
  <c r="JW19" i="4" s="1"/>
  <c r="CJ156" i="1"/>
  <c r="CJ185" i="1" s="1"/>
  <c r="CJ184" i="1" s="1"/>
  <c r="CK184" i="1" s="1"/>
  <c r="JU15" i="4"/>
  <c r="JU20" i="4" s="1"/>
  <c r="KE7" i="4"/>
  <c r="JZ8" i="4"/>
  <c r="JZ20" i="4" s="1"/>
  <c r="KF7" i="4"/>
  <c r="KF19" i="4" s="1"/>
  <c r="KD15" i="4"/>
  <c r="KD20" i="4" s="1"/>
  <c r="JV15" i="4"/>
  <c r="JV20" i="4" s="1"/>
  <c r="JT14" i="4"/>
  <c r="JR14" i="4"/>
  <c r="JR19" i="4" s="1"/>
  <c r="CL78" i="1" s="1"/>
  <c r="JT15" i="4"/>
  <c r="JT20" i="4" s="1"/>
  <c r="JQ15" i="4"/>
  <c r="JX8" i="4"/>
  <c r="CM133" i="1"/>
  <c r="CN133" i="1" s="1"/>
  <c r="CO133" i="1" s="1"/>
  <c r="CP133" i="1" s="1"/>
  <c r="JS8" i="4"/>
  <c r="CK140" i="1"/>
  <c r="CJ120" i="1"/>
  <c r="Z182" i="1"/>
  <c r="Z181" i="1" s="1"/>
  <c r="CJ148" i="1"/>
  <c r="Y27" i="1"/>
  <c r="CJ138" i="1"/>
  <c r="CK137" i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X27" i="1"/>
  <c r="Y138" i="1"/>
  <c r="Y33" i="1"/>
  <c r="X98" i="1"/>
  <c r="X16" i="1"/>
  <c r="Y98" i="1"/>
  <c r="Y188" i="1"/>
  <c r="Y16" i="1"/>
  <c r="Y11" i="1"/>
  <c r="CI117" i="1"/>
  <c r="CH120" i="1"/>
  <c r="CH92" i="1" s="1"/>
  <c r="CH94" i="1" s="1"/>
  <c r="Z134" i="1"/>
  <c r="CH131" i="1"/>
  <c r="Z175" i="1"/>
  <c r="Z248" i="1"/>
  <c r="Z27" i="1"/>
  <c r="CG27" i="1"/>
  <c r="CG16" i="1"/>
  <c r="CK18" i="1" s="1"/>
  <c r="X129" i="1"/>
  <c r="CI27" i="1"/>
  <c r="Y181" i="1"/>
  <c r="Y185" i="1"/>
  <c r="Y157" i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Y198" i="1" s="1"/>
  <c r="Y249" i="1"/>
  <c r="Y206" i="1"/>
  <c r="Y168" i="1"/>
  <c r="Y109" i="1" s="1"/>
  <c r="CK128" i="1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57" i="1"/>
  <c r="CH168" i="1"/>
  <c r="CI249" i="1"/>
  <c r="Z185" i="1"/>
  <c r="Z157" i="1"/>
  <c r="Z197" i="1"/>
  <c r="X181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H181" i="1"/>
  <c r="CI181" i="1" s="1"/>
  <c r="CH186" i="1"/>
  <c r="KF21" i="4" l="1"/>
  <c r="KG19" i="4"/>
  <c r="JU19" i="4"/>
  <c r="CL102" i="1"/>
  <c r="CL94" i="1"/>
  <c r="CK102" i="1"/>
  <c r="CJ92" i="1"/>
  <c r="CJ94" i="1" s="1"/>
  <c r="KG20" i="4"/>
  <c r="JT19" i="4"/>
  <c r="JQ19" i="4"/>
  <c r="CK78" i="1" s="1"/>
  <c r="KA20" i="4"/>
  <c r="KF20" i="4"/>
  <c r="JX20" i="4"/>
  <c r="CL184" i="1"/>
  <c r="CL186" i="1"/>
  <c r="KC20" i="4"/>
  <c r="JW20" i="4"/>
  <c r="JY19" i="4"/>
  <c r="CL166" i="1"/>
  <c r="KE19" i="4"/>
  <c r="CJ248" i="1"/>
  <c r="JV19" i="4"/>
  <c r="CI17" i="1"/>
  <c r="CI28" i="1"/>
  <c r="CQ133" i="1"/>
  <c r="CR133" i="1" s="1"/>
  <c r="CS133" i="1" s="1"/>
  <c r="CT133" i="1" s="1"/>
  <c r="AB133" i="1"/>
  <c r="CL232" i="1"/>
  <c r="CL233" i="1" s="1"/>
  <c r="CL29" i="1"/>
  <c r="CL250" i="1"/>
  <c r="CL34" i="1"/>
  <c r="CL38" i="1" s="1"/>
  <c r="JQ20" i="4"/>
  <c r="CK79" i="1" s="1"/>
  <c r="CJ157" i="1"/>
  <c r="CJ165" i="1" s="1"/>
  <c r="Z198" i="1"/>
  <c r="CL96" i="1"/>
  <c r="CL104" i="1"/>
  <c r="CL108" i="1"/>
  <c r="CL111" i="1" s="1"/>
  <c r="CL31" i="1"/>
  <c r="CK29" i="1"/>
  <c r="CK34" i="1"/>
  <c r="CK38" i="1" s="1"/>
  <c r="CJ129" i="1"/>
  <c r="CJ249" i="1"/>
  <c r="CJ206" i="1"/>
  <c r="CL103" i="1"/>
  <c r="CL107" i="1"/>
  <c r="CL110" i="1" s="1"/>
  <c r="CL95" i="1"/>
  <c r="CK202" i="1"/>
  <c r="CL202" i="1"/>
  <c r="CL206" i="1"/>
  <c r="CL249" i="1"/>
  <c r="CJ182" i="1"/>
  <c r="CJ244" i="1"/>
  <c r="CJ246" i="1"/>
  <c r="Y244" i="1"/>
  <c r="Y246" i="1"/>
  <c r="CK103" i="1"/>
  <c r="CK107" i="1"/>
  <c r="Y165" i="1"/>
  <c r="Y166" i="1" s="1"/>
  <c r="Y18" i="1"/>
  <c r="X28" i="1"/>
  <c r="X17" i="1"/>
  <c r="Y28" i="1"/>
  <c r="Y17" i="1"/>
  <c r="CH248" i="1"/>
  <c r="CH129" i="1"/>
  <c r="Z138" i="1"/>
  <c r="Z33" i="1"/>
  <c r="CI131" i="1"/>
  <c r="CI134" i="1" s="1"/>
  <c r="CJ33" i="1" s="1"/>
  <c r="CH134" i="1"/>
  <c r="Z18" i="1"/>
  <c r="Z17" i="1"/>
  <c r="Z28" i="1"/>
  <c r="X244" i="1"/>
  <c r="X246" i="1"/>
  <c r="X165" i="1"/>
  <c r="X166" i="1" s="1"/>
  <c r="Y203" i="1"/>
  <c r="Y201" i="1" s="1"/>
  <c r="CH96" i="1"/>
  <c r="CG28" i="1"/>
  <c r="CK30" i="1" s="1"/>
  <c r="CG17" i="1"/>
  <c r="CK185" i="1"/>
  <c r="Y184" i="1"/>
  <c r="Y186" i="1"/>
  <c r="CI185" i="1"/>
  <c r="CI152" i="1"/>
  <c r="CM140" i="1"/>
  <c r="CH95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L30" i="1" s="1"/>
  <c r="CH19" i="1"/>
  <c r="CI37" i="1"/>
  <c r="CH109" i="1"/>
  <c r="Z186" i="1"/>
  <c r="AA189" i="1" s="1"/>
  <c r="AA190" i="1" s="1"/>
  <c r="Z184" i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CY163" i="1"/>
  <c r="CL189" i="1" l="1"/>
  <c r="AC133" i="1"/>
  <c r="CJ96" i="1"/>
  <c r="CJ95" i="1"/>
  <c r="CU133" i="1"/>
  <c r="CV133" i="1" s="1"/>
  <c r="CW133" i="1" s="1"/>
  <c r="CX133" i="1" s="1"/>
  <c r="Z203" i="1"/>
  <c r="Z201" i="1" s="1"/>
  <c r="AA203" i="1"/>
  <c r="AA201" i="1" s="1"/>
  <c r="AA250" i="1"/>
  <c r="AA251" i="1" s="1"/>
  <c r="AA30" i="1"/>
  <c r="CK40" i="1"/>
  <c r="CK41" i="1"/>
  <c r="CL226" i="1"/>
  <c r="CL112" i="1"/>
  <c r="CI34" i="1"/>
  <c r="CI232" i="1"/>
  <c r="CI233" i="1" s="1"/>
  <c r="CI29" i="1"/>
  <c r="CK108" i="1"/>
  <c r="CK104" i="1"/>
  <c r="CL40" i="1"/>
  <c r="CL41" i="1"/>
  <c r="CL251" i="1"/>
  <c r="CJ166" i="1"/>
  <c r="CJ181" i="1"/>
  <c r="CK181" i="1" s="1"/>
  <c r="CK182" i="1" s="1"/>
  <c r="CK186" i="1" s="1"/>
  <c r="CJ186" i="1"/>
  <c r="Y189" i="1"/>
  <c r="Y190" i="1" s="1"/>
  <c r="CI138" i="1"/>
  <c r="CJ203" i="1" s="1"/>
  <c r="CJ201" i="1" s="1"/>
  <c r="CK42" i="1"/>
  <c r="CK48" i="1"/>
  <c r="CI250" i="1"/>
  <c r="CI251" i="1" s="1"/>
  <c r="CK112" i="1"/>
  <c r="X232" i="1"/>
  <c r="X233" i="1" s="1"/>
  <c r="X34" i="1"/>
  <c r="X112" i="1"/>
  <c r="X29" i="1"/>
  <c r="Y30" i="1"/>
  <c r="Y250" i="1"/>
  <c r="Y251" i="1" s="1"/>
  <c r="Y112" i="1"/>
  <c r="Y34" i="1"/>
  <c r="Y29" i="1"/>
  <c r="Y232" i="1"/>
  <c r="Y233" i="1" s="1"/>
  <c r="Z165" i="1"/>
  <c r="Z166" i="1" s="1"/>
  <c r="Z246" i="1"/>
  <c r="Z244" i="1"/>
  <c r="CI33" i="1"/>
  <c r="CH138" i="1"/>
  <c r="CH246" i="1" s="1"/>
  <c r="Z189" i="1"/>
  <c r="Z190" i="1" s="1"/>
  <c r="Z250" i="1"/>
  <c r="Z251" i="1" s="1"/>
  <c r="Z34" i="1"/>
  <c r="Z112" i="1"/>
  <c r="Z29" i="1"/>
  <c r="Z232" i="1"/>
  <c r="Z233" i="1" s="1"/>
  <c r="Z30" i="1"/>
  <c r="CG29" i="1"/>
  <c r="CG34" i="1"/>
  <c r="CG38" i="1" s="1"/>
  <c r="CG232" i="1"/>
  <c r="CG233" i="1" s="1"/>
  <c r="CM202" i="1"/>
  <c r="CN14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Y133" i="1" l="1"/>
  <c r="CZ133" i="1" s="1"/>
  <c r="DA133" i="1" s="1"/>
  <c r="DB133" i="1" s="1"/>
  <c r="AE133" i="1" s="1"/>
  <c r="AD133" i="1"/>
  <c r="AA210" i="1"/>
  <c r="AA211" i="1" s="1"/>
  <c r="AA213" i="1"/>
  <c r="CL114" i="1"/>
  <c r="CL113" i="1"/>
  <c r="CI38" i="1"/>
  <c r="CL55" i="1"/>
  <c r="CI41" i="1"/>
  <c r="CI40" i="1"/>
  <c r="CL44" i="1"/>
  <c r="CL234" i="1"/>
  <c r="CL48" i="1"/>
  <c r="CL42" i="1"/>
  <c r="CL245" i="1" s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K52" i="1"/>
  <c r="CK66" i="1"/>
  <c r="CI203" i="1"/>
  <c r="CI201" i="1" s="1"/>
  <c r="CH165" i="1"/>
  <c r="CH166" i="1" s="1"/>
  <c r="CN202" i="1"/>
  <c r="CO140" i="1"/>
  <c r="CP140" i="1" s="1"/>
  <c r="CP202" i="1" s="1"/>
  <c r="CJ41" i="1"/>
  <c r="CJ40" i="1"/>
  <c r="CM17" i="1"/>
  <c r="X38" i="1"/>
  <c r="X55" i="1"/>
  <c r="Y55" i="1"/>
  <c r="Y38" i="1"/>
  <c r="Z38" i="1"/>
  <c r="Z55" i="1"/>
  <c r="CG41" i="1"/>
  <c r="CG40" i="1"/>
  <c r="CN184" i="1"/>
  <c r="CM185" i="1"/>
  <c r="CH41" i="1"/>
  <c r="CL43" i="1" s="1"/>
  <c r="CH40" i="1"/>
  <c r="CM181" i="1"/>
  <c r="CO125" i="1"/>
  <c r="CN128" i="1"/>
  <c r="CN249" i="1" s="1"/>
  <c r="CM206" i="1"/>
  <c r="CP27" i="1"/>
  <c r="CQ27" i="1" s="1"/>
  <c r="CR27" i="1" s="1"/>
  <c r="CS27" i="1" s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O202" i="1" l="1"/>
  <c r="CK138" i="1"/>
  <c r="CI42" i="1"/>
  <c r="CI245" i="1" s="1"/>
  <c r="CI234" i="1"/>
  <c r="CI48" i="1"/>
  <c r="CL193" i="1"/>
  <c r="CL195" i="1" s="1"/>
  <c r="CL66" i="1"/>
  <c r="CL52" i="1"/>
  <c r="CM131" i="1"/>
  <c r="CN131" i="1" s="1"/>
  <c r="CO131" i="1" s="1"/>
  <c r="CP131" i="1" s="1"/>
  <c r="CJ44" i="1"/>
  <c r="CL227" i="1"/>
  <c r="CK203" i="1"/>
  <c r="CK201" i="1" s="1"/>
  <c r="CL203" i="1"/>
  <c r="CL201" i="1" s="1"/>
  <c r="CI119" i="1"/>
  <c r="CN17" i="1"/>
  <c r="CO17" i="1" s="1"/>
  <c r="CP17" i="1" s="1"/>
  <c r="CJ42" i="1"/>
  <c r="CJ245" i="1" s="1"/>
  <c r="CK44" i="1"/>
  <c r="CJ234" i="1"/>
  <c r="CJ48" i="1"/>
  <c r="X41" i="1"/>
  <c r="X40" i="1"/>
  <c r="Y41" i="1"/>
  <c r="Y40" i="1"/>
  <c r="Z41" i="1"/>
  <c r="Z40" i="1"/>
  <c r="CJ227" i="1"/>
  <c r="CG42" i="1"/>
  <c r="CG245" i="1" s="1"/>
  <c r="CG234" i="1"/>
  <c r="CG48" i="1"/>
  <c r="CH44" i="1"/>
  <c r="CK43" i="1"/>
  <c r="CI44" i="1"/>
  <c r="CH48" i="1"/>
  <c r="CH42" i="1"/>
  <c r="CH245" i="1" s="1"/>
  <c r="CH234" i="1"/>
  <c r="CO184" i="1"/>
  <c r="CN185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Y42" i="1"/>
  <c r="Y245" i="1" s="1"/>
  <c r="Y48" i="1"/>
  <c r="CM40" i="1"/>
  <c r="CN40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66" i="1"/>
  <c r="CJ193" i="1"/>
  <c r="CJ195" i="1" s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W13" i="3"/>
  <c r="AX45" i="3"/>
  <c r="AV23" i="3"/>
  <c r="AX27" i="3"/>
  <c r="AF39" i="3"/>
  <c r="EV15" i="4" a="1"/>
  <c r="EM9" i="4" a="1"/>
  <c r="ET11" i="4" a="1"/>
  <c r="ER12" i="4" a="1"/>
  <c r="ES8" i="4" a="1"/>
  <c r="ET9" i="4" a="1"/>
  <c r="ES6" i="4" a="1"/>
  <c r="EP14" i="4" a="1"/>
  <c r="AZ28" i="3"/>
  <c r="AW41" i="3"/>
  <c r="EL15" i="4" a="1"/>
  <c r="AT42" i="3"/>
  <c r="AZ18" i="3"/>
  <c r="AG6" i="6" a="1"/>
  <c r="V5" i="6" a="1"/>
  <c r="AX40" i="3"/>
  <c r="AW34" i="3"/>
  <c r="AZ45" i="3"/>
  <c r="AF6" i="3"/>
  <c r="AV31" i="3"/>
  <c r="AC5" i="6" a="1"/>
  <c r="EW15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T19" i="3"/>
  <c r="AS31" i="3"/>
  <c r="D5" i="6" a="1"/>
  <c r="EN5" i="4" a="1"/>
  <c r="EN6" i="4" a="1"/>
  <c r="EQ6" i="4" a="1"/>
  <c r="EO8" i="4" a="1"/>
  <c r="EQ7" i="4" a="1"/>
  <c r="EO15" i="4" a="1"/>
  <c r="EW6" i="4" a="1"/>
  <c r="AZ24" i="3"/>
  <c r="AX9" i="3"/>
  <c r="AX46" i="3"/>
  <c r="AU7" i="3"/>
  <c r="AY42" i="3"/>
  <c r="ET12" i="4" a="1"/>
  <c r="AV45" i="3"/>
  <c r="AY8" i="3"/>
  <c r="U5" i="6" a="1"/>
  <c r="AF35" i="3"/>
  <c r="AV17" i="3"/>
  <c r="EP13" i="4" a="1"/>
  <c r="EV8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Y39" i="3"/>
  <c r="AC6" i="6" a="1"/>
  <c r="ER14" i="4" a="1"/>
  <c r="ET6" i="4" a="1"/>
  <c r="EW8" i="4" a="1"/>
  <c r="ES9" i="4" a="1"/>
  <c r="AT24" i="3"/>
  <c r="AV26" i="3"/>
  <c r="AW28" i="3"/>
  <c r="AU16" i="3"/>
  <c r="AU19" i="3"/>
  <c r="C5" i="3"/>
  <c r="J6" i="6" a="1"/>
  <c r="AZ46" i="3"/>
  <c r="EV13" i="4" a="1"/>
  <c r="EO6" i="4" a="1"/>
  <c r="ES13" i="4" a="1"/>
  <c r="AV29" i="3"/>
  <c r="AW46" i="3"/>
  <c r="AT27" i="3"/>
  <c r="AY35" i="3"/>
  <c r="AS34" i="3"/>
  <c r="AS25" i="3"/>
  <c r="D6" i="6" a="1"/>
  <c r="AY20" i="3"/>
  <c r="EP8" i="4" a="1"/>
  <c r="AX12" i="3"/>
  <c r="AZ36" i="3"/>
  <c r="AR6" i="3"/>
  <c r="AU39" i="3"/>
  <c r="AU21" i="3"/>
  <c r="AS26" i="3"/>
  <c r="AW19" i="3"/>
  <c r="ER8" i="4" a="1"/>
  <c r="EM12" i="4" a="1"/>
  <c r="EN11" i="4" a="1"/>
  <c r="ER9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O12" i="4" a="1"/>
  <c r="EL6" i="4" a="1"/>
  <c r="EP11" i="4" a="1"/>
  <c r="EU7" i="4" a="1"/>
  <c r="ER7" i="4" a="1"/>
  <c r="ER6" i="4" a="1"/>
  <c r="ES12" i="4" a="1"/>
  <c r="EL12" i="4" a="1"/>
  <c r="EM6" i="4" a="1"/>
  <c r="EV11" i="4" a="1"/>
  <c r="AJ5" i="6" a="1"/>
  <c r="AW23" i="3"/>
  <c r="EM5" i="4" a="1"/>
  <c r="ET15" i="4" a="1"/>
  <c r="EW9" i="4" a="1"/>
  <c r="AX30" i="3"/>
  <c r="F45" i="3"/>
  <c r="AU23" i="3"/>
  <c r="AI5" i="6" a="1"/>
  <c r="AY13" i="3"/>
  <c r="AF16" i="3"/>
  <c r="AZ19" i="3"/>
  <c r="AU37" i="3"/>
  <c r="EW5" i="4" a="1"/>
  <c r="EP16" i="4" a="1"/>
  <c r="ES14" i="4" a="1"/>
  <c r="AT20" i="3"/>
  <c r="AR7" i="3"/>
  <c r="AX10" i="3"/>
  <c r="AW22" i="3"/>
  <c r="AT41" i="3"/>
  <c r="AQ5" i="6" a="1"/>
  <c r="EQ13" i="4" a="1"/>
  <c r="AS20" i="3"/>
  <c r="AV5" i="3"/>
  <c r="AS10" i="3"/>
  <c r="EL9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U15" i="3"/>
  <c r="AV40" i="3"/>
  <c r="AS8" i="3"/>
  <c r="AY25" i="3"/>
  <c r="AU5" i="3"/>
  <c r="AQ6" i="6" a="1"/>
  <c r="AZ11" i="3"/>
  <c r="AT35" i="3"/>
  <c r="AU12" i="3"/>
  <c r="AX42" i="3"/>
  <c r="AY15" i="3"/>
  <c r="AY37" i="3"/>
  <c r="ER11" i="4" a="1"/>
  <c r="EN7" i="4" a="1"/>
  <c r="EL13" i="4" a="1"/>
  <c r="EQ8" i="4" a="1"/>
  <c r="AZ31" i="3"/>
  <c r="AZ23" i="3"/>
  <c r="AV20" i="3"/>
  <c r="AZ33" i="3"/>
  <c r="AF31" i="3"/>
  <c r="EO16" i="4" a="1"/>
  <c r="ET14" i="4" a="1"/>
  <c r="AY6" i="6" a="1"/>
  <c r="N5" i="6" a="1"/>
  <c r="AW27" i="3"/>
  <c r="AT5" i="3"/>
  <c r="AV24" i="3"/>
  <c r="AF8" i="3"/>
  <c r="AT15" i="3"/>
  <c r="V6" i="6" a="1"/>
  <c r="AS14" i="3"/>
  <c r="EU8" i="4" a="1"/>
  <c r="EW13" i="4" a="1"/>
  <c r="ET7" i="4" a="1"/>
  <c r="AZ6" i="3"/>
  <c r="AU9" i="3"/>
  <c r="AX16" i="3"/>
  <c r="F5" i="6" a="1"/>
  <c r="AF26" i="3"/>
  <c r="AF25" i="3"/>
  <c r="AT31" i="3"/>
  <c r="AE6" i="6" a="1"/>
  <c r="AW6" i="3"/>
  <c r="AV38" i="3"/>
  <c r="AV25" i="3"/>
  <c r="AW45" i="3"/>
  <c r="E5" i="6" a="1"/>
  <c r="AX38" i="3"/>
  <c r="AU6" i="6" a="1"/>
  <c r="EM7" i="4" a="1"/>
  <c r="ET5" i="4" a="1"/>
  <c r="K6" i="6" a="1"/>
  <c r="AG5" i="6" a="1"/>
  <c r="AV37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T8" i="4" a="1"/>
  <c r="EM13" i="4" a="1"/>
  <c r="EV9" i="4" a="1"/>
  <c r="EL14" i="4" a="1"/>
  <c r="EV16" i="4" a="1"/>
  <c r="AF14" i="3"/>
  <c r="AY41" i="3"/>
  <c r="EQ16" i="4" a="1"/>
  <c r="EO14" i="4" a="1"/>
  <c r="EW14" i="4" a="1"/>
  <c r="ES15" i="4" a="1"/>
  <c r="EO11" i="4" a="1"/>
  <c r="EQ14" i="4" a="1"/>
  <c r="ET13" i="4" a="1"/>
  <c r="AZ29" i="3"/>
  <c r="AW25" i="3"/>
  <c r="EM15" i="4" a="1"/>
  <c r="EL11" i="4" a="1"/>
  <c r="EP7" i="4" a="1"/>
  <c r="Q6" i="6" a="1"/>
  <c r="AX28" i="3"/>
  <c r="AF22" i="3"/>
  <c r="AU31" i="3"/>
  <c r="EQ11" i="4" a="1"/>
  <c r="AU18" i="3"/>
  <c r="AY26" i="3"/>
  <c r="AY31" i="3"/>
  <c r="AN6" i="6" a="1"/>
  <c r="AJ6" i="6" a="1"/>
  <c r="AS30" i="3"/>
  <c r="AV6" i="6" a="1"/>
  <c r="EQ15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F12" i="3"/>
  <c r="AT9" i="3"/>
  <c r="AU35" i="3"/>
  <c r="AV22" i="3"/>
  <c r="AP5" i="6" a="1"/>
  <c r="AP6" i="3"/>
  <c r="AT18" i="3"/>
  <c r="W6" i="6" a="1"/>
  <c r="AZ38" i="3"/>
  <c r="AS5" i="3"/>
  <c r="EQ9" i="4" a="1"/>
  <c r="C5" i="4" a="1"/>
  <c r="ES7" i="4" a="1"/>
  <c r="ET16" i="4" a="1"/>
  <c r="EP9" i="4" a="1"/>
  <c r="EV6" i="4" a="1"/>
  <c r="AW32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W14" i="3"/>
  <c r="AW33" i="3"/>
  <c r="AY34" i="3"/>
  <c r="G6" i="6" a="1"/>
  <c r="AV32" i="3"/>
  <c r="Y6" i="6" a="1"/>
  <c r="EU12" i="4" a="1"/>
  <c r="EL5" i="4" a="1"/>
  <c r="AU8" i="3"/>
  <c r="AF13" i="3"/>
  <c r="AW9" i="3"/>
  <c r="AS27" i="3"/>
  <c r="EU9" i="4" a="1"/>
  <c r="EM16" i="4" a="1"/>
  <c r="AS39" i="3"/>
  <c r="AX33" i="3"/>
  <c r="AB5" i="3"/>
  <c r="AU24" i="3"/>
  <c r="AU11" i="3"/>
  <c r="AU33" i="3"/>
  <c r="AS6" i="6" a="1"/>
  <c r="EN8" i="4" a="1"/>
  <c r="EO5" i="4" a="1"/>
  <c r="EN15" i="4" a="1"/>
  <c r="AT21" i="3"/>
  <c r="AK6" i="6" a="1"/>
  <c r="AY38" i="3"/>
  <c r="EV12" i="4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Y32" i="3"/>
  <c r="AT46" i="3"/>
  <c r="AX15" i="3"/>
  <c r="AU32" i="3"/>
  <c r="AW26" i="3"/>
  <c r="AZ40" i="3"/>
  <c r="EL16" i="4" a="1"/>
  <c r="AS37" i="3"/>
  <c r="AF7" i="3"/>
  <c r="AT36" i="3"/>
  <c r="ER5" i="4" a="1"/>
  <c r="Z48" i="1" l="1"/>
  <c r="AA43" i="1"/>
  <c r="AB131" i="1"/>
  <c r="CQ131" i="1"/>
  <c r="CR131" i="1" s="1"/>
  <c r="CS131" i="1" s="1"/>
  <c r="CT131" i="1" s="1"/>
  <c r="CL69" i="1"/>
  <c r="CJ52" i="1"/>
  <c r="CL54" i="1"/>
  <c r="Z43" i="1"/>
  <c r="Z234" i="1"/>
  <c r="Z42" i="1"/>
  <c r="Z245" i="1" s="1"/>
  <c r="CJ54" i="1"/>
  <c r="CG193" i="1"/>
  <c r="CG195" i="1" s="1"/>
  <c r="CG52" i="1"/>
  <c r="CG66" i="1"/>
  <c r="CH193" i="1"/>
  <c r="CH195" i="1" s="1"/>
  <c r="CH66" i="1"/>
  <c r="CK69" i="1" s="1"/>
  <c r="CH52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Y62" i="3"/>
  <c r="AS58" i="3"/>
  <c r="AU80" i="3"/>
  <c r="AX63" i="3"/>
  <c r="AS86" i="3"/>
  <c r="AX84" i="3"/>
  <c r="AW76" i="3"/>
  <c r="AY94" i="3"/>
  <c r="AS83" i="3"/>
  <c r="AX66" i="3"/>
  <c r="AY55" i="3"/>
  <c r="AZ84" i="3"/>
  <c r="AW89" i="3"/>
  <c r="AF49" i="3"/>
  <c r="AX97" i="3"/>
  <c r="AW50" i="3"/>
  <c r="AZ57" i="3"/>
  <c r="AV94" i="3"/>
  <c r="AF75" i="3"/>
  <c r="AS62" i="3"/>
  <c r="AZ81" i="3"/>
  <c r="AX87" i="3"/>
  <c r="AX78" i="3"/>
  <c r="AW80" i="3"/>
  <c r="AW71" i="3"/>
  <c r="AZ87" i="3"/>
  <c r="AS80" i="3"/>
  <c r="AV61" i="3"/>
  <c r="AY74" i="3"/>
  <c r="AF80" i="3"/>
  <c r="AW70" i="3"/>
  <c r="AX81" i="3"/>
  <c r="AW58" i="3"/>
  <c r="AZ54" i="3"/>
  <c r="AT87" i="3"/>
  <c r="C93" i="3"/>
  <c r="AX49" i="3"/>
  <c r="AY68" i="3"/>
  <c r="AV77" i="3"/>
  <c r="AS67" i="3"/>
  <c r="AW75" i="3"/>
  <c r="AY76" i="3"/>
  <c r="AU95" i="3"/>
  <c r="AT59" i="3"/>
  <c r="AX74" i="3"/>
  <c r="AT96" i="3"/>
  <c r="AF86" i="3"/>
  <c r="AW96" i="3"/>
  <c r="AW63" i="3"/>
  <c r="AS73" i="3"/>
  <c r="AU72" i="3"/>
  <c r="AY71" i="3"/>
  <c r="AT71" i="3"/>
  <c r="AX89" i="3"/>
  <c r="AX95" i="3"/>
  <c r="AT94" i="3"/>
  <c r="AV95" i="3"/>
  <c r="AY77" i="3"/>
  <c r="AT95" i="3"/>
  <c r="C64" i="3"/>
  <c r="AF90" i="3"/>
  <c r="C96" i="3"/>
  <c r="AY67" i="3"/>
  <c r="C78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W54" i="3"/>
  <c r="AY48" i="3"/>
  <c r="C90" i="3"/>
  <c r="AZ71" i="3"/>
  <c r="AY56" i="3"/>
  <c r="AT92" i="3"/>
  <c r="AZ82" i="3"/>
  <c r="C77" i="3"/>
  <c r="AW74" i="3"/>
  <c r="AV97" i="3"/>
  <c r="AU77" i="3"/>
  <c r="AV84" i="3"/>
  <c r="AY73" i="3"/>
  <c r="AU78" i="3"/>
  <c r="AZ76" i="3"/>
  <c r="AF74" i="3"/>
  <c r="C57" i="3"/>
  <c r="C71" i="3"/>
  <c r="AS97" i="3"/>
  <c r="AU50" i="3"/>
  <c r="AY63" i="3"/>
  <c r="C81" i="3"/>
  <c r="AU62" i="3"/>
  <c r="AX83" i="3"/>
  <c r="C92" i="3"/>
  <c r="AV80" i="3"/>
  <c r="C65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X58" i="3"/>
  <c r="AV89" i="3"/>
  <c r="AU58" i="3"/>
  <c r="AW77" i="3"/>
  <c r="AU91" i="3"/>
  <c r="AZ93" i="3"/>
  <c r="AX67" i="3"/>
  <c r="C67" i="3"/>
  <c r="AZ49" i="3"/>
  <c r="AT65" i="3"/>
  <c r="AY85" i="3"/>
  <c r="AX75" i="3"/>
  <c r="AY95" i="3"/>
  <c r="AZ77" i="3"/>
  <c r="AZ60" i="3"/>
  <c r="AT61" i="3"/>
  <c r="AT54" i="3"/>
  <c r="AS48" i="3"/>
  <c r="AW88" i="3"/>
  <c r="AT75" i="3"/>
  <c r="AW73" i="3"/>
  <c r="AF96" i="3"/>
  <c r="C59" i="3"/>
  <c r="AV63" i="3"/>
  <c r="AU61" i="3"/>
  <c r="AT93" i="3"/>
  <c r="AT85" i="3"/>
  <c r="C87" i="3"/>
  <c r="AX47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T90" i="3"/>
  <c r="C73" i="3"/>
  <c r="AF63" i="3"/>
  <c r="C80" i="3"/>
  <c r="AV96" i="3"/>
  <c r="AU75" i="3"/>
  <c r="AF62" i="3"/>
  <c r="AW95" i="3"/>
  <c r="AT57" i="3"/>
  <c r="AF59" i="3"/>
  <c r="C88" i="3"/>
  <c r="AZ66" i="3"/>
  <c r="AW67" i="3"/>
  <c r="AU69" i="3"/>
  <c r="AF64" i="3"/>
  <c r="AZ74" i="3"/>
  <c r="AF61" i="3"/>
  <c r="AV67" i="3"/>
  <c r="AU93" i="3"/>
  <c r="AU94" i="3"/>
  <c r="C95" i="3"/>
  <c r="AX72" i="3"/>
  <c r="AU90" i="3"/>
  <c r="AY59" i="3"/>
  <c r="AZ95" i="3"/>
  <c r="C58" i="3"/>
  <c r="AW66" i="3"/>
  <c r="AY57" i="3"/>
  <c r="AV86" i="3"/>
  <c r="AS64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W68" i="3"/>
  <c r="C83" i="3"/>
  <c r="AV68" i="3"/>
  <c r="AU55" i="3"/>
  <c r="AF67" i="3"/>
  <c r="AV49" i="3"/>
  <c r="AV90" i="3"/>
  <c r="AF89" i="3"/>
  <c r="AY54" i="3"/>
  <c r="AS50" i="3"/>
  <c r="AT62" i="3"/>
  <c r="AS70" i="3"/>
  <c r="AS65" i="3"/>
  <c r="AZ67" i="3"/>
  <c r="C69" i="3"/>
  <c r="AW81" i="3"/>
  <c r="AY96" i="3"/>
  <c r="AS96" i="3"/>
  <c r="AF84" i="3"/>
  <c r="AZ91" i="3"/>
  <c r="AY92" i="3"/>
  <c r="AX94" i="3"/>
  <c r="AF82" i="3"/>
  <c r="AF79" i="3"/>
  <c r="AU49" i="3"/>
  <c r="AS69" i="3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F66" i="3"/>
  <c r="AS55" i="3"/>
  <c r="AY84" i="3"/>
  <c r="C84" i="3"/>
  <c r="AV66" i="3"/>
  <c r="AV92" i="3"/>
  <c r="AZ68" i="3"/>
  <c r="AU81" i="3"/>
  <c r="AF92" i="3"/>
  <c r="AX57" i="3"/>
  <c r="AZ75" i="3"/>
  <c r="AF83" i="3"/>
  <c r="AF95" i="3"/>
  <c r="AX60" i="3"/>
  <c r="AS63" i="3"/>
  <c r="AU71" i="3"/>
  <c r="AT91" i="3"/>
  <c r="AS56" i="3"/>
  <c r="AZ50" i="3"/>
  <c r="C63" i="3"/>
  <c r="AY91" i="3"/>
  <c r="AU83" i="3"/>
  <c r="AT60" i="3"/>
  <c r="AV76" i="3"/>
  <c r="AF47" i="3"/>
  <c r="AS59" i="3"/>
  <c r="AS94" i="3"/>
  <c r="AF65" i="3"/>
  <c r="AT50" i="3"/>
  <c r="AF71" i="3"/>
  <c r="AW83" i="3"/>
  <c r="AU76" i="3"/>
  <c r="AS61" i="3"/>
  <c r="AY86" i="3"/>
  <c r="AU79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Y60" i="3"/>
  <c r="AX59" i="3"/>
  <c r="AY58" i="3"/>
  <c r="AT56" i="3"/>
  <c r="AX61" i="3"/>
  <c r="AU65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Z59" i="3"/>
  <c r="AT88" i="3"/>
  <c r="AV50" i="3"/>
  <c r="AT55" i="3"/>
  <c r="AU87" i="3"/>
  <c r="AC131" i="1" l="1"/>
  <c r="CU131" i="1"/>
  <c r="CV131" i="1" s="1"/>
  <c r="CW131" i="1" s="1"/>
  <c r="CX131" i="1" s="1"/>
  <c r="CL85" i="1"/>
  <c r="CL87" i="1"/>
  <c r="CL86" i="1"/>
  <c r="CK85" i="1"/>
  <c r="CK87" i="1"/>
  <c r="CK86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S185" i="1" l="1"/>
  <c r="CT184" i="1"/>
  <c r="CF166" i="1"/>
  <c r="CG251" i="1"/>
  <c r="CR182" i="1"/>
  <c r="CR186" i="1" s="1"/>
  <c r="CS181" i="1"/>
  <c r="CA138" i="1"/>
  <c r="CB33" i="1"/>
  <c r="CB165" i="1"/>
  <c r="CD165" i="1"/>
  <c r="CD166" i="1" s="1"/>
  <c r="CB166" i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CZ249" i="1" l="1"/>
  <c r="CZ206" i="1"/>
  <c r="DA184" i="1"/>
  <c r="CZ185" i="1"/>
  <c r="DB125" i="1"/>
  <c r="DB128" i="1" s="1"/>
  <c r="DA128" i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A249" i="1" l="1"/>
  <c r="DA206" i="1"/>
  <c r="DB184" i="1"/>
  <c r="DB185" i="1" s="1"/>
  <c r="DA185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X28" i="2"/>
  <c r="T35" i="2"/>
  <c r="X19" i="2"/>
  <c r="T5" i="2"/>
  <c r="D19" i="2"/>
  <c r="G17" i="2"/>
  <c r="N11" i="2"/>
  <c r="N9" i="2"/>
  <c r="D32" i="2"/>
  <c r="Q16" i="2"/>
  <c r="Q56" i="2"/>
  <c r="K33" i="2"/>
  <c r="R33" i="2"/>
  <c r="F6" i="2"/>
  <c r="I31" i="2"/>
  <c r="T12" i="2"/>
  <c r="U25" i="2"/>
  <c r="U11" i="2"/>
  <c r="U34" i="2"/>
  <c r="P23" i="2"/>
  <c r="K17" i="2"/>
  <c r="I19" i="2"/>
  <c r="W12" i="2"/>
  <c r="D28" i="2"/>
  <c r="N35" i="2"/>
  <c r="N14" i="2"/>
  <c r="C22" i="2"/>
  <c r="O22" i="2"/>
  <c r="J7" i="2"/>
  <c r="S15" i="2"/>
  <c r="V10" i="2"/>
  <c r="D10" i="2"/>
  <c r="X63" i="2"/>
  <c r="U13" i="2"/>
  <c r="I24" i="2"/>
  <c r="G24" i="2"/>
  <c r="G25" i="2"/>
  <c r="H27" i="2"/>
  <c r="L21" i="2"/>
  <c r="D33" i="2"/>
  <c r="F19" i="2"/>
  <c r="H11" i="2"/>
  <c r="P32" i="2"/>
  <c r="Q20" i="2"/>
  <c r="G11" i="2"/>
  <c r="L6" i="2"/>
  <c r="E23" i="2"/>
  <c r="C14" i="2"/>
  <c r="P25" i="2"/>
  <c r="R36" i="2"/>
  <c r="T11" i="2"/>
  <c r="AR55" i="3"/>
  <c r="M24" i="2"/>
  <c r="V20" i="2"/>
  <c r="R26" i="2"/>
  <c r="C26" i="2"/>
  <c r="C65" i="2"/>
  <c r="E20" i="2"/>
  <c r="AR95" i="3"/>
  <c r="X26" i="2"/>
  <c r="M9" i="2"/>
  <c r="X29" i="2"/>
  <c r="I21" i="2"/>
  <c r="C30" i="2"/>
  <c r="AR86" i="3"/>
  <c r="I26" i="2"/>
  <c r="AJ46" i="3"/>
  <c r="H45" i="3"/>
  <c r="E25" i="3"/>
  <c r="AR36" i="3"/>
  <c r="E26" i="3"/>
  <c r="E20" i="3"/>
  <c r="L46" i="3"/>
  <c r="W46" i="3"/>
  <c r="D15" i="3"/>
  <c r="AR32" i="3"/>
  <c r="E42" i="3"/>
  <c r="AR38" i="3"/>
  <c r="AD46" i="3"/>
  <c r="P45" i="3"/>
  <c r="D22" i="3"/>
  <c r="D6" i="3"/>
  <c r="AO46" i="3"/>
  <c r="E29" i="3"/>
  <c r="AR28" i="3"/>
  <c r="F7" i="3"/>
  <c r="D35" i="3"/>
  <c r="F26" i="3"/>
  <c r="F35" i="3"/>
  <c r="AZ15" i="4" a="1"/>
  <c r="AL12" i="4" a="1"/>
  <c r="DZ14" i="4" a="1"/>
  <c r="BF13" i="4" a="1"/>
  <c r="AI9" i="4" a="1"/>
  <c r="J9" i="4" a="1"/>
  <c r="CM16" i="4" a="1"/>
  <c r="AS6" i="4" a="1"/>
  <c r="DK5" i="4" a="1"/>
  <c r="BO8" i="4" a="1"/>
  <c r="L9" i="4" a="1"/>
  <c r="DV7" i="4" a="1"/>
  <c r="DF5" i="4" a="1"/>
  <c r="CN16" i="4" a="1"/>
  <c r="T7" i="4" a="1"/>
  <c r="EK5" i="4" a="1"/>
  <c r="BA5" i="4" a="1"/>
  <c r="DM15" i="4" a="1"/>
  <c r="R14" i="4" a="1"/>
  <c r="CN8" i="4" a="1"/>
  <c r="DO12" i="4" a="1"/>
  <c r="CO9" i="4" a="1"/>
  <c r="CV6" i="4" a="1"/>
  <c r="AQ15" i="4" a="1"/>
  <c r="CA8" i="4" a="1"/>
  <c r="AY7" i="4" a="1"/>
  <c r="DX6" i="4" a="1"/>
  <c r="DP16" i="4" a="1"/>
  <c r="C7" i="4" a="1"/>
  <c r="BD5" i="4" a="1"/>
  <c r="C8" i="2"/>
  <c r="Q30" i="2"/>
  <c r="S9" i="2"/>
  <c r="N7" i="2"/>
  <c r="Q36" i="2"/>
  <c r="AR75" i="3"/>
  <c r="U31" i="2"/>
  <c r="G27" i="3"/>
  <c r="G5" i="3"/>
  <c r="AD18" i="3"/>
  <c r="AR40" i="3"/>
  <c r="C46" i="3"/>
  <c r="G18" i="3"/>
  <c r="AC45" i="3"/>
  <c r="AO6" i="3"/>
  <c r="E7" i="3"/>
  <c r="G20" i="3"/>
  <c r="I45" i="3"/>
  <c r="F11" i="4" a="1"/>
  <c r="DA11" i="4" a="1"/>
  <c r="BM8" i="4" a="1"/>
  <c r="CF16" i="4" a="1"/>
  <c r="AI14" i="4" a="1"/>
  <c r="BX8" i="4" a="1"/>
  <c r="AD8" i="4" a="1"/>
  <c r="BP7" i="4" a="1"/>
  <c r="Q12" i="4" a="1"/>
  <c r="DH15" i="4" a="1"/>
  <c r="CG12" i="4" a="1"/>
  <c r="R13" i="4" a="1"/>
  <c r="U16" i="4" a="1"/>
  <c r="BT13" i="4" a="1"/>
  <c r="V12" i="4" a="1"/>
  <c r="P14" i="4" a="1"/>
  <c r="CN14" i="4" a="1"/>
  <c r="CK14" i="4" a="1"/>
  <c r="CX15" i="4" a="1"/>
  <c r="CI13" i="4" a="1"/>
  <c r="DD9" i="4" a="1"/>
  <c r="EC11" i="4" a="1"/>
  <c r="BC5" i="4" a="1"/>
  <c r="AK5" i="4" a="1"/>
  <c r="AH15" i="4" a="1"/>
  <c r="CL9" i="4" a="1"/>
  <c r="DJ14" i="4" a="1"/>
  <c r="DR12" i="4" a="1"/>
  <c r="BK11" i="4" a="1"/>
  <c r="DZ6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BG16" i="4" a="1"/>
  <c r="N15" i="4" a="1"/>
  <c r="EG9" i="4" a="1"/>
  <c r="AS16" i="4" a="1"/>
  <c r="CN6" i="4" a="1"/>
  <c r="AV6" i="4" a="1"/>
  <c r="AB7" i="4" a="1"/>
  <c r="DS9" i="4" a="1"/>
  <c r="O14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DL9" i="4" a="1"/>
  <c r="AK11" i="4" a="1"/>
  <c r="BJ12" i="4" a="1"/>
  <c r="BW11" i="4" a="1"/>
  <c r="DU7" i="4" a="1"/>
  <c r="AN8" i="4" a="1"/>
  <c r="BG5" i="4" a="1"/>
  <c r="AP9" i="4" a="1"/>
  <c r="DN9" i="4" a="1"/>
  <c r="V34" i="2"/>
  <c r="I8" i="2"/>
  <c r="H6" i="2"/>
  <c r="V22" i="2"/>
  <c r="AR49" i="3"/>
  <c r="AR91" i="3"/>
  <c r="J34" i="2"/>
  <c r="S46" i="3"/>
  <c r="C45" i="3"/>
  <c r="AI45" i="3"/>
  <c r="E21" i="3"/>
  <c r="AD8" i="3"/>
  <c r="G6" i="3"/>
  <c r="G10" i="3"/>
  <c r="AJ45" i="3"/>
  <c r="F30" i="3"/>
  <c r="Q46" i="3"/>
  <c r="E8" i="3"/>
  <c r="BO14" i="4" a="1"/>
  <c r="AJ14" i="4" a="1"/>
  <c r="CT14" i="4" a="1"/>
  <c r="R6" i="4" a="1"/>
  <c r="AG15" i="4" a="1"/>
  <c r="AQ13" i="4" a="1"/>
  <c r="AE7" i="4" a="1"/>
  <c r="O8" i="2"/>
  <c r="X8" i="2"/>
  <c r="S20" i="2"/>
  <c r="T14" i="2"/>
  <c r="J5" i="2"/>
  <c r="F22" i="2"/>
  <c r="AR81" i="3"/>
  <c r="G11" i="3"/>
  <c r="G31" i="3"/>
  <c r="D40" i="3"/>
  <c r="D30" i="3"/>
  <c r="AD14" i="3"/>
  <c r="AR46" i="3"/>
  <c r="E36" i="3"/>
  <c r="Z46" i="3"/>
  <c r="E46" i="3"/>
  <c r="AB46" i="3"/>
  <c r="G22" i="3"/>
  <c r="CI14" i="4" a="1"/>
  <c r="BF11" i="4" a="1"/>
  <c r="CC11" i="4" a="1"/>
  <c r="AO12" i="4" a="1"/>
  <c r="BE15" i="4" a="1"/>
  <c r="AC11" i="4" a="1"/>
  <c r="BZ15" i="4" a="1"/>
  <c r="AI11" i="4" a="1"/>
  <c r="BC12" i="4" a="1"/>
  <c r="BK13" i="4" a="1"/>
  <c r="EK15" i="4" a="1"/>
  <c r="EG16" i="4" a="1"/>
  <c r="AD11" i="4" a="1"/>
  <c r="M5" i="4" a="1"/>
  <c r="DC12" i="4" a="1"/>
  <c r="DA7" i="4" a="1"/>
  <c r="CV12" i="4" a="1"/>
  <c r="P9" i="4" a="1"/>
  <c r="BI5" i="4" a="1"/>
  <c r="DL13" i="4" a="1"/>
  <c r="BF12" i="4" a="1"/>
  <c r="DP11" i="4" a="1"/>
  <c r="CP13" i="4" a="1"/>
  <c r="BS12" i="4" a="1"/>
  <c r="U9" i="4" a="1"/>
  <c r="EA8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AW15" i="4" a="1"/>
  <c r="CY12" i="4" a="1"/>
  <c r="R7" i="4" a="1"/>
  <c r="CG9" i="4" a="1"/>
  <c r="AO13" i="4" a="1"/>
  <c r="V13" i="4" a="1"/>
  <c r="DJ11" i="4" a="1"/>
  <c r="DH9" i="4" a="1"/>
  <c r="DR15" i="4" a="1"/>
  <c r="BU9" i="4" a="1"/>
  <c r="CG11" i="4" a="1"/>
  <c r="AC13" i="4" a="1"/>
  <c r="AL9" i="4" a="1"/>
  <c r="AZ11" i="4" a="1"/>
  <c r="AR6" i="4" a="1"/>
  <c r="DN5" i="4" a="1"/>
  <c r="D16" i="2"/>
  <c r="I9" i="2"/>
  <c r="Q8" i="2"/>
  <c r="I22" i="2"/>
  <c r="U28" i="2"/>
  <c r="N8" i="2"/>
  <c r="V15" i="2"/>
  <c r="AI46" i="3"/>
  <c r="E39" i="3"/>
  <c r="D12" i="3"/>
  <c r="D39" i="3"/>
  <c r="AG46" i="3"/>
  <c r="M46" i="3"/>
  <c r="E24" i="3"/>
  <c r="AR14" i="3"/>
  <c r="D20" i="3"/>
  <c r="E27" i="3"/>
  <c r="D28" i="3"/>
  <c r="DV16" i="4" a="1"/>
  <c r="CY15" i="4" a="1"/>
  <c r="BL13" i="4" a="1"/>
  <c r="EI16" i="4" a="1"/>
  <c r="D14" i="4" a="1"/>
  <c r="BV5" i="4" a="1"/>
  <c r="DF15" i="4" a="1"/>
  <c r="CN11" i="4" a="1"/>
  <c r="DP9" i="4" a="1"/>
  <c r="DH12" i="4" a="1"/>
  <c r="DG15" i="4" a="1"/>
  <c r="AR11" i="4" a="1"/>
  <c r="AE6" i="4" a="1"/>
  <c r="CV9" i="4" a="1"/>
  <c r="AO11" i="4" a="1"/>
  <c r="AC15" i="4" a="1"/>
  <c r="CU6" i="4" a="1"/>
  <c r="M14" i="4" a="1"/>
  <c r="C8" i="4" a="1"/>
  <c r="AL5" i="4" a="1"/>
  <c r="EF13" i="4" a="1"/>
  <c r="AB9" i="4" a="1"/>
  <c r="EB8" i="4" a="1"/>
  <c r="T8" i="4" a="1"/>
  <c r="CS15" i="4" a="1"/>
  <c r="CQ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ED5" i="4" a="1"/>
  <c r="AU12" i="4" a="1"/>
  <c r="V11" i="4" a="1"/>
  <c r="CO14" i="4" a="1"/>
  <c r="DW7" i="4" a="1"/>
  <c r="CT6" i="4" a="1"/>
  <c r="DZ7" i="4" a="1"/>
  <c r="CD14" i="4" a="1"/>
  <c r="BT6" i="4" a="1"/>
  <c r="Z9" i="4" a="1"/>
  <c r="DK6" i="4" a="1"/>
  <c r="DS16" i="4" a="1"/>
  <c r="DT5" i="4" a="1"/>
  <c r="DT14" i="4" a="1"/>
  <c r="EC13" i="4" a="1"/>
  <c r="CX5" i="4" a="1"/>
  <c r="CJ6" i="4" a="1"/>
  <c r="BV6" i="4" a="1"/>
  <c r="DI15" i="4" a="1"/>
  <c r="H16" i="4" a="1"/>
  <c r="EF8" i="4" a="1"/>
  <c r="E15" i="4" a="1"/>
  <c r="DJ5" i="4" a="1"/>
  <c r="CK8" i="4" a="1"/>
  <c r="EB12" i="4" a="1"/>
  <c r="BR8" i="4" a="1"/>
  <c r="DU13" i="4" a="1"/>
  <c r="M15" i="4" a="1"/>
  <c r="BF16" i="4" a="1"/>
  <c r="CP16" i="4" a="1"/>
  <c r="AR14" i="4" a="1"/>
  <c r="DJ13" i="4" a="1"/>
  <c r="H8" i="4" a="1"/>
  <c r="DH16" i="4" a="1"/>
  <c r="DW9" i="4" a="1"/>
  <c r="AE5" i="4" a="1"/>
  <c r="BL5" i="4" a="1"/>
  <c r="BQ12" i="4" a="1"/>
  <c r="Z12" i="4" a="1"/>
  <c r="CA14" i="4" a="1"/>
  <c r="DB15" i="4" a="1"/>
  <c r="Z14" i="4" a="1"/>
  <c r="AC8" i="4" a="1"/>
  <c r="Q58" i="2"/>
  <c r="G33" i="2"/>
  <c r="P28" i="2"/>
  <c r="N6" i="2"/>
  <c r="U33" i="2"/>
  <c r="K14" i="2"/>
  <c r="E45" i="2"/>
  <c r="AR41" i="3"/>
  <c r="AD15" i="3"/>
  <c r="AD13" i="3"/>
  <c r="G45" i="3"/>
  <c r="O45" i="3"/>
  <c r="G15" i="3"/>
  <c r="F27" i="3"/>
  <c r="E16" i="3"/>
  <c r="G30" i="3"/>
  <c r="G8" i="3"/>
  <c r="F41" i="3"/>
  <c r="DO5" i="4" a="1"/>
  <c r="BF9" i="4" a="1"/>
  <c r="F12" i="4" a="1"/>
  <c r="CF7" i="4" a="1"/>
  <c r="BU12" i="4" a="1"/>
  <c r="DT12" i="4" a="1"/>
  <c r="DB14" i="4" a="1"/>
  <c r="DP14" i="4" a="1"/>
  <c r="CO6" i="4" a="1"/>
  <c r="CB13" i="4" a="1"/>
  <c r="CT8" i="4" a="1"/>
  <c r="EA5" i="4" a="1"/>
  <c r="BU8" i="4" a="1"/>
  <c r="AE16" i="4" a="1"/>
  <c r="V14" i="4" a="1"/>
  <c r="CZ15" i="4" a="1"/>
  <c r="DE15" i="4" a="1"/>
  <c r="BI6" i="4" a="1"/>
  <c r="BO12" i="4" a="1"/>
  <c r="AD7" i="4" a="1"/>
  <c r="X8" i="4" a="1"/>
  <c r="CN7" i="4" a="1"/>
  <c r="AH5" i="4" a="1"/>
  <c r="V5" i="4" a="1"/>
  <c r="EE12" i="4" a="1"/>
  <c r="EA15" i="4" a="1"/>
  <c r="BS16" i="4" a="1"/>
  <c r="AY12" i="4" a="1"/>
  <c r="P8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U12" i="2"/>
  <c r="G31" i="2"/>
  <c r="P8" i="2"/>
  <c r="W15" i="2"/>
  <c r="D11" i="2"/>
  <c r="P21" i="2"/>
  <c r="AR37" i="3"/>
  <c r="F20" i="3"/>
  <c r="AC46" i="3"/>
  <c r="F12" i="3"/>
  <c r="G14" i="3"/>
  <c r="E37" i="3"/>
  <c r="D27" i="3"/>
  <c r="F37" i="3"/>
  <c r="AR8" i="3"/>
  <c r="F15" i="3"/>
  <c r="U46" i="3"/>
  <c r="F38" i="3"/>
  <c r="DT7" i="4" a="1"/>
  <c r="CY6" i="4" a="1"/>
  <c r="EJ5" i="4" a="1"/>
  <c r="CT11" i="4" a="1"/>
  <c r="E14" i="4" a="1"/>
  <c r="AG12" i="4" a="1"/>
  <c r="DR16" i="4" a="1"/>
  <c r="DY11" i="4" a="1"/>
  <c r="BW15" i="4" a="1"/>
  <c r="V15" i="4" a="1"/>
  <c r="EG5" i="4" a="1"/>
  <c r="Q14" i="4" a="1"/>
  <c r="X7" i="4" a="1"/>
  <c r="BS7" i="4" a="1"/>
  <c r="DL6" i="4" a="1"/>
  <c r="P16" i="4" a="1"/>
  <c r="AV16" i="4" a="1"/>
  <c r="BY5" i="4" a="1"/>
  <c r="CW7" i="4" a="1"/>
  <c r="DX13" i="4" a="1"/>
  <c r="DL11" i="4" a="1"/>
  <c r="AF8" i="4" a="1"/>
  <c r="BI7" i="4" a="1"/>
  <c r="DF11" i="4" a="1"/>
  <c r="Q5" i="4" a="1"/>
  <c r="Y6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CS11" i="4" a="1"/>
  <c r="AM12" i="4" a="1"/>
  <c r="AF14" i="4" a="1"/>
  <c r="EH15" i="4" a="1"/>
  <c r="CE9" i="4" a="1"/>
  <c r="O16" i="4" a="1"/>
  <c r="Q7" i="4" a="1"/>
  <c r="E5" i="4" a="1"/>
  <c r="AO8" i="4" a="1"/>
  <c r="AH11" i="4" a="1"/>
  <c r="G16" i="2"/>
  <c r="K23" i="2"/>
  <c r="P6" i="2"/>
  <c r="C18" i="2"/>
  <c r="R19" i="2"/>
  <c r="K27" i="2"/>
  <c r="AG45" i="3"/>
  <c r="D24" i="3"/>
  <c r="D26" i="3"/>
  <c r="AN45" i="3"/>
  <c r="AH46" i="3"/>
  <c r="F6" i="3"/>
  <c r="F11" i="3"/>
  <c r="E31" i="3"/>
  <c r="AR31" i="3"/>
  <c r="F21" i="3"/>
  <c r="D7" i="3"/>
  <c r="R45" i="3"/>
  <c r="X13" i="4" a="1"/>
  <c r="DM5" i="4" a="1"/>
  <c r="AG7" i="4" a="1"/>
  <c r="J16" i="4" a="1"/>
  <c r="BI13" i="4" a="1"/>
  <c r="BF7" i="4" a="1"/>
  <c r="CG16" i="4" a="1"/>
  <c r="AB13" i="4" a="1"/>
  <c r="CF9" i="4" a="1"/>
  <c r="S15" i="4" a="1"/>
  <c r="AH8" i="4" a="1"/>
  <c r="BE12" i="4" a="1"/>
  <c r="DF7" i="4" a="1"/>
  <c r="DU8" i="4" a="1"/>
  <c r="DI8" i="4" a="1"/>
  <c r="BH6" i="4" a="1"/>
  <c r="DE12" i="4" a="1"/>
  <c r="Y8" i="4" a="1"/>
  <c r="AK7" i="4" a="1"/>
  <c r="F16" i="4" a="1"/>
  <c r="AY9" i="4" a="1"/>
  <c r="M18" i="2"/>
  <c r="F35" i="2"/>
  <c r="T24" i="2"/>
  <c r="H10" i="2"/>
  <c r="J23" i="2"/>
  <c r="N20" i="2"/>
  <c r="AA46" i="3"/>
  <c r="D36" i="3"/>
  <c r="T46" i="3"/>
  <c r="F42" i="3"/>
  <c r="D10" i="3"/>
  <c r="E33" i="3"/>
  <c r="AR45" i="3"/>
  <c r="G23" i="3"/>
  <c r="F16" i="3"/>
  <c r="E15" i="3"/>
  <c r="AR23" i="3"/>
  <c r="AR16" i="3"/>
  <c r="BV7" i="4" a="1"/>
  <c r="BN7" i="4" a="1"/>
  <c r="CM12" i="4" a="1"/>
  <c r="DG12" i="4" a="1"/>
  <c r="DE11" i="4" a="1"/>
  <c r="CZ12" i="4" a="1"/>
  <c r="BD6" i="4" a="1"/>
  <c r="C9" i="4" a="1"/>
  <c r="CS14" i="4" a="1"/>
  <c r="DM12" i="4" a="1"/>
  <c r="K15" i="4" a="1"/>
  <c r="M7" i="4" a="1"/>
  <c r="W5" i="4" a="1"/>
  <c r="AA12" i="4" a="1"/>
  <c r="DC7" i="4" a="1"/>
  <c r="AO5" i="4" a="1"/>
  <c r="DG11" i="4" a="1"/>
  <c r="AM5" i="4" a="1"/>
  <c r="AF9" i="4" a="1"/>
  <c r="AK6" i="4" a="1"/>
  <c r="BL8" i="4" a="1"/>
  <c r="EK8" i="4" a="1"/>
  <c r="DQ11" i="4" a="1"/>
  <c r="DG5" i="4" a="1"/>
  <c r="DP12" i="4" a="1"/>
  <c r="AR12" i="4" a="1"/>
  <c r="EF5" i="4" a="1"/>
  <c r="DV15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M13" i="4" a="1"/>
  <c r="DX16" i="4" a="1"/>
  <c r="EF9" i="4" a="1"/>
  <c r="BX14" i="4" a="1"/>
  <c r="CC7" i="4" a="1"/>
  <c r="AD15" i="4" a="1"/>
  <c r="BN13" i="4" a="1"/>
  <c r="G13" i="4" a="1"/>
  <c r="AM8" i="4" a="1"/>
  <c r="P13" i="4" a="1"/>
  <c r="CW16" i="4" a="1"/>
  <c r="AX7" i="4" a="1"/>
  <c r="CL7" i="4" a="1"/>
  <c r="CC12" i="4" a="1"/>
  <c r="EF16" i="4" a="1"/>
  <c r="BS5" i="4" a="1"/>
  <c r="DV11" i="4" a="1"/>
  <c r="CJ16" i="4" a="1"/>
  <c r="AG5" i="4" a="1"/>
  <c r="P15" i="4" a="1"/>
  <c r="BD13" i="4" a="1"/>
  <c r="BQ14" i="4" a="1"/>
  <c r="EI7" i="4" a="1"/>
  <c r="BY6" i="4" a="1"/>
  <c r="DA15" i="4" a="1"/>
  <c r="CK16" i="4" a="1"/>
  <c r="AJ11" i="4" a="1"/>
  <c r="DZ5" i="4" a="1"/>
  <c r="EC6" i="4" a="1"/>
  <c r="W16" i="4" a="1"/>
  <c r="CJ15" i="4" a="1"/>
  <c r="S25" i="2"/>
  <c r="J15" i="2"/>
  <c r="X20" i="2"/>
  <c r="U26" i="2"/>
  <c r="F32" i="2"/>
  <c r="D14" i="2"/>
  <c r="AR19" i="3"/>
  <c r="AD17" i="3"/>
  <c r="E18" i="3"/>
  <c r="G46" i="3"/>
  <c r="D11" i="3"/>
  <c r="D32" i="3"/>
  <c r="AD7" i="3"/>
  <c r="N46" i="3"/>
  <c r="F5" i="3"/>
  <c r="D25" i="3"/>
  <c r="F40" i="3"/>
  <c r="AR35" i="3"/>
  <c r="EJ14" i="4" a="1"/>
  <c r="BU6" i="4" a="1"/>
  <c r="BC9" i="4" a="1"/>
  <c r="Z15" i="4" a="1"/>
  <c r="EG12" i="4" a="1"/>
  <c r="BE11" i="4" a="1"/>
  <c r="C15" i="4" a="1"/>
  <c r="BV13" i="4" a="1"/>
  <c r="EI14" i="4" a="1"/>
  <c r="AC16" i="4" a="1"/>
  <c r="I16" i="2"/>
  <c r="L32" i="2"/>
  <c r="K9" i="2"/>
  <c r="N21" i="2"/>
  <c r="R7" i="2"/>
  <c r="U9" i="2"/>
  <c r="D37" i="3"/>
  <c r="F25" i="3"/>
  <c r="F33" i="3"/>
  <c r="N45" i="3"/>
  <c r="AR15" i="3"/>
  <c r="G21" i="3"/>
  <c r="P46" i="3"/>
  <c r="F9" i="3"/>
  <c r="G12" i="3"/>
  <c r="AR10" i="3"/>
  <c r="D46" i="3"/>
  <c r="R16" i="4" a="1"/>
  <c r="DO14" i="4" a="1"/>
  <c r="Z8" i="4" a="1"/>
  <c r="AV9" i="4" a="1"/>
  <c r="AI16" i="4" a="1"/>
  <c r="W21" i="2"/>
  <c r="F39" i="3"/>
  <c r="F24" i="3"/>
  <c r="AF7" i="4" a="1"/>
  <c r="AK8" i="4" a="1"/>
  <c r="BG8" i="4" a="1"/>
  <c r="AC14" i="4" a="1"/>
  <c r="CD8" i="4" a="1"/>
  <c r="X15" i="4" a="1"/>
  <c r="CF14" i="4" a="1"/>
  <c r="DR11" i="4" a="1"/>
  <c r="CE5" i="4" a="1"/>
  <c r="DA8" i="4" a="1"/>
  <c r="CT7" i="4" a="1"/>
  <c r="CP12" i="4" a="1"/>
  <c r="U5" i="4" a="1"/>
  <c r="BI9" i="4" a="1"/>
  <c r="AD16" i="4" a="1"/>
  <c r="AR13" i="4" a="1"/>
  <c r="T6" i="4" a="1"/>
  <c r="CZ8" i="4" a="1"/>
  <c r="AU5" i="4" a="1"/>
  <c r="CD15" i="4" a="1"/>
  <c r="CI8" i="4" a="1"/>
  <c r="BB11" i="4" a="1"/>
  <c r="BO15" i="4" a="1"/>
  <c r="EF7" i="4" a="1"/>
  <c r="CQ5" i="4" a="1"/>
  <c r="BP9" i="4" a="1"/>
  <c r="EC14" i="4" a="1"/>
  <c r="CD11" i="4" a="1"/>
  <c r="CO5" i="4" a="1"/>
  <c r="DU16" i="4" a="1"/>
  <c r="ED7" i="4" a="1"/>
  <c r="AV14" i="4" a="1"/>
  <c r="BN8" i="4" a="1"/>
  <c r="AY14" i="4" a="1"/>
  <c r="M12" i="4" a="1"/>
  <c r="CS13" i="4" a="1"/>
  <c r="Y9" i="4" a="1"/>
  <c r="AR15" i="4" a="1"/>
  <c r="CL5" i="4" a="1"/>
  <c r="CZ11" i="4" a="1"/>
  <c r="DO13" i="4" a="1"/>
  <c r="CH11" i="4" a="1"/>
  <c r="ED8" i="4" a="1"/>
  <c r="AE14" i="4" a="1"/>
  <c r="CK7" i="4" a="1"/>
  <c r="CZ13" i="4" a="1"/>
  <c r="L8" i="4" a="1"/>
  <c r="CU7" i="4" a="1"/>
  <c r="EF12" i="4" a="1"/>
  <c r="BS8" i="4" a="1"/>
  <c r="CX13" i="4" a="1"/>
  <c r="CX11" i="4" a="1"/>
  <c r="I6" i="4" a="1"/>
  <c r="AT12" i="4" a="1"/>
  <c r="EJ9" i="4" a="1"/>
  <c r="AL14" i="4" a="1"/>
  <c r="BI8" i="4" a="1"/>
  <c r="S13" i="4" a="1"/>
  <c r="DG6" i="4" a="1"/>
  <c r="Q11" i="4" a="1"/>
  <c r="CA13" i="4" a="1"/>
  <c r="DD15" i="4" a="1"/>
  <c r="CO12" i="4" a="1"/>
  <c r="BA16" i="4" a="1"/>
  <c r="CQ9" i="4" a="1"/>
  <c r="BJ6" i="4" a="1"/>
  <c r="DB7" i="4" a="1"/>
  <c r="CP9" i="4" a="1"/>
  <c r="BG15" i="4" a="1"/>
  <c r="BP15" i="4" a="1"/>
  <c r="CV13" i="4" a="1"/>
  <c r="DH13" i="4" a="1"/>
  <c r="CO15" i="4" a="1"/>
  <c r="DC16" i="4" a="1"/>
  <c r="DT13" i="4" a="1"/>
  <c r="AE9" i="4" a="1"/>
  <c r="CJ14" i="4" a="1"/>
  <c r="O9" i="4" a="1"/>
  <c r="X11" i="4" a="1"/>
  <c r="DX15" i="4" a="1"/>
  <c r="EI11" i="4" a="1"/>
  <c r="DW11" i="4" a="1"/>
  <c r="AM14" i="4" a="1"/>
  <c r="BU16" i="4" a="1"/>
  <c r="AF15" i="4" a="1"/>
  <c r="CE15" i="4" a="1"/>
  <c r="AP8" i="4" a="1"/>
  <c r="BC11" i="4" a="1"/>
  <c r="DY13" i="4" a="1"/>
  <c r="CO11" i="4" a="1"/>
  <c r="DP13" i="4" a="1"/>
  <c r="DR14" i="4" a="1"/>
  <c r="AD6" i="4" a="1"/>
  <c r="CH5" i="4" a="1"/>
  <c r="BX12" i="4" a="1"/>
  <c r="DG9" i="4" a="1"/>
  <c r="U8" i="4" a="1"/>
  <c r="DM14" i="4" a="1"/>
  <c r="BW8" i="4" a="1"/>
  <c r="CB11" i="4" a="1"/>
  <c r="BH11" i="4" a="1"/>
  <c r="L12" i="2"/>
  <c r="W45" i="3"/>
  <c r="F34" i="3"/>
  <c r="AB12" i="4" a="1"/>
  <c r="BD15" i="4" a="1"/>
  <c r="DR5" i="4" a="1"/>
  <c r="DQ13" i="4" a="1"/>
  <c r="CH7" i="4" a="1"/>
  <c r="CU8" i="4" a="1"/>
  <c r="O6" i="4" a="1"/>
  <c r="AP16" i="4" a="1"/>
  <c r="DQ14" i="4" a="1"/>
  <c r="CF6" i="4" a="1"/>
  <c r="CT12" i="4" a="1"/>
  <c r="EJ12" i="4" a="1"/>
  <c r="CS7" i="4" a="1"/>
  <c r="DP7" i="4" a="1"/>
  <c r="CL12" i="4" a="1"/>
  <c r="O11" i="4" a="1"/>
  <c r="BP16" i="4" a="1"/>
  <c r="F9" i="4" a="1"/>
  <c r="EI5" i="4" a="1"/>
  <c r="DU6" i="4" a="1"/>
  <c r="CE8" i="4" a="1"/>
  <c r="S5" i="4" a="1"/>
  <c r="DR9" i="4" a="1"/>
  <c r="CB8" i="4" a="1"/>
  <c r="Z6" i="4" a="1"/>
  <c r="CK9" i="4" a="1"/>
  <c r="AD13" i="4" a="1"/>
  <c r="BM11" i="4" a="1"/>
  <c r="S8" i="4" a="1"/>
  <c r="ED13" i="4" a="1"/>
  <c r="BA12" i="4" a="1"/>
  <c r="AO6" i="4" a="1"/>
  <c r="CV8" i="4" a="1"/>
  <c r="BW9" i="4" a="1"/>
  <c r="K13" i="4" a="1"/>
  <c r="DN13" i="4" a="1"/>
  <c r="EJ8" i="4" a="1"/>
  <c r="BY12" i="4" a="1"/>
  <c r="T30" i="2"/>
  <c r="D16" i="3"/>
  <c r="AD9" i="3"/>
  <c r="Y16" i="4" a="1"/>
  <c r="BZ8" i="4" a="1"/>
  <c r="BZ5" i="4" a="1"/>
  <c r="CS8" i="4" a="1"/>
  <c r="DY8" i="4" a="1"/>
  <c r="W13" i="4" a="1"/>
  <c r="BE7" i="4" a="1"/>
  <c r="X6" i="4" a="1"/>
  <c r="AZ8" i="4" a="1"/>
  <c r="BB16" i="4" a="1"/>
  <c r="BG12" i="4" a="1"/>
  <c r="CP8" i="4" a="1"/>
  <c r="DL5" i="4" a="1"/>
  <c r="AZ6" i="4" a="1"/>
  <c r="DS5" i="4" a="1"/>
  <c r="BH16" i="4" a="1"/>
  <c r="N12" i="4" a="1"/>
  <c r="BD11" i="4" a="1"/>
  <c r="CS5" i="4" a="1"/>
  <c r="DN6" i="4" a="1"/>
  <c r="CQ11" i="4" a="1"/>
  <c r="F13" i="4" a="1"/>
  <c r="AE15" i="4" a="1"/>
  <c r="CC14" i="4" a="1"/>
  <c r="R5" i="4" a="1"/>
  <c r="AV5" i="4" a="1"/>
  <c r="AL7" i="4" a="1"/>
  <c r="BR7" i="4" a="1"/>
  <c r="DC8" i="4" a="1"/>
  <c r="J13" i="4" a="1"/>
  <c r="H15" i="4" a="1"/>
  <c r="AK16" i="4" a="1"/>
  <c r="BZ14" i="4" a="1"/>
  <c r="BB12" i="4" a="1"/>
  <c r="M11" i="4" a="1"/>
  <c r="BD9" i="4" a="1"/>
  <c r="BF5" i="4" a="1"/>
  <c r="AT16" i="4" a="1"/>
  <c r="L14" i="4" a="1"/>
  <c r="AT9" i="4" a="1"/>
  <c r="DI9" i="4" a="1"/>
  <c r="BG13" i="4" a="1"/>
  <c r="CT16" i="4" a="1"/>
  <c r="Q15" i="4" a="1"/>
  <c r="BU11" i="4" a="1"/>
  <c r="O5" i="4" a="1"/>
  <c r="BR16" i="4" a="1"/>
  <c r="BA8" i="4" a="1"/>
  <c r="CL8" i="4" a="1"/>
  <c r="AN6" i="4" a="1"/>
  <c r="AB8" i="4" a="1"/>
  <c r="CW15" i="4" a="1"/>
  <c r="BW14" i="4" a="1"/>
  <c r="BI11" i="4" a="1"/>
  <c r="K11" i="4" a="1"/>
  <c r="BT11" i="4" a="1"/>
  <c r="BU15" i="4" a="1"/>
  <c r="AG6" i="4" a="1"/>
  <c r="EH14" i="4" a="1"/>
  <c r="DY15" i="4" a="1"/>
  <c r="BM7" i="4" a="1"/>
  <c r="DA6" i="4" a="1"/>
  <c r="DF8" i="4" a="1"/>
  <c r="DT8" i="4" a="1"/>
  <c r="AW16" i="4" a="1"/>
  <c r="G5" i="4" a="1"/>
  <c r="W14" i="4" a="1"/>
  <c r="AS12" i="4" a="1"/>
  <c r="DY7" i="4" a="1"/>
  <c r="CU12" i="4" a="1"/>
  <c r="AU14" i="4" a="1"/>
  <c r="DY12" i="4" a="1"/>
  <c r="Y15" i="4" a="1"/>
  <c r="DB11" i="4" a="1"/>
  <c r="R15" i="4" a="1"/>
  <c r="EI13" i="4" a="1"/>
  <c r="EJ11" i="4" a="1"/>
  <c r="CM5" i="4" a="1"/>
  <c r="AT7" i="4" a="1"/>
  <c r="DM7" i="4" a="1"/>
  <c r="D5" i="4" a="1"/>
  <c r="DS14" i="4" a="1"/>
  <c r="ED12" i="4" a="1"/>
  <c r="Z11" i="4" a="1"/>
  <c r="DO7" i="4" a="1"/>
  <c r="CH9" i="4" a="1"/>
  <c r="DW16" i="4" a="1"/>
  <c r="DK8" i="4" a="1"/>
  <c r="AF5" i="4" a="1"/>
  <c r="H11" i="4" a="1"/>
  <c r="S16" i="4" a="1"/>
  <c r="L12" i="4" a="1"/>
  <c r="S6" i="4" a="1"/>
  <c r="N8" i="4" a="1"/>
  <c r="V46" i="3"/>
  <c r="DV5" i="4" a="1"/>
  <c r="BV11" i="4" a="1"/>
  <c r="EB16" i="4" a="1"/>
  <c r="AB6" i="4" a="1"/>
  <c r="CE11" i="4" a="1"/>
  <c r="K6" i="4" a="1"/>
  <c r="H12" i="4" a="1"/>
  <c r="AQ14" i="4" a="1"/>
  <c r="H7" i="4" a="1"/>
  <c r="EJ15" i="4" a="1"/>
  <c r="DJ15" i="4" a="1"/>
  <c r="EG13" i="4" a="1"/>
  <c r="DN11" i="4" a="1"/>
  <c r="AI12" i="4" a="1"/>
  <c r="BN14" i="4" a="1"/>
  <c r="DE9" i="4" a="1"/>
  <c r="AT6" i="4" a="1"/>
  <c r="CV14" i="4" a="1"/>
  <c r="DS7" i="4" a="1"/>
  <c r="J25" i="2"/>
  <c r="E41" i="3"/>
  <c r="M45" i="3"/>
  <c r="Y5" i="4" a="1"/>
  <c r="I14" i="4" a="1"/>
  <c r="EE14" i="4" a="1"/>
  <c r="DY16" i="4" a="1"/>
  <c r="AI13" i="4" a="1"/>
  <c r="BZ9" i="4" a="1"/>
  <c r="DZ12" i="4" a="1"/>
  <c r="EI6" i="4" a="1"/>
  <c r="DU5" i="4" a="1"/>
  <c r="DP5" i="4" a="1"/>
  <c r="DP15" i="4" a="1"/>
  <c r="BA6" i="4" a="1"/>
  <c r="V16" i="4" a="1"/>
  <c r="Z5" i="4" a="1"/>
  <c r="EH13" i="4" a="1"/>
  <c r="BT16" i="4" a="1"/>
  <c r="AZ12" i="4" a="1"/>
  <c r="EG7" i="4" a="1"/>
  <c r="AO9" i="4" a="1"/>
  <c r="BM9" i="4" a="1"/>
  <c r="BD12" i="4" a="1"/>
  <c r="AV11" i="4" a="1"/>
  <c r="U6" i="4" a="1"/>
  <c r="DC13" i="4" a="1"/>
  <c r="CF13" i="4" a="1"/>
  <c r="DP6" i="4" a="1"/>
  <c r="ED11" i="4" a="1"/>
  <c r="EE15" i="4" a="1"/>
  <c r="X14" i="4" a="1"/>
  <c r="CO7" i="4" a="1"/>
  <c r="CQ7" i="4" a="1"/>
  <c r="CG5" i="4" a="1"/>
  <c r="DK9" i="4" a="1"/>
  <c r="U15" i="4" a="1"/>
  <c r="BH9" i="4" a="1"/>
  <c r="BL14" i="4" a="1"/>
  <c r="BY16" i="4" a="1"/>
  <c r="R9" i="4" a="1"/>
  <c r="AI6" i="4" a="1"/>
  <c r="EK9" i="4" a="1"/>
  <c r="CR7" i="4" a="1"/>
  <c r="CS16" i="4" a="1"/>
  <c r="S14" i="4" a="1"/>
  <c r="BA11" i="4" a="1"/>
  <c r="DE6" i="4" a="1"/>
  <c r="BQ13" i="4" a="1"/>
  <c r="DI11" i="4" a="1"/>
  <c r="DS15" i="4" a="1"/>
  <c r="DD14" i="4" a="1"/>
  <c r="DV9" i="4" a="1"/>
  <c r="G15" i="4" a="1"/>
  <c r="CG13" i="4" a="1"/>
  <c r="Q6" i="4" a="1"/>
  <c r="EB14" i="4" a="1"/>
  <c r="AF6" i="4" a="1"/>
  <c r="CU11" i="4" a="1"/>
  <c r="BF6" i="4" a="1"/>
  <c r="BW5" i="4" a="1"/>
  <c r="CI6" i="4" a="1"/>
  <c r="AH14" i="4" a="1"/>
  <c r="BB7" i="4" a="1"/>
  <c r="AM13" i="4" a="1"/>
  <c r="AH16" i="4" a="1"/>
  <c r="AN14" i="4" a="1"/>
  <c r="BX11" i="4" a="1"/>
  <c r="AA5" i="4" a="1"/>
  <c r="DW8" i="4" a="1"/>
  <c r="N16" i="4" a="1"/>
  <c r="BK14" i="4" a="1"/>
  <c r="AN16" i="4" a="1"/>
  <c r="U13" i="4" a="1"/>
  <c r="K45" i="3"/>
  <c r="ED14" i="4" a="1"/>
  <c r="BY15" i="4" a="1"/>
  <c r="EG6" i="4" a="1"/>
  <c r="AW14" i="4" a="1"/>
  <c r="BS14" i="4" a="1"/>
  <c r="G11" i="4" a="1"/>
  <c r="V8" i="4" a="1"/>
  <c r="AU15" i="4" a="1"/>
  <c r="AF11" i="4" a="1"/>
  <c r="AJ8" i="4" a="1"/>
  <c r="DL7" i="4" a="1"/>
  <c r="AR7" i="4" a="1"/>
  <c r="T13" i="4" a="1"/>
  <c r="CE14" i="4" a="1"/>
  <c r="CA7" i="4" a="1"/>
  <c r="BR9" i="4" a="1"/>
  <c r="CZ7" i="4" a="1"/>
  <c r="BQ6" i="4" a="1"/>
  <c r="G16" i="4" a="1"/>
  <c r="EE7" i="4" a="1"/>
  <c r="BO11" i="4" a="1"/>
  <c r="CG15" i="4" a="1"/>
  <c r="DY14" i="4" a="1"/>
  <c r="CR16" i="4" a="1"/>
  <c r="EI8" i="4" a="1"/>
  <c r="O11" i="2"/>
  <c r="I46" i="3"/>
  <c r="E30" i="3"/>
  <c r="BV14" i="4" a="1"/>
  <c r="DS12" i="4" a="1"/>
  <c r="CA15" i="4" a="1"/>
  <c r="BH12" i="4" a="1"/>
  <c r="CC8" i="4" a="1"/>
  <c r="AX6" i="4" a="1"/>
  <c r="CM13" i="4" a="1"/>
  <c r="DK13" i="4" a="1"/>
  <c r="CM7" i="4" a="1"/>
  <c r="CR9" i="4" a="1"/>
  <c r="BX5" i="4" a="1"/>
  <c r="DC15" i="4" a="1"/>
  <c r="DG14" i="4" a="1"/>
  <c r="V6" i="4" a="1"/>
  <c r="AB5" i="4" a="1"/>
  <c r="DJ16" i="4" a="1"/>
  <c r="AA13" i="4" a="1"/>
  <c r="AL13" i="4" a="1"/>
  <c r="BU14" i="4" a="1"/>
  <c r="EB5" i="4" a="1"/>
  <c r="EA9" i="4" a="1"/>
  <c r="BW6" i="4" a="1"/>
  <c r="CQ15" i="4" a="1"/>
  <c r="CP15" i="4" a="1"/>
  <c r="CN12" i="4" a="1"/>
  <c r="AQ7" i="4" a="1"/>
  <c r="DB13" i="4" a="1"/>
  <c r="BK9" i="4" a="1"/>
  <c r="BZ7" i="4" a="1"/>
  <c r="DJ7" i="4" a="1"/>
  <c r="AB14" i="4" a="1"/>
  <c r="EH9" i="4" a="1"/>
  <c r="Q8" i="4" a="1"/>
  <c r="DL12" i="4" a="1"/>
  <c r="O12" i="4" a="1"/>
  <c r="AH6" i="4" a="1"/>
  <c r="BH8" i="4" a="1"/>
  <c r="CH16" i="4" a="1"/>
  <c r="DZ8" i="4" a="1"/>
  <c r="BT12" i="4" a="1"/>
  <c r="AY8" i="4" a="1"/>
  <c r="CC9" i="4" a="1"/>
  <c r="CZ6" i="4" a="1"/>
  <c r="BK7" i="4" a="1"/>
  <c r="T11" i="4" a="1"/>
  <c r="X27" i="2"/>
  <c r="E32" i="3"/>
  <c r="E12" i="3"/>
  <c r="DH14" i="4" a="1"/>
  <c r="CX14" i="4" a="1"/>
  <c r="CQ13" i="4" a="1"/>
  <c r="DZ16" i="4" a="1"/>
  <c r="DQ8" i="4" a="1"/>
  <c r="AD5" i="4" a="1"/>
  <c r="EA13" i="4" a="1"/>
  <c r="EE11" i="4" a="1"/>
  <c r="ED6" i="4" a="1"/>
  <c r="BG11" i="4" a="1"/>
  <c r="DO6" i="4" a="1"/>
  <c r="I13" i="4" a="1"/>
  <c r="X9" i="4" a="1"/>
  <c r="EF15" i="4" a="1"/>
  <c r="BW16" i="4" a="1"/>
  <c r="BC15" i="4" a="1"/>
  <c r="AJ5" i="4" a="1"/>
  <c r="AG14" i="4" a="1"/>
  <c r="BI15" i="4" a="1"/>
  <c r="BB15" i="4" a="1"/>
  <c r="CA11" i="4" a="1"/>
  <c r="BR6" i="4" a="1"/>
  <c r="BR11" i="4" a="1"/>
  <c r="G6" i="4" a="1"/>
  <c r="AB16" i="4" a="1"/>
  <c r="DD6" i="4" a="1"/>
  <c r="CM14" i="4" a="1"/>
  <c r="DY5" i="4" a="1"/>
  <c r="CU5" i="4" a="1"/>
  <c r="BL11" i="4" a="1"/>
  <c r="AH7" i="4" a="1"/>
  <c r="EB15" i="4" a="1"/>
  <c r="CU14" i="4" a="1"/>
  <c r="AP5" i="4" a="1"/>
  <c r="DQ6" i="4" a="1"/>
  <c r="CX12" i="4" a="1"/>
  <c r="CV11" i="4" a="1"/>
  <c r="BN15" i="4" a="1"/>
  <c r="EH6" i="4" a="1"/>
  <c r="AX12" i="4" a="1"/>
  <c r="BJ13" i="4" a="1"/>
  <c r="CW6" i="4" a="1"/>
  <c r="Z13" i="4" a="1"/>
  <c r="BO7" i="4" a="1"/>
  <c r="BL15" i="4" a="1"/>
  <c r="DD7" i="4" a="1"/>
  <c r="AU6" i="4" a="1"/>
  <c r="EH11" i="4" a="1"/>
  <c r="CU15" i="4" a="1"/>
  <c r="CU13" i="4" a="1"/>
  <c r="EK6" i="4" a="1"/>
  <c r="BI12" i="4" a="1"/>
  <c r="AM9" i="4" a="1"/>
  <c r="CE12" i="4" a="1"/>
  <c r="EK13" i="4" a="1"/>
  <c r="AL16" i="4" a="1"/>
  <c r="DN16" i="4" a="1"/>
  <c r="DI6" i="4" a="1"/>
  <c r="BX15" i="4" a="1"/>
  <c r="DB5" i="4" a="1"/>
  <c r="AE8" i="4" a="1"/>
  <c r="BF15" i="4" a="1"/>
  <c r="DL8" i="4" a="1"/>
  <c r="AV13" i="4" a="1"/>
  <c r="C23" i="2"/>
  <c r="EG14" i="4" a="1"/>
  <c r="X5" i="4" a="1"/>
  <c r="BQ9" i="4" a="1"/>
  <c r="D9" i="4" a="1"/>
  <c r="AL6" i="4" a="1"/>
  <c r="EE6" i="4" a="1"/>
  <c r="C16" i="4" a="1"/>
  <c r="DB6" i="4" a="1"/>
  <c r="EJ6" i="4" a="1"/>
  <c r="EG8" i="4" a="1"/>
  <c r="AY15" i="4" a="1"/>
  <c r="DV13" i="4" a="1"/>
  <c r="AA16" i="4" a="1"/>
  <c r="AZ13" i="4" a="1"/>
  <c r="BT14" i="4" a="1"/>
  <c r="BD14" i="4" a="1"/>
  <c r="CR11" i="4" a="1"/>
  <c r="EA12" i="4" a="1"/>
  <c r="AO15" i="4" a="1"/>
  <c r="T6" i="2"/>
  <c r="AR11" i="3"/>
  <c r="Y46" i="3"/>
  <c r="DK7" i="4" a="1"/>
  <c r="CD5" i="4" a="1"/>
  <c r="BM15" i="4" a="1"/>
  <c r="D13" i="4" a="1"/>
  <c r="O7" i="4" a="1"/>
  <c r="DD13" i="4" a="1"/>
  <c r="CM6" i="4" a="1"/>
  <c r="EJ7" i="4" a="1"/>
  <c r="BU13" i="4" a="1"/>
  <c r="BB6" i="4" a="1"/>
  <c r="AX16" i="4" a="1"/>
  <c r="AN11" i="4" a="1"/>
  <c r="H6" i="4" a="1"/>
  <c r="DF12" i="4" a="1"/>
  <c r="K9" i="4" a="1"/>
  <c r="CD6" i="4" a="1"/>
  <c r="CH15" i="4" a="1"/>
  <c r="D11" i="4" a="1"/>
  <c r="DO16" i="4" a="1"/>
  <c r="BJ15" i="4" a="1"/>
  <c r="CY8" i="4" a="1"/>
  <c r="CI12" i="4" a="1"/>
  <c r="DM16" i="4" a="1"/>
  <c r="BC14" i="4" a="1"/>
  <c r="DC11" i="4" a="1"/>
  <c r="DX9" i="4" a="1"/>
  <c r="BP14" i="4" a="1"/>
  <c r="BR14" i="4" a="1"/>
  <c r="G9" i="4" a="1"/>
  <c r="D16" i="4" a="1"/>
  <c r="DA13" i="4" a="1"/>
  <c r="CO16" i="4" a="1"/>
  <c r="CW11" i="4" a="1"/>
  <c r="CV15" i="4" a="1"/>
  <c r="X16" i="4" a="1"/>
  <c r="G8" i="4" a="1"/>
  <c r="CD13" i="4" a="1"/>
  <c r="CX8" i="4" a="1"/>
  <c r="DN7" i="4" a="1"/>
  <c r="DY6" i="4" a="1"/>
  <c r="BM12" i="4" a="1"/>
  <c r="CL13" i="4" a="1"/>
  <c r="F5" i="4" a="1"/>
  <c r="BH13" i="4" a="1"/>
  <c r="CW12" i="4" a="1"/>
  <c r="CY5" i="4" a="1"/>
  <c r="CF5" i="4" a="1"/>
  <c r="O15" i="4" a="1"/>
  <c r="BE16" i="4" a="1"/>
  <c r="BD8" i="4" a="1"/>
  <c r="DI12" i="4" a="1"/>
  <c r="T14" i="4" a="1"/>
  <c r="CY7" i="4" a="1"/>
  <c r="Y13" i="4" a="1"/>
  <c r="BE14" i="4" a="1"/>
  <c r="N5" i="4" a="1"/>
  <c r="DR13" i="4" a="1"/>
  <c r="AM15" i="4" a="1"/>
  <c r="E11" i="4" a="1"/>
  <c r="DD16" i="4" a="1"/>
  <c r="AJ6" i="4" a="1"/>
  <c r="DS11" i="4" a="1"/>
  <c r="AX5" i="4" a="1"/>
  <c r="BV12" i="4" a="1"/>
  <c r="AN5" i="4" a="1"/>
  <c r="CB6" i="4" a="1"/>
  <c r="AT11" i="4" a="1"/>
  <c r="BG9" i="4" a="1"/>
  <c r="CQ16" i="4" a="1"/>
  <c r="DW12" i="4" a="1"/>
  <c r="DV14" i="4" a="1"/>
  <c r="R11" i="4" a="1"/>
  <c r="DB16" i="4" a="1"/>
  <c r="DS6" i="4" a="1"/>
  <c r="D7" i="4" a="1"/>
  <c r="BP5" i="4" a="1"/>
  <c r="EI12" i="4" a="1"/>
  <c r="DK15" i="4" a="1"/>
  <c r="DZ15" i="4" a="1"/>
  <c r="DE7" i="4" a="1"/>
  <c r="AS7" i="4" a="1"/>
  <c r="DK11" i="4" a="1"/>
  <c r="AJ9" i="4" a="1"/>
  <c r="BB5" i="4" a="1"/>
  <c r="J17" i="2"/>
  <c r="R46" i="3"/>
  <c r="AD16" i="3"/>
  <c r="CB7" i="4" a="1"/>
  <c r="EC7" i="4" a="1"/>
  <c r="CY16" i="4" a="1"/>
  <c r="K14" i="4" a="1"/>
  <c r="AG9" i="4" a="1"/>
  <c r="CP14" i="4" a="1"/>
  <c r="BK12" i="4" a="1"/>
  <c r="AP15" i="4" a="1"/>
  <c r="AU13" i="4" a="1"/>
  <c r="CE6" i="4" a="1"/>
  <c r="AI5" i="4" a="1"/>
  <c r="CC13" i="4" a="1"/>
  <c r="EE16" i="4" a="1"/>
  <c r="AV8" i="4" a="1"/>
  <c r="CW9" i="4" a="1"/>
  <c r="BQ11" i="4" a="1"/>
  <c r="I7" i="4" a="1"/>
  <c r="CI16" i="4" a="1"/>
  <c r="AN15" i="4" a="1"/>
  <c r="CE13" i="4" a="1"/>
  <c r="DB12" i="4" a="1"/>
  <c r="CF11" i="4" a="1"/>
  <c r="T9" i="4" a="1"/>
  <c r="DO8" i="4" a="1"/>
  <c r="C13" i="4" a="1"/>
  <c r="E12" i="4" a="1"/>
  <c r="V9" i="4" a="1"/>
  <c r="BE9" i="4" a="1"/>
  <c r="DO11" i="4" a="1"/>
  <c r="DN8" i="4" a="1"/>
  <c r="DF9" i="4" a="1"/>
  <c r="CV7" i="4" a="1"/>
  <c r="DA9" i="4" a="1"/>
  <c r="W7" i="4" a="1"/>
  <c r="S7" i="4" a="1"/>
  <c r="U7" i="4" a="1"/>
  <c r="DH5" i="4" a="1"/>
  <c r="Y14" i="4" a="1"/>
  <c r="CP6" i="4" a="1"/>
  <c r="M8" i="4" a="1"/>
  <c r="DH7" i="4" a="1"/>
  <c r="DQ12" i="4" a="1"/>
  <c r="R12" i="4" a="1"/>
  <c r="M31" i="2"/>
  <c r="AR27" i="3"/>
  <c r="D41" i="3"/>
  <c r="D8" i="4" a="1"/>
  <c r="DQ16" i="4" a="1"/>
  <c r="J5" i="4" a="1"/>
  <c r="BP11" i="4" a="1"/>
  <c r="DI16" i="4" a="1"/>
  <c r="BR13" i="4" a="1"/>
  <c r="DF13" i="4" a="1"/>
  <c r="DG16" i="4" a="1"/>
  <c r="AY6" i="4" a="1"/>
  <c r="CA12" i="4" a="1"/>
  <c r="DF16" i="4" a="1"/>
  <c r="BM14" i="4" a="1"/>
  <c r="EI9" i="4" a="1"/>
  <c r="AT8" i="4" a="1"/>
  <c r="DX8" i="4" a="1"/>
  <c r="F15" i="4" a="1"/>
  <c r="EA7" i="4" a="1"/>
  <c r="AS15" i="4" a="1"/>
  <c r="L16" i="4" a="1"/>
  <c r="BC16" i="4" a="1"/>
  <c r="P6" i="4" a="1"/>
  <c r="BC13" i="4" a="1"/>
  <c r="R8" i="4" a="1"/>
  <c r="DX11" i="4" a="1"/>
  <c r="K12" i="4" a="1"/>
  <c r="DZ13" i="4" a="1"/>
  <c r="AF13" i="4" a="1"/>
  <c r="DJ9" i="4" a="1"/>
  <c r="DO15" i="4" a="1"/>
  <c r="AA8" i="4" a="1"/>
  <c r="DM8" i="4" a="1"/>
  <c r="DX14" i="4" a="1"/>
  <c r="CZ5" i="4" a="1"/>
  <c r="M9" i="4" a="1"/>
  <c r="CR12" i="4" a="1"/>
  <c r="EA11" i="4" a="1"/>
  <c r="AW9" i="4" a="1"/>
  <c r="AQ8" i="4" a="1"/>
  <c r="AW11" i="4" a="1"/>
  <c r="AF12" i="4" a="1"/>
  <c r="BH15" i="4" a="1"/>
  <c r="ED15" i="4" a="1"/>
  <c r="AU9" i="4" a="1"/>
  <c r="AA15" i="4" a="1"/>
  <c r="DM9" i="4" a="1"/>
  <c r="DU14" i="4" a="1"/>
  <c r="J11" i="4" a="1"/>
  <c r="BA13" i="4" a="1"/>
  <c r="BP6" i="4" a="1"/>
  <c r="CL14" i="4" a="1"/>
  <c r="E7" i="4" a="1"/>
  <c r="CI9" i="4" a="1"/>
  <c r="K5" i="4" a="1"/>
  <c r="CP11" i="4" a="1"/>
  <c r="AD14" i="4" a="1"/>
  <c r="BS9" i="4" a="1"/>
  <c r="AJ15" i="4" a="1"/>
  <c r="AC7" i="4" a="1"/>
  <c r="BK16" i="4" a="1"/>
  <c r="BU5" i="4" a="1"/>
  <c r="AW6" i="4" a="1"/>
  <c r="DT15" i="4" a="1"/>
  <c r="BF8" i="4" a="1"/>
  <c r="O13" i="4" a="1"/>
  <c r="DQ5" i="4" a="1"/>
  <c r="L11" i="4" a="1"/>
  <c r="F14" i="4" a="1"/>
  <c r="CP5" i="4" a="1"/>
  <c r="BD7" i="4" a="1"/>
  <c r="DA5" i="4" a="1"/>
  <c r="H5" i="2"/>
  <c r="D9" i="3"/>
  <c r="F28" i="3"/>
  <c r="S11" i="4" a="1"/>
  <c r="BB13" i="4" a="1"/>
  <c r="BK6" i="4" a="1"/>
  <c r="BT9" i="4" a="1"/>
  <c r="AC12" i="4" a="1"/>
  <c r="CU9" i="4" a="1"/>
  <c r="BO5" i="4" a="1"/>
  <c r="AI8" i="4" a="1"/>
  <c r="F8" i="4" a="1"/>
  <c r="DE16" i="4" a="1"/>
  <c r="CB12" i="4" a="1"/>
  <c r="AR9" i="4" a="1"/>
  <c r="BQ16" i="4" a="1"/>
  <c r="DR8" i="4" a="1"/>
  <c r="DD11" i="4" a="1"/>
  <c r="CH12" i="4" a="1"/>
  <c r="X12" i="4" a="1"/>
  <c r="AM16" i="4" a="1"/>
  <c r="CW8" i="4" a="1"/>
  <c r="BO6" i="4" a="1"/>
  <c r="EB9" i="4" a="1"/>
  <c r="BQ5" i="4" a="1"/>
  <c r="K15" i="2"/>
  <c r="Z45" i="3"/>
  <c r="EH5" i="4" a="1"/>
  <c r="DG8" i="4" a="1"/>
  <c r="AK14" i="4" a="1"/>
  <c r="BX16" i="4" a="1"/>
  <c r="CJ9" i="4" a="1"/>
  <c r="J7" i="4" a="1"/>
  <c r="BH14" i="4" a="1"/>
  <c r="DN12" i="4" a="1"/>
  <c r="CF12" i="4" a="1"/>
  <c r="BP8" i="4" a="1"/>
  <c r="AD12" i="4" a="1"/>
  <c r="BQ8" i="4" a="1"/>
  <c r="DA14" i="4" a="1"/>
  <c r="AC6" i="4" a="1"/>
  <c r="DZ11" i="4" a="1"/>
  <c r="AT15" i="4" a="1"/>
  <c r="CG14" i="4" a="1"/>
  <c r="AW5" i="4" a="1"/>
  <c r="AH12" i="4" a="1"/>
  <c r="AX13" i="4" a="1"/>
  <c r="BZ13" i="4" a="1"/>
  <c r="DV6" i="4" a="1"/>
  <c r="CK13" i="4" a="1"/>
  <c r="I15" i="4" a="1"/>
  <c r="J12" i="4" a="1"/>
  <c r="Y7" i="4" a="1"/>
  <c r="CS6" i="4" a="1"/>
  <c r="AV12" i="4" a="1"/>
  <c r="BX6" i="4" a="1"/>
  <c r="H5" i="4" a="1"/>
  <c r="CC6" i="4" a="1"/>
  <c r="I9" i="4" a="1"/>
  <c r="EE13" i="4" a="1"/>
  <c r="EE8" i="4" a="1"/>
  <c r="AY13" i="4" a="1"/>
  <c r="S9" i="4" a="1"/>
  <c r="EC5" i="4" a="1"/>
  <c r="AG13" i="4" a="1"/>
  <c r="AW8" i="4" a="1"/>
  <c r="BC7" i="4" a="1"/>
  <c r="BN12" i="4" a="1"/>
  <c r="EC16" i="4" a="1"/>
  <c r="BX7" i="4" a="1"/>
  <c r="CX9" i="4" a="1"/>
  <c r="CR15" i="4" a="1"/>
  <c r="BN5" i="4" a="1"/>
  <c r="CV16" i="4" a="1"/>
  <c r="H9" i="4" a="1"/>
  <c r="L15" i="4" a="1"/>
  <c r="CO8" i="4" a="1"/>
  <c r="EB13" i="4" a="1"/>
  <c r="DE13" i="4" a="1"/>
  <c r="J6" i="4" a="1"/>
  <c r="AQ11" i="4" a="1"/>
  <c r="CZ14" i="4" a="1"/>
  <c r="H13" i="4" a="1"/>
  <c r="EK11" i="4" a="1"/>
  <c r="DH11" i="4" a="1"/>
  <c r="CK12" i="4" a="1"/>
  <c r="AL11" i="4" a="1"/>
  <c r="Q9" i="4" a="1"/>
  <c r="EH12" i="4" a="1"/>
  <c r="CR14" i="4" a="1"/>
  <c r="AQ6" i="4" a="1"/>
  <c r="CS9" i="4" a="1"/>
  <c r="BH7" i="4" a="1"/>
  <c r="CM15" i="4" a="1"/>
  <c r="BZ6" i="4" a="1"/>
  <c r="BL7" i="4" a="1"/>
  <c r="CX16" i="4" a="1"/>
  <c r="AA14" i="4" a="1"/>
  <c r="EK7" i="4" a="1"/>
  <c r="EG11" i="4" a="1"/>
  <c r="DC6" i="4" a="1"/>
  <c r="BL6" i="4" a="1"/>
  <c r="E64" i="3"/>
  <c r="E81" i="3"/>
  <c r="G72" i="3"/>
  <c r="F64" i="3"/>
  <c r="E73" i="3"/>
  <c r="G89" i="3"/>
  <c r="G73" i="3"/>
  <c r="G91" i="3"/>
  <c r="F63" i="3"/>
  <c r="G60" i="3"/>
  <c r="E63" i="3"/>
  <c r="F96" i="3"/>
  <c r="G84" i="3"/>
  <c r="G62" i="3"/>
  <c r="F79" i="3"/>
  <c r="E62" i="3"/>
  <c r="E75" i="3"/>
  <c r="E87" i="3"/>
  <c r="E89" i="3"/>
  <c r="G56" i="3"/>
  <c r="F55" i="3"/>
  <c r="E97" i="3"/>
  <c r="G96" i="3"/>
  <c r="E66" i="3"/>
  <c r="F83" i="3"/>
  <c r="E71" i="3"/>
  <c r="E58" i="3"/>
  <c r="E86" i="3"/>
  <c r="E92" i="3"/>
  <c r="E78" i="3"/>
  <c r="E95" i="3"/>
  <c r="E59" i="3"/>
  <c r="E88" i="3"/>
  <c r="E70" i="3"/>
  <c r="G93" i="3"/>
  <c r="E72" i="3"/>
  <c r="G59" i="3"/>
  <c r="E68" i="3"/>
  <c r="E94" i="3"/>
  <c r="F68" i="3"/>
  <c r="G55" i="3"/>
  <c r="E79" i="3"/>
  <c r="G81" i="3"/>
  <c r="E96" i="3"/>
  <c r="E77" i="3"/>
  <c r="E90" i="3"/>
  <c r="F47" i="3"/>
  <c r="E84" i="3"/>
  <c r="E82" i="3"/>
  <c r="E54" i="3"/>
  <c r="G65" i="3"/>
  <c r="E85" i="3"/>
  <c r="F71" i="3"/>
  <c r="E60" i="3"/>
  <c r="F78" i="3"/>
  <c r="G92" i="3"/>
  <c r="G80" i="3"/>
  <c r="E67" i="3"/>
  <c r="F91" i="3"/>
  <c r="E93" i="3"/>
  <c r="E55" i="3"/>
  <c r="E56" i="3"/>
  <c r="E65" i="3"/>
  <c r="E80" i="3"/>
  <c r="E83" i="3"/>
  <c r="E61" i="3"/>
  <c r="G71" i="3"/>
  <c r="E57" i="3"/>
  <c r="F69" i="3"/>
  <c r="G58" i="3"/>
  <c r="G78" i="3"/>
  <c r="E76" i="3"/>
  <c r="F82" i="3"/>
  <c r="G83" i="3"/>
  <c r="F92" i="3"/>
  <c r="G63" i="3"/>
  <c r="G77" i="3" l="1"/>
  <c r="G79" i="3"/>
  <c r="G94" i="3"/>
  <c r="G97" i="3"/>
  <c r="G61" i="3"/>
  <c r="F57" i="3"/>
  <c r="F90" i="3"/>
  <c r="G88" i="3"/>
  <c r="F93" i="3"/>
  <c r="F56" i="3"/>
  <c r="G90" i="3"/>
  <c r="F70" i="3"/>
  <c r="F75" i="3"/>
  <c r="F88" i="3"/>
  <c r="G95" i="3"/>
  <c r="G67" i="3"/>
  <c r="G82" i="3"/>
  <c r="G66" i="3"/>
  <c r="G85" i="3"/>
  <c r="F50" i="3"/>
  <c r="F97" i="3"/>
  <c r="G54" i="3"/>
  <c r="F59" i="3"/>
  <c r="F60" i="3"/>
  <c r="G69" i="3"/>
  <c r="F95" i="3"/>
  <c r="F94" i="3"/>
  <c r="G70" i="3"/>
  <c r="G64" i="3"/>
  <c r="F80" i="3"/>
  <c r="G57" i="3"/>
  <c r="F54" i="3"/>
  <c r="F87" i="3"/>
  <c r="F66" i="3"/>
  <c r="F85" i="3"/>
  <c r="F84" i="3"/>
  <c r="G75" i="3"/>
  <c r="F72" i="3"/>
  <c r="F49" i="3"/>
  <c r="G76" i="3"/>
  <c r="F65" i="3"/>
  <c r="G68" i="3"/>
  <c r="G87" i="3"/>
  <c r="G74" i="3"/>
  <c r="G86" i="3"/>
  <c r="F77" i="3"/>
  <c r="F62" i="3"/>
  <c r="F86" i="3"/>
  <c r="F74" i="3"/>
  <c r="F81" i="3"/>
  <c r="F89" i="3"/>
  <c r="F61" i="3"/>
  <c r="F76" i="3"/>
  <c r="F67" i="3"/>
  <c r="F58" i="3"/>
  <c r="F48" i="3"/>
  <c r="AD55" i="3"/>
  <c r="E69" i="3"/>
  <c r="AD77" i="3"/>
  <c r="AD90" i="3"/>
  <c r="E91" i="3"/>
  <c r="AD85" i="3"/>
  <c r="E74" i="3"/>
  <c r="AD70" i="3"/>
  <c r="AD54" i="3"/>
  <c r="AD81" i="3"/>
  <c r="AD82" i="3"/>
  <c r="AD75" i="3"/>
  <c r="AD94" i="3"/>
  <c r="AD72" i="3"/>
  <c r="AD93" i="3"/>
  <c r="AD60" i="3"/>
  <c r="AD65" i="3"/>
  <c r="AD95" i="3"/>
  <c r="AD91" i="3"/>
  <c r="AD71" i="3"/>
  <c r="AD86" i="3"/>
  <c r="AD89" i="3"/>
  <c r="AD97" i="3"/>
  <c r="AD68" i="3"/>
  <c r="AD62" i="3"/>
  <c r="AD59" i="3"/>
  <c r="AD64" i="3"/>
  <c r="AD96" i="3"/>
  <c r="AD92" i="3"/>
  <c r="AD61" i="3"/>
  <c r="AD57" i="3"/>
  <c r="AD79" i="3"/>
  <c r="AD67" i="3"/>
  <c r="AD84" i="3"/>
  <c r="AD69" i="3"/>
  <c r="AD88" i="3"/>
  <c r="AD80" i="3"/>
  <c r="AD78" i="3"/>
  <c r="AD83" i="3"/>
  <c r="AD63" i="3"/>
  <c r="AD58" i="3"/>
  <c r="AD74" i="3"/>
  <c r="AD87" i="3"/>
  <c r="AD56" i="3"/>
  <c r="AD73" i="3"/>
  <c r="AD66" i="3"/>
  <c r="AD76" i="3"/>
  <c r="F73" i="3"/>
  <c r="D73" i="3"/>
  <c r="D83" i="3"/>
  <c r="AJ160" i="1" s="1"/>
  <c r="D75" i="3"/>
  <c r="D89" i="3"/>
  <c r="AJ153" i="1" s="1"/>
  <c r="D71" i="3"/>
  <c r="D65" i="3"/>
  <c r="AJ150" i="1" s="1"/>
  <c r="AK150" i="1" s="1"/>
  <c r="D92" i="3"/>
  <c r="AJ155" i="1" s="1"/>
  <c r="AK155" i="1" s="1"/>
  <c r="D93" i="3"/>
  <c r="D77" i="3"/>
  <c r="AJ140" i="1" s="1"/>
  <c r="AK140" i="1" s="1"/>
  <c r="D82" i="3"/>
  <c r="AJ145" i="1" s="1"/>
  <c r="D64" i="3"/>
  <c r="AJ149" i="1" s="1"/>
  <c r="AK149" i="1" s="1"/>
  <c r="D59" i="3"/>
  <c r="D57" i="3"/>
  <c r="AJ118" i="1" s="1"/>
  <c r="AK118" i="1" s="1"/>
  <c r="D74" i="3"/>
  <c r="AJ137" i="1" s="1"/>
  <c r="AK137" i="1" s="1"/>
  <c r="D88" i="3"/>
  <c r="AJ127" i="1" s="1"/>
  <c r="AK127" i="1" s="1"/>
  <c r="D94" i="3"/>
  <c r="D56" i="3"/>
  <c r="AJ117" i="1" s="1"/>
  <c r="AK117" i="1" s="1"/>
  <c r="D81" i="3"/>
  <c r="AJ144" i="1" s="1"/>
  <c r="D60" i="3"/>
  <c r="AJ122" i="1" s="1"/>
  <c r="AK122" i="1" s="1"/>
  <c r="D68" i="3"/>
  <c r="AJ131" i="1" s="1"/>
  <c r="D66" i="3"/>
  <c r="AJ151" i="1" s="1"/>
  <c r="AK151" i="1" s="1"/>
  <c r="D91" i="3"/>
  <c r="AJ154" i="1" s="1"/>
  <c r="AK154" i="1" s="1"/>
  <c r="D54" i="3"/>
  <c r="D79" i="3"/>
  <c r="AJ143" i="1" s="1"/>
  <c r="AK143" i="1" s="1"/>
  <c r="D96" i="3"/>
  <c r="AJ163" i="1" s="1"/>
  <c r="AK163" i="1" s="1"/>
  <c r="D69" i="3"/>
  <c r="AJ132" i="1" s="1"/>
  <c r="D95" i="3"/>
  <c r="AJ164" i="1" s="1"/>
  <c r="AK164" i="1" s="1"/>
  <c r="D84" i="3"/>
  <c r="AJ146" i="1" s="1"/>
  <c r="AK146" i="1" s="1"/>
  <c r="D78" i="3"/>
  <c r="AJ142" i="1" s="1"/>
  <c r="AK142" i="1" s="1"/>
  <c r="D90" i="3"/>
  <c r="AJ126" i="1" s="1"/>
  <c r="AK126" i="1" s="1"/>
  <c r="D61" i="3"/>
  <c r="D80" i="3"/>
  <c r="AJ159" i="1" s="1"/>
  <c r="D72" i="3"/>
  <c r="AJ135" i="1" s="1"/>
  <c r="AK135" i="1" s="1"/>
  <c r="D67" i="3"/>
  <c r="D86" i="3"/>
  <c r="D76" i="3"/>
  <c r="D85" i="3"/>
  <c r="AJ147" i="1" s="1"/>
  <c r="AK147" i="1" s="1"/>
  <c r="D63" i="3"/>
  <c r="AJ125" i="1" s="1"/>
  <c r="AK125" i="1" s="1"/>
  <c r="D62" i="3"/>
  <c r="AJ124" i="1" s="1"/>
  <c r="AK124" i="1" s="1"/>
  <c r="D58" i="3"/>
  <c r="AJ119" i="1" s="1"/>
  <c r="D87" i="3"/>
  <c r="AJ152" i="1" s="1"/>
  <c r="AK152" i="1" s="1"/>
  <c r="D97" i="3"/>
  <c r="D70" i="3"/>
  <c r="AJ133" i="1" s="1"/>
  <c r="D55" i="3"/>
  <c r="IV16" i="4" s="1"/>
  <c r="IV9" i="4" s="1"/>
  <c r="IV21" i="4" s="1"/>
  <c r="BP77" i="1" s="1"/>
  <c r="HQ9" i="4" s="1"/>
  <c r="J23" i="1"/>
  <c r="JF9" i="4" s="1"/>
  <c r="IA16" i="4" s="1"/>
  <c r="IK16" i="4" s="1"/>
  <c r="IU9" i="4" s="1"/>
  <c r="IL9" i="4" s="1"/>
  <c r="AL32" i="1"/>
  <c r="AL194" i="1" s="1"/>
  <c r="II16" i="4" s="1"/>
  <c r="IQ9" i="4" s="1"/>
  <c r="JA9" i="4" s="1"/>
  <c r="IZ9" i="4" s="1"/>
  <c r="HR16" i="4" s="1"/>
  <c r="IY16" i="4" s="1"/>
  <c r="IW9" i="4" s="1"/>
  <c r="IG9" i="4" s="1"/>
  <c r="IQ16" i="4" s="1"/>
  <c r="JG16" i="4" s="1"/>
  <c r="HY9" i="4" s="1"/>
  <c r="BJ20" i="1"/>
  <c r="I21" i="1"/>
  <c r="HZ9" i="4" s="1"/>
  <c r="IX16" i="4" s="1"/>
  <c r="IG16" i="4" s="1"/>
  <c r="IG21" i="4" s="1"/>
  <c r="BA77" i="1" s="1"/>
  <c r="HV16" i="4" s="1"/>
  <c r="IS16" i="4" s="1"/>
  <c r="JA16" i="4" s="1"/>
  <c r="JA21" i="4" s="1"/>
  <c r="BU77" i="1" s="1"/>
  <c r="BX15" i="1"/>
  <c r="S8" i="1"/>
  <c r="S231" i="1" s="1"/>
  <c r="HW16" i="4" s="1"/>
  <c r="IK9" i="4" s="1"/>
  <c r="B35" i="1"/>
  <c r="IA9" i="4" s="1"/>
  <c r="IM16" i="4" s="1"/>
  <c r="HV9" i="4" s="1"/>
  <c r="AK14" i="1"/>
  <c r="W32" i="1"/>
  <c r="IO9" i="4" s="1"/>
  <c r="JH9" i="4" s="1"/>
  <c r="II9" i="4" s="1"/>
  <c r="IZ16" i="4" s="1"/>
  <c r="IT9" i="4" s="1"/>
  <c r="N13" i="1"/>
  <c r="IT16" i="4" s="1"/>
  <c r="HZ14" i="4" s="1"/>
  <c r="JD9" i="4" s="1"/>
  <c r="JI9" i="4" s="1"/>
  <c r="HT9" i="4" s="1"/>
  <c r="IH9" i="4" s="1"/>
  <c r="IL16" i="4" s="1"/>
  <c r="IN9" i="4" s="1"/>
  <c r="JE16" i="4" s="1"/>
  <c r="I36" i="1"/>
  <c r="JF16" i="4" s="1"/>
  <c r="JF21" i="4" s="1"/>
  <c r="BZ77" i="1" s="1"/>
  <c r="BZ94" i="1" s="1"/>
  <c r="IH16" i="4" s="1"/>
  <c r="IH21" i="4" s="1"/>
  <c r="BB77" i="1" s="1"/>
  <c r="IF16" i="4" s="1"/>
  <c r="AJ20" i="1"/>
  <c r="S39" i="1"/>
  <c r="IM9" i="4" s="1"/>
  <c r="HU8" i="4" s="1"/>
  <c r="HP9" i="4" s="1"/>
  <c r="IB16" i="4" s="1"/>
  <c r="AL45" i="1"/>
  <c r="K15" i="1"/>
  <c r="IY9" i="4" s="1"/>
  <c r="JC14" i="4" s="1"/>
  <c r="HY15" i="4" s="1"/>
  <c r="HS9" i="4" s="1"/>
  <c r="JG7" i="4" s="1"/>
  <c r="IP15" i="4" s="1"/>
  <c r="IW8" i="4" s="1"/>
  <c r="HX16" i="4" s="1"/>
  <c r="IP8" i="4" s="1"/>
  <c r="ID9" i="4" s="1"/>
  <c r="HT16" i="4" s="1"/>
  <c r="BX13" i="1"/>
  <c r="AM14" i="1"/>
  <c r="AM22" i="1"/>
  <c r="BX24" i="1"/>
  <c r="AL36" i="1"/>
  <c r="Q9" i="1"/>
  <c r="K45" i="1"/>
  <c r="BX46" i="1"/>
  <c r="AJ36" i="1"/>
  <c r="AJ15" i="1"/>
  <c r="AK25" i="1"/>
  <c r="BJ21" i="1"/>
  <c r="C20" i="1"/>
  <c r="E45" i="1"/>
  <c r="I23" i="1"/>
  <c r="R36" i="1"/>
  <c r="IN14" i="4" s="1"/>
  <c r="IF14" i="4" s="1"/>
  <c r="IE16" i="4" s="1"/>
  <c r="IA15" i="4" s="1"/>
  <c r="HU14" i="4" s="1"/>
  <c r="HS7" i="4" s="1"/>
  <c r="IU14" i="4" s="1"/>
  <c r="BX20" i="1"/>
  <c r="BX35" i="1"/>
  <c r="AK24" i="1"/>
  <c r="AL20" i="1"/>
  <c r="AM35" i="1"/>
  <c r="AJ13" i="1"/>
  <c r="AL51" i="1"/>
  <c r="I35" i="1"/>
  <c r="E51" i="1"/>
  <c r="L25" i="1"/>
  <c r="IE9" i="4" s="1"/>
  <c r="HP16" i="4" s="1"/>
  <c r="AL22" i="1"/>
  <c r="AL15" i="1"/>
  <c r="AL8" i="1"/>
  <c r="AJ47" i="1"/>
  <c r="J32" i="1"/>
  <c r="J194" i="1" s="1"/>
  <c r="Q22" i="1"/>
  <c r="B25" i="1"/>
  <c r="O8" i="1"/>
  <c r="J35" i="1"/>
  <c r="HS16" i="4" s="1"/>
  <c r="HY14" i="4" s="1"/>
  <c r="IU16" i="4" s="1"/>
  <c r="IU21" i="4" s="1"/>
  <c r="BO77" i="1" s="1"/>
  <c r="IN16" i="4" s="1"/>
  <c r="AL24" i="1"/>
  <c r="BX8" i="1"/>
  <c r="CA98" i="1" s="1"/>
  <c r="CA99" i="1" s="1"/>
  <c r="AM23" i="1"/>
  <c r="AL14" i="1"/>
  <c r="AL9" i="1"/>
  <c r="C13" i="1"/>
  <c r="V23" i="1"/>
  <c r="T15" i="1"/>
  <c r="JI16" i="4" s="1"/>
  <c r="JE14" i="4" s="1"/>
  <c r="IC9" i="4" s="1"/>
  <c r="JB8" i="4" s="1"/>
  <c r="IC8" i="4" s="1"/>
  <c r="HT8" i="4" s="1"/>
  <c r="JF15" i="4" s="1"/>
  <c r="AK20" i="1"/>
  <c r="AM24" i="1"/>
  <c r="BJ24" i="1"/>
  <c r="D122" i="1"/>
  <c r="J20" i="1"/>
  <c r="T46" i="1"/>
  <c r="M8" i="1"/>
  <c r="M231" i="1" s="1"/>
  <c r="F46" i="1"/>
  <c r="IX15" i="4" s="1"/>
  <c r="JD14" i="4" s="1"/>
  <c r="JC16" i="4" s="1"/>
  <c r="JF7" i="4" s="1"/>
  <c r="HZ16" i="4" s="1"/>
  <c r="HQ16" i="4" s="1"/>
  <c r="IU15" i="4" s="1"/>
  <c r="JB9" i="4" s="1"/>
  <c r="IW15" i="4" s="1"/>
  <c r="JD16" i="4" s="1"/>
  <c r="AJ32" i="1"/>
  <c r="AJ9" i="1"/>
  <c r="BX23" i="1"/>
  <c r="AJ14" i="1"/>
  <c r="U23" i="1"/>
  <c r="IF9" i="4" s="1"/>
  <c r="HP8" i="4" s="1"/>
  <c r="IF15" i="4" s="1"/>
  <c r="HY16" i="4" s="1"/>
  <c r="HY21" i="4" s="1"/>
  <c r="AS77" i="1" s="1"/>
  <c r="IY8" i="4" s="1"/>
  <c r="IZ7" i="4" s="1"/>
  <c r="II15" i="4" s="1"/>
  <c r="HU9" i="4" s="1"/>
  <c r="BJ23" i="1"/>
  <c r="AM15" i="1"/>
  <c r="BX144" i="1"/>
  <c r="S20" i="1"/>
  <c r="AM13" i="1"/>
  <c r="AM8" i="1"/>
  <c r="AK22" i="1"/>
  <c r="BX154" i="1"/>
  <c r="BY154" i="1" s="1"/>
  <c r="BX73" i="1"/>
  <c r="G8" i="1"/>
  <c r="G231" i="1" s="1"/>
  <c r="IB9" i="4" s="1"/>
  <c r="IB21" i="4" s="1"/>
  <c r="AV77" i="1" s="1"/>
  <c r="IW16" i="4" s="1"/>
  <c r="JE9" i="4" s="1"/>
  <c r="JG9" i="4" s="1"/>
  <c r="JC9" i="4" s="1"/>
  <c r="HX7" i="4" s="1"/>
  <c r="IC16" i="4" s="1"/>
  <c r="IC21" i="4" s="1"/>
  <c r="AW77" i="1" s="1"/>
  <c r="HR15" i="4" s="1"/>
  <c r="IJ9" i="4" s="1"/>
  <c r="IR9" i="4" s="1"/>
  <c r="IX9" i="4" s="1"/>
  <c r="IV15" i="4" s="1"/>
  <c r="IS14" i="4" s="1"/>
  <c r="HU16" i="4" s="1"/>
  <c r="HU21" i="4" s="1"/>
  <c r="AO77" i="1" s="1"/>
  <c r="IK7" i="4" s="1"/>
  <c r="IP16" i="4" s="1"/>
  <c r="AM9" i="1"/>
  <c r="AM25" i="1"/>
  <c r="BJ25" i="1"/>
  <c r="M9" i="1"/>
  <c r="P39" i="1"/>
  <c r="JB16" i="4" s="1"/>
  <c r="AL46" i="1"/>
  <c r="AL47" i="1"/>
  <c r="AJ46" i="1"/>
  <c r="BX32" i="1"/>
  <c r="BX194" i="1" s="1"/>
  <c r="AK39" i="1"/>
  <c r="AJ8" i="1"/>
  <c r="AJ231" i="1" s="1"/>
  <c r="AK51" i="1"/>
  <c r="AJ24" i="1"/>
  <c r="AK9" i="1"/>
  <c r="AK47" i="1"/>
  <c r="AK36" i="1"/>
  <c r="B39" i="1"/>
  <c r="W47" i="1"/>
  <c r="BX164" i="1"/>
  <c r="BY164" i="1" s="1"/>
  <c r="S13" i="1"/>
  <c r="O36" i="1"/>
  <c r="B20" i="1"/>
  <c r="D35" i="1"/>
  <c r="K8" i="1"/>
  <c r="K231" i="1" s="1"/>
  <c r="F13" i="1"/>
  <c r="O45" i="1"/>
  <c r="G13" i="1"/>
  <c r="E22" i="1"/>
  <c r="C46" i="1"/>
  <c r="G32" i="1"/>
  <c r="G194" i="1" s="1"/>
  <c r="F36" i="1"/>
  <c r="T24" i="1"/>
  <c r="W132" i="1"/>
  <c r="R23" i="1"/>
  <c r="I9" i="1"/>
  <c r="M20" i="1"/>
  <c r="M51" i="1"/>
  <c r="V15" i="1"/>
  <c r="H22" i="1"/>
  <c r="J21" i="1"/>
  <c r="O35" i="1"/>
  <c r="T13" i="1"/>
  <c r="T36" i="1"/>
  <c r="S15" i="1"/>
  <c r="E8" i="1"/>
  <c r="E231" i="1" s="1"/>
  <c r="Q46" i="1"/>
  <c r="J46" i="1"/>
  <c r="P127" i="1"/>
  <c r="C45" i="1"/>
  <c r="M13" i="1"/>
  <c r="F21" i="1"/>
  <c r="C22" i="1"/>
  <c r="W22" i="1"/>
  <c r="S51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IJ16" i="4" s="1"/>
  <c r="IT14" i="4" s="1"/>
  <c r="IT8" i="4" s="1"/>
  <c r="IB7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E35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D46" i="1"/>
  <c r="W9" i="1"/>
  <c r="W10" i="1" s="1"/>
  <c r="W11" i="1" s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R8" i="4" s="1"/>
  <c r="JG15" i="4" s="1"/>
  <c r="IN7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31" i="1" s="1"/>
  <c r="Q25" i="1"/>
  <c r="J15" i="1"/>
  <c r="E32" i="1"/>
  <c r="E194" i="1" s="1"/>
  <c r="O32" i="1"/>
  <c r="O194" i="1" s="1"/>
  <c r="U9" i="1"/>
  <c r="U10" i="1" s="1"/>
  <c r="U98" i="1" s="1"/>
  <c r="G47" i="1"/>
  <c r="W20" i="1"/>
  <c r="R32" i="1"/>
  <c r="R194" i="1" s="1"/>
  <c r="I25" i="1"/>
  <c r="H32" i="1"/>
  <c r="H194" i="1" s="1"/>
  <c r="W46" i="1"/>
  <c r="IO16" i="4" s="1"/>
  <c r="IG8" i="4" s="1"/>
  <c r="IV14" i="4" s="1"/>
  <c r="IY14" i="4" s="1"/>
  <c r="JH16" i="4" s="1"/>
  <c r="BJ8" i="1"/>
  <c r="BJ231" i="1" s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L194" i="1" s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145" i="1"/>
  <c r="AL142" i="1"/>
  <c r="AM142" i="1" s="1"/>
  <c r="AL131" i="1"/>
  <c r="AL125" i="1"/>
  <c r="AM125" i="1" s="1"/>
  <c r="AL149" i="1"/>
  <c r="AM149" i="1" s="1"/>
  <c r="AL163" i="1"/>
  <c r="AM163" i="1" s="1"/>
  <c r="AL154" i="1"/>
  <c r="AM154" i="1" s="1"/>
  <c r="AL132" i="1"/>
  <c r="AL160" i="1"/>
  <c r="IB15" i="4"/>
  <c r="HX14" i="4"/>
  <c r="IL14" i="4"/>
  <c r="II14" i="4"/>
  <c r="IJ14" i="4"/>
  <c r="C231" i="1"/>
  <c r="HW7" i="4"/>
  <c r="JH8" i="4"/>
  <c r="IC7" i="4"/>
  <c r="HW14" i="4"/>
  <c r="JF8" i="4"/>
  <c r="HR14" i="4"/>
  <c r="IR8" i="4"/>
  <c r="CP77" i="1"/>
  <c r="CN63" i="1"/>
  <c r="CM65" i="1"/>
  <c r="BX183" i="1" l="1"/>
  <c r="BY183" i="1" s="1"/>
  <c r="B252" i="1"/>
  <c r="C26" i="1"/>
  <c r="AL74" i="1"/>
  <c r="AL150" i="1"/>
  <c r="AM150" i="1" s="1"/>
  <c r="AL164" i="1"/>
  <c r="AM164" i="1" s="1"/>
  <c r="AL119" i="1"/>
  <c r="AL135" i="1"/>
  <c r="AM135" i="1" s="1"/>
  <c r="AL133" i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L117" i="1"/>
  <c r="AM117" i="1" s="1"/>
  <c r="AL126" i="1"/>
  <c r="AM126" i="1" s="1"/>
  <c r="AL118" i="1"/>
  <c r="AM118" i="1" s="1"/>
  <c r="AL124" i="1"/>
  <c r="AM124" i="1" s="1"/>
  <c r="AL127" i="1"/>
  <c r="AM127" i="1" s="1"/>
  <c r="AL73" i="1"/>
  <c r="AL147" i="1"/>
  <c r="AM147" i="1" s="1"/>
  <c r="AL140" i="1"/>
  <c r="AM140" i="1" s="1"/>
  <c r="AM202" i="1" s="1"/>
  <c r="AL137" i="1"/>
  <c r="AM137" i="1" s="1"/>
  <c r="AL143" i="1"/>
  <c r="BJ163" i="1"/>
  <c r="BK163" i="1" s="1"/>
  <c r="BJ154" i="1"/>
  <c r="BK154" i="1" s="1"/>
  <c r="BJ144" i="1"/>
  <c r="BJ127" i="1"/>
  <c r="BK127" i="1" s="1"/>
  <c r="BJ159" i="1"/>
  <c r="BJ160" i="1"/>
  <c r="BJ147" i="1"/>
  <c r="BK147" i="1" s="1"/>
  <c r="BJ149" i="1"/>
  <c r="BJ155" i="1"/>
  <c r="BK155" i="1" s="1"/>
  <c r="BJ124" i="1"/>
  <c r="BK124" i="1" s="1"/>
  <c r="BJ131" i="1"/>
  <c r="BJ145" i="1"/>
  <c r="BJ164" i="1"/>
  <c r="BJ119" i="1"/>
  <c r="BJ126" i="1"/>
  <c r="BK126" i="1" s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BJ146" i="1"/>
  <c r="BK146" i="1" s="1"/>
  <c r="BJ118" i="1"/>
  <c r="BK118" i="1" s="1"/>
  <c r="BJ153" i="1"/>
  <c r="BJ150" i="1"/>
  <c r="BK150" i="1" s="1"/>
  <c r="BJ133" i="1"/>
  <c r="BJ151" i="1"/>
  <c r="BK151" i="1" s="1"/>
  <c r="BJ122" i="1"/>
  <c r="BK122" i="1" s="1"/>
  <c r="BJ117" i="1"/>
  <c r="BJ137" i="1"/>
  <c r="BK137" i="1" s="1"/>
  <c r="BJ143" i="1"/>
  <c r="AK10" i="1"/>
  <c r="U253" i="1"/>
  <c r="U194" i="1"/>
  <c r="AJ37" i="1"/>
  <c r="HP21" i="4"/>
  <c r="AJ77" i="1" s="1"/>
  <c r="IA7" i="4" s="1"/>
  <c r="HW8" i="4" s="1"/>
  <c r="JD8" i="4" s="1"/>
  <c r="IY7" i="4" s="1"/>
  <c r="HZ8" i="4" s="1"/>
  <c r="HU15" i="4" s="1"/>
  <c r="IP9" i="4" s="1"/>
  <c r="IN21" i="4"/>
  <c r="BH77" i="1" s="1"/>
  <c r="IR15" i="4" s="1"/>
  <c r="HZ7" i="4" s="1"/>
  <c r="HS8" i="4" s="1"/>
  <c r="IH14" i="4" s="1"/>
  <c r="JH14" i="4" s="1"/>
  <c r="HW9" i="4" s="1"/>
  <c r="HW21" i="4" s="1"/>
  <c r="AQ77" i="1" s="1"/>
  <c r="IR16" i="4" s="1"/>
  <c r="IX8" i="4" s="1"/>
  <c r="JC15" i="4" s="1"/>
  <c r="HP15" i="4" s="1"/>
  <c r="II7" i="4" s="1"/>
  <c r="ID16" i="4" s="1"/>
  <c r="HV15" i="4" s="1"/>
  <c r="JB21" i="4"/>
  <c r="BV77" i="1" s="1"/>
  <c r="IC15" i="4" s="1"/>
  <c r="IS9" i="4" s="1"/>
  <c r="IS21" i="4" s="1"/>
  <c r="BM77" i="1" s="1"/>
  <c r="JA15" i="4" s="1"/>
  <c r="HR9" i="4" s="1"/>
  <c r="HR21" i="4" s="1"/>
  <c r="AL77" i="1" s="1"/>
  <c r="IK8" i="4" s="1"/>
  <c r="F252" i="1"/>
  <c r="F26" i="1"/>
  <c r="H10" i="1"/>
  <c r="H16" i="1" s="1"/>
  <c r="H17" i="1" s="1"/>
  <c r="BX161" i="1"/>
  <c r="BY209" i="1" s="1"/>
  <c r="J26" i="1"/>
  <c r="JH21" i="4"/>
  <c r="CB77" i="1" s="1"/>
  <c r="HX9" i="4" s="1"/>
  <c r="IY21" i="4"/>
  <c r="BS77" i="1" s="1"/>
  <c r="JG21" i="4"/>
  <c r="CA77" i="1" s="1"/>
  <c r="IO21" i="4"/>
  <c r="BI77" i="1" s="1"/>
  <c r="V194" i="1"/>
  <c r="V253" i="1"/>
  <c r="IT21" i="4"/>
  <c r="BN77" i="1" s="1"/>
  <c r="IK21" i="4"/>
  <c r="BE77" i="1" s="1"/>
  <c r="C253" i="1"/>
  <c r="W253" i="1"/>
  <c r="W194" i="1"/>
  <c r="JC21" i="4"/>
  <c r="BW77" i="1" s="1"/>
  <c r="HZ21" i="4"/>
  <c r="AT77" i="1" s="1"/>
  <c r="JA8" i="4"/>
  <c r="JD21" i="4"/>
  <c r="BX77" i="1" s="1"/>
  <c r="JI8" i="4"/>
  <c r="IA14" i="4"/>
  <c r="IA19" i="4" s="1"/>
  <c r="AU78" i="1" s="1"/>
  <c r="AU107" i="1" s="1"/>
  <c r="IM8" i="4"/>
  <c r="IU8" i="4"/>
  <c r="IU20" i="4" s="1"/>
  <c r="BO79" i="1" s="1"/>
  <c r="BO108" i="1" s="1"/>
  <c r="IP7" i="4"/>
  <c r="IO14" i="4"/>
  <c r="HS15" i="4"/>
  <c r="HS20" i="4" s="1"/>
  <c r="AM79" i="1" s="1"/>
  <c r="JC7" i="4"/>
  <c r="O252" i="1"/>
  <c r="IQ15" i="4"/>
  <c r="IN8" i="4"/>
  <c r="HX21" i="4"/>
  <c r="AR77" i="1" s="1"/>
  <c r="AJ26" i="1"/>
  <c r="BX26" i="1"/>
  <c r="K252" i="1"/>
  <c r="IE8" i="4"/>
  <c r="O231" i="1"/>
  <c r="O10" i="1"/>
  <c r="O253" i="1"/>
  <c r="AJ194" i="1"/>
  <c r="AJ33" i="1"/>
  <c r="AM231" i="1"/>
  <c r="AM10" i="1"/>
  <c r="F194" i="1"/>
  <c r="F253" i="1"/>
  <c r="P231" i="1"/>
  <c r="P10" i="1"/>
  <c r="B231" i="1"/>
  <c r="B10" i="1"/>
  <c r="B16" i="1" s="1"/>
  <c r="B17" i="1" s="1"/>
  <c r="T194" i="1"/>
  <c r="T253" i="1"/>
  <c r="F231" i="1"/>
  <c r="F10" i="1"/>
  <c r="IF8" i="4"/>
  <c r="IF20" i="4" s="1"/>
  <c r="AZ79" i="1" s="1"/>
  <c r="AZ108" i="1" s="1"/>
  <c r="K26" i="1"/>
  <c r="H252" i="1"/>
  <c r="C10" i="1"/>
  <c r="V26" i="1"/>
  <c r="V27" i="1" s="1"/>
  <c r="BX252" i="1"/>
  <c r="BX134" i="1"/>
  <c r="D26" i="1"/>
  <c r="BY120" i="1"/>
  <c r="D252" i="1"/>
  <c r="IH7" i="4"/>
  <c r="IW14" i="4"/>
  <c r="HQ21" i="4"/>
  <c r="AK77" i="1" s="1"/>
  <c r="IQ14" i="4"/>
  <c r="HR7" i="4"/>
  <c r="HR19" i="4" s="1"/>
  <c r="AL78" i="1" s="1"/>
  <c r="IL21" i="4"/>
  <c r="BF77" i="1" s="1"/>
  <c r="IH8" i="4"/>
  <c r="IQ21" i="4"/>
  <c r="BK77" i="1" s="1"/>
  <c r="HP7" i="4"/>
  <c r="JE8" i="4"/>
  <c r="HU7" i="4"/>
  <c r="HU19" i="4" s="1"/>
  <c r="AO78" i="1" s="1"/>
  <c r="AO107" i="1" s="1"/>
  <c r="IX21" i="4"/>
  <c r="BR77" i="1" s="1"/>
  <c r="HQ8" i="4"/>
  <c r="IG14" i="4"/>
  <c r="IJ15" i="4"/>
  <c r="IH15" i="4"/>
  <c r="IH20" i="4" s="1"/>
  <c r="BB79" i="1" s="1"/>
  <c r="BB108" i="1" s="1"/>
  <c r="IM21" i="4"/>
  <c r="BG77" i="1" s="1"/>
  <c r="JH15" i="4"/>
  <c r="JH20" i="4" s="1"/>
  <c r="CB79" i="1" s="1"/>
  <c r="JG8" i="4"/>
  <c r="JD7" i="4"/>
  <c r="JD19" i="4" s="1"/>
  <c r="BX78" i="1" s="1"/>
  <c r="T26" i="1"/>
  <c r="AL26" i="1"/>
  <c r="II21" i="4"/>
  <c r="BC77" i="1" s="1"/>
  <c r="IO15" i="4"/>
  <c r="IM14" i="4"/>
  <c r="IW7" i="4"/>
  <c r="IO7" i="4"/>
  <c r="JI21" i="4"/>
  <c r="CC77" i="1" s="1"/>
  <c r="IS7" i="4"/>
  <c r="IS19" i="4" s="1"/>
  <c r="BM78" i="1" s="1"/>
  <c r="BM107" i="1" s="1"/>
  <c r="JH7" i="4"/>
  <c r="JE21" i="4"/>
  <c r="BY77" i="1" s="1"/>
  <c r="JG14" i="4"/>
  <c r="JG19" i="4" s="1"/>
  <c r="CA78" i="1" s="1"/>
  <c r="HQ14" i="4"/>
  <c r="IM15" i="4"/>
  <c r="IM20" i="4" s="1"/>
  <c r="BG79" i="1" s="1"/>
  <c r="BG108" i="1" s="1"/>
  <c r="IO8" i="4"/>
  <c r="IU7" i="4"/>
  <c r="IU19" i="4" s="1"/>
  <c r="BO78" i="1" s="1"/>
  <c r="BO107" i="1" s="1"/>
  <c r="IJ8" i="4"/>
  <c r="IQ8" i="4"/>
  <c r="IQ20" i="4" s="1"/>
  <c r="BK79" i="1" s="1"/>
  <c r="BK108" i="1" s="1"/>
  <c r="AK26" i="1"/>
  <c r="T252" i="1"/>
  <c r="BY128" i="1"/>
  <c r="ID21" i="4"/>
  <c r="AX77" i="1" s="1"/>
  <c r="JB14" i="4"/>
  <c r="JI14" i="4"/>
  <c r="JI19" i="4" s="1"/>
  <c r="CC78" i="1" s="1"/>
  <c r="HW15" i="4"/>
  <c r="JI7" i="4"/>
  <c r="IK14" i="4"/>
  <c r="IK19" i="4" s="1"/>
  <c r="BE78" i="1" s="1"/>
  <c r="BE107" i="1" s="1"/>
  <c r="HQ7" i="4"/>
  <c r="IP21" i="4"/>
  <c r="BJ77" i="1" s="1"/>
  <c r="AL10" i="1"/>
  <c r="IB8" i="4"/>
  <c r="IB20" i="4" s="1"/>
  <c r="AV79" i="1" s="1"/>
  <c r="AV108" i="1" s="1"/>
  <c r="IR7" i="4"/>
  <c r="IR21" i="4"/>
  <c r="BL77" i="1" s="1"/>
  <c r="BL94" i="1" s="1"/>
  <c r="IA8" i="4"/>
  <c r="IA20" i="4" s="1"/>
  <c r="AU79" i="1" s="1"/>
  <c r="AU108" i="1" s="1"/>
  <c r="JE7" i="4"/>
  <c r="HV8" i="4"/>
  <c r="IS15" i="4"/>
  <c r="HS14" i="4"/>
  <c r="HS19" i="4" s="1"/>
  <c r="AM78" i="1" s="1"/>
  <c r="HX15" i="4"/>
  <c r="IY15" i="4"/>
  <c r="IY20" i="4" s="1"/>
  <c r="BS79" i="1" s="1"/>
  <c r="BS108" i="1" s="1"/>
  <c r="HP14" i="4"/>
  <c r="HP19" i="4" s="1"/>
  <c r="AJ78" i="1" s="1"/>
  <c r="IC14" i="4"/>
  <c r="IC19" i="4" s="1"/>
  <c r="AW78" i="1" s="1"/>
  <c r="AW107" i="1" s="1"/>
  <c r="IL15" i="4"/>
  <c r="HZ15" i="4"/>
  <c r="HZ20" i="4" s="1"/>
  <c r="AT79" i="1" s="1"/>
  <c r="AT108" i="1" s="1"/>
  <c r="JE15" i="4"/>
  <c r="JE20" i="4" s="1"/>
  <c r="BY79" i="1" s="1"/>
  <c r="BY108" i="1" s="1"/>
  <c r="S26" i="1"/>
  <c r="HY7" i="4"/>
  <c r="HY19" i="4" s="1"/>
  <c r="AS78" i="1" s="1"/>
  <c r="AS107" i="1" s="1"/>
  <c r="JF14" i="4"/>
  <c r="JF19" i="4" s="1"/>
  <c r="BZ78" i="1" s="1"/>
  <c r="IZ15" i="4"/>
  <c r="M10" i="1"/>
  <c r="M98" i="1" s="1"/>
  <c r="G26" i="1"/>
  <c r="C252" i="1"/>
  <c r="IJ21" i="4"/>
  <c r="BD77" i="1" s="1"/>
  <c r="IF7" i="4"/>
  <c r="IF19" i="4" s="1"/>
  <c r="AZ78" i="1" s="1"/>
  <c r="AZ107" i="1" s="1"/>
  <c r="IV7" i="4"/>
  <c r="IV19" i="4" s="1"/>
  <c r="BP78" i="1" s="1"/>
  <c r="BP107" i="1" s="1"/>
  <c r="N26" i="1"/>
  <c r="BX180" i="1"/>
  <c r="BY180" i="1" s="1"/>
  <c r="H26" i="1"/>
  <c r="P252" i="1"/>
  <c r="B253" i="1"/>
  <c r="IZ8" i="4"/>
  <c r="IM7" i="4"/>
  <c r="IM19" i="4" s="1"/>
  <c r="BG78" i="1" s="1"/>
  <c r="BG107" i="1" s="1"/>
  <c r="AM252" i="1"/>
  <c r="R26" i="1"/>
  <c r="M252" i="1"/>
  <c r="G253" i="1"/>
  <c r="AJ179" i="1"/>
  <c r="P26" i="1"/>
  <c r="IS8" i="4"/>
  <c r="G10" i="1"/>
  <c r="E26" i="1"/>
  <c r="P183" i="1"/>
  <c r="M26" i="1"/>
  <c r="HX8" i="4"/>
  <c r="IT7" i="4"/>
  <c r="IT19" i="4" s="1"/>
  <c r="BN78" i="1" s="1"/>
  <c r="BN107" i="1" s="1"/>
  <c r="JA14" i="4"/>
  <c r="IE15" i="4"/>
  <c r="IE7" i="4"/>
  <c r="IL8" i="4"/>
  <c r="IE21" i="4"/>
  <c r="AY77" i="1" s="1"/>
  <c r="IJ7" i="4"/>
  <c r="IJ19" i="4" s="1"/>
  <c r="BD78" i="1" s="1"/>
  <c r="BD107" i="1" s="1"/>
  <c r="HT15" i="4"/>
  <c r="HT20" i="4" s="1"/>
  <c r="AN79" i="1" s="1"/>
  <c r="AN108" i="1" s="1"/>
  <c r="R252" i="1"/>
  <c r="HS21" i="4"/>
  <c r="AM77" i="1" s="1"/>
  <c r="HQ15" i="4"/>
  <c r="HV14" i="4"/>
  <c r="ID7" i="4"/>
  <c r="IX14" i="4"/>
  <c r="IX19" i="4" s="1"/>
  <c r="BR78" i="1" s="1"/>
  <c r="BR107" i="1" s="1"/>
  <c r="IN15" i="4"/>
  <c r="IP14" i="4"/>
  <c r="IT15" i="4"/>
  <c r="IT20" i="4" s="1"/>
  <c r="BN79" i="1" s="1"/>
  <c r="BN108" i="1" s="1"/>
  <c r="IZ14" i="4"/>
  <c r="IZ19" i="4" s="1"/>
  <c r="BT78" i="1" s="1"/>
  <c r="BT107" i="1" s="1"/>
  <c r="HY8" i="4"/>
  <c r="HY20" i="4" s="1"/>
  <c r="AS79" i="1" s="1"/>
  <c r="AS108" i="1" s="1"/>
  <c r="HV21" i="4"/>
  <c r="AP77" i="1" s="1"/>
  <c r="IW21" i="4"/>
  <c r="BQ77" i="1" s="1"/>
  <c r="ID8" i="4"/>
  <c r="IR14" i="4"/>
  <c r="JD15" i="4"/>
  <c r="JD20" i="4" s="1"/>
  <c r="BX79" i="1" s="1"/>
  <c r="BX108" i="1" s="1"/>
  <c r="ID15" i="4"/>
  <c r="ID20" i="4" s="1"/>
  <c r="AX79" i="1" s="1"/>
  <c r="AX108" i="1" s="1"/>
  <c r="IG7" i="4"/>
  <c r="B26" i="1"/>
  <c r="JI15" i="4"/>
  <c r="JI20" i="4" s="1"/>
  <c r="CC79" i="1" s="1"/>
  <c r="IK15" i="4"/>
  <c r="HV7" i="4"/>
  <c r="IQ7" i="4"/>
  <c r="JC8" i="4"/>
  <c r="HT21" i="4"/>
  <c r="AN77" i="1" s="1"/>
  <c r="ID14" i="4"/>
  <c r="IE14" i="4"/>
  <c r="JA7" i="4"/>
  <c r="IZ21" i="4"/>
  <c r="BT77" i="1" s="1"/>
  <c r="AM26" i="1"/>
  <c r="L26" i="1"/>
  <c r="HT14" i="4"/>
  <c r="HT7" i="4"/>
  <c r="II8" i="4"/>
  <c r="II20" i="4" s="1"/>
  <c r="BC79" i="1" s="1"/>
  <c r="BC108" i="1" s="1"/>
  <c r="JB7" i="4"/>
  <c r="IF21" i="4"/>
  <c r="AZ77" i="1" s="1"/>
  <c r="IB14" i="4"/>
  <c r="IB19" i="4" s="1"/>
  <c r="AV78" i="1" s="1"/>
  <c r="AV107" i="1" s="1"/>
  <c r="IG15" i="4"/>
  <c r="IG20" i="4" s="1"/>
  <c r="BA79" i="1" s="1"/>
  <c r="BA108" i="1" s="1"/>
  <c r="IV8" i="4"/>
  <c r="IV20" i="4" s="1"/>
  <c r="BP79" i="1" s="1"/>
  <c r="BP108" i="1" s="1"/>
  <c r="JB15" i="4"/>
  <c r="JB20" i="4" s="1"/>
  <c r="BV79" i="1" s="1"/>
  <c r="BV108" i="1" s="1"/>
  <c r="IA21" i="4"/>
  <c r="AU77" i="1" s="1"/>
  <c r="P253" i="1"/>
  <c r="O26" i="1"/>
  <c r="IL7" i="4"/>
  <c r="IL19" i="4" s="1"/>
  <c r="BF78" i="1" s="1"/>
  <c r="BF107" i="1" s="1"/>
  <c r="V11" i="1"/>
  <c r="I26" i="1"/>
  <c r="W188" i="1"/>
  <c r="Q26" i="1"/>
  <c r="W26" i="1"/>
  <c r="H253" i="1"/>
  <c r="U26" i="1"/>
  <c r="V16" i="1"/>
  <c r="T10" i="1"/>
  <c r="I253" i="1"/>
  <c r="BX179" i="1"/>
  <c r="BY179" i="1" s="1"/>
  <c r="R10" i="1"/>
  <c r="R98" i="1" s="1"/>
  <c r="IX7" i="4"/>
  <c r="BX231" i="1"/>
  <c r="M253" i="1"/>
  <c r="W98" i="1"/>
  <c r="V188" i="1"/>
  <c r="U16" i="1"/>
  <c r="W16" i="1"/>
  <c r="BX10" i="1"/>
  <c r="CC188" i="1" s="1"/>
  <c r="G183" i="1"/>
  <c r="N252" i="1"/>
  <c r="R253" i="1"/>
  <c r="Q252" i="1"/>
  <c r="D10" i="1"/>
  <c r="S252" i="1"/>
  <c r="S253" i="1"/>
  <c r="X11" i="1"/>
  <c r="BX156" i="1"/>
  <c r="BX185" i="1" s="1"/>
  <c r="N10" i="1"/>
  <c r="S10" i="1"/>
  <c r="J253" i="1"/>
  <c r="D231" i="1"/>
  <c r="E10" i="1"/>
  <c r="L252" i="1"/>
  <c r="X188" i="1"/>
  <c r="AL253" i="1"/>
  <c r="L10" i="1"/>
  <c r="L16" i="1" s="1"/>
  <c r="AJ183" i="1"/>
  <c r="AL231" i="1"/>
  <c r="AL252" i="1"/>
  <c r="Q10" i="1"/>
  <c r="N253" i="1"/>
  <c r="AM98" i="1"/>
  <c r="AM99" i="1" s="1"/>
  <c r="AM253" i="1"/>
  <c r="L253" i="1"/>
  <c r="K10" i="1"/>
  <c r="AJ10" i="1"/>
  <c r="AJ16" i="1" s="1"/>
  <c r="AJ17" i="1" s="1"/>
  <c r="Q183" i="1"/>
  <c r="BX120" i="1"/>
  <c r="BX92" i="1" s="1"/>
  <c r="I252" i="1"/>
  <c r="D253" i="1"/>
  <c r="I10" i="1"/>
  <c r="J10" i="1"/>
  <c r="Q253" i="1"/>
  <c r="J252" i="1"/>
  <c r="BX128" i="1"/>
  <c r="AL180" i="1"/>
  <c r="AM180" i="1" s="1"/>
  <c r="G252" i="1"/>
  <c r="BX253" i="1"/>
  <c r="K253" i="1"/>
  <c r="BX148" i="1"/>
  <c r="BX182" i="1" s="1"/>
  <c r="AJ161" i="1"/>
  <c r="AK209" i="1" s="1"/>
  <c r="AJ128" i="1"/>
  <c r="AJ202" i="1"/>
  <c r="AI196" i="1"/>
  <c r="AI198" i="1" s="1"/>
  <c r="AJ134" i="1"/>
  <c r="AK33" i="1" s="1"/>
  <c r="AJ148" i="1"/>
  <c r="AJ180" i="1"/>
  <c r="AK180" i="1" s="1"/>
  <c r="AK128" i="1"/>
  <c r="AJ120" i="1"/>
  <c r="AJ156" i="1"/>
  <c r="HR20" i="4"/>
  <c r="AL79" i="1" s="1"/>
  <c r="HX19" i="4"/>
  <c r="AR78" i="1" s="1"/>
  <c r="AR107" i="1" s="1"/>
  <c r="IW20" i="4"/>
  <c r="BQ79" i="1" s="1"/>
  <c r="BQ108" i="1" s="1"/>
  <c r="IN19" i="4"/>
  <c r="BH78" i="1" s="1"/>
  <c r="BH107" i="1" s="1"/>
  <c r="IX20" i="4"/>
  <c r="BR79" i="1" s="1"/>
  <c r="BR108" i="1" s="1"/>
  <c r="JF20" i="4"/>
  <c r="BZ79" i="1" s="1"/>
  <c r="IP20" i="4"/>
  <c r="BJ79" i="1" s="1"/>
  <c r="BJ108" i="1" s="1"/>
  <c r="IY19" i="4"/>
  <c r="BS78" i="1" s="1"/>
  <c r="BS107" i="1" s="1"/>
  <c r="HW19" i="4"/>
  <c r="AQ78" i="1" s="1"/>
  <c r="AQ107" i="1" s="1"/>
  <c r="JE19" i="4"/>
  <c r="BY78" i="1" s="1"/>
  <c r="AK202" i="1"/>
  <c r="BY202" i="1"/>
  <c r="CM32" i="1"/>
  <c r="AB77" i="1"/>
  <c r="CQ77" i="1"/>
  <c r="AC140" i="1"/>
  <c r="CN65" i="1"/>
  <c r="CO63" i="1"/>
  <c r="IH19" i="4" l="1"/>
  <c r="BB78" i="1" s="1"/>
  <c r="BB107" i="1" s="1"/>
  <c r="HV20" i="4"/>
  <c r="AP79" i="1" s="1"/>
  <c r="AP108" i="1" s="1"/>
  <c r="IK20" i="4"/>
  <c r="BE79" i="1" s="1"/>
  <c r="BE108" i="1" s="1"/>
  <c r="IQ19" i="4"/>
  <c r="BK78" i="1" s="1"/>
  <c r="BK107" i="1" s="1"/>
  <c r="JC20" i="4"/>
  <c r="BW79" i="1" s="1"/>
  <c r="BW108" i="1" s="1"/>
  <c r="AM27" i="1"/>
  <c r="JB19" i="4"/>
  <c r="BV78" i="1" s="1"/>
  <c r="BV107" i="1" s="1"/>
  <c r="BX184" i="1"/>
  <c r="S188" i="1"/>
  <c r="BK202" i="1"/>
  <c r="AK27" i="1"/>
  <c r="BJ179" i="1"/>
  <c r="BK179" i="1" s="1"/>
  <c r="BJ180" i="1"/>
  <c r="BK180" i="1" s="1"/>
  <c r="BJ183" i="1"/>
  <c r="BK183" i="1" s="1"/>
  <c r="AL183" i="1"/>
  <c r="AM183" i="1" s="1"/>
  <c r="HQ19" i="4"/>
  <c r="AK78" i="1" s="1"/>
  <c r="IL20" i="4"/>
  <c r="BF79" i="1" s="1"/>
  <c r="BF108" i="1" s="1"/>
  <c r="IR19" i="4"/>
  <c r="BL78" i="1" s="1"/>
  <c r="IG19" i="4"/>
  <c r="BA78" i="1" s="1"/>
  <c r="BA107" i="1" s="1"/>
  <c r="IE19" i="4"/>
  <c r="AY78" i="1" s="1"/>
  <c r="AY107" i="1" s="1"/>
  <c r="R11" i="1"/>
  <c r="AL179" i="1"/>
  <c r="AM179" i="1" s="1"/>
  <c r="AM128" i="1"/>
  <c r="AL161" i="1"/>
  <c r="AM209" i="1" s="1"/>
  <c r="AL134" i="1"/>
  <c r="AM134" i="1" s="1"/>
  <c r="AM138" i="1" s="1"/>
  <c r="AL156" i="1"/>
  <c r="AL185" i="1" s="1"/>
  <c r="AL120" i="1"/>
  <c r="AL128" i="1"/>
  <c r="AM143" i="1"/>
  <c r="AL148" i="1"/>
  <c r="II19" i="4"/>
  <c r="BC78" i="1" s="1"/>
  <c r="BC107" i="1" s="1"/>
  <c r="IC20" i="4"/>
  <c r="AW79" i="1" s="1"/>
  <c r="AW108" i="1" s="1"/>
  <c r="HU20" i="4"/>
  <c r="AO79" i="1" s="1"/>
  <c r="AO108" i="1" s="1"/>
  <c r="IR20" i="4"/>
  <c r="BL79" i="1" s="1"/>
  <c r="BL96" i="1" s="1"/>
  <c r="AL202" i="1"/>
  <c r="AK16" i="1"/>
  <c r="IO19" i="4"/>
  <c r="BI78" i="1" s="1"/>
  <c r="BI107" i="1" s="1"/>
  <c r="E27" i="1"/>
  <c r="BX168" i="1"/>
  <c r="BJ161" i="1"/>
  <c r="BK209" i="1" s="1"/>
  <c r="BJ134" i="1"/>
  <c r="BK128" i="1"/>
  <c r="BK117" i="1"/>
  <c r="BJ120" i="1"/>
  <c r="BJ156" i="1"/>
  <c r="BJ185" i="1" s="1"/>
  <c r="BK149" i="1"/>
  <c r="BJ128" i="1"/>
  <c r="BK143" i="1"/>
  <c r="BJ148" i="1"/>
  <c r="HZ19" i="4"/>
  <c r="AT78" i="1" s="1"/>
  <c r="AT107" i="1" s="1"/>
  <c r="R16" i="1"/>
  <c r="H98" i="1"/>
  <c r="W17" i="1"/>
  <c r="BY12" i="1"/>
  <c r="U17" i="1"/>
  <c r="AL12" i="1"/>
  <c r="D16" i="1"/>
  <c r="BX27" i="1"/>
  <c r="AJ27" i="1"/>
  <c r="D27" i="1"/>
  <c r="IW19" i="4"/>
  <c r="BQ78" i="1" s="1"/>
  <c r="BQ107" i="1" s="1"/>
  <c r="IJ20" i="4"/>
  <c r="BD79" i="1" s="1"/>
  <c r="BD108" i="1" s="1"/>
  <c r="IO20" i="4"/>
  <c r="BI79" i="1" s="1"/>
  <c r="BI108" i="1" s="1"/>
  <c r="HW20" i="4"/>
  <c r="AQ79" i="1" s="1"/>
  <c r="AQ108" i="1" s="1"/>
  <c r="IZ20" i="4"/>
  <c r="BT79" i="1" s="1"/>
  <c r="BT108" i="1" s="1"/>
  <c r="IE20" i="4"/>
  <c r="AY79" i="1" s="1"/>
  <c r="AY108" i="1" s="1"/>
  <c r="IN20" i="4"/>
  <c r="BH79" i="1" s="1"/>
  <c r="BH108" i="1" s="1"/>
  <c r="IP19" i="4"/>
  <c r="BJ78" i="1" s="1"/>
  <c r="BJ107" i="1" s="1"/>
  <c r="CB94" i="1"/>
  <c r="CB102" i="1"/>
  <c r="CB85" i="1"/>
  <c r="HP20" i="4"/>
  <c r="AJ79" i="1" s="1"/>
  <c r="JC19" i="4"/>
  <c r="BW78" i="1" s="1"/>
  <c r="BW107" i="1" s="1"/>
  <c r="JG20" i="4"/>
  <c r="CA79" i="1" s="1"/>
  <c r="JH19" i="4"/>
  <c r="CB78" i="1" s="1"/>
  <c r="CA94" i="1"/>
  <c r="CA102" i="1"/>
  <c r="R188" i="1"/>
  <c r="JA20" i="4"/>
  <c r="BU79" i="1" s="1"/>
  <c r="BU108" i="1" s="1"/>
  <c r="I188" i="1"/>
  <c r="I11" i="1"/>
  <c r="E98" i="1"/>
  <c r="E16" i="1"/>
  <c r="K11" i="1"/>
  <c r="Q16" i="1"/>
  <c r="Q17" i="1" s="1"/>
  <c r="Q98" i="1"/>
  <c r="IS20" i="4"/>
  <c r="BM79" i="1" s="1"/>
  <c r="BM108" i="1" s="1"/>
  <c r="HX20" i="4"/>
  <c r="AR79" i="1" s="1"/>
  <c r="AR108" i="1" s="1"/>
  <c r="HQ20" i="4"/>
  <c r="AK79" i="1" s="1"/>
  <c r="HV19" i="4"/>
  <c r="AP78" i="1" s="1"/>
  <c r="AP107" i="1" s="1"/>
  <c r="BX94" i="1"/>
  <c r="O98" i="1"/>
  <c r="O16" i="1"/>
  <c r="AM16" i="1"/>
  <c r="AM12" i="1"/>
  <c r="AM225" i="1"/>
  <c r="P11" i="1"/>
  <c r="P16" i="1"/>
  <c r="Q188" i="1"/>
  <c r="P188" i="1"/>
  <c r="P98" i="1"/>
  <c r="Q11" i="1"/>
  <c r="F188" i="1"/>
  <c r="F98" i="1"/>
  <c r="F11" i="1"/>
  <c r="F16" i="1"/>
  <c r="C27" i="1"/>
  <c r="C11" i="1"/>
  <c r="D188" i="1"/>
  <c r="C188" i="1"/>
  <c r="C16" i="1"/>
  <c r="D11" i="1"/>
  <c r="BZ207" i="1"/>
  <c r="BY92" i="1"/>
  <c r="CC85" i="1"/>
  <c r="CC102" i="1"/>
  <c r="CC94" i="1"/>
  <c r="G11" i="1"/>
  <c r="H11" i="1"/>
  <c r="G188" i="1"/>
  <c r="H188" i="1"/>
  <c r="G16" i="1"/>
  <c r="HT19" i="4"/>
  <c r="AN78" i="1" s="1"/>
  <c r="AN107" i="1" s="1"/>
  <c r="BY134" i="1"/>
  <c r="BY33" i="1"/>
  <c r="BX138" i="1"/>
  <c r="BX246" i="1" s="1"/>
  <c r="BY129" i="1"/>
  <c r="BZ249" i="1"/>
  <c r="BZ251" i="1" s="1"/>
  <c r="BZ206" i="1"/>
  <c r="AL16" i="1"/>
  <c r="AL27" i="1"/>
  <c r="N98" i="1"/>
  <c r="N16" i="1"/>
  <c r="N17" i="1" s="1"/>
  <c r="I16" i="1"/>
  <c r="I98" i="1"/>
  <c r="J11" i="1"/>
  <c r="J188" i="1"/>
  <c r="JA19" i="4"/>
  <c r="BU78" i="1" s="1"/>
  <c r="BU107" i="1" s="1"/>
  <c r="ID19" i="4"/>
  <c r="AX78" i="1" s="1"/>
  <c r="AX107" i="1" s="1"/>
  <c r="W18" i="1"/>
  <c r="E188" i="1"/>
  <c r="N188" i="1"/>
  <c r="M16" i="1"/>
  <c r="N18" i="1" s="1"/>
  <c r="M11" i="1"/>
  <c r="B27" i="1"/>
  <c r="B28" i="1"/>
  <c r="W27" i="1"/>
  <c r="W28" i="1"/>
  <c r="V17" i="1"/>
  <c r="V28" i="1"/>
  <c r="V18" i="1"/>
  <c r="T16" i="1"/>
  <c r="U188" i="1"/>
  <c r="U11" i="1"/>
  <c r="T98" i="1"/>
  <c r="K16" i="1"/>
  <c r="K188" i="1"/>
  <c r="J98" i="1"/>
  <c r="J16" i="1"/>
  <c r="G98" i="1"/>
  <c r="X18" i="1"/>
  <c r="L11" i="1"/>
  <c r="O11" i="1"/>
  <c r="M188" i="1"/>
  <c r="AM102" i="1"/>
  <c r="L98" i="1"/>
  <c r="K98" i="1"/>
  <c r="S11" i="1"/>
  <c r="CB11" i="1"/>
  <c r="BX186" i="1"/>
  <c r="CB189" i="1" s="1"/>
  <c r="AJ129" i="1"/>
  <c r="BX95" i="1"/>
  <c r="BX16" i="1"/>
  <c r="BX181" i="1"/>
  <c r="N11" i="1"/>
  <c r="BY249" i="1"/>
  <c r="BX248" i="1"/>
  <c r="S16" i="1"/>
  <c r="S17" i="1" s="1"/>
  <c r="S98" i="1"/>
  <c r="BY207" i="1"/>
  <c r="O188" i="1"/>
  <c r="E11" i="1"/>
  <c r="BX129" i="1"/>
  <c r="AK12" i="1"/>
  <c r="T11" i="1"/>
  <c r="T188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BX157" i="1"/>
  <c r="BY206" i="1"/>
  <c r="L188" i="1"/>
  <c r="AJ28" i="1"/>
  <c r="AJ232" i="1" s="1"/>
  <c r="AJ233" i="1" s="1"/>
  <c r="AK206" i="1"/>
  <c r="AJ168" i="1"/>
  <c r="AK37" i="1" s="1"/>
  <c r="AJ206" i="1"/>
  <c r="AJ197" i="1"/>
  <c r="AJ185" i="1"/>
  <c r="AK134" i="1"/>
  <c r="AJ157" i="1"/>
  <c r="AJ138" i="1"/>
  <c r="AJ196" i="1"/>
  <c r="AJ182" i="1"/>
  <c r="AL108" i="1"/>
  <c r="AM103" i="1"/>
  <c r="AM107" i="1"/>
  <c r="L17" i="1"/>
  <c r="BZ95" i="1"/>
  <c r="BZ89" i="1"/>
  <c r="BZ107" i="1"/>
  <c r="BZ110" i="1" s="1"/>
  <c r="AM108" i="1"/>
  <c r="AM104" i="1"/>
  <c r="BX89" i="1"/>
  <c r="BX107" i="1"/>
  <c r="CC95" i="1"/>
  <c r="CC107" i="1"/>
  <c r="CC103" i="1"/>
  <c r="CC86" i="1"/>
  <c r="CF90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CC87" i="1"/>
  <c r="BX96" i="1"/>
  <c r="CB104" i="1"/>
  <c r="CB87" i="1"/>
  <c r="CA103" i="1"/>
  <c r="CA107" i="1"/>
  <c r="CA95" i="1"/>
  <c r="BY107" i="1"/>
  <c r="BY89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BK249" i="1" l="1"/>
  <c r="D17" i="1"/>
  <c r="BK134" i="1"/>
  <c r="BJ138" i="1"/>
  <c r="BJ246" i="1" s="1"/>
  <c r="BL206" i="1"/>
  <c r="BL249" i="1"/>
  <c r="BJ92" i="1"/>
  <c r="BJ248" i="1"/>
  <c r="BJ129" i="1"/>
  <c r="BJ168" i="1"/>
  <c r="BJ109" i="1" s="1"/>
  <c r="BK206" i="1"/>
  <c r="BJ182" i="1"/>
  <c r="BJ157" i="1"/>
  <c r="D28" i="1"/>
  <c r="BJ184" i="1"/>
  <c r="AL184" i="1"/>
  <c r="AM33" i="1"/>
  <c r="AL92" i="1"/>
  <c r="AL96" i="1" s="1"/>
  <c r="AL248" i="1"/>
  <c r="AM206" i="1"/>
  <c r="AL168" i="1"/>
  <c r="AL249" i="1"/>
  <c r="AL182" i="1"/>
  <c r="AL157" i="1"/>
  <c r="BL107" i="1"/>
  <c r="BL110" i="1" s="1"/>
  <c r="BL95" i="1"/>
  <c r="AK28" i="1"/>
  <c r="AK19" i="1"/>
  <c r="BY37" i="1"/>
  <c r="AM249" i="1"/>
  <c r="AL138" i="1"/>
  <c r="AL206" i="1"/>
  <c r="AL129" i="1"/>
  <c r="R17" i="1"/>
  <c r="BL108" i="1"/>
  <c r="BL111" i="1" s="1"/>
  <c r="BX109" i="1"/>
  <c r="AK17" i="1"/>
  <c r="BZ205" i="1"/>
  <c r="S18" i="1"/>
  <c r="I17" i="1"/>
  <c r="I18" i="1"/>
  <c r="CA96" i="1"/>
  <c r="CA108" i="1"/>
  <c r="CA104" i="1"/>
  <c r="CB86" i="1"/>
  <c r="CB103" i="1"/>
  <c r="CB95" i="1"/>
  <c r="CB107" i="1"/>
  <c r="CB110" i="1" s="1"/>
  <c r="CB113" i="1" s="1"/>
  <c r="E18" i="1"/>
  <c r="AL19" i="1"/>
  <c r="W29" i="1"/>
  <c r="E28" i="1"/>
  <c r="E29" i="1" s="1"/>
  <c r="E17" i="1"/>
  <c r="R18" i="1"/>
  <c r="W112" i="1"/>
  <c r="O18" i="1"/>
  <c r="O17" i="1"/>
  <c r="P18" i="1"/>
  <c r="AM17" i="1"/>
  <c r="AM28" i="1"/>
  <c r="Q18" i="1"/>
  <c r="P17" i="1"/>
  <c r="F17" i="1"/>
  <c r="G18" i="1"/>
  <c r="F18" i="1"/>
  <c r="C18" i="1"/>
  <c r="C17" i="1"/>
  <c r="D18" i="1"/>
  <c r="C28" i="1"/>
  <c r="BY96" i="1"/>
  <c r="BY95" i="1"/>
  <c r="BY94" i="1"/>
  <c r="G17" i="1"/>
  <c r="H18" i="1"/>
  <c r="AL17" i="1"/>
  <c r="AM19" i="1"/>
  <c r="AL28" i="1"/>
  <c r="W232" i="1"/>
  <c r="W233" i="1" s="1"/>
  <c r="X30" i="1"/>
  <c r="X250" i="1"/>
  <c r="W34" i="1"/>
  <c r="W38" i="1" s="1"/>
  <c r="W30" i="1"/>
  <c r="W250" i="1"/>
  <c r="K17" i="1"/>
  <c r="L18" i="1"/>
  <c r="CB18" i="1"/>
  <c r="BX17" i="1"/>
  <c r="BX28" i="1"/>
  <c r="BY19" i="1"/>
  <c r="BZ33" i="1"/>
  <c r="BY138" i="1"/>
  <c r="BX165" i="1"/>
  <c r="BX166" i="1" s="1"/>
  <c r="M17" i="1"/>
  <c r="M18" i="1"/>
  <c r="B29" i="1"/>
  <c r="B112" i="1"/>
  <c r="V34" i="1"/>
  <c r="V38" i="1" s="1"/>
  <c r="V112" i="1"/>
  <c r="V232" i="1"/>
  <c r="V233" i="1" s="1"/>
  <c r="V29" i="1"/>
  <c r="U18" i="1"/>
  <c r="T17" i="1"/>
  <c r="J17" i="1"/>
  <c r="K18" i="1"/>
  <c r="J18" i="1"/>
  <c r="T18" i="1"/>
  <c r="AJ165" i="1"/>
  <c r="AJ166" i="1" s="1"/>
  <c r="BY205" i="1"/>
  <c r="AJ34" i="1"/>
  <c r="AJ38" i="1" s="1"/>
  <c r="AJ29" i="1"/>
  <c r="AJ198" i="1"/>
  <c r="AK138" i="1"/>
  <c r="AL33" i="1"/>
  <c r="AJ203" i="1"/>
  <c r="AJ201" i="1" s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L165" i="1" l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BJ110" i="1"/>
  <c r="BJ111" i="1"/>
  <c r="AL94" i="1"/>
  <c r="AL95" i="1"/>
  <c r="AL109" i="1"/>
  <c r="AM37" i="1"/>
  <c r="BJ186" i="1"/>
  <c r="BJ181" i="1"/>
  <c r="AL181" i="1"/>
  <c r="AL186" i="1"/>
  <c r="CE90" i="1"/>
  <c r="BX110" i="1"/>
  <c r="BX111" i="1"/>
  <c r="D29" i="1"/>
  <c r="D34" i="1"/>
  <c r="D38" i="1" s="1"/>
  <c r="D232" i="1"/>
  <c r="D233" i="1" s="1"/>
  <c r="D112" i="1"/>
  <c r="AK232" i="1"/>
  <c r="AK233" i="1" s="1"/>
  <c r="AK29" i="1"/>
  <c r="AK34" i="1"/>
  <c r="AK38" i="1" s="1"/>
  <c r="AK31" i="1"/>
  <c r="E30" i="1"/>
  <c r="AM232" i="1"/>
  <c r="AM233" i="1" s="1"/>
  <c r="AM29" i="1"/>
  <c r="AM250" i="1"/>
  <c r="AM251" i="1" s="1"/>
  <c r="AM34" i="1"/>
  <c r="AM38" i="1" s="1"/>
  <c r="AM31" i="1"/>
  <c r="AL29" i="1"/>
  <c r="AL232" i="1"/>
  <c r="AL233" i="1" s="1"/>
  <c r="AL34" i="1"/>
  <c r="AL38" i="1" s="1"/>
  <c r="D250" i="1"/>
  <c r="C250" i="1"/>
  <c r="C29" i="1"/>
  <c r="D30" i="1"/>
  <c r="C30" i="1"/>
  <c r="AL250" i="1"/>
  <c r="AL251" i="1" s="1"/>
  <c r="AM226" i="1"/>
  <c r="AL31" i="1"/>
  <c r="AM112" i="1"/>
  <c r="W41" i="1"/>
  <c r="W40" i="1"/>
  <c r="BX29" i="1"/>
  <c r="BX34" i="1"/>
  <c r="CB30" i="1"/>
  <c r="CA112" i="1"/>
  <c r="BX232" i="1"/>
  <c r="BX233" i="1" s="1"/>
  <c r="BY31" i="1"/>
  <c r="BY250" i="1"/>
  <c r="BY251" i="1" s="1"/>
  <c r="V41" i="1"/>
  <c r="V40" i="1"/>
  <c r="BY203" i="1"/>
  <c r="BY201" i="1" s="1"/>
  <c r="BZ203" i="1"/>
  <c r="BZ201" i="1" s="1"/>
  <c r="AJ40" i="1"/>
  <c r="AJ41" i="1"/>
  <c r="AL203" i="1"/>
  <c r="AL201" i="1" s="1"/>
  <c r="AK203" i="1"/>
  <c r="AK201" i="1" s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L111" i="1" l="1"/>
  <c r="AK41" i="1"/>
  <c r="D41" i="1"/>
  <c r="AL110" i="1"/>
  <c r="AK40" i="1"/>
  <c r="D40" i="1"/>
  <c r="AM40" i="1"/>
  <c r="AM41" i="1"/>
  <c r="AL40" i="1"/>
  <c r="AL41" i="1"/>
  <c r="W48" i="1"/>
  <c r="W52" i="1" s="1"/>
  <c r="W234" i="1"/>
  <c r="W42" i="1"/>
  <c r="W245" i="1" s="1"/>
  <c r="X43" i="1"/>
  <c r="BX38" i="1"/>
  <c r="CA55" i="1"/>
  <c r="V42" i="1"/>
  <c r="V245" i="1" s="1"/>
  <c r="V48" i="1"/>
  <c r="W43" i="1"/>
  <c r="AJ42" i="1"/>
  <c r="AJ48" i="1"/>
  <c r="AJ193" i="1" s="1"/>
  <c r="AJ195" i="1" s="1"/>
  <c r="AJ199" i="1" s="1"/>
  <c r="AJ213" i="1" s="1"/>
  <c r="AJ234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K234" i="1" l="1"/>
  <c r="AK48" i="1"/>
  <c r="AK119" i="1" s="1"/>
  <c r="AK120" i="1" s="1"/>
  <c r="AK129" i="1" s="1"/>
  <c r="AK42" i="1"/>
  <c r="AK44" i="1"/>
  <c r="D234" i="1"/>
  <c r="D42" i="1"/>
  <c r="D48" i="1"/>
  <c r="AJ207" i="1"/>
  <c r="AJ205" i="1" s="1"/>
  <c r="AJ52" i="1"/>
  <c r="AJ66" i="1"/>
  <c r="AL42" i="1"/>
  <c r="AL245" i="1" s="1"/>
  <c r="AL48" i="1"/>
  <c r="AM44" i="1"/>
  <c r="AL234" i="1"/>
  <c r="AM42" i="1"/>
  <c r="AM245" i="1" s="1"/>
  <c r="AM234" i="1"/>
  <c r="AL44" i="1"/>
  <c r="AM227" i="1"/>
  <c r="BX40" i="1"/>
  <c r="BX41" i="1"/>
  <c r="AJ210" i="1"/>
  <c r="AJ211" i="1" s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D193" i="1" l="1"/>
  <c r="D195" i="1" s="1"/>
  <c r="D52" i="1"/>
  <c r="CB43" i="1"/>
  <c r="BX234" i="1"/>
  <c r="BX42" i="1"/>
  <c r="BX245" i="1" s="1"/>
  <c r="AK193" i="1"/>
  <c r="AK195" i="1" s="1"/>
  <c r="AK66" i="1"/>
  <c r="AK52" i="1"/>
  <c r="BX48" i="1"/>
  <c r="BY44" i="1"/>
  <c r="AL52" i="1"/>
  <c r="AL66" i="1"/>
  <c r="AL193" i="1"/>
  <c r="AL195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O66" i="2"/>
  <c r="G62" i="2"/>
  <c r="O50" i="2"/>
  <c r="J67" i="2"/>
  <c r="U65" i="2"/>
  <c r="I73" i="2"/>
  <c r="T63" i="2"/>
  <c r="L40" i="2"/>
  <c r="X45" i="2"/>
  <c r="AB65" i="3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AB48" i="3"/>
  <c r="AP55" i="3"/>
  <c r="AP63" i="3"/>
  <c r="AP82" i="3"/>
  <c r="AP76" i="3"/>
  <c r="AB64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N91" i="2"/>
  <c r="I55" i="2"/>
  <c r="S113" i="2"/>
  <c r="S47" i="2"/>
  <c r="R43" i="2"/>
  <c r="S59" i="2"/>
  <c r="T96" i="2"/>
  <c r="H106" i="2"/>
  <c r="Q60" i="2"/>
  <c r="D40" i="2"/>
  <c r="R45" i="2"/>
  <c r="T52" i="2"/>
  <c r="N110" i="2"/>
  <c r="V97" i="2"/>
  <c r="J90" i="2"/>
  <c r="S111" i="2"/>
  <c r="K83" i="2"/>
  <c r="C66" i="2"/>
  <c r="C51" i="2"/>
  <c r="J95" i="2"/>
  <c r="H77" i="2"/>
  <c r="V45" i="2"/>
  <c r="S54" i="2"/>
  <c r="G60" i="2"/>
  <c r="C56" i="2"/>
  <c r="N92" i="2"/>
  <c r="O108" i="2"/>
  <c r="F69" i="2"/>
  <c r="N77" i="2"/>
  <c r="AB61" i="3"/>
  <c r="AP75" i="3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E56" i="2"/>
  <c r="Q61" i="2"/>
  <c r="U59" i="2"/>
  <c r="D104" i="2"/>
  <c r="C90" i="2"/>
  <c r="N79" i="2"/>
  <c r="S83" i="2"/>
  <c r="X87" i="2"/>
  <c r="X111" i="2"/>
  <c r="X53" i="2"/>
  <c r="M68" i="2"/>
  <c r="E113" i="2"/>
  <c r="M85" i="2"/>
  <c r="L93" i="2"/>
  <c r="D45" i="2"/>
  <c r="R62" i="2"/>
  <c r="D72" i="2"/>
  <c r="C89" i="2"/>
  <c r="T75" i="2"/>
  <c r="G53" i="2"/>
  <c r="R89" i="2"/>
  <c r="V69" i="2"/>
  <c r="F44" i="2"/>
  <c r="X55" i="2"/>
  <c r="C54" i="2"/>
  <c r="N42" i="2"/>
  <c r="E74" i="2"/>
  <c r="T91" i="2"/>
  <c r="T86" i="2"/>
  <c r="G85" i="2"/>
  <c r="D106" i="2"/>
  <c r="X80" i="2"/>
  <c r="X74" i="2"/>
  <c r="R99" i="2"/>
  <c r="C79" i="2"/>
  <c r="X54" i="2"/>
  <c r="C108" i="2"/>
  <c r="D42" i="2"/>
  <c r="E42" i="2"/>
  <c r="AP93" i="3"/>
  <c r="AP59" i="3"/>
  <c r="AB75" i="3"/>
  <c r="AB49" i="3"/>
  <c r="AP64" i="3"/>
  <c r="Z30" i="3"/>
  <c r="L19" i="3"/>
  <c r="C23" i="3"/>
  <c r="O23" i="3"/>
  <c r="W26" i="3"/>
  <c r="R24" i="3"/>
  <c r="AJ22" i="3"/>
  <c r="AD24" i="3"/>
  <c r="S12" i="3"/>
  <c r="K38" i="3"/>
  <c r="Q2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C17" i="3"/>
  <c r="AL22" i="3"/>
  <c r="W7" i="3"/>
  <c r="L30" i="3"/>
  <c r="R17" i="3"/>
  <c r="AP28" i="3"/>
  <c r="X38" i="3"/>
  <c r="C34" i="3"/>
  <c r="AC25" i="3"/>
  <c r="O6" i="3"/>
  <c r="R28" i="3"/>
  <c r="AH40" i="3"/>
  <c r="AG32" i="3"/>
  <c r="V27" i="3"/>
  <c r="AG30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O84" i="2"/>
  <c r="K49" i="2"/>
  <c r="F41" i="2"/>
  <c r="O71" i="2"/>
  <c r="L43" i="2"/>
  <c r="H81" i="2"/>
  <c r="I72" i="2"/>
  <c r="O72" i="2"/>
  <c r="O46" i="2"/>
  <c r="G68" i="2"/>
  <c r="C82" i="2"/>
  <c r="Q75" i="2"/>
  <c r="M83" i="2"/>
  <c r="X52" i="2"/>
  <c r="D59" i="2"/>
  <c r="X91" i="2"/>
  <c r="V59" i="2"/>
  <c r="I105" i="2"/>
  <c r="P52" i="2"/>
  <c r="F66" i="2"/>
  <c r="U70" i="2"/>
  <c r="T70" i="2"/>
  <c r="F62" i="2"/>
  <c r="K64" i="2"/>
  <c r="D107" i="2"/>
  <c r="E96" i="2"/>
  <c r="F88" i="2"/>
  <c r="C48" i="3"/>
  <c r="AP71" i="3"/>
  <c r="AB63" i="3"/>
  <c r="AB97" i="3"/>
  <c r="AB76" i="3"/>
  <c r="P32" i="3"/>
  <c r="N24" i="3"/>
  <c r="AQ13" i="3"/>
  <c r="AO33" i="3"/>
  <c r="J41" i="3"/>
  <c r="E49" i="3"/>
  <c r="P34" i="3"/>
  <c r="AE31" i="3"/>
  <c r="AE24" i="3"/>
  <c r="AP41" i="3"/>
  <c r="X7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Q62" i="2"/>
  <c r="M62" i="2"/>
  <c r="D85" i="2"/>
  <c r="O98" i="2"/>
  <c r="C49" i="2"/>
  <c r="T40" i="2"/>
  <c r="K95" i="2"/>
  <c r="D79" i="2"/>
  <c r="M89" i="2"/>
  <c r="S93" i="2"/>
  <c r="U109" i="2"/>
  <c r="L60" i="2"/>
  <c r="F61" i="2"/>
  <c r="J97" i="2"/>
  <c r="W53" i="2"/>
  <c r="G56" i="2"/>
  <c r="G49" i="2"/>
  <c r="K85" i="2"/>
  <c r="U43" i="2"/>
  <c r="G67" i="2"/>
  <c r="T74" i="2"/>
  <c r="D41" i="2"/>
  <c r="G55" i="2"/>
  <c r="H97" i="2"/>
  <c r="K63" i="2"/>
  <c r="O109" i="2"/>
  <c r="G83" i="2"/>
  <c r="AP68" i="3"/>
  <c r="AB80" i="3"/>
  <c r="AP78" i="3"/>
  <c r="AP81" i="3"/>
  <c r="C49" i="3"/>
  <c r="AP73" i="3"/>
  <c r="I22" i="3"/>
  <c r="M35" i="3"/>
  <c r="U21" i="3"/>
  <c r="AP25" i="3"/>
  <c r="T25" i="3"/>
  <c r="Z6" i="3"/>
  <c r="W22" i="3"/>
  <c r="AC39" i="3"/>
  <c r="AJ25" i="3"/>
  <c r="AI16" i="3"/>
  <c r="C38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E95" i="2"/>
  <c r="F70" i="2"/>
  <c r="M53" i="2"/>
  <c r="F95" i="2"/>
  <c r="E65" i="2"/>
  <c r="O42" i="2"/>
  <c r="X44" i="2"/>
  <c r="J108" i="2"/>
  <c r="J99" i="2"/>
  <c r="K66" i="2"/>
  <c r="C107" i="2"/>
  <c r="C86" i="2"/>
  <c r="O92" i="2"/>
  <c r="E72" i="2"/>
  <c r="U46" i="2"/>
  <c r="U93" i="2"/>
  <c r="H108" i="2"/>
  <c r="T112" i="2"/>
  <c r="O91" i="2"/>
  <c r="D75" i="2"/>
  <c r="I88" i="2"/>
  <c r="T57" i="2"/>
  <c r="U85" i="2"/>
  <c r="W52" i="2"/>
  <c r="Q47" i="2"/>
  <c r="T110" i="2"/>
  <c r="M47" i="2"/>
  <c r="AB81" i="3"/>
  <c r="AP86" i="3"/>
  <c r="C47" i="3"/>
  <c r="AP62" i="3"/>
  <c r="AB86" i="3"/>
  <c r="AB85" i="3"/>
  <c r="K13" i="3"/>
  <c r="AJ38" i="3"/>
  <c r="P39" i="3"/>
  <c r="AM32" i="3"/>
  <c r="AL41" i="3"/>
  <c r="N15" i="3"/>
  <c r="Q36" i="3"/>
  <c r="I23" i="3"/>
  <c r="AE32" i="3"/>
  <c r="AH13" i="3"/>
  <c r="O37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E90" i="2"/>
  <c r="X65" i="2"/>
  <c r="K52" i="2"/>
  <c r="X108" i="2"/>
  <c r="R81" i="2"/>
  <c r="M86" i="2"/>
  <c r="S92" i="2"/>
  <c r="P99" i="2"/>
  <c r="N66" i="2"/>
  <c r="D74" i="2"/>
  <c r="N62" i="2"/>
  <c r="N53" i="2"/>
  <c r="O99" i="2"/>
  <c r="M58" i="2"/>
  <c r="U69" i="2"/>
  <c r="P86" i="2"/>
  <c r="P58" i="2"/>
  <c r="I51" i="2"/>
  <c r="E97" i="2"/>
  <c r="F45" i="2"/>
  <c r="K73" i="2"/>
  <c r="E87" i="2"/>
  <c r="N63" i="2"/>
  <c r="N55" i="2"/>
  <c r="E78" i="2"/>
  <c r="U64" i="2"/>
  <c r="L97" i="2"/>
  <c r="AB68" i="3"/>
  <c r="AB77" i="3"/>
  <c r="AB79" i="3"/>
  <c r="AP87" i="3"/>
  <c r="AP50" i="3"/>
  <c r="AB95" i="3"/>
  <c r="AI6" i="3"/>
  <c r="AI12" i="3"/>
  <c r="AJ17" i="3"/>
  <c r="J16" i="3"/>
  <c r="R25" i="3"/>
  <c r="X31" i="3"/>
  <c r="AB19" i="3"/>
  <c r="H5" i="3"/>
  <c r="C7" i="3"/>
  <c r="AI41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E106" i="2"/>
  <c r="F40" i="2"/>
  <c r="F99" i="2"/>
  <c r="J104" i="2"/>
  <c r="L91" i="2"/>
  <c r="C76" i="2"/>
  <c r="I96" i="2"/>
  <c r="U88" i="2"/>
  <c r="G95" i="2"/>
  <c r="W89" i="2"/>
  <c r="O63" i="2"/>
  <c r="N43" i="2"/>
  <c r="J87" i="2"/>
  <c r="I42" i="2"/>
  <c r="C93" i="2"/>
  <c r="H42" i="2"/>
  <c r="J49" i="2"/>
  <c r="S56" i="2"/>
  <c r="L106" i="2"/>
  <c r="P110" i="2"/>
  <c r="L42" i="2"/>
  <c r="H45" i="2"/>
  <c r="U107" i="2"/>
  <c r="R97" i="2"/>
  <c r="R50" i="2"/>
  <c r="O62" i="2"/>
  <c r="H55" i="2"/>
  <c r="AB60" i="3"/>
  <c r="AP97" i="3"/>
  <c r="AP61" i="3"/>
  <c r="AP94" i="3"/>
  <c r="AB67" i="3"/>
  <c r="AB74" i="3"/>
  <c r="AG39" i="3"/>
  <c r="Z19" i="3"/>
  <c r="AK5" i="3"/>
  <c r="AP10" i="3"/>
  <c r="S31" i="3"/>
  <c r="AH21" i="3"/>
  <c r="P10" i="3"/>
  <c r="M34" i="3"/>
  <c r="O28" i="3"/>
  <c r="I19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D99" i="2"/>
  <c r="L81" i="2"/>
  <c r="G47" i="2"/>
  <c r="H84" i="2"/>
  <c r="Q74" i="2"/>
  <c r="W83" i="2"/>
  <c r="L44" i="2"/>
  <c r="I56" i="2"/>
  <c r="X69" i="2"/>
  <c r="E111" i="2"/>
  <c r="X67" i="2"/>
  <c r="U95" i="2"/>
  <c r="V41" i="2"/>
  <c r="O93" i="2"/>
  <c r="M70" i="2"/>
  <c r="E40" i="2"/>
  <c r="F98" i="2"/>
  <c r="F85" i="2"/>
  <c r="E73" i="2"/>
  <c r="J88" i="2"/>
  <c r="S42" i="2"/>
  <c r="L61" i="2"/>
  <c r="L46" i="2"/>
  <c r="K106" i="2"/>
  <c r="C95" i="2"/>
  <c r="X68" i="2"/>
  <c r="C91" i="2"/>
  <c r="AB89" i="3"/>
  <c r="AB72" i="3"/>
  <c r="AP65" i="3"/>
  <c r="AB87" i="3"/>
  <c r="AP77" i="3"/>
  <c r="H20" i="3"/>
  <c r="AN8" i="3"/>
  <c r="V16" i="3"/>
  <c r="N26" i="3"/>
  <c r="Q34" i="3"/>
  <c r="AD50" i="3"/>
  <c r="AL27" i="3"/>
  <c r="AN31" i="3"/>
  <c r="Z8" i="3"/>
  <c r="AH16" i="3"/>
  <c r="AA2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D109" i="2"/>
  <c r="U84" i="2"/>
  <c r="D108" i="2"/>
  <c r="J59" i="2"/>
  <c r="Q52" i="2"/>
  <c r="R88" i="2"/>
  <c r="V86" i="2"/>
  <c r="W94" i="2"/>
  <c r="R82" i="2"/>
  <c r="I99" i="2"/>
  <c r="D46" i="2"/>
  <c r="E68" i="2"/>
  <c r="K81" i="2"/>
  <c r="G63" i="2"/>
  <c r="C77" i="2"/>
  <c r="N49" i="2"/>
  <c r="G80" i="2"/>
  <c r="C80" i="2"/>
  <c r="U110" i="2"/>
  <c r="N54" i="2"/>
  <c r="P74" i="2"/>
  <c r="Q44" i="2"/>
  <c r="J98" i="2"/>
  <c r="H93" i="2"/>
  <c r="H59" i="2"/>
  <c r="L105" i="2"/>
  <c r="R60" i="2"/>
  <c r="AB88" i="3"/>
  <c r="AB47" i="3"/>
  <c r="AP57" i="3"/>
  <c r="AB54" i="3"/>
  <c r="AP89" i="3"/>
  <c r="T23" i="3"/>
  <c r="H17" i="3"/>
  <c r="AC18" i="3"/>
  <c r="G36" i="3"/>
  <c r="AH31" i="3"/>
  <c r="AN22" i="3"/>
  <c r="AG42" i="3"/>
  <c r="AK37" i="3"/>
  <c r="AD35" i="3"/>
  <c r="W33" i="3"/>
  <c r="Z15" i="3"/>
  <c r="G42" i="3"/>
  <c r="R35" i="3"/>
  <c r="AH17" i="3"/>
  <c r="V31" i="3"/>
  <c r="P30" i="3"/>
  <c r="Y13" i="3"/>
  <c r="AJ24" i="3"/>
  <c r="AA30" i="3"/>
  <c r="AG37" i="3"/>
  <c r="AC22" i="3"/>
  <c r="AP23" i="3"/>
  <c r="M23" i="3"/>
  <c r="AH22" i="3"/>
  <c r="AJ30" i="3"/>
  <c r="AE7" i="3"/>
  <c r="G35" i="3"/>
  <c r="X16" i="3"/>
  <c r="AH37" i="3"/>
  <c r="M25" i="3"/>
  <c r="AO14" i="3"/>
  <c r="P27" i="3"/>
  <c r="J18" i="3"/>
  <c r="S9" i="3"/>
  <c r="T41" i="3"/>
  <c r="AG26" i="3"/>
  <c r="AB10" i="3"/>
  <c r="AP9" i="3"/>
  <c r="AC8" i="3"/>
  <c r="AE18" i="3"/>
  <c r="AB12" i="3"/>
  <c r="J15" i="3"/>
  <c r="AJ8" i="3"/>
  <c r="T16" i="3"/>
  <c r="U22" i="3"/>
  <c r="AN14" i="3"/>
  <c r="AO25" i="3"/>
  <c r="AG6" i="3"/>
  <c r="O7" i="3"/>
  <c r="M6" i="3"/>
  <c r="W11" i="3"/>
  <c r="AH29" i="3"/>
  <c r="I14" i="3"/>
  <c r="AL34" i="3"/>
  <c r="AK7" i="3"/>
  <c r="S41" i="3"/>
  <c r="AP18" i="3"/>
  <c r="AI27" i="3"/>
  <c r="AA23" i="3"/>
  <c r="M38" i="3"/>
  <c r="AI36" i="3"/>
  <c r="AK39" i="3"/>
  <c r="U23" i="3"/>
  <c r="AN5" i="3"/>
  <c r="P11" i="3"/>
  <c r="R39" i="3"/>
  <c r="AC26" i="3"/>
  <c r="AP39" i="3"/>
  <c r="AB35" i="3"/>
  <c r="J9" i="3"/>
  <c r="AB36" i="3"/>
  <c r="Z13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I95" i="2"/>
  <c r="P64" i="2"/>
  <c r="U75" i="2"/>
  <c r="W60" i="2"/>
  <c r="W75" i="2"/>
  <c r="W40" i="2"/>
  <c r="O87" i="2"/>
  <c r="T48" i="2"/>
  <c r="K72" i="2"/>
  <c r="N52" i="2"/>
  <c r="R80" i="2"/>
  <c r="D71" i="2"/>
  <c r="M81" i="2"/>
  <c r="L80" i="2"/>
  <c r="V81" i="2"/>
  <c r="O79" i="2"/>
  <c r="Q72" i="2"/>
  <c r="J96" i="2"/>
  <c r="F77" i="2"/>
  <c r="H88" i="2"/>
  <c r="X78" i="2"/>
  <c r="N67" i="2"/>
  <c r="I40" i="2"/>
  <c r="S66" i="2"/>
  <c r="E77" i="2"/>
  <c r="O47" i="2"/>
  <c r="V79" i="2"/>
  <c r="AP56" i="3"/>
  <c r="AP48" i="3"/>
  <c r="AB96" i="3"/>
  <c r="AB82" i="3"/>
  <c r="AP67" i="3"/>
  <c r="C28" i="3"/>
  <c r="AP12" i="3"/>
  <c r="O39" i="3"/>
  <c r="AJ31" i="3"/>
  <c r="X30" i="3"/>
  <c r="O29" i="3"/>
  <c r="U30" i="3"/>
  <c r="AO15" i="3"/>
  <c r="V24" i="3"/>
  <c r="H38" i="3"/>
  <c r="X2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G66" i="2"/>
  <c r="E52" i="2"/>
  <c r="V65" i="2"/>
  <c r="P97" i="2"/>
  <c r="V52" i="2"/>
  <c r="F92" i="2"/>
  <c r="I84" i="2"/>
  <c r="H50" i="2"/>
  <c r="R49" i="2"/>
  <c r="I97" i="2"/>
  <c r="W51" i="2"/>
  <c r="P44" i="2"/>
  <c r="V112" i="2"/>
  <c r="O112" i="2"/>
  <c r="E59" i="2"/>
  <c r="S52" i="2"/>
  <c r="C44" i="2"/>
  <c r="V68" i="2"/>
  <c r="M56" i="2"/>
  <c r="H90" i="2"/>
  <c r="T62" i="2"/>
  <c r="K77" i="2"/>
  <c r="R40" i="2"/>
  <c r="X109" i="2"/>
  <c r="O61" i="2"/>
  <c r="F97" i="2"/>
  <c r="U113" i="2"/>
  <c r="AP96" i="3"/>
  <c r="AP88" i="3"/>
  <c r="AB71" i="3"/>
  <c r="AP95" i="3"/>
  <c r="AB91" i="3"/>
  <c r="H34" i="3"/>
  <c r="O22" i="3"/>
  <c r="AH23" i="3"/>
  <c r="AK31" i="3"/>
  <c r="M10" i="3"/>
  <c r="S16" i="3"/>
  <c r="AC20" i="3"/>
  <c r="I28" i="3"/>
  <c r="AK12" i="3"/>
  <c r="G41" i="3"/>
  <c r="I37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I49" i="2"/>
  <c r="F113" i="2"/>
  <c r="T42" i="2"/>
  <c r="H105" i="2"/>
  <c r="U58" i="2"/>
  <c r="P78" i="2"/>
  <c r="C64" i="2"/>
  <c r="N80" i="2"/>
  <c r="G91" i="2"/>
  <c r="R84" i="2"/>
  <c r="L56" i="2"/>
  <c r="F112" i="2"/>
  <c r="V47" i="2"/>
  <c r="E88" i="2"/>
  <c r="M109" i="2"/>
  <c r="R73" i="2"/>
  <c r="M63" i="2"/>
  <c r="U86" i="2"/>
  <c r="N71" i="2"/>
  <c r="O70" i="2"/>
  <c r="J45" i="2"/>
  <c r="G79" i="2"/>
  <c r="I44" i="2"/>
  <c r="H76" i="2"/>
  <c r="M111" i="2"/>
  <c r="F67" i="2"/>
  <c r="L83" i="2"/>
  <c r="AB59" i="3"/>
  <c r="AB90" i="3"/>
  <c r="AP58" i="3"/>
  <c r="AP80" i="3"/>
  <c r="AP49" i="3"/>
  <c r="S7" i="3"/>
  <c r="C37" i="3"/>
  <c r="Y22" i="3"/>
  <c r="T17" i="3"/>
  <c r="I38" i="3"/>
  <c r="Y40" i="3"/>
  <c r="R36" i="3"/>
  <c r="AD37" i="3"/>
  <c r="S36" i="3"/>
  <c r="H28" i="3"/>
  <c r="AB41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G110" i="2"/>
  <c r="P48" i="2"/>
  <c r="AM33" i="3"/>
  <c r="AI11" i="3"/>
  <c r="AA36" i="3"/>
  <c r="AG10" i="3"/>
  <c r="U37" i="3"/>
  <c r="H32" i="3"/>
  <c r="O30" i="3"/>
  <c r="W27" i="3"/>
  <c r="W41" i="3"/>
  <c r="C39" i="3"/>
  <c r="AO16" i="3"/>
  <c r="G49" i="3"/>
  <c r="U9" i="3"/>
  <c r="Z38" i="3"/>
  <c r="AL25" i="3"/>
  <c r="AA16" i="3"/>
  <c r="R27" i="3"/>
  <c r="X17" i="3"/>
  <c r="Z18" i="3"/>
  <c r="L12" i="3"/>
  <c r="AA22" i="3"/>
  <c r="J30" i="3"/>
  <c r="AL32" i="3"/>
  <c r="AK38" i="3"/>
  <c r="AM19" i="3"/>
  <c r="V35" i="3"/>
  <c r="N11" i="3"/>
  <c r="AD34" i="3"/>
  <c r="M24" i="3"/>
  <c r="Z14" i="3"/>
  <c r="AM6" i="3"/>
  <c r="R19" i="3"/>
  <c r="AM27" i="3"/>
  <c r="AE40" i="3"/>
  <c r="M14" i="3"/>
  <c r="AN15" i="3"/>
  <c r="S28" i="3"/>
  <c r="X20" i="3"/>
  <c r="AD49" i="3"/>
  <c r="AO8" i="3"/>
  <c r="L41" i="3"/>
  <c r="AL11" i="3"/>
  <c r="AC24" i="3"/>
  <c r="AK15" i="3"/>
  <c r="AO26" i="3"/>
  <c r="K16" i="3"/>
  <c r="AO13" i="3"/>
  <c r="V23" i="3"/>
  <c r="AJ13" i="3"/>
  <c r="AK35" i="3"/>
  <c r="AQ27" i="3"/>
  <c r="N7" i="3"/>
  <c r="AQ5" i="3"/>
  <c r="V21" i="3"/>
  <c r="T42" i="3"/>
  <c r="AE16" i="3"/>
  <c r="H8" i="3"/>
  <c r="AI17" i="3"/>
  <c r="X18" i="3"/>
  <c r="J35" i="3"/>
  <c r="AG29" i="3"/>
  <c r="AO37" i="3"/>
  <c r="M17" i="3"/>
  <c r="C32" i="3"/>
  <c r="G48" i="3"/>
  <c r="Y36" i="3"/>
  <c r="P24" i="3"/>
  <c r="AN28" i="3"/>
  <c r="Y12" i="3"/>
  <c r="X39" i="3"/>
  <c r="C36" i="3"/>
  <c r="AA15" i="3"/>
  <c r="AE28" i="3"/>
  <c r="V30" i="3"/>
  <c r="AI13" i="3"/>
  <c r="G47" i="3"/>
  <c r="AK25" i="3"/>
  <c r="W32" i="3"/>
  <c r="Q12" i="3"/>
  <c r="K12" i="3"/>
  <c r="R22" i="3"/>
  <c r="AI40" i="3"/>
  <c r="T40" i="3"/>
  <c r="C16" i="3"/>
  <c r="M75" i="2"/>
  <c r="Z37" i="3"/>
  <c r="P31" i="3"/>
  <c r="T37" i="3"/>
  <c r="AM10" i="3"/>
  <c r="J33" i="3"/>
  <c r="AC30" i="3"/>
  <c r="H31" i="3"/>
  <c r="U38" i="3"/>
  <c r="R12" i="3"/>
  <c r="AH20" i="3"/>
  <c r="AO22" i="3"/>
  <c r="AI33" i="3"/>
  <c r="V15" i="3"/>
  <c r="K20" i="3"/>
  <c r="T18" i="3"/>
  <c r="V42" i="3"/>
  <c r="X11" i="3"/>
  <c r="AD23" i="3"/>
  <c r="M41" i="2"/>
  <c r="G70" i="2"/>
  <c r="AL33" i="3"/>
  <c r="AA12" i="3"/>
  <c r="V9" i="3"/>
  <c r="AN6" i="3"/>
  <c r="AQ19" i="3"/>
  <c r="K15" i="3"/>
  <c r="AG18" i="3"/>
  <c r="G39" i="3"/>
  <c r="AE38" i="3"/>
  <c r="V13" i="3"/>
  <c r="AB27" i="3"/>
  <c r="Z40" i="3"/>
  <c r="AH25" i="3"/>
  <c r="L42" i="3"/>
  <c r="Q15" i="3"/>
  <c r="Z21" i="3"/>
  <c r="J40" i="3"/>
  <c r="AN21" i="3"/>
  <c r="O36" i="3"/>
  <c r="AH27" i="3"/>
  <c r="AM28" i="3"/>
  <c r="P28" i="3"/>
  <c r="AP24" i="3"/>
  <c r="AG12" i="3"/>
  <c r="Y15" i="3"/>
  <c r="AK8" i="3"/>
  <c r="D48" i="3"/>
  <c r="N23" i="3"/>
  <c r="D47" i="3"/>
  <c r="I31" i="3"/>
  <c r="AN36" i="3"/>
  <c r="K28" i="3"/>
  <c r="G34" i="3"/>
  <c r="W39" i="3"/>
  <c r="AG40" i="3"/>
  <c r="AB31" i="3"/>
  <c r="M21" i="3"/>
  <c r="AA38" i="3"/>
  <c r="AE12" i="3"/>
  <c r="I5" i="3"/>
  <c r="AI14" i="3"/>
  <c r="K26" i="3"/>
  <c r="U16" i="3"/>
  <c r="AJ7" i="3"/>
  <c r="C26" i="3"/>
  <c r="AP21" i="3"/>
  <c r="AA27" i="3"/>
  <c r="AA35" i="3"/>
  <c r="R33" i="3"/>
  <c r="AN38" i="3"/>
  <c r="T20" i="3"/>
  <c r="AK40" i="3"/>
  <c r="J39" i="3"/>
  <c r="N16" i="3"/>
  <c r="AP27" i="3"/>
  <c r="R5" i="3"/>
  <c r="AK23" i="3"/>
  <c r="X41" i="3"/>
  <c r="L24" i="3"/>
  <c r="X19" i="3"/>
  <c r="AA39" i="3"/>
  <c r="AQ20" i="3"/>
  <c r="AQ17" i="3"/>
  <c r="AG11" i="3"/>
  <c r="Z33" i="3"/>
  <c r="C11" i="3"/>
  <c r="S35" i="3"/>
  <c r="O20" i="3"/>
  <c r="AD48" i="3"/>
  <c r="O26" i="3"/>
  <c r="N9" i="3"/>
  <c r="AO28" i="3"/>
  <c r="R13" i="3"/>
  <c r="P37" i="3"/>
  <c r="T9" i="3"/>
  <c r="N31" i="3"/>
  <c r="AI7" i="3"/>
  <c r="V5" i="3"/>
  <c r="AJ42" i="3"/>
  <c r="AC11" i="3"/>
  <c r="K7" i="3"/>
  <c r="C18" i="3"/>
  <c r="AJ27" i="3"/>
  <c r="AN41" i="3"/>
  <c r="AB9" i="3"/>
  <c r="P14" i="3"/>
  <c r="K22" i="3"/>
  <c r="AG35" i="3"/>
  <c r="N25" i="3"/>
  <c r="J20" i="3"/>
  <c r="AG31" i="3"/>
  <c r="AB14" i="3"/>
  <c r="AN18" i="3"/>
  <c r="Z39" i="3"/>
  <c r="M112" i="2"/>
  <c r="N70" i="2"/>
  <c r="H41" i="3"/>
  <c r="N39" i="3"/>
  <c r="C22" i="3"/>
  <c r="R20" i="3"/>
  <c r="C27" i="3"/>
  <c r="AO10" i="3"/>
  <c r="AQ41" i="3"/>
  <c r="L39" i="3"/>
  <c r="C6" i="3"/>
  <c r="M8" i="3"/>
  <c r="J5" i="3"/>
  <c r="Y29" i="3"/>
  <c r="S22" i="3"/>
  <c r="I17" i="3"/>
  <c r="C35" i="3"/>
  <c r="S13" i="3"/>
  <c r="P92" i="2"/>
  <c r="G50" i="3"/>
  <c r="P9" i="3"/>
  <c r="P38" i="3"/>
  <c r="AK19" i="3"/>
  <c r="AO12" i="3"/>
  <c r="R34" i="3"/>
  <c r="AL14" i="3"/>
  <c r="AG22" i="3"/>
  <c r="K25" i="3"/>
  <c r="AM42" i="3"/>
  <c r="J14" i="3"/>
  <c r="AD31" i="3"/>
  <c r="AG20" i="3"/>
  <c r="N37" i="3"/>
  <c r="V36" i="3"/>
  <c r="U20" i="3"/>
  <c r="AE15" i="3"/>
  <c r="W19" i="3"/>
  <c r="J38" i="3"/>
  <c r="T12" i="3"/>
  <c r="Y33" i="3"/>
  <c r="AL13" i="3"/>
  <c r="AQ15" i="3"/>
  <c r="Z32" i="3"/>
  <c r="AE35" i="3"/>
  <c r="AM36" i="3"/>
  <c r="Z17" i="3"/>
  <c r="O33" i="3"/>
  <c r="Q17" i="3"/>
  <c r="AP32" i="3"/>
  <c r="T38" i="3"/>
  <c r="AO19" i="3"/>
  <c r="O34" i="3"/>
  <c r="AO36" i="3"/>
  <c r="Q18" i="3"/>
  <c r="N18" i="3"/>
  <c r="J31" i="3"/>
  <c r="U40" i="3"/>
  <c r="V39" i="3"/>
  <c r="AJ32" i="3"/>
  <c r="L40" i="3"/>
  <c r="O40" i="3"/>
  <c r="AO5" i="3"/>
  <c r="V63" i="2"/>
  <c r="AC16" i="3"/>
  <c r="AM7" i="3"/>
  <c r="AP42" i="3"/>
  <c r="AA29" i="3"/>
  <c r="Z16" i="3"/>
  <c r="AH12" i="3"/>
  <c r="S18" i="3"/>
  <c r="Q11" i="3"/>
  <c r="M41" i="3"/>
  <c r="AD39" i="3"/>
  <c r="AH39" i="3"/>
  <c r="K10" i="3"/>
  <c r="C20" i="3"/>
  <c r="AC21" i="3"/>
  <c r="AN11" i="3"/>
  <c r="R31" i="3"/>
  <c r="AQ35" i="3"/>
  <c r="AI29" i="3"/>
  <c r="AM18" i="3"/>
  <c r="V10" i="3"/>
  <c r="S14" i="3"/>
  <c r="V40" i="3"/>
  <c r="Q25" i="3"/>
  <c r="P7" i="3"/>
  <c r="AJ37" i="3"/>
  <c r="AJ21" i="3"/>
  <c r="AG25" i="3"/>
  <c r="W8" i="3"/>
  <c r="X42" i="3"/>
  <c r="AN30" i="3"/>
  <c r="M82" i="2"/>
  <c r="AM35" i="3"/>
  <c r="Q20" i="3"/>
  <c r="AP35" i="3"/>
  <c r="U42" i="3"/>
  <c r="AN26" i="3"/>
  <c r="W14" i="3"/>
  <c r="T5" i="3"/>
  <c r="Q37" i="3"/>
  <c r="AQ34" i="3"/>
  <c r="J22" i="3"/>
  <c r="Y41" i="3"/>
  <c r="V20" i="3"/>
  <c r="O95" i="2"/>
  <c r="F107" i="2"/>
  <c r="J81" i="2"/>
  <c r="W28" i="3"/>
  <c r="K36" i="3"/>
  <c r="M22" i="3"/>
  <c r="AA21" i="3"/>
  <c r="O11" i="3"/>
  <c r="AB29" i="3"/>
  <c r="D50" i="3"/>
  <c r="N29" i="3"/>
  <c r="AO38" i="3"/>
  <c r="Y10" i="3"/>
  <c r="AE26" i="3"/>
  <c r="H29" i="3"/>
  <c r="R16" i="3"/>
  <c r="Z27" i="3"/>
  <c r="P33" i="3"/>
  <c r="AA19" i="3"/>
  <c r="AC15" i="3"/>
  <c r="AI35" i="3"/>
  <c r="AO35" i="3"/>
  <c r="J28" i="3"/>
  <c r="AH5" i="3"/>
  <c r="AB17" i="3"/>
  <c r="AK18" i="3"/>
  <c r="AA24" i="3"/>
  <c r="AB15" i="3"/>
  <c r="H33" i="3"/>
  <c r="U13" i="3"/>
  <c r="N47" i="2"/>
  <c r="O21" i="3"/>
  <c r="K32" i="3"/>
  <c r="AL23" i="3"/>
  <c r="AM34" i="3"/>
  <c r="T15" i="3"/>
  <c r="P12" i="3"/>
  <c r="N27" i="3"/>
  <c r="K8" i="3"/>
  <c r="S37" i="3"/>
  <c r="O68" i="2"/>
  <c r="K92" i="2"/>
  <c r="U40" i="2"/>
  <c r="AQ29" i="3"/>
  <c r="X28" i="3"/>
  <c r="AN27" i="3"/>
  <c r="AO32" i="3"/>
  <c r="AG23" i="3"/>
  <c r="E48" i="3"/>
  <c r="Q9" i="3"/>
  <c r="K18" i="3"/>
  <c r="AK10" i="3"/>
  <c r="Q41" i="3"/>
  <c r="M12" i="3"/>
  <c r="AM23" i="3"/>
  <c r="U14" i="3"/>
  <c r="AP20" i="3"/>
  <c r="J6" i="3"/>
  <c r="M28" i="3"/>
  <c r="W25" i="3"/>
  <c r="AJ40" i="3"/>
  <c r="Q32" i="3"/>
  <c r="AD29" i="3"/>
  <c r="AI10" i="3"/>
  <c r="Y30" i="3"/>
  <c r="AE5" i="3"/>
  <c r="Z29" i="3"/>
  <c r="AD21" i="3"/>
  <c r="L17" i="3"/>
  <c r="X37" i="3"/>
  <c r="J24" i="3"/>
  <c r="O12" i="3"/>
  <c r="AE22" i="3"/>
  <c r="AH8" i="3"/>
  <c r="Y42" i="3"/>
  <c r="L34" i="3"/>
  <c r="I32" i="3"/>
  <c r="AB16" i="3"/>
  <c r="AC41" i="3"/>
  <c r="AL19" i="3"/>
  <c r="J10" i="3"/>
  <c r="L10" i="3"/>
  <c r="M18" i="3"/>
  <c r="Q7" i="3"/>
  <c r="Q30" i="3"/>
  <c r="R8" i="3"/>
  <c r="S20" i="3"/>
  <c r="L21" i="3"/>
  <c r="AQ7" i="3"/>
  <c r="J19" i="3"/>
  <c r="L35" i="3"/>
  <c r="T90" i="2"/>
  <c r="C83" i="2"/>
  <c r="AB57" i="3"/>
  <c r="P5" i="3"/>
  <c r="N5" i="3"/>
  <c r="Q29" i="3"/>
  <c r="AO34" i="3"/>
  <c r="AB24" i="3"/>
  <c r="AN24" i="3"/>
  <c r="AP22" i="3"/>
  <c r="Z36" i="3"/>
  <c r="R37" i="3"/>
  <c r="I6" i="3"/>
  <c r="H15" i="3"/>
  <c r="U25" i="3"/>
  <c r="AL29" i="3"/>
  <c r="AD36" i="3"/>
  <c r="R41" i="3"/>
  <c r="AE37" i="3"/>
  <c r="W23" i="3"/>
  <c r="AL28" i="3"/>
  <c r="AN42" i="3"/>
  <c r="V26" i="3"/>
  <c r="C4" i="3"/>
  <c r="L7" i="3"/>
  <c r="AG41" i="3"/>
  <c r="E104" i="2"/>
  <c r="T61" i="2"/>
  <c r="AB93" i="3"/>
  <c r="AI24" i="3"/>
  <c r="U41" i="3"/>
  <c r="V33" i="3"/>
  <c r="M33" i="3"/>
  <c r="AI28" i="3"/>
  <c r="AA5" i="3"/>
  <c r="U6" i="3"/>
  <c r="Y7" i="3"/>
  <c r="N28" i="3"/>
  <c r="Z23" i="3"/>
  <c r="AL12" i="3"/>
  <c r="AH28" i="3"/>
  <c r="AJ18" i="3"/>
  <c r="W42" i="3"/>
  <c r="L15" i="3"/>
  <c r="AQ26" i="3"/>
  <c r="Y14" i="3"/>
  <c r="V22" i="3"/>
  <c r="Z42" i="3"/>
  <c r="AQ31" i="3"/>
  <c r="AH38" i="3"/>
  <c r="AA18" i="3"/>
  <c r="I11" i="3"/>
  <c r="C10" i="3"/>
  <c r="AJ10" i="3"/>
  <c r="AK26" i="3"/>
  <c r="O31" i="3"/>
  <c r="AB40" i="3"/>
  <c r="AH9" i="3"/>
  <c r="S25" i="3"/>
  <c r="V14" i="3"/>
  <c r="T27" i="3"/>
  <c r="M16" i="3"/>
  <c r="AE27" i="3"/>
  <c r="K37" i="3"/>
  <c r="K9" i="3"/>
  <c r="K41" i="3"/>
  <c r="AP38" i="3"/>
  <c r="AA26" i="3"/>
  <c r="AQ28" i="3"/>
  <c r="T13" i="3"/>
  <c r="AQ11" i="3"/>
  <c r="AA37" i="3"/>
  <c r="Q10" i="3"/>
  <c r="K5" i="3"/>
  <c r="AJ29" i="3"/>
  <c r="J11" i="3"/>
  <c r="AG33" i="3"/>
  <c r="X8" i="3"/>
  <c r="D49" i="3"/>
  <c r="U32" i="3"/>
  <c r="S15" i="3"/>
  <c r="AB32" i="3"/>
  <c r="AM15" i="3"/>
  <c r="AL35" i="3"/>
  <c r="AC34" i="3"/>
  <c r="H39" i="3"/>
  <c r="J26" i="3"/>
  <c r="T6" i="3"/>
  <c r="Y21" i="3"/>
  <c r="AK28" i="3"/>
  <c r="AH6" i="3"/>
  <c r="AD41" i="3"/>
  <c r="X6" i="3"/>
  <c r="V37" i="3"/>
  <c r="U17" i="3"/>
  <c r="AI26" i="3"/>
  <c r="V19" i="3"/>
  <c r="H22" i="3"/>
  <c r="I75" i="2"/>
  <c r="R26" i="3"/>
  <c r="AD30" i="3"/>
  <c r="Z41" i="3"/>
  <c r="AG16" i="3"/>
  <c r="N17" i="3"/>
  <c r="W59" i="2"/>
  <c r="R107" i="2"/>
  <c r="AP91" i="3"/>
  <c r="W37" i="3"/>
  <c r="Y39" i="3"/>
  <c r="AO24" i="3"/>
  <c r="M7" i="3"/>
  <c r="H25" i="3"/>
  <c r="Q22" i="3"/>
  <c r="I34" i="3"/>
  <c r="O27" i="3"/>
  <c r="AE29" i="3"/>
  <c r="AJ12" i="3"/>
  <c r="AO9" i="3"/>
  <c r="H23" i="3"/>
  <c r="AL40" i="3"/>
  <c r="Y8" i="3"/>
  <c r="AL26" i="3"/>
  <c r="X9" i="3"/>
  <c r="N13" i="3"/>
  <c r="AC12" i="3"/>
  <c r="AM31" i="3"/>
  <c r="AK32" i="3"/>
  <c r="H26" i="3"/>
  <c r="AC32" i="3"/>
  <c r="AC38" i="3"/>
  <c r="AG24" i="3"/>
  <c r="AH18" i="3"/>
  <c r="H12" i="3"/>
  <c r="AG13" i="3"/>
  <c r="P36" i="3"/>
  <c r="Q39" i="3"/>
  <c r="N22" i="3"/>
  <c r="X23" i="3"/>
  <c r="N41" i="3"/>
  <c r="AB66" i="3"/>
  <c r="Z12" i="3"/>
  <c r="T10" i="3"/>
  <c r="M30" i="3"/>
  <c r="L27" i="3"/>
  <c r="S26" i="3"/>
  <c r="O32" i="3"/>
  <c r="AN16" i="3"/>
  <c r="H30" i="3"/>
  <c r="AL24" i="3"/>
  <c r="AO42" i="3"/>
  <c r="AA28" i="3"/>
  <c r="T31" i="3"/>
  <c r="L69" i="2"/>
  <c r="X97" i="2"/>
  <c r="AP85" i="3"/>
  <c r="AA34" i="3"/>
  <c r="AB22" i="3"/>
  <c r="AP26" i="3"/>
  <c r="O24" i="3"/>
  <c r="I7" i="3"/>
  <c r="AC23" i="3"/>
  <c r="W35" i="3"/>
  <c r="AC5" i="3"/>
  <c r="H10" i="3"/>
  <c r="AO30" i="3"/>
  <c r="Z7" i="3"/>
  <c r="L9" i="3"/>
  <c r="P15" i="3"/>
  <c r="AO18" i="3"/>
  <c r="AH26" i="3"/>
  <c r="I12" i="3"/>
  <c r="AI37" i="3"/>
  <c r="AJ35" i="3"/>
  <c r="Y35" i="3"/>
  <c r="M42" i="3"/>
  <c r="S8" i="3"/>
  <c r="C13" i="3"/>
  <c r="AP29" i="3"/>
  <c r="T39" i="3"/>
  <c r="AJ19" i="3"/>
  <c r="V28" i="3"/>
  <c r="AC10" i="3"/>
  <c r="V17" i="3"/>
  <c r="N33" i="3"/>
  <c r="AG9" i="3"/>
  <c r="AM38" i="3"/>
  <c r="W30" i="3"/>
  <c r="S10" i="3"/>
  <c r="O13" i="3"/>
  <c r="R7" i="3"/>
  <c r="AJ9" i="3"/>
  <c r="AK16" i="3"/>
  <c r="AJ6" i="3"/>
  <c r="AO40" i="3"/>
  <c r="AO27" i="3"/>
  <c r="T68" i="2"/>
  <c r="H14" i="3"/>
  <c r="AK11" i="3"/>
  <c r="AB13" i="3"/>
  <c r="AD40" i="3"/>
  <c r="Q14" i="3"/>
  <c r="Q24" i="3"/>
  <c r="K27" i="3"/>
  <c r="M40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F134" i="1" s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D120" i="1" s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P202" i="1" s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U161" i="1" s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B65" i="1"/>
  <c r="E120" i="1"/>
  <c r="R134" i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AO55" i="3"/>
  <c r="I90" i="3"/>
  <c r="AN61" i="3"/>
  <c r="X96" i="3"/>
  <c r="AM57" i="3"/>
  <c r="U75" i="3"/>
  <c r="S74" i="3"/>
  <c r="I63" i="3"/>
  <c r="V89" i="3"/>
  <c r="L74" i="3"/>
  <c r="L85" i="3"/>
  <c r="AA77" i="3"/>
  <c r="AI62" i="3"/>
  <c r="AK84" i="3"/>
  <c r="H59" i="3"/>
  <c r="H83" i="3"/>
  <c r="L87" i="3"/>
  <c r="L71" i="3"/>
  <c r="AN93" i="3"/>
  <c r="O89" i="3"/>
  <c r="T81" i="3"/>
  <c r="AA62" i="3"/>
  <c r="AK47" i="3"/>
  <c r="AH75" i="3"/>
  <c r="K71" i="3"/>
  <c r="AQ89" i="3"/>
  <c r="T82" i="3"/>
  <c r="I61" i="3"/>
  <c r="H57" i="3"/>
  <c r="AN55" i="3"/>
  <c r="AE71" i="3"/>
  <c r="Q83" i="3"/>
  <c r="N63" i="3"/>
  <c r="U55" i="3"/>
  <c r="AH47" i="3"/>
  <c r="AJ68" i="3"/>
  <c r="R85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J82" i="3"/>
  <c r="AK83" i="3"/>
  <c r="J50" i="3"/>
  <c r="R75" i="3"/>
  <c r="R68" i="3"/>
  <c r="AM65" i="3"/>
  <c r="AI48" i="3"/>
  <c r="AA78" i="3"/>
  <c r="J96" i="3"/>
  <c r="AQ83" i="3"/>
  <c r="W84" i="3"/>
  <c r="U50" i="3"/>
  <c r="Y55" i="3"/>
  <c r="AC48" i="3"/>
  <c r="AK90" i="3"/>
  <c r="J77" i="3"/>
  <c r="M55" i="3"/>
  <c r="X50" i="3"/>
  <c r="S90" i="3"/>
  <c r="Z56" i="3"/>
  <c r="O80" i="3"/>
  <c r="Z95" i="3"/>
  <c r="V75" i="3"/>
  <c r="AO92" i="3"/>
  <c r="M54" i="3"/>
  <c r="AE63" i="3"/>
  <c r="AO56" i="3"/>
  <c r="AE77" i="3"/>
  <c r="AA67" i="3"/>
  <c r="AC64" i="3"/>
  <c r="AL48" i="3"/>
  <c r="AG82" i="3"/>
  <c r="T73" i="3"/>
  <c r="Y90" i="3"/>
  <c r="Z63" i="3"/>
  <c r="AA92" i="3"/>
  <c r="AE58" i="3"/>
  <c r="H56" i="3"/>
  <c r="Z91" i="3"/>
  <c r="V76" i="3"/>
  <c r="K58" i="3"/>
  <c r="AH58" i="3"/>
  <c r="W47" i="3"/>
  <c r="Y92" i="3"/>
  <c r="K78" i="3"/>
  <c r="AC85" i="3"/>
  <c r="I65" i="3"/>
  <c r="Y66" i="3"/>
  <c r="R81" i="3"/>
  <c r="AO80" i="3"/>
  <c r="AQ68" i="3"/>
  <c r="Y77" i="3"/>
  <c r="AA56" i="3"/>
  <c r="V81" i="3"/>
  <c r="AI73" i="3"/>
  <c r="K48" i="3"/>
  <c r="H95" i="3"/>
  <c r="K81" i="3"/>
  <c r="AK94" i="3"/>
  <c r="AI61" i="3"/>
  <c r="O94" i="3"/>
  <c r="AJ86" i="3"/>
  <c r="M89" i="3"/>
  <c r="W58" i="3"/>
  <c r="X68" i="3"/>
  <c r="AQ69" i="3"/>
  <c r="T93" i="3"/>
  <c r="AM95" i="3"/>
  <c r="AE73" i="3"/>
  <c r="N60" i="3"/>
  <c r="V50" i="3"/>
  <c r="AH92" i="3"/>
  <c r="T76" i="3"/>
  <c r="AN50" i="3"/>
  <c r="K76" i="3"/>
  <c r="AL97" i="3"/>
  <c r="I74" i="3"/>
  <c r="Z62" i="3"/>
  <c r="Z66" i="3"/>
  <c r="S64" i="3"/>
  <c r="AL47" i="3"/>
  <c r="N61" i="3"/>
  <c r="U78" i="3"/>
  <c r="AL90" i="3"/>
  <c r="AL74" i="3"/>
  <c r="U82" i="3"/>
  <c r="Z50" i="3"/>
  <c r="S68" i="3"/>
  <c r="AA75" i="3"/>
  <c r="X61" i="3"/>
  <c r="N75" i="3"/>
  <c r="Q77" i="3"/>
  <c r="AJ92" i="3"/>
  <c r="P73" i="3"/>
  <c r="AQ50" i="3"/>
  <c r="P82" i="3"/>
  <c r="AK86" i="3"/>
  <c r="J54" i="3"/>
  <c r="Q56" i="3"/>
  <c r="W60" i="3"/>
  <c r="P91" i="3"/>
  <c r="AH54" i="3"/>
  <c r="M85" i="3"/>
  <c r="AK72" i="3"/>
  <c r="AJ80" i="3"/>
  <c r="T77" i="3"/>
  <c r="J62" i="3"/>
  <c r="W49" i="3"/>
  <c r="AC81" i="3"/>
  <c r="R65" i="3"/>
  <c r="S86" i="3"/>
  <c r="P65" i="3"/>
  <c r="AI86" i="3"/>
  <c r="AN97" i="3"/>
  <c r="AL49" i="3"/>
  <c r="U89" i="3"/>
  <c r="V62" i="3"/>
  <c r="AJ78" i="3"/>
  <c r="W95" i="3"/>
  <c r="AH87" i="3"/>
  <c r="T78" i="3"/>
  <c r="AO94" i="3"/>
  <c r="V59" i="3"/>
  <c r="Z71" i="3"/>
  <c r="M81" i="3"/>
  <c r="T68" i="3"/>
  <c r="K93" i="3"/>
  <c r="S60" i="3"/>
  <c r="AN66" i="3"/>
  <c r="Q80" i="3"/>
  <c r="AN68" i="3"/>
  <c r="T89" i="3"/>
  <c r="U72" i="3"/>
  <c r="AL69" i="3"/>
  <c r="AE94" i="3"/>
  <c r="N55" i="3"/>
  <c r="P72" i="3"/>
  <c r="R66" i="3"/>
  <c r="T87" i="3"/>
  <c r="V88" i="3"/>
  <c r="AA73" i="3"/>
  <c r="S91" i="3"/>
  <c r="AN84" i="3"/>
  <c r="AJ90" i="3"/>
  <c r="J76" i="3"/>
  <c r="T56" i="3"/>
  <c r="U70" i="3"/>
  <c r="AJ71" i="3"/>
  <c r="H90" i="3"/>
  <c r="Z59" i="3"/>
  <c r="T83" i="3"/>
  <c r="R97" i="3"/>
  <c r="AK58" i="3"/>
  <c r="M86" i="3"/>
  <c r="AK82" i="3"/>
  <c r="AC96" i="3"/>
  <c r="I94" i="3"/>
  <c r="V82" i="3"/>
  <c r="AK75" i="3"/>
  <c r="AK70" i="3"/>
  <c r="P80" i="3"/>
  <c r="AH78" i="3"/>
  <c r="N81" i="3"/>
  <c r="AO90" i="3"/>
  <c r="I70" i="3"/>
  <c r="AQ74" i="3"/>
  <c r="AI67" i="3"/>
  <c r="O72" i="3"/>
  <c r="Z69" i="3"/>
  <c r="AG77" i="3"/>
  <c r="Y68" i="3"/>
  <c r="AQ63" i="3"/>
  <c r="AJ62" i="3"/>
  <c r="N80" i="3"/>
  <c r="Y93" i="3"/>
  <c r="O93" i="3"/>
  <c r="W91" i="3"/>
  <c r="K95" i="3"/>
  <c r="V94" i="3"/>
  <c r="AE87" i="3"/>
  <c r="K92" i="3"/>
  <c r="AG91" i="3"/>
  <c r="AH90" i="3"/>
  <c r="Z85" i="3"/>
  <c r="AM77" i="3"/>
  <c r="I91" i="3"/>
  <c r="U49" i="3"/>
  <c r="W61" i="3"/>
  <c r="V73" i="3"/>
  <c r="AJ49" i="3"/>
  <c r="AL75" i="3"/>
  <c r="AO87" i="3"/>
  <c r="S50" i="3"/>
  <c r="M70" i="3"/>
  <c r="W88" i="3"/>
  <c r="AC80" i="3"/>
  <c r="Y72" i="3"/>
  <c r="AQ60" i="3"/>
  <c r="AH93" i="3"/>
  <c r="Q49" i="3"/>
  <c r="AK76" i="3"/>
  <c r="V77" i="3"/>
  <c r="W54" i="3"/>
  <c r="AN56" i="3"/>
  <c r="AM73" i="3"/>
  <c r="S88" i="3"/>
  <c r="O67" i="3"/>
  <c r="AA61" i="3"/>
  <c r="S89" i="3"/>
  <c r="W83" i="3"/>
  <c r="L55" i="3"/>
  <c r="AK92" i="3"/>
  <c r="P74" i="3"/>
  <c r="M78" i="3"/>
  <c r="AA48" i="3"/>
  <c r="N74" i="3"/>
  <c r="V83" i="3"/>
  <c r="AH61" i="3"/>
  <c r="R60" i="3"/>
  <c r="P67" i="3"/>
  <c r="AJ77" i="3"/>
  <c r="AC67" i="3"/>
  <c r="AG78" i="3"/>
  <c r="I84" i="3"/>
  <c r="R87" i="3"/>
  <c r="AA84" i="3"/>
  <c r="U93" i="3"/>
  <c r="AQ75" i="3"/>
  <c r="AA49" i="3"/>
  <c r="W72" i="3"/>
  <c r="AH97" i="3"/>
  <c r="AQ71" i="3"/>
  <c r="V72" i="3"/>
  <c r="Y60" i="3"/>
  <c r="U92" i="3"/>
  <c r="AH59" i="3"/>
  <c r="T71" i="3"/>
  <c r="M79" i="3"/>
  <c r="I73" i="3"/>
  <c r="AO91" i="3"/>
  <c r="T91" i="3"/>
  <c r="R77" i="3"/>
  <c r="AQ85" i="3"/>
  <c r="I82" i="3"/>
  <c r="M82" i="3"/>
  <c r="I75" i="3"/>
  <c r="M90" i="3"/>
  <c r="R94" i="3"/>
  <c r="I55" i="3"/>
  <c r="U90" i="3"/>
  <c r="AL80" i="3"/>
  <c r="J58" i="3"/>
  <c r="V90" i="3"/>
  <c r="AH88" i="3"/>
  <c r="J67" i="3"/>
  <c r="X85" i="3"/>
  <c r="Q95" i="3"/>
  <c r="K65" i="3"/>
  <c r="AK50" i="3"/>
  <c r="U80" i="3"/>
  <c r="AE97" i="3"/>
  <c r="K49" i="3"/>
  <c r="AC92" i="3"/>
  <c r="R57" i="3"/>
  <c r="V63" i="3"/>
  <c r="T86" i="3"/>
  <c r="AL92" i="3"/>
  <c r="AO70" i="3"/>
  <c r="AJ89" i="3"/>
  <c r="AJ64" i="3"/>
  <c r="M74" i="3"/>
  <c r="AJ55" i="3"/>
  <c r="O56" i="3"/>
  <c r="AE54" i="3"/>
  <c r="AM54" i="3"/>
  <c r="AL81" i="3"/>
  <c r="X48" i="3"/>
  <c r="V84" i="3"/>
  <c r="R91" i="3"/>
  <c r="AA96" i="3"/>
  <c r="AH67" i="3"/>
  <c r="I71" i="3"/>
  <c r="Z83" i="3"/>
  <c r="L81" i="3"/>
  <c r="L83" i="3"/>
  <c r="L57" i="3"/>
  <c r="J93" i="3"/>
  <c r="AN80" i="3"/>
  <c r="AC87" i="3"/>
  <c r="K88" i="3"/>
  <c r="I89" i="3"/>
  <c r="Y50" i="3"/>
  <c r="P48" i="3"/>
  <c r="AE60" i="3"/>
  <c r="AH63" i="3"/>
  <c r="AC89" i="3"/>
  <c r="M73" i="3"/>
  <c r="K57" i="3"/>
  <c r="AG94" i="3"/>
  <c r="AG80" i="3"/>
  <c r="W73" i="3"/>
  <c r="X87" i="3"/>
  <c r="AK88" i="3"/>
  <c r="Y67" i="3"/>
  <c r="L95" i="3"/>
  <c r="M66" i="3"/>
  <c r="N68" i="3"/>
  <c r="V93" i="3"/>
  <c r="Y71" i="3"/>
  <c r="AH95" i="3"/>
  <c r="AG89" i="3"/>
  <c r="S62" i="3"/>
  <c r="K74" i="3"/>
  <c r="W63" i="3"/>
  <c r="AC93" i="3"/>
  <c r="Z90" i="3"/>
  <c r="S61" i="3"/>
  <c r="AE62" i="3"/>
  <c r="AO75" i="3"/>
  <c r="P83" i="3"/>
  <c r="P49" i="3"/>
  <c r="L91" i="3"/>
  <c r="X95" i="3"/>
  <c r="AC60" i="3"/>
  <c r="AI50" i="3"/>
  <c r="L76" i="3"/>
  <c r="H94" i="3"/>
  <c r="AC66" i="3"/>
  <c r="I96" i="3"/>
  <c r="AA90" i="3"/>
  <c r="Z79" i="3"/>
  <c r="J61" i="3"/>
  <c r="AL72" i="3"/>
  <c r="AJ73" i="3"/>
  <c r="V68" i="3"/>
  <c r="O73" i="3"/>
  <c r="J65" i="3"/>
  <c r="AL82" i="3"/>
  <c r="AL84" i="3"/>
  <c r="U83" i="3"/>
  <c r="AN81" i="3"/>
  <c r="H50" i="3"/>
  <c r="AK64" i="3"/>
  <c r="O55" i="3"/>
  <c r="W90" i="3"/>
  <c r="AO95" i="3"/>
  <c r="AQ49" i="3"/>
  <c r="R49" i="3"/>
  <c r="AA70" i="3"/>
  <c r="R67" i="3"/>
  <c r="N66" i="3"/>
  <c r="AC49" i="3"/>
  <c r="T64" i="3"/>
  <c r="X74" i="3"/>
  <c r="AL62" i="3"/>
  <c r="N58" i="3"/>
  <c r="AH86" i="3"/>
  <c r="AM49" i="3"/>
  <c r="R96" i="3"/>
  <c r="AM82" i="3"/>
  <c r="AA66" i="3"/>
  <c r="H74" i="3"/>
  <c r="K47" i="3"/>
  <c r="X66" i="3"/>
  <c r="AG48" i="3"/>
  <c r="Y97" i="3"/>
  <c r="V58" i="3"/>
  <c r="AK79" i="3"/>
  <c r="P77" i="3"/>
  <c r="AO61" i="3"/>
  <c r="AK73" i="3"/>
  <c r="K69" i="3"/>
  <c r="X75" i="3"/>
  <c r="P85" i="3"/>
  <c r="T72" i="3"/>
  <c r="AN87" i="3"/>
  <c r="AO57" i="3"/>
  <c r="Q90" i="3"/>
  <c r="AH60" i="3"/>
  <c r="I72" i="3"/>
  <c r="AN47" i="3"/>
  <c r="AL88" i="3"/>
  <c r="AM70" i="3"/>
  <c r="AC62" i="3"/>
  <c r="I83" i="3"/>
  <c r="X72" i="3"/>
  <c r="K85" i="3"/>
  <c r="P55" i="3"/>
  <c r="N86" i="3"/>
  <c r="I78" i="3"/>
  <c r="K70" i="3"/>
  <c r="AQ48" i="3"/>
  <c r="AG79" i="3"/>
  <c r="Q92" i="3"/>
  <c r="AA68" i="3"/>
  <c r="AO85" i="3"/>
  <c r="J74" i="3"/>
  <c r="J84" i="3"/>
  <c r="Y48" i="3"/>
  <c r="AQ90" i="3"/>
  <c r="AL64" i="3"/>
  <c r="AG50" i="3"/>
  <c r="AG55" i="3"/>
  <c r="AE76" i="3"/>
  <c r="AQ93" i="3"/>
  <c r="R63" i="3"/>
  <c r="AK74" i="3"/>
  <c r="Z77" i="3"/>
  <c r="Y95" i="3"/>
  <c r="AH81" i="3"/>
  <c r="I85" i="3"/>
  <c r="AM94" i="3"/>
  <c r="P95" i="3"/>
  <c r="AA82" i="3"/>
  <c r="AJ56" i="3"/>
  <c r="W62" i="3"/>
  <c r="AG72" i="3"/>
  <c r="Y57" i="3"/>
  <c r="AL55" i="3"/>
  <c r="AK63" i="3"/>
  <c r="O85" i="3"/>
  <c r="AI91" i="3"/>
  <c r="AM55" i="3"/>
  <c r="S77" i="3"/>
  <c r="T85" i="3"/>
  <c r="M84" i="3"/>
  <c r="U59" i="3"/>
  <c r="X64" i="3"/>
  <c r="X71" i="3"/>
  <c r="J63" i="3"/>
  <c r="W79" i="3"/>
  <c r="S83" i="3"/>
  <c r="AM63" i="3"/>
  <c r="P63" i="3"/>
  <c r="AG69" i="3"/>
  <c r="Q65" i="3"/>
  <c r="P81" i="3"/>
  <c r="AE86" i="3"/>
  <c r="T202" i="1" l="1"/>
  <c r="Q202" i="1"/>
  <c r="L120" i="1"/>
  <c r="D128" i="1"/>
  <c r="O120" i="1"/>
  <c r="U148" i="1"/>
  <c r="U182" i="1" s="1"/>
  <c r="U181" i="1" s="1"/>
  <c r="M120" i="1"/>
  <c r="I161" i="1"/>
  <c r="J209" i="1" s="1"/>
  <c r="O161" i="1"/>
  <c r="I148" i="1"/>
  <c r="I182" i="1" s="1"/>
  <c r="I181" i="1" s="1"/>
  <c r="C120" i="1"/>
  <c r="C175" i="1" s="1"/>
  <c r="C128" i="1"/>
  <c r="C202" i="1"/>
  <c r="F128" i="1"/>
  <c r="F37" i="1" s="1"/>
  <c r="S202" i="1"/>
  <c r="N134" i="1"/>
  <c r="L134" i="1"/>
  <c r="V161" i="1"/>
  <c r="W209" i="1" s="1"/>
  <c r="V202" i="1"/>
  <c r="M161" i="1"/>
  <c r="N209" i="1" s="1"/>
  <c r="S173" i="1"/>
  <c r="T161" i="1"/>
  <c r="U209" i="1" s="1"/>
  <c r="B173" i="1"/>
  <c r="C134" i="1"/>
  <c r="Q173" i="1"/>
  <c r="H120" i="1"/>
  <c r="S161" i="1"/>
  <c r="T209" i="1" s="1"/>
  <c r="R128" i="1"/>
  <c r="R37" i="1" s="1"/>
  <c r="V128" i="1"/>
  <c r="S148" i="1"/>
  <c r="S182" i="1" s="1"/>
  <c r="T120" i="1"/>
  <c r="H173" i="1"/>
  <c r="C173" i="1"/>
  <c r="I120" i="1"/>
  <c r="I207" i="1" s="1"/>
  <c r="J134" i="1"/>
  <c r="M148" i="1"/>
  <c r="M182" i="1" s="1"/>
  <c r="M181" i="1" s="1"/>
  <c r="U134" i="1"/>
  <c r="U138" i="1" s="1"/>
  <c r="B156" i="1"/>
  <c r="B185" i="1" s="1"/>
  <c r="B184" i="1" s="1"/>
  <c r="S134" i="1"/>
  <c r="B134" i="1"/>
  <c r="K202" i="1"/>
  <c r="H161" i="1"/>
  <c r="C65" i="1"/>
  <c r="S128" i="1"/>
  <c r="S249" i="1" s="1"/>
  <c r="S251" i="1" s="1"/>
  <c r="S156" i="1"/>
  <c r="C148" i="1"/>
  <c r="K161" i="1"/>
  <c r="D161" i="1"/>
  <c r="E209" i="1" s="1"/>
  <c r="F161" i="1"/>
  <c r="M202" i="1"/>
  <c r="F120" i="1"/>
  <c r="T134" i="1"/>
  <c r="T33" i="1" s="1"/>
  <c r="B120" i="1"/>
  <c r="G134" i="1"/>
  <c r="T128" i="1"/>
  <c r="M173" i="1"/>
  <c r="O128" i="1"/>
  <c r="L202" i="1"/>
  <c r="B128" i="1"/>
  <c r="C249" i="1" s="1"/>
  <c r="C251" i="1" s="1"/>
  <c r="N173" i="1"/>
  <c r="D65" i="1"/>
  <c r="D107" i="1" s="1"/>
  <c r="K148" i="1"/>
  <c r="K128" i="1"/>
  <c r="F148" i="1"/>
  <c r="F182" i="1" s="1"/>
  <c r="F181" i="1" s="1"/>
  <c r="J161" i="1"/>
  <c r="G120" i="1"/>
  <c r="D173" i="1"/>
  <c r="J128" i="1"/>
  <c r="J168" i="1" s="1"/>
  <c r="J109" i="1" s="1"/>
  <c r="N202" i="1"/>
  <c r="E173" i="1"/>
  <c r="R202" i="1"/>
  <c r="L148" i="1"/>
  <c r="D202" i="1"/>
  <c r="G148" i="1"/>
  <c r="G182" i="1" s="1"/>
  <c r="G181" i="1" s="1"/>
  <c r="K120" i="1"/>
  <c r="C161" i="1"/>
  <c r="T138" i="1"/>
  <c r="P148" i="1"/>
  <c r="W128" i="1"/>
  <c r="D148" i="1"/>
  <c r="U120" i="1"/>
  <c r="F156" i="1"/>
  <c r="F185" i="1" s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J248" i="1" s="1"/>
  <c r="Q161" i="1"/>
  <c r="N156" i="1"/>
  <c r="N185" i="1" s="1"/>
  <c r="N184" i="1" s="1"/>
  <c r="V148" i="1"/>
  <c r="O148" i="1"/>
  <c r="I128" i="1"/>
  <c r="I168" i="1" s="1"/>
  <c r="I109" i="1" s="1"/>
  <c r="O202" i="1"/>
  <c r="D134" i="1"/>
  <c r="G161" i="1"/>
  <c r="Q134" i="1"/>
  <c r="T148" i="1"/>
  <c r="U196" i="1" s="1"/>
  <c r="E128" i="1"/>
  <c r="E206" i="1" s="1"/>
  <c r="M134" i="1"/>
  <c r="Q120" i="1"/>
  <c r="P173" i="1"/>
  <c r="E148" i="1"/>
  <c r="E182" i="1" s="1"/>
  <c r="E181" i="1" s="1"/>
  <c r="L173" i="1"/>
  <c r="K173" i="1"/>
  <c r="K134" i="1"/>
  <c r="N128" i="1"/>
  <c r="O173" i="1"/>
  <c r="L128" i="1"/>
  <c r="P120" i="1"/>
  <c r="B148" i="1"/>
  <c r="T173" i="1"/>
  <c r="J173" i="1"/>
  <c r="P134" i="1"/>
  <c r="P138" i="1" s="1"/>
  <c r="G128" i="1"/>
  <c r="U128" i="1"/>
  <c r="D156" i="1"/>
  <c r="H202" i="1"/>
  <c r="S120" i="1"/>
  <c r="W134" i="1"/>
  <c r="F173" i="1"/>
  <c r="O134" i="1"/>
  <c r="L161" i="1"/>
  <c r="R161" i="1"/>
  <c r="I173" i="1"/>
  <c r="R120" i="1"/>
  <c r="Q148" i="1"/>
  <c r="V120" i="1"/>
  <c r="Q128" i="1"/>
  <c r="K156" i="1"/>
  <c r="N179" i="1"/>
  <c r="N148" i="1"/>
  <c r="P156" i="1"/>
  <c r="P185" i="1" s="1"/>
  <c r="P184" i="1" s="1"/>
  <c r="T156" i="1"/>
  <c r="J156" i="1"/>
  <c r="E156" i="1"/>
  <c r="G156" i="1"/>
  <c r="O156" i="1"/>
  <c r="U156" i="1"/>
  <c r="L156" i="1"/>
  <c r="L175" i="1"/>
  <c r="R54" i="1"/>
  <c r="H179" i="1"/>
  <c r="H148" i="1"/>
  <c r="R175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107" i="1"/>
  <c r="C66" i="1"/>
  <c r="C108" i="1"/>
  <c r="B138" i="1"/>
  <c r="B33" i="1"/>
  <c r="V209" i="1"/>
  <c r="C138" i="1"/>
  <c r="C33" i="1"/>
  <c r="C37" i="1"/>
  <c r="V37" i="1"/>
  <c r="P209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O248" i="1"/>
  <c r="BU252" i="1"/>
  <c r="BU10" i="1"/>
  <c r="D206" i="1"/>
  <c r="D37" i="1"/>
  <c r="D129" i="1"/>
  <c r="D55" i="1" s="1"/>
  <c r="M175" i="1"/>
  <c r="M54" i="1"/>
  <c r="M207" i="1"/>
  <c r="F138" i="1"/>
  <c r="F33" i="1"/>
  <c r="N175" i="1"/>
  <c r="N54" i="1"/>
  <c r="N248" i="1"/>
  <c r="N207" i="1"/>
  <c r="N138" i="1"/>
  <c r="N33" i="1"/>
  <c r="E175" i="1"/>
  <c r="E207" i="1"/>
  <c r="J138" i="1"/>
  <c r="J33" i="1"/>
  <c r="R138" i="1"/>
  <c r="R33" i="1"/>
  <c r="O54" i="1"/>
  <c r="O207" i="1"/>
  <c r="O129" i="1"/>
  <c r="O55" i="1" s="1"/>
  <c r="O175" i="1"/>
  <c r="D54" i="1"/>
  <c r="D175" i="1"/>
  <c r="G175" i="1"/>
  <c r="G54" i="1"/>
  <c r="J196" i="1"/>
  <c r="K209" i="1"/>
  <c r="J37" i="1"/>
  <c r="BD10" i="1"/>
  <c r="BD253" i="1"/>
  <c r="BD231" i="1"/>
  <c r="BG98" i="1"/>
  <c r="BG99" i="1" s="1"/>
  <c r="AI203" i="1"/>
  <c r="AI201" i="1" s="1"/>
  <c r="AI26" i="1"/>
  <c r="E54" i="1"/>
  <c r="O206" i="1"/>
  <c r="H206" i="1"/>
  <c r="U207" i="1"/>
  <c r="H168" i="1"/>
  <c r="H109" i="1" s="1"/>
  <c r="P33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S181" i="1"/>
  <c r="CQ134" i="1"/>
  <c r="DB77" i="1"/>
  <c r="CY65" i="1"/>
  <c r="CZ63" i="1"/>
  <c r="H129" i="1" l="1"/>
  <c r="H55" i="1" s="1"/>
  <c r="J249" i="1"/>
  <c r="J251" i="1" s="1"/>
  <c r="H54" i="1"/>
  <c r="H37" i="1"/>
  <c r="U249" i="1"/>
  <c r="U251" i="1" s="1"/>
  <c r="H207" i="1"/>
  <c r="G196" i="1"/>
  <c r="F196" i="1"/>
  <c r="D249" i="1"/>
  <c r="D251" i="1" s="1"/>
  <c r="H175" i="1"/>
  <c r="L33" i="1"/>
  <c r="L138" i="1"/>
  <c r="F129" i="1"/>
  <c r="F55" i="1" s="1"/>
  <c r="F54" i="1"/>
  <c r="T207" i="1"/>
  <c r="E196" i="1"/>
  <c r="D197" i="1"/>
  <c r="I209" i="1"/>
  <c r="H248" i="1"/>
  <c r="G207" i="1"/>
  <c r="T206" i="1"/>
  <c r="T205" i="1" s="1"/>
  <c r="F175" i="1"/>
  <c r="T175" i="1"/>
  <c r="T168" i="1"/>
  <c r="T109" i="1" s="1"/>
  <c r="D168" i="1"/>
  <c r="D109" i="1" s="1"/>
  <c r="D110" i="1" s="1"/>
  <c r="D113" i="1" s="1"/>
  <c r="M248" i="1"/>
  <c r="F207" i="1"/>
  <c r="U33" i="1"/>
  <c r="J129" i="1"/>
  <c r="J55" i="1" s="1"/>
  <c r="D248" i="1"/>
  <c r="F248" i="1"/>
  <c r="P197" i="1"/>
  <c r="C157" i="1"/>
  <c r="F157" i="1"/>
  <c r="V168" i="1"/>
  <c r="V109" i="1" s="1"/>
  <c r="C129" i="1"/>
  <c r="C55" i="1" s="1"/>
  <c r="D207" i="1"/>
  <c r="D205" i="1" s="1"/>
  <c r="AR134" i="1"/>
  <c r="AR138" i="1" s="1"/>
  <c r="C54" i="1"/>
  <c r="P196" i="1"/>
  <c r="P198" i="1" s="1"/>
  <c r="P199" i="1" s="1"/>
  <c r="C207" i="1"/>
  <c r="V249" i="1"/>
  <c r="V251" i="1" s="1"/>
  <c r="R168" i="1"/>
  <c r="R109" i="1" s="1"/>
  <c r="R129" i="1"/>
  <c r="R55" i="1" s="1"/>
  <c r="U54" i="1"/>
  <c r="K196" i="1"/>
  <c r="J182" i="1"/>
  <c r="J181" i="1" s="1"/>
  <c r="R207" i="1"/>
  <c r="S197" i="1"/>
  <c r="T54" i="1"/>
  <c r="T248" i="1"/>
  <c r="I248" i="1"/>
  <c r="I54" i="1"/>
  <c r="I175" i="1"/>
  <c r="S33" i="1"/>
  <c r="S138" i="1"/>
  <c r="S206" i="1"/>
  <c r="S168" i="1"/>
  <c r="S109" i="1" s="1"/>
  <c r="S37" i="1"/>
  <c r="S185" i="1"/>
  <c r="T197" i="1"/>
  <c r="S157" i="1"/>
  <c r="S165" i="1" s="1"/>
  <c r="G209" i="1"/>
  <c r="F168" i="1"/>
  <c r="F109" i="1" s="1"/>
  <c r="R209" i="1"/>
  <c r="Q248" i="1"/>
  <c r="T185" i="1"/>
  <c r="T184" i="1" s="1"/>
  <c r="U197" i="1"/>
  <c r="U198" i="1" s="1"/>
  <c r="U199" i="1" s="1"/>
  <c r="H138" i="1"/>
  <c r="H33" i="1"/>
  <c r="Q168" i="1"/>
  <c r="Q109" i="1" s="1"/>
  <c r="H197" i="1"/>
  <c r="K207" i="1"/>
  <c r="S246" i="1"/>
  <c r="G138" i="1"/>
  <c r="G33" i="1"/>
  <c r="I33" i="1"/>
  <c r="I138" i="1"/>
  <c r="V196" i="1"/>
  <c r="V182" i="1"/>
  <c r="V181" i="1" s="1"/>
  <c r="T244" i="1"/>
  <c r="T196" i="1"/>
  <c r="E129" i="1"/>
  <c r="E55" i="1" s="1"/>
  <c r="F249" i="1"/>
  <c r="F251" i="1" s="1"/>
  <c r="H249" i="1"/>
  <c r="H251" i="1" s="1"/>
  <c r="G206" i="1"/>
  <c r="G205" i="1" s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D203" i="1" s="1"/>
  <c r="D201" i="1" s="1"/>
  <c r="L185" i="1"/>
  <c r="L184" i="1" s="1"/>
  <c r="L157" i="1"/>
  <c r="L165" i="1" s="1"/>
  <c r="C182" i="1"/>
  <c r="C181" i="1" s="1"/>
  <c r="D196" i="1"/>
  <c r="D198" i="1" s="1"/>
  <c r="D199" i="1" s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J165" i="1" s="1"/>
  <c r="D66" i="1"/>
  <c r="D108" i="1"/>
  <c r="K182" i="1"/>
  <c r="K181" i="1" s="1"/>
  <c r="K157" i="1"/>
  <c r="D182" i="1"/>
  <c r="D181" i="1" s="1"/>
  <c r="D157" i="1"/>
  <c r="I37" i="1"/>
  <c r="I206" i="1"/>
  <c r="I205" i="1" s="1"/>
  <c r="J206" i="1"/>
  <c r="Q54" i="1"/>
  <c r="Q175" i="1"/>
  <c r="K33" i="1"/>
  <c r="K138" i="1"/>
  <c r="M206" i="1"/>
  <c r="M205" i="1" s="1"/>
  <c r="L129" i="1"/>
  <c r="L55" i="1" s="1"/>
  <c r="D185" i="1"/>
  <c r="E197" i="1"/>
  <c r="W138" i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P165" i="1" s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P244" i="1"/>
  <c r="P246" i="1"/>
  <c r="G129" i="1"/>
  <c r="G55" i="1" s="1"/>
  <c r="G37" i="1"/>
  <c r="G168" i="1"/>
  <c r="G109" i="1" s="1"/>
  <c r="U206" i="1"/>
  <c r="U205" i="1" s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AV161" i="1"/>
  <c r="AW209" i="1" s="1"/>
  <c r="BN161" i="1"/>
  <c r="BO209" i="1" s="1"/>
  <c r="I157" i="1"/>
  <c r="I197" i="1"/>
  <c r="I185" i="1"/>
  <c r="J197" i="1"/>
  <c r="J198" i="1" s="1"/>
  <c r="J199" i="1" s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205" i="1" s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65" i="1" s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N165" i="1" s="1"/>
  <c r="E185" i="1"/>
  <c r="F197" i="1"/>
  <c r="E157" i="1"/>
  <c r="G185" i="1"/>
  <c r="G157" i="1"/>
  <c r="G197" i="1"/>
  <c r="O185" i="1"/>
  <c r="O197" i="1"/>
  <c r="U185" i="1"/>
  <c r="U157" i="1"/>
  <c r="U165" i="1" s="1"/>
  <c r="M249" i="1"/>
  <c r="M251" i="1" s="1"/>
  <c r="M37" i="1"/>
  <c r="M129" i="1"/>
  <c r="M55" i="1" s="1"/>
  <c r="M168" i="1"/>
  <c r="M109" i="1" s="1"/>
  <c r="V138" i="1"/>
  <c r="V33" i="1"/>
  <c r="V185" i="1"/>
  <c r="V157" i="1"/>
  <c r="V165" i="1" s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R249" i="1" s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C68" i="1"/>
  <c r="C69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O205" i="1"/>
  <c r="AU103" i="1"/>
  <c r="AU104" i="1"/>
  <c r="AU102" i="1"/>
  <c r="C203" i="1"/>
  <c r="C201" i="1" s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H205" i="1"/>
  <c r="E205" i="1"/>
  <c r="BA19" i="1"/>
  <c r="BH27" i="1"/>
  <c r="AS134" i="1"/>
  <c r="AS33" i="1"/>
  <c r="AS16" i="1"/>
  <c r="AW11" i="1"/>
  <c r="BJ11" i="1"/>
  <c r="BF16" i="1"/>
  <c r="BF28" i="1" s="1"/>
  <c r="BJ30" i="1" s="1"/>
  <c r="N246" i="1"/>
  <c r="N244" i="1"/>
  <c r="BV27" i="1"/>
  <c r="BC27" i="1"/>
  <c r="AY188" i="1"/>
  <c r="BT225" i="1"/>
  <c r="AY179" i="1"/>
  <c r="AS183" i="1"/>
  <c r="BY11" i="1"/>
  <c r="BU188" i="1"/>
  <c r="F246" i="1"/>
  <c r="F244" i="1"/>
  <c r="U244" i="1"/>
  <c r="U246" i="1"/>
  <c r="U203" i="1"/>
  <c r="U201" i="1" s="1"/>
  <c r="J246" i="1"/>
  <c r="J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BJ29" i="1"/>
  <c r="BJ34" i="1"/>
  <c r="BJ38" i="1" s="1"/>
  <c r="BJ232" i="1"/>
  <c r="BJ233" i="1" s="1"/>
  <c r="F184" i="1"/>
  <c r="F186" i="1"/>
  <c r="CQ138" i="1"/>
  <c r="CR32" i="1"/>
  <c r="AE77" i="1"/>
  <c r="AB125" i="1"/>
  <c r="AB128" i="1" s="1"/>
  <c r="AB249" i="1" s="1"/>
  <c r="AD142" i="1"/>
  <c r="CZ65" i="1"/>
  <c r="DA63" i="1"/>
  <c r="F198" i="1" l="1"/>
  <c r="F199" i="1" s="1"/>
  <c r="G198" i="1"/>
  <c r="G199" i="1" s="1"/>
  <c r="L244" i="1"/>
  <c r="L246" i="1"/>
  <c r="F165" i="1"/>
  <c r="F166" i="1" s="1"/>
  <c r="C165" i="1"/>
  <c r="D111" i="1"/>
  <c r="D114" i="1" s="1"/>
  <c r="E198" i="1"/>
  <c r="E199" i="1" s="1"/>
  <c r="J166" i="1"/>
  <c r="F205" i="1"/>
  <c r="C205" i="1"/>
  <c r="AR181" i="1"/>
  <c r="T198" i="1"/>
  <c r="T199" i="1" s="1"/>
  <c r="BU202" i="1"/>
  <c r="S205" i="1"/>
  <c r="K198" i="1"/>
  <c r="K199" i="1" s="1"/>
  <c r="S198" i="1"/>
  <c r="S199" i="1" s="1"/>
  <c r="H165" i="1"/>
  <c r="H166" i="1" s="1"/>
  <c r="R205" i="1"/>
  <c r="R166" i="1"/>
  <c r="S203" i="1"/>
  <c r="S201" i="1" s="1"/>
  <c r="S244" i="1"/>
  <c r="T203" i="1"/>
  <c r="T201" i="1" s="1"/>
  <c r="H246" i="1"/>
  <c r="H244" i="1"/>
  <c r="K205" i="1"/>
  <c r="V205" i="1"/>
  <c r="S186" i="1"/>
  <c r="S184" i="1"/>
  <c r="L203" i="1"/>
  <c r="L201" i="1" s="1"/>
  <c r="K203" i="1"/>
  <c r="K201" i="1" s="1"/>
  <c r="X203" i="1"/>
  <c r="X201" i="1" s="1"/>
  <c r="W203" i="1"/>
  <c r="W201" i="1" s="1"/>
  <c r="AX202" i="1"/>
  <c r="AW202" i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J213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P166" i="1"/>
  <c r="N166" i="1"/>
  <c r="E203" i="1"/>
  <c r="E201" i="1" s="1"/>
  <c r="L181" i="1"/>
  <c r="L186" i="1"/>
  <c r="C198" i="1"/>
  <c r="C199" i="1" s="1"/>
  <c r="S166" i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L166" i="1"/>
  <c r="D69" i="1"/>
  <c r="D70" i="1" s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U166" i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V166" i="1"/>
  <c r="AV249" i="1"/>
  <c r="Q246" i="1"/>
  <c r="Q244" i="1"/>
  <c r="Q203" i="1"/>
  <c r="Q201" i="1" s="1"/>
  <c r="O246" i="1"/>
  <c r="P203" i="1"/>
  <c r="P201" i="1" s="1"/>
  <c r="P213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87" i="1"/>
  <c r="C85" i="1"/>
  <c r="C70" i="1"/>
  <c r="C86" i="1"/>
  <c r="B89" i="1"/>
  <c r="B85" i="1"/>
  <c r="B86" i="1"/>
  <c r="C244" i="1"/>
  <c r="C166" i="1"/>
  <c r="B244" i="1"/>
  <c r="B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38" i="1"/>
  <c r="AT33" i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U213" i="1"/>
  <c r="U210" i="1"/>
  <c r="U211" i="1" s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D210" i="1"/>
  <c r="D211" i="1" s="1"/>
  <c r="D213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S213" i="1" l="1"/>
  <c r="T213" i="1"/>
  <c r="T210" i="1"/>
  <c r="T211" i="1" s="1"/>
  <c r="S210" i="1"/>
  <c r="S211" i="1" s="1"/>
  <c r="V189" i="1"/>
  <c r="V190" i="1" s="1"/>
  <c r="I213" i="1"/>
  <c r="H210" i="1"/>
  <c r="H211" i="1" s="1"/>
  <c r="M213" i="1"/>
  <c r="N213" i="1"/>
  <c r="J210" i="1"/>
  <c r="J211" i="1" s="1"/>
  <c r="H213" i="1"/>
  <c r="Q213" i="1"/>
  <c r="Q210" i="1"/>
  <c r="Q211" i="1" s="1"/>
  <c r="I210" i="1"/>
  <c r="I211" i="1" s="1"/>
  <c r="P210" i="1"/>
  <c r="P211" i="1" s="1"/>
  <c r="K210" i="1"/>
  <c r="K211" i="1" s="1"/>
  <c r="K213" i="1"/>
  <c r="D244" i="1"/>
  <c r="D166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6" i="1"/>
  <c r="CU144" i="1"/>
  <c r="CY8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" i="1" l="1"/>
  <c r="CU28" i="1"/>
  <c r="CU18" i="1"/>
  <c r="CU156" i="1"/>
  <c r="CU148" i="1"/>
  <c r="CU157" i="1" s="1"/>
  <c r="CY253" i="1"/>
  <c r="CY231" i="1"/>
  <c r="CY10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3" i="1"/>
  <c r="CY146" i="1"/>
  <c r="CY152" i="1"/>
  <c r="CY156" i="1" s="1"/>
  <c r="CY26" i="1"/>
  <c r="CY144" i="1"/>
  <c r="CY148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9" i="1" l="1"/>
  <c r="CV198" i="1"/>
  <c r="CY15" i="1"/>
  <c r="CY18" i="1"/>
  <c r="CY23" i="1"/>
  <c r="CY2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32" i="1" l="1"/>
  <c r="CY233" i="1" s="1"/>
  <c r="CY34" i="1"/>
  <c r="CY30" i="1"/>
  <c r="CY29" i="1"/>
  <c r="CY250" i="1"/>
  <c r="CY251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4" i="1"/>
  <c r="CK96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Z63" i="1"/>
  <c r="Y63" i="1"/>
  <c r="X63" i="1"/>
  <c r="W63" i="1"/>
  <c r="V63" i="1"/>
  <c r="U63" i="1"/>
  <c r="U65" i="1"/>
  <c r="U66" i="1"/>
  <c r="U69" i="1"/>
  <c r="T63" i="1"/>
  <c r="S63" i="1"/>
  <c r="R63" i="1"/>
  <c r="Q63" i="1"/>
  <c r="Q65" i="1"/>
  <c r="Q66" i="1"/>
  <c r="Q69" i="1"/>
  <c r="P63" i="1"/>
  <c r="O63" i="1"/>
  <c r="N63" i="1"/>
  <c r="M63" i="1"/>
  <c r="M65" i="1"/>
  <c r="M66" i="1"/>
  <c r="L63" i="1"/>
  <c r="K63" i="1"/>
  <c r="K65" i="1"/>
  <c r="K66" i="1"/>
  <c r="K69" i="1"/>
  <c r="K68" i="1"/>
  <c r="W65" i="1"/>
  <c r="W108" i="1"/>
  <c r="L65" i="1"/>
  <c r="L66" i="1"/>
  <c r="L68" i="1"/>
  <c r="T65" i="1"/>
  <c r="T107" i="1"/>
  <c r="T110" i="1"/>
  <c r="J63" i="1"/>
  <c r="I63" i="1"/>
  <c r="H63" i="1"/>
  <c r="G63" i="1"/>
  <c r="F63" i="1"/>
  <c r="E63" i="1"/>
  <c r="X65" i="1"/>
  <c r="X107" i="1"/>
  <c r="X110" i="1"/>
  <c r="X113" i="1"/>
  <c r="X108" i="1"/>
  <c r="X111" i="1"/>
  <c r="X114" i="1"/>
  <c r="Y65" i="1"/>
  <c r="Y66" i="1"/>
  <c r="Y69" i="1"/>
  <c r="Y85" i="1"/>
  <c r="X66" i="1"/>
  <c r="X69" i="1"/>
  <c r="Y70" i="1"/>
  <c r="X68" i="1"/>
  <c r="X92" i="1"/>
  <c r="X95" i="1"/>
  <c r="X94" i="1"/>
  <c r="X96" i="1"/>
  <c r="X99" i="1"/>
  <c r="X104" i="1"/>
  <c r="X103" i="1"/>
  <c r="X102" i="1"/>
  <c r="Y86" i="1"/>
  <c r="Y87" i="1"/>
  <c r="X85" i="1"/>
  <c r="X87" i="1"/>
  <c r="X86" i="1"/>
  <c r="Q99" i="1"/>
  <c r="U99" i="1"/>
  <c r="F65" i="1"/>
  <c r="F99" i="1"/>
  <c r="R65" i="1"/>
  <c r="R99" i="1"/>
  <c r="N65" i="1"/>
  <c r="N66" i="1"/>
  <c r="N69" i="1"/>
  <c r="E65" i="1"/>
  <c r="E99" i="1"/>
  <c r="H65" i="1"/>
  <c r="H99" i="1"/>
  <c r="G65" i="1"/>
  <c r="G66" i="1"/>
  <c r="G69" i="1"/>
  <c r="R66" i="1"/>
  <c r="R69" i="1"/>
  <c r="K99" i="1"/>
  <c r="L99" i="1"/>
  <c r="T99" i="1"/>
  <c r="P65" i="1"/>
  <c r="P99" i="1"/>
  <c r="O65" i="1"/>
  <c r="O99" i="1"/>
  <c r="P66" i="1"/>
  <c r="F66" i="1"/>
  <c r="S65" i="1"/>
  <c r="S66" i="1"/>
  <c r="E66" i="1"/>
  <c r="E69" i="1"/>
  <c r="E102" i="1"/>
  <c r="N85" i="1"/>
  <c r="J65" i="1"/>
  <c r="J99" i="1"/>
  <c r="J104" i="1"/>
  <c r="E68" i="1"/>
  <c r="T89" i="1"/>
  <c r="J102" i="1"/>
  <c r="Q108" i="1"/>
  <c r="M69" i="1"/>
  <c r="M86" i="1"/>
  <c r="F108" i="1"/>
  <c r="E92" i="1"/>
  <c r="L69" i="1"/>
  <c r="L103" i="1"/>
  <c r="H104" i="1"/>
  <c r="E86" i="1"/>
  <c r="AC63" i="1"/>
  <c r="AD63" i="1"/>
  <c r="AD65" i="1"/>
  <c r="AD66" i="1"/>
  <c r="AD69" i="1"/>
  <c r="AD87" i="1"/>
  <c r="P108" i="1"/>
  <c r="K70" i="1"/>
  <c r="S107" i="1"/>
  <c r="O66" i="1"/>
  <c r="O69" i="1"/>
  <c r="O87" i="1"/>
  <c r="N108" i="1"/>
  <c r="Q89" i="1"/>
  <c r="J107" i="1"/>
  <c r="R107" i="1"/>
  <c r="AE63" i="1"/>
  <c r="AE65" i="1"/>
  <c r="AE66" i="1"/>
  <c r="AE69" i="1"/>
  <c r="AD89" i="1"/>
  <c r="AD85" i="1"/>
  <c r="AE70" i="1"/>
  <c r="Q107" i="1"/>
  <c r="I65" i="1"/>
  <c r="I99" i="1"/>
  <c r="I102" i="1"/>
  <c r="G108" i="1"/>
  <c r="P68" i="1"/>
  <c r="F68" i="1"/>
  <c r="O70" i="1"/>
  <c r="N87" i="1"/>
  <c r="E96" i="1"/>
  <c r="L86" i="1"/>
  <c r="AC89" i="1"/>
  <c r="I107" i="1"/>
  <c r="I110" i="1"/>
  <c r="AE87" i="1"/>
  <c r="AB65" i="1"/>
  <c r="AB99" i="1"/>
  <c r="AB102" i="1"/>
  <c r="R108" i="1"/>
  <c r="T92" i="1"/>
  <c r="J89" i="1"/>
  <c r="T108" i="1"/>
  <c r="G68" i="1"/>
  <c r="T94" i="1"/>
  <c r="G107" i="1"/>
  <c r="G110" i="1"/>
  <c r="R70" i="1"/>
  <c r="F69" i="1"/>
  <c r="E89" i="1"/>
  <c r="P92" i="1"/>
  <c r="M99" i="1"/>
  <c r="U102" i="1"/>
  <c r="I66" i="1"/>
  <c r="I69" i="1"/>
  <c r="I87" i="1"/>
  <c r="K87" i="1"/>
  <c r="X70" i="1"/>
  <c r="M103" i="1"/>
  <c r="W92" i="1"/>
  <c r="F86" i="1"/>
  <c r="U70" i="1"/>
  <c r="O102" i="1"/>
  <c r="F103" i="1"/>
  <c r="U107" i="1"/>
  <c r="Q70" i="1"/>
  <c r="V65" i="1"/>
  <c r="V66" i="1"/>
  <c r="V69" i="1"/>
  <c r="V70" i="1"/>
  <c r="P107" i="1"/>
  <c r="AC65" i="1"/>
  <c r="AC99" i="1"/>
  <c r="AC103" i="1"/>
  <c r="W99" i="1"/>
  <c r="R87" i="1"/>
  <c r="F107" i="1"/>
  <c r="O107" i="1"/>
  <c r="O103" i="1"/>
  <c r="L102" i="1"/>
  <c r="U104" i="1"/>
  <c r="E103" i="1"/>
  <c r="O110" i="1"/>
  <c r="S68" i="1"/>
  <c r="L104" i="1"/>
  <c r="Q85" i="1"/>
  <c r="K85" i="1"/>
  <c r="Q102" i="1"/>
  <c r="G87" i="1"/>
  <c r="G92" i="1"/>
  <c r="F89" i="1"/>
  <c r="W66" i="1"/>
  <c r="E108" i="1"/>
  <c r="N86" i="1"/>
  <c r="G94" i="1"/>
  <c r="G99" i="1"/>
  <c r="K86" i="1"/>
  <c r="Q87" i="1"/>
  <c r="S69" i="1"/>
  <c r="U108" i="1"/>
  <c r="G70" i="1"/>
  <c r="U87" i="1"/>
  <c r="K107" i="1"/>
  <c r="F102" i="1"/>
  <c r="P104" i="1"/>
  <c r="M92" i="1"/>
  <c r="T113" i="1"/>
  <c r="U92" i="1"/>
  <c r="M89" i="1"/>
  <c r="R68" i="1"/>
  <c r="S92" i="1"/>
  <c r="N99" i="1"/>
  <c r="T66" i="1"/>
  <c r="M107" i="1"/>
  <c r="V99" i="1"/>
  <c r="V104" i="1"/>
  <c r="J66" i="1"/>
  <c r="J69" i="1"/>
  <c r="J86" i="1"/>
  <c r="AA65" i="1"/>
  <c r="Y92" i="1"/>
  <c r="K92" i="1"/>
  <c r="W107" i="1"/>
  <c r="J92" i="1"/>
  <c r="Q104" i="1"/>
  <c r="AB66" i="1"/>
  <c r="AB69" i="1"/>
  <c r="AB85" i="1"/>
  <c r="AC66" i="1"/>
  <c r="AE92" i="1"/>
  <c r="AE108" i="1"/>
  <c r="R104" i="1"/>
  <c r="E87" i="1"/>
  <c r="R92" i="1"/>
  <c r="K104" i="1"/>
  <c r="U86" i="1"/>
  <c r="N92" i="1"/>
  <c r="H107" i="1"/>
  <c r="E107" i="1"/>
  <c r="I92" i="1"/>
  <c r="H103" i="1"/>
  <c r="W89" i="1"/>
  <c r="E94" i="1"/>
  <c r="L89" i="1"/>
  <c r="I104" i="1"/>
  <c r="AE111" i="1"/>
  <c r="T104" i="1"/>
  <c r="R94" i="1"/>
  <c r="AB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AC107" i="1"/>
  <c r="F111" i="1"/>
  <c r="U85" i="1"/>
  <c r="N89" i="1"/>
  <c r="W104" i="1"/>
  <c r="J95" i="1"/>
  <c r="X89" i="1"/>
  <c r="H92" i="1"/>
  <c r="Y107" i="1"/>
  <c r="Y110" i="1"/>
  <c r="Y113" i="1"/>
  <c r="P111" i="1"/>
  <c r="R89" i="1"/>
  <c r="T69" i="1"/>
  <c r="F92" i="1"/>
  <c r="H66" i="1"/>
  <c r="H69" i="1"/>
  <c r="H85" i="1"/>
  <c r="I70" i="1"/>
  <c r="AD92" i="1"/>
  <c r="AD96" i="1"/>
  <c r="W102" i="1"/>
  <c r="R85" i="1"/>
  <c r="W69" i="1"/>
  <c r="W85" i="1"/>
  <c r="J110" i="1"/>
  <c r="I95" i="1"/>
  <c r="S87" i="1"/>
  <c r="O68" i="1"/>
  <c r="Z65" i="1"/>
  <c r="Z66" i="1"/>
  <c r="Z69" i="1"/>
  <c r="Z70" i="1"/>
  <c r="E85" i="1"/>
  <c r="O92" i="1"/>
  <c r="I108" i="1"/>
  <c r="I111" i="1"/>
  <c r="I114" i="1"/>
  <c r="U103" i="1"/>
  <c r="T85" i="1"/>
  <c r="U94" i="1"/>
  <c r="N111" i="1"/>
  <c r="AD108" i="1"/>
  <c r="AD111" i="1"/>
  <c r="Q110" i="1"/>
  <c r="Q113" i="1"/>
  <c r="AC69" i="1"/>
  <c r="AC87" i="1"/>
  <c r="T111" i="1"/>
  <c r="G111" i="1"/>
  <c r="W86" i="1"/>
  <c r="Y94" i="1"/>
  <c r="I89" i="1"/>
  <c r="L87" i="1"/>
  <c r="AD86" i="1"/>
  <c r="T87" i="1"/>
  <c r="G89" i="1"/>
  <c r="O96" i="1"/>
  <c r="Z86" i="1"/>
  <c r="O95" i="1"/>
  <c r="O108" i="1"/>
  <c r="O111" i="1"/>
  <c r="O114" i="1"/>
  <c r="W87" i="1"/>
  <c r="F85" i="1"/>
  <c r="Q103" i="1"/>
  <c r="AB108" i="1"/>
  <c r="AB111" i="1"/>
  <c r="N107" i="1"/>
  <c r="N110" i="1"/>
  <c r="N113" i="1"/>
  <c r="F114" i="1"/>
  <c r="AB92" i="1"/>
  <c r="AD94" i="1"/>
  <c r="AC85" i="1"/>
  <c r="W110" i="1"/>
  <c r="Q68" i="1"/>
  <c r="V107" i="1"/>
  <c r="V110" i="1"/>
  <c r="K96" i="1"/>
  <c r="W68" i="1"/>
  <c r="N68" i="1"/>
  <c r="M110" i="1"/>
  <c r="T68" i="1"/>
  <c r="G96" i="1"/>
  <c r="U111" i="1"/>
  <c r="U114" i="1"/>
  <c r="J108" i="1"/>
  <c r="J111" i="1"/>
  <c r="J114" i="1"/>
  <c r="Z85" i="1"/>
  <c r="Y96" i="1"/>
  <c r="AE85" i="1"/>
  <c r="U110" i="1"/>
  <c r="U113" i="1"/>
  <c r="I96" i="1"/>
  <c r="AE107" i="1"/>
  <c r="AE110" i="1"/>
  <c r="AE113" i="1"/>
  <c r="AB104" i="1"/>
  <c r="H86" i="1"/>
  <c r="O86" i="1"/>
  <c r="AD95" i="1"/>
  <c r="AC64" i="1"/>
  <c r="AD64" i="1"/>
  <c r="AE64" i="1"/>
  <c r="N96" i="1"/>
  <c r="AB96" i="1"/>
  <c r="P102" i="1"/>
  <c r="L92" i="1"/>
  <c r="E104" i="1"/>
  <c r="AC92" i="1"/>
  <c r="L107" i="1"/>
  <c r="H108" i="1"/>
  <c r="Q86" i="1"/>
  <c r="P89" i="1"/>
  <c r="AA107" i="1"/>
  <c r="AA110" i="1"/>
  <c r="AA113" i="1"/>
  <c r="AA66" i="1"/>
  <c r="AA69" i="1"/>
  <c r="Y108" i="1"/>
  <c r="Z89" i="1"/>
  <c r="E110" i="1"/>
  <c r="AA86" i="1"/>
  <c r="J96" i="1"/>
  <c r="V85" i="1"/>
  <c r="L85" i="1"/>
  <c r="K94" i="1"/>
  <c r="U68" i="1"/>
  <c r="W111" i="1"/>
  <c r="J94" i="1"/>
  <c r="P94" i="1"/>
  <c r="P110" i="1"/>
  <c r="R86" i="1"/>
  <c r="AB87" i="1"/>
  <c r="Q92" i="1"/>
  <c r="AC104" i="1"/>
  <c r="S70" i="1"/>
  <c r="M108" i="1"/>
  <c r="L70" i="1"/>
  <c r="T103" i="1"/>
  <c r="V103" i="1"/>
  <c r="T95" i="1"/>
  <c r="M68" i="1"/>
  <c r="Z108" i="1"/>
  <c r="Z111" i="1"/>
  <c r="Z114" i="1"/>
  <c r="G104" i="1"/>
  <c r="AB86" i="1"/>
  <c r="Q111" i="1"/>
  <c r="AD107" i="1"/>
  <c r="AD110" i="1"/>
  <c r="AD113" i="1"/>
  <c r="M96" i="1"/>
  <c r="P96" i="1"/>
  <c r="S99" i="1"/>
  <c r="H102" i="1"/>
  <c r="S103" i="1"/>
  <c r="L108" i="1"/>
  <c r="E70" i="1"/>
  <c r="R96" i="1"/>
  <c r="G86" i="1"/>
  <c r="F87" i="1"/>
  <c r="V87" i="1"/>
  <c r="H89" i="1"/>
  <c r="AC108" i="1"/>
  <c r="I68" i="1"/>
  <c r="K103" i="1"/>
  <c r="V102" i="1"/>
  <c r="G102" i="1"/>
  <c r="AE96" i="1"/>
  <c r="O104" i="1"/>
  <c r="N94" i="1"/>
  <c r="J70" i="1"/>
  <c r="J85" i="1"/>
  <c r="E95" i="1"/>
  <c r="K102" i="1"/>
  <c r="AC102" i="1"/>
  <c r="AE99" i="1"/>
  <c r="Y99" i="1"/>
  <c r="J103" i="1"/>
  <c r="M85" i="1"/>
  <c r="N103" i="1"/>
  <c r="AA108" i="1"/>
  <c r="AA111" i="1"/>
  <c r="AA114" i="1"/>
  <c r="Y103" i="1"/>
  <c r="Y95" i="1"/>
  <c r="Z99" i="1"/>
  <c r="Z102" i="1"/>
  <c r="R103" i="1"/>
  <c r="M87" i="1"/>
  <c r="R111" i="1"/>
  <c r="AC86" i="1"/>
  <c r="K89" i="1"/>
  <c r="AA89" i="1"/>
  <c r="U96" i="1"/>
  <c r="Q114" i="1"/>
  <c r="AE95" i="1"/>
  <c r="AC94" i="1"/>
  <c r="K108" i="1"/>
  <c r="K64" i="1"/>
  <c r="E111" i="1"/>
  <c r="V108" i="1"/>
  <c r="V111" i="1"/>
  <c r="P69" i="1"/>
  <c r="J64" i="1"/>
  <c r="I64" i="1"/>
  <c r="F104" i="1"/>
  <c r="AE68" i="1"/>
  <c r="R102" i="1"/>
  <c r="S95" i="1"/>
  <c r="G85" i="1"/>
  <c r="K110" i="1"/>
  <c r="Q94" i="1"/>
  <c r="AB107" i="1"/>
  <c r="P85" i="1"/>
  <c r="I94" i="1"/>
  <c r="V92" i="1"/>
  <c r="AA99" i="1"/>
  <c r="AA104" i="1"/>
  <c r="H64" i="1"/>
  <c r="G64" i="1"/>
  <c r="AA103" i="1"/>
  <c r="Z107" i="1"/>
  <c r="Z110" i="1"/>
  <c r="H111" i="1"/>
  <c r="H114" i="1"/>
  <c r="V114" i="1"/>
  <c r="F110" i="1"/>
  <c r="F113" i="1"/>
  <c r="AD99" i="1"/>
  <c r="AD102" i="1"/>
  <c r="J113" i="1"/>
  <c r="R110" i="1"/>
  <c r="S86" i="1"/>
  <c r="P95" i="1"/>
  <c r="M111" i="1"/>
  <c r="M114" i="1"/>
  <c r="AA85" i="1"/>
  <c r="Y104" i="1"/>
  <c r="AA68" i="1"/>
  <c r="T102" i="1"/>
  <c r="H110" i="1"/>
  <c r="M70" i="1"/>
  <c r="N70" i="1"/>
  <c r="Z92" i="1"/>
  <c r="D89" i="1"/>
  <c r="I85" i="1"/>
  <c r="W95" i="1"/>
  <c r="AE86" i="1"/>
  <c r="T86" i="1"/>
  <c r="N114" i="1"/>
  <c r="AD114" i="1"/>
  <c r="S108" i="1"/>
  <c r="U95" i="1"/>
  <c r="G114" i="1"/>
  <c r="AA102" i="1"/>
  <c r="V68" i="1"/>
  <c r="AD70" i="1"/>
  <c r="AC70" i="1"/>
  <c r="V94" i="1"/>
  <c r="AC110" i="1"/>
  <c r="AC113" i="1"/>
  <c r="O85" i="1"/>
  <c r="AB110" i="1"/>
  <c r="AB113" i="1"/>
  <c r="H113" i="1"/>
  <c r="Z96" i="1"/>
  <c r="S110" i="1"/>
  <c r="E114" i="1"/>
  <c r="AC111" i="1"/>
  <c r="Y68" i="1"/>
  <c r="P103" i="1"/>
  <c r="R95" i="1"/>
  <c r="AB95" i="1"/>
  <c r="I103" i="1"/>
  <c r="L111" i="1"/>
  <c r="AA92" i="1"/>
  <c r="AB89" i="1"/>
  <c r="V86" i="1"/>
  <c r="S96" i="1"/>
  <c r="K95" i="1"/>
  <c r="AA70" i="1"/>
  <c r="H87" i="1"/>
  <c r="AE104" i="1"/>
  <c r="L114" i="1"/>
  <c r="I113" i="1"/>
  <c r="AB103" i="1"/>
  <c r="H70" i="1"/>
  <c r="P87" i="1"/>
  <c r="M113" i="1"/>
  <c r="AA94" i="1"/>
  <c r="AA95" i="1"/>
  <c r="N102" i="1"/>
  <c r="S102" i="1"/>
  <c r="AB94" i="1"/>
  <c r="Z103" i="1"/>
  <c r="H68" i="1"/>
  <c r="R114" i="1"/>
  <c r="L110" i="1"/>
  <c r="L113" i="1"/>
  <c r="AE103" i="1"/>
  <c r="I86" i="1"/>
  <c r="O113" i="1"/>
  <c r="P113" i="1"/>
  <c r="P114" i="1"/>
  <c r="U89" i="1"/>
  <c r="AC68" i="1"/>
  <c r="G103" i="1"/>
  <c r="Y111" i="1"/>
  <c r="Y114" i="1"/>
  <c r="M95" i="1"/>
  <c r="W94" i="1"/>
  <c r="R113" i="1"/>
  <c r="S85" i="1"/>
  <c r="W96" i="1"/>
  <c r="N95" i="1"/>
  <c r="J87" i="1"/>
  <c r="AB70" i="1"/>
  <c r="L94" i="1"/>
  <c r="S94" i="1"/>
  <c r="M104" i="1"/>
  <c r="F96" i="1"/>
  <c r="F94" i="1"/>
  <c r="S111" i="1"/>
  <c r="S114" i="1"/>
  <c r="T114" i="1"/>
  <c r="W70" i="1"/>
  <c r="N104" i="1"/>
  <c r="AD103" i="1"/>
  <c r="Z87" i="1"/>
  <c r="M102" i="1"/>
  <c r="F95" i="1"/>
  <c r="O94" i="1"/>
  <c r="T70" i="1"/>
  <c r="V89" i="1"/>
  <c r="Q96" i="1"/>
  <c r="AD104" i="1"/>
  <c r="Q95" i="1"/>
  <c r="AE94" i="1"/>
  <c r="F70" i="1"/>
  <c r="H95" i="1"/>
  <c r="S89" i="1"/>
  <c r="AC95" i="1"/>
  <c r="H94" i="1"/>
  <c r="W113" i="1"/>
  <c r="W103" i="1"/>
  <c r="T96" i="1"/>
  <c r="AA87" i="1"/>
  <c r="J68" i="1"/>
  <c r="K113" i="1"/>
  <c r="M94" i="1"/>
  <c r="H96" i="1"/>
  <c r="G95" i="1"/>
  <c r="Y89" i="1"/>
  <c r="F64" i="1"/>
  <c r="E64" i="1"/>
  <c r="Z113" i="1"/>
  <c r="V113" i="1"/>
  <c r="Z68" i="1"/>
  <c r="AC114" i="1"/>
  <c r="G113" i="1"/>
  <c r="AE114" i="1"/>
  <c r="K111" i="1"/>
  <c r="K114" i="1"/>
  <c r="AB114" i="1"/>
  <c r="AE102" i="1"/>
  <c r="AD68" i="1"/>
  <c r="L96" i="1"/>
  <c r="Y102" i="1"/>
  <c r="Z104" i="1"/>
  <c r="Z94" i="1"/>
  <c r="P86" i="1"/>
  <c r="Z95" i="1"/>
  <c r="P70" i="1"/>
  <c r="V95" i="1"/>
  <c r="V96" i="1"/>
  <c r="E113" i="1"/>
  <c r="S113" i="1"/>
  <c r="L95" i="1"/>
  <c r="W114" i="1"/>
  <c r="S104" i="1"/>
  <c r="AA96" i="1"/>
  <c r="AC96" i="1"/>
  <c r="O8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<sst xmlns="http://schemas.openxmlformats.org/spreadsheetml/2006/main" count="663" uniqueCount="524">
  <si>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</si>
  <si>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</si>
  <si>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</si>
  <si>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</si>
  <si>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</si>
  <si>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</si>
  <si>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</si>
  <si>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</si>
  <si>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</si>
  <si>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</si>
  <si>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</si>
  <si>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</si>
  <si>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</si>
  <si>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</si>
  <si>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</si>
  <si>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</si>
  <si>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</si>
  <si>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</si>
  <si>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</si>
  <si>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</si>
  <si>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</si>
  <si>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</si>
  <si>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</si>
  <si>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</si>
  <si>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</si>
  <si>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</si>
  <si>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</si>
  <si>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</si>
  <si>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</si>
  <si>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</si>
  <si>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</si>
  <si>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</si>
  <si>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</si>
  <si>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</si>
  <si>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</si>
  <si>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</si>
  <si>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</si>
  <si>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</si>
  <si>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</si>
  <si>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</si>
  <si>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</si>
  <si>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</si>
  <si>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</si>
  <si>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</si>
  <si>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</si>
  <si>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</si>
  <si>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</si>
  <si>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</si>
  <si>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</si>
  <si>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</si>
  <si>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</si>
  <si>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</si>
  <si>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</si>
  <si>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</si>
  <si>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</si>
  <si>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</si>
  <si>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</si>
  <si>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</si>
  <si>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</si>
  <si>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</si>
  <si>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</si>
  <si>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</si>
  <si>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</si>
  <si>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</si>
  <si>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</si>
  <si>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</si>
  <si>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</si>
  <si>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</si>
  <si>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</si>
  <si>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</si>
  <si>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</si>
  <si>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</si>
  <si>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</si>
  <si>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</si>
  <si>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</si>
  <si>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</si>
  <si>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</si>
  <si>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</si>
  <si>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</si>
  <si>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</si>
  <si>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</si>
  <si>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</si>
  <si>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</si>
  <si>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</si>
  <si>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</si>
  <si>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</si>
  <si>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</si>
  <si>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</si>
  <si>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</si>
  <si>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</si>
  <si>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</si>
  <si>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</si>
  <si>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</si>
  <si>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</si>
  <si>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</si>
  <si>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</si>
  <si>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</si>
  <si>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</si>
  <si>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</si>
  <si>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</si>
  <si>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</si>
  <si>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</si>
  <si>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</si>
  <si>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</si>
  <si>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</si>
  <si>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</si>
  <si>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</si>
  <si>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</si>
  <si>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</si>
  <si>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</si>
  <si>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</si>
  <si>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</si>
  <si>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</si>
  <si>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</si>
  <si>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</si>
  <si>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</si>
  <si>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</si>
  <si>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</si>
  <si>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</si>
  <si>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</si>
  <si>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</si>
  <si>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</si>
  <si>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</si>
  <si>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</si>
  <si>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</si>
  <si>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</si>
  <si>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</si>
  <si>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</si>
  <si>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</si>
  <si>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</si>
  <si>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</si>
  <si>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</si>
  <si>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</si>
  <si>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</si>
  <si>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</si>
  <si>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</si>
  <si>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</si>
  <si>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</si>
  <si>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</si>
  <si>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</si>
  <si>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</si>
  <si>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</si>
  <si>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</si>
  <si>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</si>
  <si>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</si>
  <si>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</si>
  <si>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</si>
  <si>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</si>
  <si>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</si>
  <si>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</si>
  <si>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</si>
  <si>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</si>
  <si>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</si>
  <si>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</si>
  <si>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</si>
  <si>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</si>
  <si>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</si>
  <si>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</si>
  <si>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</si>
  <si>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</si>
  <si>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</si>
  <si>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</si>
  <si>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</si>
  <si>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</si>
  <si>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</si>
  <si>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</si>
  <si>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</si>
  <si>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</si>
  <si>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</si>
  <si>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</si>
  <si>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</si>
  <si>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</si>
  <si>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</si>
  <si>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</si>
  <si>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</si>
  <si>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</si>
  <si>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</si>
  <si>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</si>
  <si>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</si>
  <si>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</si>
  <si>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</si>
  <si>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</si>
  <si>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</si>
  <si>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</si>
  <si>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</si>
  <si>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</si>
  <si>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</si>
  <si>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</si>
  <si>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</si>
  <si>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</si>
  <si>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</si>
  <si>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</si>
  <si>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</si>
  <si>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</si>
  <si>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</si>
  <si>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</si>
  <si>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</si>
  <si>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</si>
  <si>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</si>
  <si>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</si>
  <si>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</si>
  <si>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</si>
  <si>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</si>
  <si>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</si>
  <si>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</si>
  <si>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</si>
  <si>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</si>
  <si>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</si>
  <si>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</si>
  <si>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</si>
  <si>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</si>
  <si>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</si>
  <si>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</si>
  <si>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</si>
  <si>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</si>
  <si>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</si>
  <si>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</si>
  <si>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</si>
  <si>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</si>
  <si>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</si>
  <si>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</si>
  <si>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</si>
  <si>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</si>
  <si>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</si>
  <si>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</si>
  <si>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</si>
  <si>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</si>
  <si>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</si>
  <si>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</si>
  <si>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</si>
  <si>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</si>
  <si>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</si>
  <si>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</si>
  <si>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</si>
  <si>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</si>
  <si>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</si>
  <si>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</si>
  <si>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</si>
  <si>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</si>
  <si>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</si>
  <si>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</si>
  <si>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</si>
  <si>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</si>
  <si>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</si>
  <si>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</si>
  <si>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</si>
  <si>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</si>
  <si>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</si>
  <si>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</si>
  <si>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</si>
  <si>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</si>
  <si>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</si>
  <si>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</si>
  <si>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</si>
  <si>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</si>
  <si>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</si>
  <si>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</si>
  <si>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</si>
  <si>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</si>
  <si>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</si>
  <si>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</si>
  <si>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</si>
  <si>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</si>
  <si>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</si>
  <si>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</si>
  <si>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</si>
  <si>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</si>
  <si>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</si>
  <si>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</si>
  <si>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</si>
  <si>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</si>
  <si>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</si>
  <si>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</si>
  <si>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</si>
  <si>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</si>
  <si>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</si>
  <si>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</si>
  <si>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</si>
  <si>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</si>
  <si>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</si>
  <si>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</si>
  <si>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</si>
  <si>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</si>
  <si>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</si>
  <si>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</si>
  <si>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</si>
  <si>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</si>
  <si>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</si>
  <si>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</si>
  <si>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</si>
  <si>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</si>
  <si>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</si>
  <si>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</si>
  <si>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</si>
  <si>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</si>
  <si>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</si>
  <si>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</si>
  <si>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</si>
  <si>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</si>
  <si>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</si>
  <si>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</si>
  <si>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</si>
  <si>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</si>
  <si>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</si>
  <si>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</si>
  <si>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</si>
  <si>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</si>
  <si>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</si>
  <si>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</si>
  <si>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</si>
  <si>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</si>
  <si>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</si>
  <si>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</si>
  <si>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</si>
  <si>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</si>
  <si>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</si>
  <si>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</si>
  <si>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</si>
  <si>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</si>
  <si>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</si>
  <si>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</si>
  <si>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</si>
  <si>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</si>
  <si>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</si>
  <si>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</si>
  <si>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</si>
  <si>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</si>
  <si>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</si>
  <si>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</si>
  <si>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</si>
  <si>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</si>
  <si>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</si>
  <si>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</si>
  <si>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</si>
  <si>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</si>
  <si>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</si>
  <si>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</si>
  <si>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</si>
  <si>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</si>
  <si>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</si>
  <si>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</si>
  <si>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</si>
  <si>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</si>
  <si>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</si>
  <si>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</si>
  <si>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</si>
  <si>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</si>
  <si>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</si>
  <si>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</si>
  <si>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</si>
  <si>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</si>
  <si>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</si>
  <si>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</si>
  <si>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</si>
  <si>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</si>
  <si>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</si>
  <si>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</si>
  <si>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</si>
  <si>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</si>
  <si>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</si>
  <si>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</si>
  <si>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</si>
  <si>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</si>
  <si>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</si>
  <si>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</si>
  <si>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</si>
  <si>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</si>
  <si>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</si>
  <si>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</si>
  <si>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</si>
  <si>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</si>
  <si>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</si>
  <si>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</si>
  <si>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</si>
  <si>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</si>
  <si>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</si>
  <si>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</si>
  <si>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</si>
  <si>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</si>
  <si>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</si>
  <si>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</si>
  <si>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</si>
  <si>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</si>
  <si>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</si>
  <si>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</si>
  <si>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</si>
  <si>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</si>
  <si>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</si>
  <si>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</si>
  <si>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</si>
  <si>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</si>
  <si>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</si>
  <si>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</si>
  <si>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</si>
  <si>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</si>
  <si>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</si>
  <si>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</si>
  <si>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</si>
  <si>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</si>
  <si>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</si>
  <si>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</si>
  <si>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</si>
  <si>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</si>
  <si>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</si>
  <si>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</si>
  <si>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</si>
  <si>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</si>
  <si>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</si>
  <si>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</si>
  <si>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</si>
  <si>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</si>
  <si>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</si>
  <si>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</si>
  <si>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</si>
  <si>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</si>
  <si>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</si>
  <si>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</si>
  <si>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</si>
  <si>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</si>
  <si>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</si>
  <si>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</si>
  <si>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</si>
  <si>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</si>
  <si>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</si>
  <si>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</si>
  <si>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</si>
  <si>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</si>
  <si>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</si>
  <si>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</si>
  <si>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</si>
  <si>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</si>
  <si>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</si>
  <si>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</si>
  <si>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</si>
  <si>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</si>
  <si>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</si>
  <si>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</si>
  <si>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</si>
  <si>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</si>
  <si>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</si>
  <si>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</si>
  <si>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</si>
  <si>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</si>
  <si>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</si>
  <si>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</si>
  <si>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</si>
  <si>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</si>
  <si>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</si>
  <si>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</si>
  <si>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</si>
  <si>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</si>
  <si>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</si>
  <si>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</si>
  <si>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</si>
  <si>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</si>
  <si>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</si>
  <si>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</si>
  <si>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</si>
  <si>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</si>
  <si>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</si>
  <si>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</si>
  <si>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</si>
  <si>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</si>
  <si>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</si>
  <si>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</si>
  <si>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</si>
  <si>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</si>
  <si>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</si>
  <si>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</si>
  <si>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</si>
  <si>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</si>
  <si>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</si>
  <si>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</si>
  <si>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</si>
  <si>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</si>
  <si>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</si>
  <si>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</si>
  <si>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</si>
  <si>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</si>
  <si>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</si>
  <si>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</si>
  <si>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</si>
  <si>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</si>
  <si>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</si>
  <si>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</si>
  <si>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</si>
  <si>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</si>
  <si>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</si>
  <si>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</si>
  <si>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</si>
  <si>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</si>
  <si>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</si>
  <si>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</si>
  <si>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</si>
  <si>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</si>
  <si>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</si>
  <si>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</si>
  <si>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</si>
  <si>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</si>
  <si>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</si>
  <si>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</si>
  <si>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</si>
  <si>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</si>
  <si>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</si>
  <si>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</si>
  <si>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</si>
  <si>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</si>
  <si>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</si>
  <si>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</si>
  <si>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</si>
  <si>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</si>
  <si>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</si>
  <si>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</si>
  <si>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</si>
  <si>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</si>
  <si>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Computer Age Management Services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</si>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</sst>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Computer Age Management Services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91.985366600000006</v>
      </c>
      <c r="G8" s="25">
        <f>'Annual Raw'!H6</f>
        <v>158.56693999999999</v>
      </c>
      <c r="H8" s="25">
        <f>'Annual Raw'!I6</f>
        <v>218.19200000000001</v>
      </c>
      <c r="I8" s="25">
        <f>'Annual Raw'!J6</f>
        <v>284.45330000000001</v>
      </c>
      <c r="J8" s="25">
        <f>'Annual Raw'!K6</f>
        <v>246.6319</v>
      </c>
      <c r="K8" s="25">
        <f>'Annual Raw'!L6</f>
        <v>311.17829999999998</v>
      </c>
      <c r="L8" s="25">
        <f>'Annual Raw'!M6</f>
        <v>317.60000000000002</v>
      </c>
      <c r="M8" s="25">
        <f>'Annual Raw'!N6</f>
        <v>272.76</v>
      </c>
      <c r="N8" s="25">
        <f>'Annual Raw'!O6</f>
        <v>295.3</v>
      </c>
      <c r="O8" s="25">
        <f>'Annual Raw'!P6</f>
        <v>322.41179069999998</v>
      </c>
      <c r="P8" s="25">
        <f>'Annual Raw'!Q6</f>
        <v>383.649</v>
      </c>
      <c r="Q8" s="25">
        <f>'Annual Raw'!R6</f>
        <v>397.9248</v>
      </c>
      <c r="R8" s="25">
        <f>'Annual Raw'!S6</f>
        <v>478.30849999999998</v>
      </c>
      <c r="S8" s="25">
        <f>'Annual Raw'!T6</f>
        <v>641.53589999999997</v>
      </c>
      <c r="T8" s="25">
        <f>'Annual Raw'!U6</f>
        <v>693.64390000000003</v>
      </c>
      <c r="U8" s="25">
        <f>'Annual Raw'!V6</f>
        <v>699.62990000000002</v>
      </c>
      <c r="V8" s="25">
        <f>'Annual Raw'!W6</f>
        <v>705.49580000000003</v>
      </c>
      <c r="W8" s="25">
        <f>'Annual Raw'!X6</f>
        <v>909.66750000000002</v>
      </c>
      <c r="X8" s="25">
        <f>'Annual Raw'!Y6</f>
        <v>971.82719999999995</v>
      </c>
      <c r="Y8" s="25">
        <f>'Annual Raw'!Z6</f>
        <v>1136.5181</v>
      </c>
      <c r="Z8" s="25">
        <f>'Annual Raw'!AA6</f>
        <v>1422.4833000000001</v>
      </c>
      <c r="AA8" s="25">
        <f>'Annual Raw'!AB6</f>
        <v>1516.249</v>
      </c>
      <c r="AB8" s="17">
        <f>+SUM(CM8:CP8)</f>
        <v>1624.6247009737413</v>
      </c>
      <c r="AC8" s="17">
        <f>+SUM(CQ8:CT8)</f>
        <v>1743.440781984697</v>
      </c>
      <c r="AD8" s="17">
        <f>+SUM(CU8:CX8)</f>
        <v>1871.6200372762548</v>
      </c>
      <c r="AE8" s="17">
        <f>+SUM(CY8:DB8)</f>
        <v>2009.3617239573682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173.827</v>
      </c>
      <c r="BM8" s="25">
        <f>'QTR Raw'!AG6+'QTR Raw'!AG8</f>
        <v>176.03200000000001</v>
      </c>
      <c r="BN8" s="25">
        <f>'QTR Raw'!AH6+'QTR Raw'!AH8</f>
        <v>174.76499999999999</v>
      </c>
      <c r="BO8" s="25">
        <f>'QTR Raw'!AI6+'QTR Raw'!AI8</f>
        <v>148.625</v>
      </c>
      <c r="BP8" s="25">
        <f>'QTR Raw'!AJ6+'QTR Raw'!AJ8</f>
        <v>171.14400000000001</v>
      </c>
      <c r="BQ8" s="25">
        <f>'QTR Raw'!AK6+'QTR Raw'!AK8</f>
        <v>185.953</v>
      </c>
      <c r="BR8" s="25">
        <f>'QTR Raw'!AL6+'QTR Raw'!AL8</f>
        <v>199.773</v>
      </c>
      <c r="BS8" s="25">
        <f>'QTR Raw'!AM6+'QTR Raw'!AM8</f>
        <v>201.17599999999999</v>
      </c>
      <c r="BT8" s="25">
        <f>'QTR Raw'!AN6+'QTR Raw'!AN8</f>
        <v>227.596</v>
      </c>
      <c r="BU8" s="25">
        <f>'QTR Raw'!AO6+'QTR Raw'!AO8</f>
        <v>237.71199999999999</v>
      </c>
      <c r="BV8" s="25">
        <f>'QTR Raw'!AP6+'QTR Raw'!AP8</f>
        <v>243.184</v>
      </c>
      <c r="BW8" s="25">
        <f>'QTR Raw'!AQ6+'QTR Raw'!AQ8</f>
        <v>236.64599999999999</v>
      </c>
      <c r="BX8" s="25">
        <f>'QTR Raw'!AR6+'QTR Raw'!AR8</f>
        <v>242.37</v>
      </c>
      <c r="BY8" s="25">
        <f>'QTR Raw'!AS6+'QTR Raw'!AS8</f>
        <v>243.572</v>
      </c>
      <c r="BZ8" s="25">
        <f>'QTR Raw'!AT6+'QTR Raw'!AT8</f>
        <v>249.239</v>
      </c>
      <c r="CA8" s="25">
        <f>'QTR Raw'!AU6+'QTR Raw'!AU8</f>
        <v>261.29899999999998</v>
      </c>
      <c r="CB8" s="25">
        <f>'QTR Raw'!AV6+'QTR Raw'!AV8</f>
        <v>275.08300000000003</v>
      </c>
      <c r="CC8" s="25">
        <f>'QTR Raw'!AW6+'QTR Raw'!AW8</f>
        <v>289.678</v>
      </c>
      <c r="CD8" s="25">
        <f>'QTR Raw'!AX6+'QTR Raw'!AX8</f>
        <v>310.459</v>
      </c>
      <c r="CE8" s="25">
        <f>'QTR Raw'!AY6+'QTR Raw'!AY8</f>
        <v>331.40199999999999</v>
      </c>
      <c r="CF8" s="25">
        <f>'QTR Raw'!AZ6+'QTR Raw'!AZ8</f>
        <v>365.17200000000003</v>
      </c>
      <c r="CG8" s="25">
        <f>'QTR Raw'!BA6+'QTR Raw'!BA8</f>
        <v>369.74299999999999</v>
      </c>
      <c r="CH8" s="25">
        <f>'QTR Raw'!BB6+'QTR Raw'!BB8</f>
        <v>356.166</v>
      </c>
      <c r="CI8" s="25">
        <f>'QTR Raw'!BC6+'QTR Raw'!BC8</f>
        <v>354.15199999999999</v>
      </c>
      <c r="CJ8" s="25">
        <f>'QTR Raw'!BD6+'QTR Raw'!BD8</f>
        <v>376.738</v>
      </c>
      <c r="CK8" s="25">
        <f>'QTR Raw'!BE6+'QTR Raw'!BE8</f>
        <v>390.13900000000001</v>
      </c>
      <c r="CL8" s="25">
        <f>'QTR Raw'!BF6+'QTR Raw'!BF8</f>
        <v>395.22</v>
      </c>
      <c r="CM8" s="17">
        <f t="shared" ref="CM8:DB8" si="33">+CI10+(CM11*CI10)</f>
        <v>377.62645611684781</v>
      </c>
      <c r="CN8" s="17">
        <f t="shared" si="33"/>
        <v>401.48686727337605</v>
      </c>
      <c r="CO8" s="17">
        <f t="shared" si="33"/>
        <v>419.08632249608786</v>
      </c>
      <c r="CP8" s="17">
        <f t="shared" si="33"/>
        <v>426.42505508742937</v>
      </c>
      <c r="CQ8" s="17">
        <f t="shared" si="33"/>
        <v>404.54458580852656</v>
      </c>
      <c r="CR8" s="17">
        <f t="shared" si="33"/>
        <v>430.6075694272912</v>
      </c>
      <c r="CS8" s="17">
        <f t="shared" si="33"/>
        <v>450.20014911622553</v>
      </c>
      <c r="CT8" s="17">
        <f t="shared" si="33"/>
        <v>458.08847763265373</v>
      </c>
      <c r="CU8" s="17">
        <f t="shared" si="33"/>
        <v>434.10767341113922</v>
      </c>
      <c r="CV8" s="17">
        <f t="shared" si="33"/>
        <v>462.26851149029562</v>
      </c>
      <c r="CW8" s="17">
        <f t="shared" si="33"/>
        <v>483.41354162862024</v>
      </c>
      <c r="CX8" s="17">
        <f t="shared" si="33"/>
        <v>491.83031074619981</v>
      </c>
      <c r="CY8" s="17">
        <f t="shared" si="33"/>
        <v>466.01852497110565</v>
      </c>
      <c r="CZ8" s="17">
        <f t="shared" si="33"/>
        <v>496.29932097456634</v>
      </c>
      <c r="DA8" s="17">
        <f t="shared" si="33"/>
        <v>519.01195367922639</v>
      </c>
      <c r="DB8" s="17">
        <f t="shared" si="33"/>
        <v>528.03192433246988</v>
      </c>
      <c r="DE8" s="119"/>
      <c r="DF8" s="25">
        <v>383.11949247097573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91.985366600000006</v>
      </c>
      <c r="G10" s="26">
        <f t="shared" si="34"/>
        <v>158.56693999999999</v>
      </c>
      <c r="H10" s="26">
        <f t="shared" si="34"/>
        <v>218.19200000000001</v>
      </c>
      <c r="I10" s="26">
        <f t="shared" si="34"/>
        <v>284.45330000000001</v>
      </c>
      <c r="J10" s="26">
        <f t="shared" si="34"/>
        <v>246.6319</v>
      </c>
      <c r="K10" s="26">
        <f t="shared" si="34"/>
        <v>311.17829999999998</v>
      </c>
      <c r="L10" s="26">
        <f t="shared" si="34"/>
        <v>317.60000000000002</v>
      </c>
      <c r="M10" s="26">
        <f t="shared" si="34"/>
        <v>272.76</v>
      </c>
      <c r="N10" s="26">
        <f t="shared" si="34"/>
        <v>295.3</v>
      </c>
      <c r="O10" s="26">
        <f t="shared" si="34"/>
        <v>322.41179069999998</v>
      </c>
      <c r="P10" s="26">
        <f t="shared" si="34"/>
        <v>383.649</v>
      </c>
      <c r="Q10" s="26">
        <f t="shared" si="34"/>
        <v>397.9248</v>
      </c>
      <c r="R10" s="26">
        <f t="shared" si="34"/>
        <v>478.30849999999998</v>
      </c>
      <c r="S10" s="26">
        <f t="shared" si="34"/>
        <v>641.53589999999997</v>
      </c>
      <c r="T10" s="26">
        <f t="shared" si="34"/>
        <v>693.64390000000003</v>
      </c>
      <c r="U10" s="26">
        <f t="shared" si="34"/>
        <v>699.62990000000002</v>
      </c>
      <c r="V10" s="26">
        <f>+V8-V9</f>
        <v>705.49580000000003</v>
      </c>
      <c r="W10" s="26">
        <f>+W8-W9</f>
        <v>909.66750000000002</v>
      </c>
      <c r="X10" s="26">
        <f>+X8-X9</f>
        <v>971.82719999999995</v>
      </c>
      <c r="Y10" s="26">
        <f>+Y8-Y9</f>
        <v>1136.5181</v>
      </c>
      <c r="Z10" s="26">
        <f>+Z8-Z9</f>
        <v>1422.4833000000001</v>
      </c>
      <c r="AA10" s="26">
        <f>+AA8-AA9</f>
        <v>1516.249</v>
      </c>
      <c r="AB10" s="27">
        <f t="shared" ref="AB10:AD10" si="35">+AB8-AB9</f>
        <v>1624.6247009737413</v>
      </c>
      <c r="AC10" s="27">
        <f t="shared" si="35"/>
        <v>1743.440781984697</v>
      </c>
      <c r="AD10" s="27">
        <f t="shared" si="35"/>
        <v>1871.6200372762548</v>
      </c>
      <c r="AE10" s="27">
        <f t="shared" ref="AE10" si="36">+AE8-AE9</f>
        <v>2009.3617239573682</v>
      </c>
      <c r="AI10" s="26">
        <f t="shared" ref="AI10" si="37">+AI8-AI9</f>
        <v>0</v>
      </c>
      <c r="AJ10" s="26">
        <f t="shared" ref="AJ10" si="38">+AJ8-AJ9</f>
        <v>0</v>
      </c>
      <c r="AK10" s="26">
        <f t="shared" ref="AK10:AM10" si="39">+AK8-AK9</f>
        <v>0</v>
      </c>
      <c r="AL10" s="26">
        <f t="shared" si="39"/>
        <v>0</v>
      </c>
      <c r="AM10" s="26">
        <f t="shared" si="39"/>
        <v>0</v>
      </c>
      <c r="AN10" s="26">
        <f t="shared" ref="AN10:AO10" si="40">+AN8-AN9</f>
        <v>0</v>
      </c>
      <c r="AO10" s="26">
        <f t="shared" si="40"/>
        <v>0</v>
      </c>
      <c r="AP10" s="26">
        <f t="shared" ref="AP10:AW10" si="41">+AP8-AP9</f>
        <v>0</v>
      </c>
      <c r="AQ10" s="26">
        <f t="shared" si="41"/>
        <v>0</v>
      </c>
      <c r="AR10" s="26">
        <f t="shared" si="41"/>
        <v>0</v>
      </c>
      <c r="AS10" s="26">
        <f t="shared" si="41"/>
        <v>0</v>
      </c>
      <c r="AT10" s="26">
        <f t="shared" si="41"/>
        <v>0</v>
      </c>
      <c r="AU10" s="26">
        <f t="shared" si="41"/>
        <v>0</v>
      </c>
      <c r="AV10" s="26">
        <f t="shared" si="41"/>
        <v>0</v>
      </c>
      <c r="AW10" s="26">
        <f t="shared" si="41"/>
        <v>0</v>
      </c>
      <c r="AX10" s="26">
        <f t="shared" ref="AX10:CF10" si="42">+AX8-AX9</f>
        <v>0</v>
      </c>
      <c r="AY10" s="26">
        <f t="shared" si="42"/>
        <v>0</v>
      </c>
      <c r="AZ10" s="26">
        <f t="shared" si="42"/>
        <v>0</v>
      </c>
      <c r="BA10" s="26">
        <f t="shared" si="42"/>
        <v>0</v>
      </c>
      <c r="BB10" s="26">
        <f t="shared" si="42"/>
        <v>0</v>
      </c>
      <c r="BC10" s="26">
        <f t="shared" si="42"/>
        <v>0</v>
      </c>
      <c r="BD10" s="26">
        <f t="shared" si="42"/>
        <v>0</v>
      </c>
      <c r="BE10" s="26">
        <f t="shared" si="42"/>
        <v>0</v>
      </c>
      <c r="BF10" s="26">
        <f t="shared" si="42"/>
        <v>0</v>
      </c>
      <c r="BG10" s="26">
        <f t="shared" si="42"/>
        <v>0</v>
      </c>
      <c r="BH10" s="26">
        <f t="shared" si="42"/>
        <v>0</v>
      </c>
      <c r="BI10" s="26">
        <f t="shared" si="42"/>
        <v>0</v>
      </c>
      <c r="BJ10" s="26">
        <f t="shared" si="42"/>
        <v>0</v>
      </c>
      <c r="BK10" s="26">
        <f t="shared" si="42"/>
        <v>0</v>
      </c>
      <c r="BL10" s="26">
        <f t="shared" si="42"/>
        <v>173.827</v>
      </c>
      <c r="BM10" s="26">
        <f t="shared" si="42"/>
        <v>176.03200000000001</v>
      </c>
      <c r="BN10" s="26">
        <f t="shared" si="42"/>
        <v>174.76499999999999</v>
      </c>
      <c r="BO10" s="26">
        <f t="shared" si="42"/>
        <v>148.625</v>
      </c>
      <c r="BP10" s="26">
        <f t="shared" si="42"/>
        <v>171.14400000000001</v>
      </c>
      <c r="BQ10" s="26">
        <f t="shared" si="42"/>
        <v>185.953</v>
      </c>
      <c r="BR10" s="26">
        <f t="shared" si="42"/>
        <v>199.773</v>
      </c>
      <c r="BS10" s="26">
        <f t="shared" si="42"/>
        <v>201.17599999999999</v>
      </c>
      <c r="BT10" s="26">
        <f t="shared" si="42"/>
        <v>227.596</v>
      </c>
      <c r="BU10" s="26">
        <f t="shared" si="42"/>
        <v>237.71199999999999</v>
      </c>
      <c r="BV10" s="26">
        <f t="shared" si="42"/>
        <v>243.184</v>
      </c>
      <c r="BW10" s="26">
        <f t="shared" si="42"/>
        <v>236.64599999999999</v>
      </c>
      <c r="BX10" s="26">
        <f t="shared" si="42"/>
        <v>242.37</v>
      </c>
      <c r="BY10" s="26">
        <f t="shared" si="42"/>
        <v>243.572</v>
      </c>
      <c r="BZ10" s="26">
        <f t="shared" si="42"/>
        <v>249.239</v>
      </c>
      <c r="CA10" s="26">
        <f t="shared" si="42"/>
        <v>261.29899999999998</v>
      </c>
      <c r="CB10" s="26">
        <f t="shared" si="42"/>
        <v>275.08300000000003</v>
      </c>
      <c r="CC10" s="26">
        <f t="shared" si="42"/>
        <v>289.678</v>
      </c>
      <c r="CD10" s="26">
        <f t="shared" si="42"/>
        <v>310.459</v>
      </c>
      <c r="CE10" s="26">
        <f t="shared" si="42"/>
        <v>331.40199999999999</v>
      </c>
      <c r="CF10" s="26">
        <f t="shared" si="42"/>
        <v>365.17200000000003</v>
      </c>
      <c r="CG10" s="26">
        <f t="shared" ref="CG10:CH10" si="43">+CG8-CG9</f>
        <v>369.74299999999999</v>
      </c>
      <c r="CH10" s="26">
        <f t="shared" si="43"/>
        <v>356.166</v>
      </c>
      <c r="CI10" s="26">
        <f t="shared" ref="CI10:CJ10" si="44">+CI8-CI9</f>
        <v>354.15199999999999</v>
      </c>
      <c r="CJ10" s="26">
        <f t="shared" si="44"/>
        <v>376.738</v>
      </c>
      <c r="CK10" s="26">
        <f t="shared" ref="CK10:CL10" si="45">+CK8-CK9</f>
        <v>390.13900000000001</v>
      </c>
      <c r="CL10" s="26">
        <f t="shared" si="45"/>
        <v>395.22</v>
      </c>
      <c r="CM10" s="27">
        <f t="shared" ref="CM10:DB10" si="46">+CM8-CM9</f>
        <v>377.62645611684781</v>
      </c>
      <c r="CN10" s="27">
        <f t="shared" si="46"/>
        <v>401.48686727337605</v>
      </c>
      <c r="CO10" s="27">
        <f t="shared" si="46"/>
        <v>419.08632249608786</v>
      </c>
      <c r="CP10" s="27">
        <f t="shared" si="46"/>
        <v>426.42505508742937</v>
      </c>
      <c r="CQ10" s="27">
        <f t="shared" si="46"/>
        <v>404.54458580852656</v>
      </c>
      <c r="CR10" s="27">
        <f t="shared" si="46"/>
        <v>430.6075694272912</v>
      </c>
      <c r="CS10" s="27">
        <f t="shared" si="46"/>
        <v>450.20014911622553</v>
      </c>
      <c r="CT10" s="27">
        <f t="shared" si="46"/>
        <v>458.08847763265373</v>
      </c>
      <c r="CU10" s="27">
        <f t="shared" si="46"/>
        <v>434.10767341113922</v>
      </c>
      <c r="CV10" s="27">
        <f t="shared" si="46"/>
        <v>462.26851149029562</v>
      </c>
      <c r="CW10" s="27">
        <f t="shared" si="46"/>
        <v>483.41354162862024</v>
      </c>
      <c r="CX10" s="27">
        <f t="shared" si="46"/>
        <v>491.83031074619981</v>
      </c>
      <c r="CY10" s="27">
        <f t="shared" si="46"/>
        <v>466.01852497110565</v>
      </c>
      <c r="CZ10" s="27">
        <f t="shared" si="46"/>
        <v>496.29932097456634</v>
      </c>
      <c r="DA10" s="27">
        <f t="shared" si="46"/>
        <v>519.01195367922639</v>
      </c>
      <c r="DB10" s="27">
        <f t="shared" si="46"/>
        <v>528.03192433246988</v>
      </c>
      <c r="DE10" s="121"/>
      <c r="DF10" s="26">
        <v>383.11949247097573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>
        <f t="shared" si="50"/>
        <v>0.72382788546716492</v>
      </c>
      <c r="H11" s="39">
        <f t="shared" si="50"/>
        <v>0.37602453575757977</v>
      </c>
      <c r="I11" s="39">
        <f t="shared" si="50"/>
        <v>0.30368345310552169</v>
      </c>
      <c r="J11" s="39">
        <f t="shared" si="50"/>
        <v>-0.13296171990270467</v>
      </c>
      <c r="K11" s="39">
        <f>K10/J10-1</f>
        <v>0.26171148176695702</v>
      </c>
      <c r="L11" s="39">
        <f t="shared" si="50"/>
        <v>2.0636721776550848E-2</v>
      </c>
      <c r="M11" s="39">
        <f t="shared" si="50"/>
        <v>-0.14118387909319907</v>
      </c>
      <c r="N11" s="39">
        <f t="shared" si="50"/>
        <v>8.263675025663586E-2</v>
      </c>
      <c r="O11" s="39">
        <f t="shared" si="50"/>
        <v>9.1811008127328009E-2</v>
      </c>
      <c r="P11" s="39">
        <f t="shared" si="50"/>
        <v>0.18993476996311354</v>
      </c>
      <c r="Q11" s="39">
        <f t="shared" si="50"/>
        <v>3.721057529147731E-2</v>
      </c>
      <c r="R11" s="39">
        <f t="shared" si="50"/>
        <v>0.20200726368399247</v>
      </c>
      <c r="S11" s="39">
        <f t="shared" ref="S11:AA11" si="51">S10/R10-1</f>
        <v>0.34125966818486386</v>
      </c>
      <c r="T11" s="39">
        <f t="shared" si="51"/>
        <v>8.1223825509998848E-2</v>
      </c>
      <c r="U11" s="39">
        <f t="shared" si="51"/>
        <v>8.6297882818546778E-3</v>
      </c>
      <c r="V11" s="39">
        <f t="shared" si="51"/>
        <v>8.3842900367752105E-3</v>
      </c>
      <c r="W11" s="39">
        <f t="shared" si="51"/>
        <v>0.28940172287347421</v>
      </c>
      <c r="X11" s="39">
        <f t="shared" si="51"/>
        <v>6.8332330219558202E-2</v>
      </c>
      <c r="Y11" s="39">
        <f t="shared" si="51"/>
        <v>0.16946520945287391</v>
      </c>
      <c r="Z11" s="39">
        <f t="shared" si="51"/>
        <v>0.2516151744525672</v>
      </c>
      <c r="AA11" s="39">
        <f t="shared" si="51"/>
        <v>6.591690742520484E-2</v>
      </c>
      <c r="AB11" s="40">
        <f t="shared" ref="AB11" si="52">AB10/AA10-1</f>
        <v>7.1476189579509297E-2</v>
      </c>
      <c r="AC11" s="40">
        <f t="shared" ref="AC11" si="53">AC10/AB10-1</f>
        <v>7.313447895981251E-2</v>
      </c>
      <c r="AD11" s="40">
        <f t="shared" ref="AD11" si="54">AD10/AC10-1</f>
        <v>7.3520854058284346E-2</v>
      </c>
      <c r="AE11" s="40">
        <f t="shared" ref="AE11" si="55">AE10/AD10-1</f>
        <v>7.3594898503847483E-2</v>
      </c>
      <c r="AM11" s="39" t="e">
        <f t="shared" ref="AM11:CI11" si="56">+IF(AI10&lt;0,1-AM10/AI10,AM10/AI10-1)</f>
        <v>#DIV/0!</v>
      </c>
      <c r="AN11" s="39" t="e">
        <f t="shared" si="56"/>
        <v>#DIV/0!</v>
      </c>
      <c r="AO11" s="39" t="e">
        <f t="shared" si="56"/>
        <v>#DIV/0!</v>
      </c>
      <c r="AP11" s="39" t="e">
        <f t="shared" si="56"/>
        <v>#DIV/0!</v>
      </c>
      <c r="AQ11" s="39" t="e">
        <f t="shared" si="56"/>
        <v>#DIV/0!</v>
      </c>
      <c r="AR11" s="39" t="e">
        <f t="shared" si="56"/>
        <v>#DIV/0!</v>
      </c>
      <c r="AS11" s="39" t="e">
        <f t="shared" si="56"/>
        <v>#DIV/0!</v>
      </c>
      <c r="AT11" s="39" t="e">
        <f t="shared" si="56"/>
        <v>#DIV/0!</v>
      </c>
      <c r="AU11" s="39" t="e">
        <f t="shared" si="56"/>
        <v>#DIV/0!</v>
      </c>
      <c r="AV11" s="39" t="e">
        <f t="shared" si="56"/>
        <v>#DIV/0!</v>
      </c>
      <c r="AW11" s="39" t="e">
        <f t="shared" si="56"/>
        <v>#DIV/0!</v>
      </c>
      <c r="AX11" s="39" t="e">
        <f t="shared" si="56"/>
        <v>#DIV/0!</v>
      </c>
      <c r="AY11" s="39" t="e">
        <f t="shared" si="56"/>
        <v>#DIV/0!</v>
      </c>
      <c r="AZ11" s="39" t="e">
        <f t="shared" si="56"/>
        <v>#DIV/0!</v>
      </c>
      <c r="BA11" s="39" t="e">
        <f t="shared" si="56"/>
        <v>#DIV/0!</v>
      </c>
      <c r="BB11" s="39" t="e">
        <f t="shared" si="56"/>
        <v>#DIV/0!</v>
      </c>
      <c r="BC11" s="39" t="e">
        <f t="shared" si="56"/>
        <v>#DIV/0!</v>
      </c>
      <c r="BD11" s="39" t="e">
        <f t="shared" si="56"/>
        <v>#DIV/0!</v>
      </c>
      <c r="BE11" s="39" t="e">
        <f t="shared" si="56"/>
        <v>#DIV/0!</v>
      </c>
      <c r="BF11" s="39" t="e">
        <f t="shared" si="56"/>
        <v>#DIV/0!</v>
      </c>
      <c r="BG11" s="39" t="e">
        <f t="shared" si="56"/>
        <v>#DIV/0!</v>
      </c>
      <c r="BH11" s="39" t="e">
        <f t="shared" si="56"/>
        <v>#DIV/0!</v>
      </c>
      <c r="BI11" s="39" t="e">
        <f t="shared" si="56"/>
        <v>#DIV/0!</v>
      </c>
      <c r="BJ11" s="39" t="e">
        <f t="shared" si="56"/>
        <v>#DIV/0!</v>
      </c>
      <c r="BK11" s="39" t="e">
        <f t="shared" si="56"/>
        <v>#DIV/0!</v>
      </c>
      <c r="BL11" s="39" t="e">
        <f t="shared" si="56"/>
        <v>#DIV/0!</v>
      </c>
      <c r="BM11" s="39" t="e">
        <f t="shared" si="56"/>
        <v>#DIV/0!</v>
      </c>
      <c r="BN11" s="39" t="e">
        <f t="shared" si="56"/>
        <v>#DIV/0!</v>
      </c>
      <c r="BO11" s="39" t="e">
        <f t="shared" si="56"/>
        <v>#DIV/0!</v>
      </c>
      <c r="BP11" s="39">
        <f t="shared" si="56"/>
        <v>-1.5434886410051307E-2</v>
      </c>
      <c r="BQ11" s="39">
        <f t="shared" si="56"/>
        <v>5.6359071077985767E-2</v>
      </c>
      <c r="BR11" s="39">
        <f t="shared" si="56"/>
        <v>0.1430950133035791</v>
      </c>
      <c r="BS11" s="39">
        <f t="shared" si="56"/>
        <v>0.35358116063919254</v>
      </c>
      <c r="BT11" s="39">
        <f t="shared" si="56"/>
        <v>0.32985088580376765</v>
      </c>
      <c r="BU11" s="39">
        <f t="shared" si="56"/>
        <v>0.27834452791834496</v>
      </c>
      <c r="BV11" s="39">
        <f t="shared" si="56"/>
        <v>0.2173016373584018</v>
      </c>
      <c r="BW11" s="39">
        <f t="shared" si="56"/>
        <v>0.17631327792579632</v>
      </c>
      <c r="BX11" s="39">
        <f t="shared" si="56"/>
        <v>6.491326736849512E-2</v>
      </c>
      <c r="BY11" s="39">
        <f t="shared" si="56"/>
        <v>2.4651679343070665E-2</v>
      </c>
      <c r="BZ11" s="39">
        <f t="shared" si="56"/>
        <v>2.4898842029080992E-2</v>
      </c>
      <c r="CA11" s="39">
        <f t="shared" si="56"/>
        <v>0.104176702754325</v>
      </c>
      <c r="CB11" s="39">
        <f t="shared" si="56"/>
        <v>0.13497132483393171</v>
      </c>
      <c r="CC11" s="39">
        <f t="shared" si="56"/>
        <v>0.18929105151659464</v>
      </c>
      <c r="CD11" s="39">
        <f t="shared" si="56"/>
        <v>0.24562769069046175</v>
      </c>
      <c r="CE11" s="39">
        <f t="shared" si="56"/>
        <v>0.26828652233648054</v>
      </c>
      <c r="CF11" s="39">
        <f t="shared" si="56"/>
        <v>0.32749751893064993</v>
      </c>
      <c r="CG11" s="39">
        <f t="shared" si="56"/>
        <v>0.27639309854390048</v>
      </c>
      <c r="CH11" s="39">
        <f t="shared" si="56"/>
        <v>0.14722394905607494</v>
      </c>
      <c r="CI11" s="39">
        <f t="shared" si="56"/>
        <v>6.8647745034731145E-2</v>
      </c>
      <c r="CJ11" s="39">
        <f>+IF(CF10&lt;0,1-CJ10/CF10,CJ10/CF10-1)</f>
        <v>3.1672745993668761E-2</v>
      </c>
      <c r="CK11" s="39">
        <f>+IF(CG10&lt;0,1-CK10/CG10,CK10/CG10-1)</f>
        <v>5.5162639995889107E-2</v>
      </c>
      <c r="CL11" s="39">
        <f>+IF(CH10&lt;0,1-CL10/CH10,CL10/CH10-1)</f>
        <v>0.10965111773723502</v>
      </c>
      <c r="CM11" s="40">
        <f t="shared" ref="CM11" si="57">+AVERAGE(CI11:CL11)</f>
        <v>6.6283562190381007E-2</v>
      </c>
      <c r="CN11" s="40">
        <f t="shared" ref="CN11" si="58">+AVERAGE(CJ11:CM11)</f>
        <v>6.5692516479293472E-2</v>
      </c>
      <c r="CO11" s="40">
        <f t="shared" ref="CO11" si="59">+AVERAGE(CK11:CN11)</f>
        <v>7.419745910069965E-2</v>
      </c>
      <c r="CP11" s="40">
        <f t="shared" ref="CP11" si="60">+AVERAGE(CL11:CO11)</f>
        <v>7.8956163876902283E-2</v>
      </c>
      <c r="CQ11" s="40">
        <f t="shared" ref="CQ11" si="61">+AVERAGE(CM11:CP11)</f>
        <v>7.1282425411819103E-2</v>
      </c>
      <c r="CR11" s="40">
        <f t="shared" ref="CR11" si="62">+AVERAGE(CN11:CQ11)</f>
        <v>7.2532141217178631E-2</v>
      </c>
      <c r="CS11" s="40">
        <f t="shared" ref="CS11" si="63">+AVERAGE(CO11:CR11)</f>
        <v>7.4242047401649913E-2</v>
      </c>
      <c r="CT11" s="40">
        <f t="shared" ref="CT11" si="64">+AVERAGE(CP11:CS11)</f>
        <v>7.4253194476887482E-2</v>
      </c>
      <c r="CU11" s="40">
        <f t="shared" ref="CU11" si="65">+AVERAGE(CQ11:CT11)</f>
        <v>7.3077452126883782E-2</v>
      </c>
      <c r="CV11" s="40">
        <f t="shared" ref="CV11" si="66">+AVERAGE(CR11:CU11)</f>
        <v>7.3526208805649945E-2</v>
      </c>
      <c r="CW11" s="40">
        <f t="shared" ref="CW11" si="67">+AVERAGE(CS11:CV11)</f>
        <v>7.3774725702767774E-2</v>
      </c>
      <c r="CX11" s="40">
        <f t="shared" ref="CX11" si="68">+AVERAGE(CT11:CW11)</f>
        <v>7.3657895278047253E-2</v>
      </c>
      <c r="CY11" s="40">
        <f t="shared" ref="CY11" si="69">+AVERAGE(CU11:CX11)</f>
        <v>7.3509070478337185E-2</v>
      </c>
      <c r="CZ11" s="40">
        <f t="shared" ref="CZ11" si="70">+AVERAGE(CV11:CY11)</f>
        <v>7.3616975066200546E-2</v>
      </c>
      <c r="DA11" s="40">
        <f t="shared" ref="DA11" si="71">+AVERAGE(CW11:CZ11)</f>
        <v>7.3639666631338196E-2</v>
      </c>
      <c r="DB11" s="40">
        <f t="shared" ref="DB11" si="72">+AVERAGE(CX11:DA11)</f>
        <v>7.3605901863480788E-2</v>
      </c>
      <c r="DE11" s="122"/>
      <c r="DF11" s="39">
        <v>7.5676770020090989E-2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3">+IF(AI10&lt;0,1-AJ10/AI10,AJ10/AI10-1)</f>
        <v>#DIV/0!</v>
      </c>
      <c r="AK12" s="39" t="e">
        <f t="shared" si="73"/>
        <v>#DIV/0!</v>
      </c>
      <c r="AL12" s="39" t="e">
        <f t="shared" si="73"/>
        <v>#DIV/0!</v>
      </c>
      <c r="AM12" s="39" t="e">
        <f t="shared" ref="AM12:CI12" si="74">+IF(AL10&lt;0,1-AM10/AL10,AM10/AL10-1)</f>
        <v>#DIV/0!</v>
      </c>
      <c r="AN12" s="39" t="e">
        <f t="shared" si="74"/>
        <v>#DIV/0!</v>
      </c>
      <c r="AO12" s="39" t="e">
        <f t="shared" si="74"/>
        <v>#DIV/0!</v>
      </c>
      <c r="AP12" s="39" t="e">
        <f t="shared" si="74"/>
        <v>#DIV/0!</v>
      </c>
      <c r="AQ12" s="39" t="e">
        <f t="shared" si="74"/>
        <v>#DIV/0!</v>
      </c>
      <c r="AR12" s="39" t="e">
        <f t="shared" si="74"/>
        <v>#DIV/0!</v>
      </c>
      <c r="AS12" s="39" t="e">
        <f t="shared" si="74"/>
        <v>#DIV/0!</v>
      </c>
      <c r="AT12" s="39" t="e">
        <f t="shared" si="74"/>
        <v>#DIV/0!</v>
      </c>
      <c r="AU12" s="39" t="e">
        <f t="shared" si="74"/>
        <v>#DIV/0!</v>
      </c>
      <c r="AV12" s="39" t="e">
        <f t="shared" si="74"/>
        <v>#DIV/0!</v>
      </c>
      <c r="AW12" s="39" t="e">
        <f t="shared" si="74"/>
        <v>#DIV/0!</v>
      </c>
      <c r="AX12" s="39" t="e">
        <f t="shared" si="74"/>
        <v>#DIV/0!</v>
      </c>
      <c r="AY12" s="39" t="e">
        <f t="shared" si="74"/>
        <v>#DIV/0!</v>
      </c>
      <c r="AZ12" s="39" t="e">
        <f t="shared" si="74"/>
        <v>#DIV/0!</v>
      </c>
      <c r="BA12" s="39" t="e">
        <f t="shared" si="74"/>
        <v>#DIV/0!</v>
      </c>
      <c r="BB12" s="39" t="e">
        <f t="shared" si="74"/>
        <v>#DIV/0!</v>
      </c>
      <c r="BC12" s="39" t="e">
        <f t="shared" si="74"/>
        <v>#DIV/0!</v>
      </c>
      <c r="BD12" s="39" t="e">
        <f t="shared" si="74"/>
        <v>#DIV/0!</v>
      </c>
      <c r="BE12" s="39" t="e">
        <f t="shared" si="74"/>
        <v>#DIV/0!</v>
      </c>
      <c r="BF12" s="39" t="e">
        <f t="shared" si="74"/>
        <v>#DIV/0!</v>
      </c>
      <c r="BG12" s="39" t="e">
        <f t="shared" si="74"/>
        <v>#DIV/0!</v>
      </c>
      <c r="BH12" s="39" t="e">
        <f t="shared" si="74"/>
        <v>#DIV/0!</v>
      </c>
      <c r="BI12" s="39" t="e">
        <f t="shared" si="74"/>
        <v>#DIV/0!</v>
      </c>
      <c r="BJ12" s="39" t="e">
        <f t="shared" si="74"/>
        <v>#DIV/0!</v>
      </c>
      <c r="BK12" s="39" t="e">
        <f t="shared" si="74"/>
        <v>#DIV/0!</v>
      </c>
      <c r="BL12" s="39" t="e">
        <f t="shared" si="74"/>
        <v>#DIV/0!</v>
      </c>
      <c r="BM12" s="39">
        <f t="shared" si="74"/>
        <v>1.2685025916572279E-2</v>
      </c>
      <c r="BN12" s="39">
        <f t="shared" si="74"/>
        <v>-7.1975549900019642E-3</v>
      </c>
      <c r="BO12" s="39">
        <f t="shared" si="74"/>
        <v>-0.14957228277973267</v>
      </c>
      <c r="BP12" s="39">
        <f t="shared" si="74"/>
        <v>0.151515559293524</v>
      </c>
      <c r="BQ12" s="39">
        <f t="shared" si="74"/>
        <v>8.6529472257280471E-2</v>
      </c>
      <c r="BR12" s="39">
        <f t="shared" si="74"/>
        <v>7.4319855017128011E-2</v>
      </c>
      <c r="BS12" s="39">
        <f t="shared" si="74"/>
        <v>7.0229710721667615E-3</v>
      </c>
      <c r="BT12" s="39">
        <f t="shared" si="74"/>
        <v>0.1313277925796319</v>
      </c>
      <c r="BU12" s="39">
        <f t="shared" si="74"/>
        <v>4.4447178333538284E-2</v>
      </c>
      <c r="BV12" s="39">
        <f t="shared" si="74"/>
        <v>2.3019452110116578E-2</v>
      </c>
      <c r="BW12" s="39">
        <f t="shared" si="74"/>
        <v>-2.6884992433712784E-2</v>
      </c>
      <c r="BX12" s="39">
        <f t="shared" si="74"/>
        <v>2.4188027686924851E-2</v>
      </c>
      <c r="BY12" s="39">
        <f t="shared" si="74"/>
        <v>4.9593596567232279E-3</v>
      </c>
      <c r="BZ12" s="39">
        <f t="shared" si="74"/>
        <v>2.3266221076314153E-2</v>
      </c>
      <c r="CA12" s="39">
        <f t="shared" si="74"/>
        <v>4.838729091354077E-2</v>
      </c>
      <c r="CB12" s="39">
        <f t="shared" si="74"/>
        <v>5.2751828365206421E-2</v>
      </c>
      <c r="CC12" s="39">
        <f t="shared" si="74"/>
        <v>5.3056713791837185E-2</v>
      </c>
      <c r="CD12" s="39">
        <f t="shared" si="74"/>
        <v>7.1738274912143796E-2</v>
      </c>
      <c r="CE12" s="39">
        <f t="shared" si="74"/>
        <v>6.7458182884052365E-2</v>
      </c>
      <c r="CF12" s="39">
        <f t="shared" si="74"/>
        <v>0.10190041098122538</v>
      </c>
      <c r="CG12" s="39">
        <f t="shared" si="74"/>
        <v>1.2517389065974216E-2</v>
      </c>
      <c r="CH12" s="39">
        <f t="shared" si="74"/>
        <v>-3.6720100177691006E-2</v>
      </c>
      <c r="CI12" s="39">
        <f t="shared" si="74"/>
        <v>-5.6546666442052196E-3</v>
      </c>
      <c r="CJ12" s="39">
        <f>+IF(CI10&lt;0,1-CJ10/CI10,CJ10/CI10-1)</f>
        <v>6.3774876324290242E-2</v>
      </c>
      <c r="CK12" s="39">
        <f>+IF(CJ10&lt;0,1-CK10/CJ10,CK10/CJ10-1)</f>
        <v>3.5571139624885229E-2</v>
      </c>
      <c r="CL12" s="39">
        <f>+IF(CK10&lt;0,1-CL10/CK10,CL10/CK10-1)</f>
        <v>1.3023563396635573E-2</v>
      </c>
      <c r="CM12" s="40">
        <f t="shared" ref="CM12" si="75">+CM10/CL10-1</f>
        <v>-4.4515823802318222E-2</v>
      </c>
      <c r="CN12" s="40">
        <f t="shared" ref="CN12" si="76">+CN10/CM10-1</f>
        <v>6.3185221188912566E-2</v>
      </c>
      <c r="CO12" s="40">
        <f t="shared" ref="CO12" si="77">+CO10/CN10-1</f>
        <v>4.3835693411929721E-2</v>
      </c>
      <c r="CP12" s="40">
        <f t="shared" ref="CP12" si="78">+CP10/CO10-1</f>
        <v>1.7511267243540241E-2</v>
      </c>
      <c r="CQ12" s="40">
        <f t="shared" ref="CQ12" si="79">+CQ10/CP10-1</f>
        <v>-5.1311406348805377E-2</v>
      </c>
      <c r="CR12" s="40">
        <f t="shared" ref="CR12" si="80">+CR10/CQ10-1</f>
        <v>6.4425491115336353E-2</v>
      </c>
      <c r="CS12" s="40">
        <f t="shared" ref="CS12" si="81">+CS10/CR10-1</f>
        <v>4.5499849700720629E-2</v>
      </c>
      <c r="CT12" s="40">
        <f t="shared" ref="CT12" si="82">+CT10/CS10-1</f>
        <v>1.752182564113669E-2</v>
      </c>
      <c r="CU12" s="40">
        <f t="shared" ref="CU12" si="83">+CU10/CT10-1</f>
        <v>-5.2349721489273082E-2</v>
      </c>
      <c r="CV12" s="40">
        <f t="shared" ref="CV12" si="84">+CV10/CU10-1</f>
        <v>6.4870629578771766E-2</v>
      </c>
      <c r="CW12" s="40">
        <f t="shared" ref="CW12" si="85">+CW10/CV10-1</f>
        <v>4.5741878611103459E-2</v>
      </c>
      <c r="CX12" s="40">
        <f t="shared" ref="CX12" si="86">+CX10/CW10-1</f>
        <v>1.7411115727588911E-2</v>
      </c>
      <c r="CY12" s="40">
        <f t="shared" ref="CY12" si="87">+CY10/CX10-1</f>
        <v>-5.2481079777154882E-2</v>
      </c>
      <c r="CZ12" s="40">
        <f t="shared" ref="CZ12" si="88">+CZ10/CY10-1</f>
        <v>6.4977665867120171E-2</v>
      </c>
      <c r="DA12" s="40">
        <f t="shared" ref="DA12" si="89">+DA10/CZ10-1</f>
        <v>4.5763981018672295E-2</v>
      </c>
      <c r="DB12" s="40">
        <f t="shared" ref="DB12" si="90">+DB10/DA10-1</f>
        <v>1.7379119284829159E-2</v>
      </c>
      <c r="DE12" s="122"/>
      <c r="DF12" s="39">
        <v>-1.7992324604882537E-2</v>
      </c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1">+CM10-CM16</f>
        <v>0</v>
      </c>
      <c r="CN15" s="24">
        <f t="shared" si="91"/>
        <v>0</v>
      </c>
      <c r="CO15" s="24">
        <f t="shared" si="91"/>
        <v>0</v>
      </c>
      <c r="CP15" s="24">
        <f t="shared" si="91"/>
        <v>0</v>
      </c>
      <c r="CQ15" s="24">
        <f t="shared" si="91"/>
        <v>0</v>
      </c>
      <c r="CR15" s="24">
        <f t="shared" si="91"/>
        <v>0</v>
      </c>
      <c r="CS15" s="24">
        <f t="shared" si="91"/>
        <v>0</v>
      </c>
      <c r="CT15" s="24">
        <f t="shared" si="91"/>
        <v>0</v>
      </c>
      <c r="CU15" s="24">
        <f t="shared" si="91"/>
        <v>0</v>
      </c>
      <c r="CV15" s="24">
        <f t="shared" si="91"/>
        <v>0</v>
      </c>
      <c r="CW15" s="24">
        <f t="shared" si="91"/>
        <v>0</v>
      </c>
      <c r="CX15" s="24">
        <f t="shared" si="91"/>
        <v>0</v>
      </c>
      <c r="CY15" s="24">
        <f t="shared" si="91"/>
        <v>0</v>
      </c>
      <c r="CZ15" s="24">
        <f t="shared" si="91"/>
        <v>0</v>
      </c>
      <c r="DA15" s="24">
        <f t="shared" si="91"/>
        <v>0</v>
      </c>
      <c r="DB15" s="24">
        <f t="shared" si="91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0</v>
      </c>
      <c r="F16" s="31">
        <f t="shared" si="92"/>
        <v>91.985366600000006</v>
      </c>
      <c r="G16" s="31">
        <f t="shared" si="92"/>
        <v>158.56693999999999</v>
      </c>
      <c r="H16" s="31">
        <f t="shared" si="92"/>
        <v>218.19200000000001</v>
      </c>
      <c r="I16" s="31">
        <f t="shared" si="92"/>
        <v>284.45330000000001</v>
      </c>
      <c r="J16" s="31">
        <f t="shared" si="92"/>
        <v>246.6319</v>
      </c>
      <c r="K16" s="31">
        <f t="shared" si="92"/>
        <v>311.17829999999998</v>
      </c>
      <c r="L16" s="31">
        <f t="shared" si="92"/>
        <v>317.60000000000002</v>
      </c>
      <c r="M16" s="31">
        <f t="shared" si="92"/>
        <v>272.76</v>
      </c>
      <c r="N16" s="31">
        <f t="shared" si="92"/>
        <v>295.3</v>
      </c>
      <c r="O16" s="31">
        <f t="shared" si="92"/>
        <v>322.41179069999998</v>
      </c>
      <c r="P16" s="31">
        <f t="shared" si="92"/>
        <v>383.649</v>
      </c>
      <c r="Q16" s="31">
        <f t="shared" si="92"/>
        <v>397.9248</v>
      </c>
      <c r="R16" s="31">
        <f t="shared" si="92"/>
        <v>478.30849999999998</v>
      </c>
      <c r="S16" s="31">
        <f t="shared" si="92"/>
        <v>641.53589999999997</v>
      </c>
      <c r="T16" s="31">
        <f t="shared" si="92"/>
        <v>693.64390000000003</v>
      </c>
      <c r="U16" s="31">
        <f t="shared" ref="U16:Z16" si="93">U10-U13-U15-U14</f>
        <v>699.62990000000002</v>
      </c>
      <c r="V16" s="31">
        <f t="shared" si="93"/>
        <v>705.49580000000003</v>
      </c>
      <c r="W16" s="31">
        <f t="shared" si="93"/>
        <v>909.66750000000002</v>
      </c>
      <c r="X16" s="31">
        <f t="shared" si="93"/>
        <v>971.82719999999995</v>
      </c>
      <c r="Y16" s="31">
        <f t="shared" si="93"/>
        <v>1136.5181</v>
      </c>
      <c r="Z16" s="31">
        <f t="shared" si="93"/>
        <v>1422.4833000000001</v>
      </c>
      <c r="AA16" s="31">
        <f t="shared" ref="AA16" si="94">AA10-AA13-AA15-AA14</f>
        <v>1516.249</v>
      </c>
      <c r="AB16" s="32">
        <f t="shared" ref="AA16:AD16" si="95">AB10-AB13-AB15-AB14</f>
        <v>1624.6247009737413</v>
      </c>
      <c r="AC16" s="32">
        <f t="shared" si="95"/>
        <v>1743.440781984697</v>
      </c>
      <c r="AD16" s="32">
        <f t="shared" si="95"/>
        <v>1871.6200372762548</v>
      </c>
      <c r="AE16" s="32">
        <f t="shared" ref="AE16" si="96">AE10-AE13-AE15-AE14</f>
        <v>2009.3617239573682</v>
      </c>
      <c r="AI16" s="31">
        <f t="shared" ref="AI16" si="97">AI10-AI13-AI15-AI14</f>
        <v>0</v>
      </c>
      <c r="AJ16" s="31">
        <f t="shared" ref="AJ16" si="98">AJ10-AJ13-AJ15-AJ14</f>
        <v>0</v>
      </c>
      <c r="AK16" s="31">
        <f t="shared" ref="AK16:AM16" si="99">AK10-AK13-AK15-AK14</f>
        <v>0</v>
      </c>
      <c r="AL16" s="31">
        <f t="shared" si="99"/>
        <v>0</v>
      </c>
      <c r="AM16" s="31">
        <f t="shared" si="99"/>
        <v>0</v>
      </c>
      <c r="AN16" s="31">
        <f t="shared" ref="AN16:AO16" si="100">AN10-AN13-AN15-AN14</f>
        <v>0</v>
      </c>
      <c r="AO16" s="31">
        <f t="shared" si="100"/>
        <v>0</v>
      </c>
      <c r="AP16" s="31">
        <f t="shared" ref="AP16:CD16" si="101">AP10-AP13-AP15-AP14</f>
        <v>0</v>
      </c>
      <c r="AQ16" s="31">
        <f t="shared" si="101"/>
        <v>0</v>
      </c>
      <c r="AR16" s="31">
        <f t="shared" si="101"/>
        <v>0</v>
      </c>
      <c r="AS16" s="31">
        <f t="shared" si="101"/>
        <v>0</v>
      </c>
      <c r="AT16" s="31">
        <f t="shared" si="101"/>
        <v>0</v>
      </c>
      <c r="AU16" s="31">
        <f t="shared" si="101"/>
        <v>0</v>
      </c>
      <c r="AV16" s="31">
        <f t="shared" si="101"/>
        <v>0</v>
      </c>
      <c r="AW16" s="31">
        <f t="shared" si="101"/>
        <v>0</v>
      </c>
      <c r="AX16" s="31">
        <f t="shared" si="101"/>
        <v>0</v>
      </c>
      <c r="AY16" s="31">
        <f t="shared" si="101"/>
        <v>0</v>
      </c>
      <c r="AZ16" s="31">
        <f t="shared" si="101"/>
        <v>0</v>
      </c>
      <c r="BA16" s="31">
        <f t="shared" si="101"/>
        <v>0</v>
      </c>
      <c r="BB16" s="31">
        <f t="shared" si="101"/>
        <v>0</v>
      </c>
      <c r="BC16" s="31">
        <f t="shared" si="101"/>
        <v>0</v>
      </c>
      <c r="BD16" s="31">
        <f t="shared" si="101"/>
        <v>0</v>
      </c>
      <c r="BE16" s="31">
        <f t="shared" si="101"/>
        <v>0</v>
      </c>
      <c r="BF16" s="31">
        <f t="shared" si="101"/>
        <v>0</v>
      </c>
      <c r="BG16" s="31">
        <f t="shared" si="101"/>
        <v>0</v>
      </c>
      <c r="BH16" s="31">
        <f t="shared" si="101"/>
        <v>0</v>
      </c>
      <c r="BI16" s="31">
        <f t="shared" si="101"/>
        <v>0</v>
      </c>
      <c r="BJ16" s="31">
        <f t="shared" si="101"/>
        <v>0</v>
      </c>
      <c r="BK16" s="31">
        <f t="shared" si="101"/>
        <v>0</v>
      </c>
      <c r="BL16" s="31">
        <f t="shared" si="101"/>
        <v>173.827</v>
      </c>
      <c r="BM16" s="31">
        <f t="shared" si="101"/>
        <v>176.03200000000001</v>
      </c>
      <c r="BN16" s="31">
        <f t="shared" si="101"/>
        <v>174.76499999999999</v>
      </c>
      <c r="BO16" s="31">
        <f t="shared" si="101"/>
        <v>148.625</v>
      </c>
      <c r="BP16" s="31">
        <f t="shared" si="101"/>
        <v>171.14400000000001</v>
      </c>
      <c r="BQ16" s="31">
        <f t="shared" si="101"/>
        <v>185.953</v>
      </c>
      <c r="BR16" s="31">
        <f t="shared" si="101"/>
        <v>199.773</v>
      </c>
      <c r="BS16" s="31">
        <f t="shared" si="101"/>
        <v>201.17599999999999</v>
      </c>
      <c r="BT16" s="31">
        <f t="shared" si="101"/>
        <v>227.596</v>
      </c>
      <c r="BU16" s="31">
        <f t="shared" si="101"/>
        <v>237.71199999999999</v>
      </c>
      <c r="BV16" s="31">
        <f t="shared" si="101"/>
        <v>243.184</v>
      </c>
      <c r="BW16" s="31">
        <f t="shared" si="101"/>
        <v>236.64599999999999</v>
      </c>
      <c r="BX16" s="31">
        <f t="shared" si="101"/>
        <v>242.37</v>
      </c>
      <c r="BY16" s="31">
        <f t="shared" si="101"/>
        <v>243.572</v>
      </c>
      <c r="BZ16" s="31">
        <f t="shared" si="101"/>
        <v>249.239</v>
      </c>
      <c r="CA16" s="31">
        <f t="shared" si="101"/>
        <v>261.29899999999998</v>
      </c>
      <c r="CB16" s="31">
        <f t="shared" si="101"/>
        <v>275.08300000000003</v>
      </c>
      <c r="CC16" s="31">
        <f t="shared" si="101"/>
        <v>289.678</v>
      </c>
      <c r="CD16" s="31">
        <f t="shared" si="101"/>
        <v>310.459</v>
      </c>
      <c r="CE16" s="31">
        <f t="shared" ref="CE16:CF16" si="102">CE10-CE13-CE15-CE14</f>
        <v>331.40199999999999</v>
      </c>
      <c r="CF16" s="31">
        <f t="shared" si="102"/>
        <v>365.17200000000003</v>
      </c>
      <c r="CG16" s="31">
        <f t="shared" ref="CG16:CH16" si="103">CG10-CG13-CG15-CG14</f>
        <v>369.74299999999999</v>
      </c>
      <c r="CH16" s="31">
        <f t="shared" si="103"/>
        <v>356.166</v>
      </c>
      <c r="CI16" s="31">
        <f t="shared" ref="CI16:CJ16" si="104">CI10-CI13-CI15-CI14</f>
        <v>354.15199999999999</v>
      </c>
      <c r="CJ16" s="31">
        <f t="shared" si="104"/>
        <v>376.738</v>
      </c>
      <c r="CK16" s="31">
        <f t="shared" ref="CK16:CL16" si="105">CK10-CK13-CK15-CK14</f>
        <v>390.13900000000001</v>
      </c>
      <c r="CL16" s="31">
        <f t="shared" si="105"/>
        <v>395.22</v>
      </c>
      <c r="CM16" s="32">
        <f t="shared" ref="CM16:DB16" si="106">+CM17*CM10</f>
        <v>377.62645611684781</v>
      </c>
      <c r="CN16" s="32">
        <f t="shared" si="106"/>
        <v>401.48686727337605</v>
      </c>
      <c r="CO16" s="32">
        <f t="shared" si="106"/>
        <v>419.08632249608786</v>
      </c>
      <c r="CP16" s="32">
        <f t="shared" si="106"/>
        <v>426.42505508742937</v>
      </c>
      <c r="CQ16" s="32">
        <f t="shared" si="106"/>
        <v>404.54458580852656</v>
      </c>
      <c r="CR16" s="32">
        <f t="shared" si="106"/>
        <v>430.6075694272912</v>
      </c>
      <c r="CS16" s="32">
        <f t="shared" si="106"/>
        <v>450.20014911622553</v>
      </c>
      <c r="CT16" s="32">
        <f t="shared" si="106"/>
        <v>458.08847763265373</v>
      </c>
      <c r="CU16" s="32">
        <f t="shared" si="106"/>
        <v>434.10767341113922</v>
      </c>
      <c r="CV16" s="32">
        <f t="shared" si="106"/>
        <v>462.26851149029562</v>
      </c>
      <c r="CW16" s="32">
        <f t="shared" si="106"/>
        <v>483.41354162862024</v>
      </c>
      <c r="CX16" s="32">
        <f t="shared" si="106"/>
        <v>491.83031074619981</v>
      </c>
      <c r="CY16" s="32">
        <f t="shared" si="106"/>
        <v>466.01852497110565</v>
      </c>
      <c r="CZ16" s="32">
        <f t="shared" si="106"/>
        <v>496.29932097456634</v>
      </c>
      <c r="DA16" s="32">
        <f t="shared" si="106"/>
        <v>519.01195367922639</v>
      </c>
      <c r="DB16" s="32">
        <f t="shared" si="106"/>
        <v>528.03192433246988</v>
      </c>
      <c r="DE16" s="124"/>
      <c r="DF16" s="31">
        <v>383.11949247097573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>
        <f t="shared" si="107"/>
        <v>1</v>
      </c>
      <c r="G17" s="41">
        <f t="shared" si="107"/>
        <v>1</v>
      </c>
      <c r="H17" s="41">
        <f t="shared" si="107"/>
        <v>1</v>
      </c>
      <c r="I17" s="41">
        <f t="shared" si="107"/>
        <v>1</v>
      </c>
      <c r="J17" s="41">
        <f t="shared" si="107"/>
        <v>1</v>
      </c>
      <c r="K17" s="41">
        <f t="shared" si="107"/>
        <v>1</v>
      </c>
      <c r="L17" s="41">
        <f t="shared" si="107"/>
        <v>1</v>
      </c>
      <c r="M17" s="41">
        <f t="shared" si="107"/>
        <v>1</v>
      </c>
      <c r="N17" s="41">
        <f t="shared" si="107"/>
        <v>1</v>
      </c>
      <c r="O17" s="41">
        <f t="shared" si="107"/>
        <v>1</v>
      </c>
      <c r="P17" s="41">
        <f t="shared" si="107"/>
        <v>1</v>
      </c>
      <c r="Q17" s="41">
        <f t="shared" si="107"/>
        <v>1</v>
      </c>
      <c r="R17" s="41">
        <f t="shared" si="107"/>
        <v>1</v>
      </c>
      <c r="S17" s="41">
        <f t="shared" si="107"/>
        <v>1</v>
      </c>
      <c r="T17" s="41">
        <f t="shared" si="107"/>
        <v>1</v>
      </c>
      <c r="U17" s="41">
        <f t="shared" si="107"/>
        <v>1</v>
      </c>
      <c r="V17" s="41">
        <f>V16/V10</f>
        <v>1</v>
      </c>
      <c r="W17" s="41">
        <f>W16/W10</f>
        <v>1</v>
      </c>
      <c r="X17" s="41">
        <f>X16/X10</f>
        <v>1</v>
      </c>
      <c r="Y17" s="41">
        <f>Y16/Y10</f>
        <v>1</v>
      </c>
      <c r="Z17" s="41">
        <f>Z16/Z10</f>
        <v>1</v>
      </c>
      <c r="AA17" s="41">
        <f>AA16/AA10</f>
        <v>1</v>
      </c>
      <c r="AB17" s="42">
        <f t="shared" ref="AA17:AD17" si="108">AB16/AB10</f>
        <v>1</v>
      </c>
      <c r="AC17" s="42">
        <f t="shared" si="108"/>
        <v>1</v>
      </c>
      <c r="AD17" s="42">
        <f t="shared" si="108"/>
        <v>1</v>
      </c>
      <c r="AE17" s="42">
        <f t="shared" ref="AE17" si="109">AE16/AE10</f>
        <v>1</v>
      </c>
      <c r="AI17" s="41" t="e">
        <f t="shared" ref="AI17" si="110">AI16/AI10</f>
        <v>#DIV/0!</v>
      </c>
      <c r="AJ17" s="41" t="e">
        <f t="shared" ref="AJ17" si="111">AJ16/AJ10</f>
        <v>#DIV/0!</v>
      </c>
      <c r="AK17" s="41" t="e">
        <f t="shared" ref="AK17:AM17" si="112">AK16/AK10</f>
        <v>#DIV/0!</v>
      </c>
      <c r="AL17" s="41" t="e">
        <f t="shared" si="112"/>
        <v>#DIV/0!</v>
      </c>
      <c r="AM17" s="41" t="e">
        <f t="shared" si="112"/>
        <v>#DIV/0!</v>
      </c>
      <c r="AN17" s="41" t="e">
        <f t="shared" ref="AN17:AO17" si="113">AN16/AN10</f>
        <v>#DIV/0!</v>
      </c>
      <c r="AO17" s="41" t="e">
        <f t="shared" si="113"/>
        <v>#DIV/0!</v>
      </c>
      <c r="AP17" s="41" t="e">
        <f t="shared" ref="AP17:CD17" si="114">AP16/AP10</f>
        <v>#DIV/0!</v>
      </c>
      <c r="AQ17" s="41" t="e">
        <f t="shared" si="114"/>
        <v>#DIV/0!</v>
      </c>
      <c r="AR17" s="41" t="e">
        <f t="shared" si="114"/>
        <v>#DIV/0!</v>
      </c>
      <c r="AS17" s="41" t="e">
        <f t="shared" si="114"/>
        <v>#DIV/0!</v>
      </c>
      <c r="AT17" s="41" t="e">
        <f t="shared" si="114"/>
        <v>#DIV/0!</v>
      </c>
      <c r="AU17" s="41" t="e">
        <f t="shared" si="114"/>
        <v>#DIV/0!</v>
      </c>
      <c r="AV17" s="41" t="e">
        <f t="shared" si="114"/>
        <v>#DIV/0!</v>
      </c>
      <c r="AW17" s="41" t="e">
        <f t="shared" si="114"/>
        <v>#DIV/0!</v>
      </c>
      <c r="AX17" s="41" t="e">
        <f t="shared" si="114"/>
        <v>#DIV/0!</v>
      </c>
      <c r="AY17" s="41" t="e">
        <f t="shared" si="114"/>
        <v>#DIV/0!</v>
      </c>
      <c r="AZ17" s="41" t="e">
        <f t="shared" si="114"/>
        <v>#DIV/0!</v>
      </c>
      <c r="BA17" s="41" t="e">
        <f t="shared" si="114"/>
        <v>#DIV/0!</v>
      </c>
      <c r="BB17" s="41" t="e">
        <f t="shared" si="114"/>
        <v>#DIV/0!</v>
      </c>
      <c r="BC17" s="41" t="e">
        <f t="shared" si="114"/>
        <v>#DIV/0!</v>
      </c>
      <c r="BD17" s="41" t="e">
        <f t="shared" si="114"/>
        <v>#DIV/0!</v>
      </c>
      <c r="BE17" s="41" t="e">
        <f t="shared" si="114"/>
        <v>#DIV/0!</v>
      </c>
      <c r="BF17" s="41" t="e">
        <f t="shared" si="114"/>
        <v>#DIV/0!</v>
      </c>
      <c r="BG17" s="41" t="e">
        <f t="shared" si="114"/>
        <v>#DIV/0!</v>
      </c>
      <c r="BH17" s="41" t="e">
        <f t="shared" si="114"/>
        <v>#DIV/0!</v>
      </c>
      <c r="BI17" s="41" t="e">
        <f t="shared" si="114"/>
        <v>#DIV/0!</v>
      </c>
      <c r="BJ17" s="41" t="e">
        <f t="shared" si="114"/>
        <v>#DIV/0!</v>
      </c>
      <c r="BK17" s="41" t="e">
        <f t="shared" si="114"/>
        <v>#DIV/0!</v>
      </c>
      <c r="BL17" s="41">
        <f t="shared" si="114"/>
        <v>1</v>
      </c>
      <c r="BM17" s="41">
        <f t="shared" si="114"/>
        <v>1</v>
      </c>
      <c r="BN17" s="41">
        <f t="shared" si="114"/>
        <v>1</v>
      </c>
      <c r="BO17" s="41">
        <f t="shared" si="114"/>
        <v>1</v>
      </c>
      <c r="BP17" s="41">
        <f t="shared" si="114"/>
        <v>1</v>
      </c>
      <c r="BQ17" s="41">
        <f t="shared" si="114"/>
        <v>1</v>
      </c>
      <c r="BR17" s="41">
        <f t="shared" si="114"/>
        <v>1</v>
      </c>
      <c r="BS17" s="41">
        <f t="shared" si="114"/>
        <v>1</v>
      </c>
      <c r="BT17" s="41">
        <f t="shared" si="114"/>
        <v>1</v>
      </c>
      <c r="BU17" s="41">
        <f t="shared" si="114"/>
        <v>1</v>
      </c>
      <c r="BV17" s="41">
        <f t="shared" si="114"/>
        <v>1</v>
      </c>
      <c r="BW17" s="41">
        <f t="shared" si="114"/>
        <v>1</v>
      </c>
      <c r="BX17" s="41">
        <f t="shared" si="114"/>
        <v>1</v>
      </c>
      <c r="BY17" s="41">
        <f t="shared" si="114"/>
        <v>1</v>
      </c>
      <c r="BZ17" s="41">
        <f t="shared" si="114"/>
        <v>1</v>
      </c>
      <c r="CA17" s="41">
        <f t="shared" si="114"/>
        <v>1</v>
      </c>
      <c r="CB17" s="41">
        <f t="shared" si="114"/>
        <v>1</v>
      </c>
      <c r="CC17" s="41">
        <f t="shared" si="114"/>
        <v>1</v>
      </c>
      <c r="CD17" s="41">
        <f t="shared" si="114"/>
        <v>1</v>
      </c>
      <c r="CE17" s="41">
        <f t="shared" ref="CE17:CF17" si="115">CE16/CE10</f>
        <v>1</v>
      </c>
      <c r="CF17" s="41">
        <f t="shared" si="115"/>
        <v>1</v>
      </c>
      <c r="CG17" s="41">
        <f t="shared" ref="CG17:CH17" si="116">CG16/CG10</f>
        <v>1</v>
      </c>
      <c r="CH17" s="41">
        <f t="shared" si="116"/>
        <v>1</v>
      </c>
      <c r="CI17" s="41">
        <f t="shared" ref="CI17:CJ17" si="117">CI16/CI10</f>
        <v>1</v>
      </c>
      <c r="CJ17" s="41">
        <f t="shared" si="117"/>
        <v>1</v>
      </c>
      <c r="CK17" s="41">
        <f t="shared" ref="CK17:CL17" si="118">CK16/CK10</f>
        <v>1</v>
      </c>
      <c r="CL17" s="41">
        <f t="shared" si="118"/>
        <v>1</v>
      </c>
      <c r="CM17" s="42">
        <f t="shared" ref="CM17:DB17" si="119">AVERAGE(CI17:CL17)</f>
        <v>1</v>
      </c>
      <c r="CN17" s="42">
        <f t="shared" si="119"/>
        <v>1</v>
      </c>
      <c r="CO17" s="42">
        <f t="shared" si="119"/>
        <v>1</v>
      </c>
      <c r="CP17" s="42">
        <f t="shared" si="119"/>
        <v>1</v>
      </c>
      <c r="CQ17" s="42">
        <f t="shared" si="119"/>
        <v>1</v>
      </c>
      <c r="CR17" s="42">
        <f t="shared" si="119"/>
        <v>1</v>
      </c>
      <c r="CS17" s="42">
        <f t="shared" si="119"/>
        <v>1</v>
      </c>
      <c r="CT17" s="42">
        <f t="shared" si="119"/>
        <v>1</v>
      </c>
      <c r="CU17" s="42">
        <f t="shared" si="119"/>
        <v>1</v>
      </c>
      <c r="CV17" s="42">
        <f t="shared" si="119"/>
        <v>1</v>
      </c>
      <c r="CW17" s="42">
        <f t="shared" si="119"/>
        <v>1</v>
      </c>
      <c r="CX17" s="42">
        <f t="shared" si="119"/>
        <v>1</v>
      </c>
      <c r="CY17" s="42">
        <f t="shared" si="119"/>
        <v>1</v>
      </c>
      <c r="CZ17" s="42">
        <f t="shared" si="119"/>
        <v>1</v>
      </c>
      <c r="DA17" s="42">
        <f t="shared" si="119"/>
        <v>1</v>
      </c>
      <c r="DB17" s="42">
        <f t="shared" si="119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>
        <f t="shared" si="120"/>
        <v>0.72382788546716492</v>
      </c>
      <c r="H18" s="39">
        <f t="shared" si="120"/>
        <v>0.37602453575757977</v>
      </c>
      <c r="I18" s="39">
        <f t="shared" si="120"/>
        <v>0.30368345310552169</v>
      </c>
      <c r="J18" s="39">
        <f t="shared" si="120"/>
        <v>-0.13296171990270467</v>
      </c>
      <c r="K18" s="39">
        <f t="shared" si="120"/>
        <v>0.26171148176695702</v>
      </c>
      <c r="L18" s="39">
        <f t="shared" si="120"/>
        <v>2.0636721776550848E-2</v>
      </c>
      <c r="M18" s="39">
        <f t="shared" si="120"/>
        <v>-0.14118387909319907</v>
      </c>
      <c r="N18" s="39">
        <f t="shared" si="120"/>
        <v>8.263675025663586E-2</v>
      </c>
      <c r="O18" s="39">
        <f t="shared" si="120"/>
        <v>9.1811008127328009E-2</v>
      </c>
      <c r="P18" s="39">
        <f t="shared" si="120"/>
        <v>0.18993476996311354</v>
      </c>
      <c r="Q18" s="39">
        <f t="shared" si="120"/>
        <v>3.721057529147731E-2</v>
      </c>
      <c r="R18" s="39">
        <f t="shared" si="120"/>
        <v>0.20200726368399247</v>
      </c>
      <c r="S18" s="39">
        <f t="shared" si="120"/>
        <v>0.34125966818486386</v>
      </c>
      <c r="T18" s="39">
        <f t="shared" si="120"/>
        <v>8.1223825509998848E-2</v>
      </c>
      <c r="U18" s="39">
        <f t="shared" si="120"/>
        <v>8.6297882818546778E-3</v>
      </c>
      <c r="V18" s="39">
        <f t="shared" si="120"/>
        <v>8.3842900367752105E-3</v>
      </c>
      <c r="W18" s="39">
        <f t="shared" si="120"/>
        <v>0.28940172287347421</v>
      </c>
      <c r="X18" s="39">
        <f t="shared" si="120"/>
        <v>6.8332330219558202E-2</v>
      </c>
      <c r="Y18" s="39">
        <f t="shared" si="120"/>
        <v>0.16946520945287391</v>
      </c>
      <c r="Z18" s="39">
        <f t="shared" si="120"/>
        <v>0.2516151744525672</v>
      </c>
      <c r="AA18" s="39">
        <f t="shared" si="120"/>
        <v>6.591690742520484E-2</v>
      </c>
      <c r="AB18" s="40">
        <f t="shared" si="120"/>
        <v>7.1476189579509297E-2</v>
      </c>
      <c r="AC18" s="40">
        <f t="shared" si="120"/>
        <v>7.313447895981251E-2</v>
      </c>
      <c r="AD18" s="40">
        <f t="shared" si="120"/>
        <v>7.3520854058284346E-2</v>
      </c>
      <c r="AE18" s="40">
        <f t="shared" si="120"/>
        <v>7.3594898503847483E-2</v>
      </c>
      <c r="AM18" s="39" t="e">
        <f>+IF(AI16&lt;0,1-AM16/AI16,AM16/AI16-1)</f>
        <v>#DIV/0!</v>
      </c>
      <c r="AN18" s="39" t="e">
        <f t="shared" ref="AN18" si="121">+IF(AJ16&lt;0,1-AN16/AJ16,AN16/AJ16-1)</f>
        <v>#DIV/0!</v>
      </c>
      <c r="AO18" s="39" t="e">
        <f t="shared" ref="AO18" si="122">+IF(AK16&lt;0,1-AO16/AK16,AO16/AK16-1)</f>
        <v>#DIV/0!</v>
      </c>
      <c r="AP18" s="39" t="e">
        <f t="shared" ref="AP18" si="123">+IF(AL16&lt;0,1-AP16/AL16,AP16/AL16-1)</f>
        <v>#DIV/0!</v>
      </c>
      <c r="AQ18" s="39" t="e">
        <f t="shared" ref="AQ18" si="124">+IF(AM16&lt;0,1-AQ16/AM16,AQ16/AM16-1)</f>
        <v>#DIV/0!</v>
      </c>
      <c r="AR18" s="39" t="e">
        <f t="shared" ref="AR18" si="125">+IF(AN16&lt;0,1-AR16/AN16,AR16/AN16-1)</f>
        <v>#DIV/0!</v>
      </c>
      <c r="AS18" s="39" t="e">
        <f t="shared" ref="AS18" si="126">+IF(AO16&lt;0,1-AS16/AO16,AS16/AO16-1)</f>
        <v>#DIV/0!</v>
      </c>
      <c r="AT18" s="39" t="e">
        <f t="shared" ref="AT18" si="127">+IF(AP16&lt;0,1-AT16/AP16,AT16/AP16-1)</f>
        <v>#DIV/0!</v>
      </c>
      <c r="AU18" s="39" t="e">
        <f t="shared" ref="AU18" si="128">+IF(AQ16&lt;0,1-AU16/AQ16,AU16/AQ16-1)</f>
        <v>#DIV/0!</v>
      </c>
      <c r="AV18" s="39" t="e">
        <f t="shared" ref="AV18" si="129">+IF(AR16&lt;0,1-AV16/AR16,AV16/AR16-1)</f>
        <v>#DIV/0!</v>
      </c>
      <c r="AW18" s="39" t="e">
        <f t="shared" ref="AW18" si="130">+IF(AS16&lt;0,1-AW16/AS16,AW16/AS16-1)</f>
        <v>#DIV/0!</v>
      </c>
      <c r="AX18" s="39" t="e">
        <f t="shared" ref="AX18" si="131">+IF(AT16&lt;0,1-AX16/AT16,AX16/AT16-1)</f>
        <v>#DIV/0!</v>
      </c>
      <c r="AY18" s="39" t="e">
        <f t="shared" ref="AY18" si="132">+IF(AU16&lt;0,1-AY16/AU16,AY16/AU16-1)</f>
        <v>#DIV/0!</v>
      </c>
      <c r="AZ18" s="39" t="e">
        <f t="shared" ref="AZ18" si="133">+IF(AV16&lt;0,1-AZ16/AV16,AZ16/AV16-1)</f>
        <v>#DIV/0!</v>
      </c>
      <c r="BA18" s="39" t="e">
        <f t="shared" ref="BA18" si="134">+IF(AW16&lt;0,1-BA16/AW16,BA16/AW16-1)</f>
        <v>#DIV/0!</v>
      </c>
      <c r="BB18" s="39" t="e">
        <f t="shared" ref="BB18" si="135">+IF(AX16&lt;0,1-BB16/AX16,BB16/AX16-1)</f>
        <v>#DIV/0!</v>
      </c>
      <c r="BC18" s="39" t="e">
        <f t="shared" ref="BC18" si="136">+IF(AY16&lt;0,1-BC16/AY16,BC16/AY16-1)</f>
        <v>#DIV/0!</v>
      </c>
      <c r="BD18" s="39" t="e">
        <f t="shared" ref="BD18" si="137">+IF(AZ16&lt;0,1-BD16/AZ16,BD16/AZ16-1)</f>
        <v>#DIV/0!</v>
      </c>
      <c r="BE18" s="39" t="e">
        <f t="shared" ref="BE18" si="138">+IF(BA16&lt;0,1-BE16/BA16,BE16/BA16-1)</f>
        <v>#DIV/0!</v>
      </c>
      <c r="BF18" s="39" t="e">
        <f t="shared" ref="BF18" si="139">+IF(BB16&lt;0,1-BF16/BB16,BF16/BB16-1)</f>
        <v>#DIV/0!</v>
      </c>
      <c r="BG18" s="39" t="e">
        <f t="shared" ref="BG18" si="140">+IF(BC16&lt;0,1-BG16/BC16,BG16/BC16-1)</f>
        <v>#DIV/0!</v>
      </c>
      <c r="BH18" s="39" t="e">
        <f t="shared" ref="BH18" si="141">+IF(BD16&lt;0,1-BH16/BD16,BH16/BD16-1)</f>
        <v>#DIV/0!</v>
      </c>
      <c r="BI18" s="39" t="e">
        <f t="shared" ref="BI18" si="142">+IF(BE16&lt;0,1-BI16/BE16,BI16/BE16-1)</f>
        <v>#DIV/0!</v>
      </c>
      <c r="BJ18" s="39" t="e">
        <f t="shared" ref="BJ18" si="143">+IF(BF16&lt;0,1-BJ16/BF16,BJ16/BF16-1)</f>
        <v>#DIV/0!</v>
      </c>
      <c r="BK18" s="39" t="e">
        <f t="shared" ref="BK18" si="144">+IF(BG16&lt;0,1-BK16/BG16,BK16/BG16-1)</f>
        <v>#DIV/0!</v>
      </c>
      <c r="BL18" s="39" t="e">
        <f t="shared" ref="BL18" si="145">+IF(BH16&lt;0,1-BL16/BH16,BL16/BH16-1)</f>
        <v>#DIV/0!</v>
      </c>
      <c r="BM18" s="39" t="e">
        <f t="shared" ref="BM18" si="146">+IF(BI16&lt;0,1-BM16/BI16,BM16/BI16-1)</f>
        <v>#DIV/0!</v>
      </c>
      <c r="BN18" s="39" t="e">
        <f t="shared" ref="BN18" si="147">+IF(BJ16&lt;0,1-BN16/BJ16,BN16/BJ16-1)</f>
        <v>#DIV/0!</v>
      </c>
      <c r="BO18" s="39" t="e">
        <f t="shared" ref="BO18" si="148">+IF(BK16&lt;0,1-BO16/BK16,BO16/BK16-1)</f>
        <v>#DIV/0!</v>
      </c>
      <c r="BP18" s="39">
        <f t="shared" ref="BP18" si="149">+IF(BL16&lt;0,1-BP16/BL16,BP16/BL16-1)</f>
        <v>-1.5434886410051307E-2</v>
      </c>
      <c r="BQ18" s="39">
        <f t="shared" ref="BQ18" si="150">+IF(BM16&lt;0,1-BQ16/BM16,BQ16/BM16-1)</f>
        <v>5.6359071077985767E-2</v>
      </c>
      <c r="BR18" s="39">
        <f t="shared" ref="BR18" si="151">+IF(BN16&lt;0,1-BR16/BN16,BR16/BN16-1)</f>
        <v>0.1430950133035791</v>
      </c>
      <c r="BS18" s="39">
        <f t="shared" ref="BS18" si="152">+IF(BO16&lt;0,1-BS16/BO16,BS16/BO16-1)</f>
        <v>0.35358116063919254</v>
      </c>
      <c r="BT18" s="39">
        <f t="shared" ref="BT18" si="153">+IF(BP16&lt;0,1-BT16/BP16,BT16/BP16-1)</f>
        <v>0.32985088580376765</v>
      </c>
      <c r="BU18" s="39">
        <f t="shared" ref="BU18" si="154">+IF(BQ16&lt;0,1-BU16/BQ16,BU16/BQ16-1)</f>
        <v>0.27834452791834496</v>
      </c>
      <c r="BV18" s="39">
        <f t="shared" ref="BV18" si="155">+IF(BR16&lt;0,1-BV16/BR16,BV16/BR16-1)</f>
        <v>0.2173016373584018</v>
      </c>
      <c r="BW18" s="39">
        <f t="shared" ref="BW18" si="156">+IF(BS16&lt;0,1-BW16/BS16,BW16/BS16-1)</f>
        <v>0.17631327792579632</v>
      </c>
      <c r="BX18" s="39">
        <f t="shared" ref="BX18" si="157">+IF(BT16&lt;0,1-BX16/BT16,BX16/BT16-1)</f>
        <v>6.491326736849512E-2</v>
      </c>
      <c r="BY18" s="39">
        <f t="shared" ref="BY18" si="158">+IF(BU16&lt;0,1-BY16/BU16,BY16/BU16-1)</f>
        <v>2.4651679343070665E-2</v>
      </c>
      <c r="BZ18" s="39">
        <f t="shared" ref="BZ18" si="159">+IF(BV16&lt;0,1-BZ16/BV16,BZ16/BV16-1)</f>
        <v>2.4898842029080992E-2</v>
      </c>
      <c r="CA18" s="39">
        <f t="shared" ref="CA18" si="160">+IF(BW16&lt;0,1-CA16/BW16,CA16/BW16-1)</f>
        <v>0.104176702754325</v>
      </c>
      <c r="CB18" s="39">
        <f t="shared" ref="CB18" si="161">+IF(BX16&lt;0,1-CB16/BX16,CB16/BX16-1)</f>
        <v>0.13497132483393171</v>
      </c>
      <c r="CC18" s="39">
        <f t="shared" ref="CC18" si="162">+IF(BY16&lt;0,1-CC16/BY16,CC16/BY16-1)</f>
        <v>0.18929105151659464</v>
      </c>
      <c r="CD18" s="39">
        <f t="shared" ref="CD18" si="163">+IF(BZ16&lt;0,1-CD16/BZ16,CD16/BZ16-1)</f>
        <v>0.24562769069046175</v>
      </c>
      <c r="CE18" s="39">
        <f t="shared" ref="CE18" si="164">+IF(CA16&lt;0,1-CE16/CA16,CE16/CA16-1)</f>
        <v>0.26828652233648054</v>
      </c>
      <c r="CF18" s="39">
        <f t="shared" ref="CF18" si="165">+IF(CB16&lt;0,1-CF16/CB16,CF16/CB16-1)</f>
        <v>0.32749751893064993</v>
      </c>
      <c r="CG18" s="39">
        <f t="shared" ref="CG18" si="166">+IF(CC16&lt;0,1-CG16/CC16,CG16/CC16-1)</f>
        <v>0.27639309854390048</v>
      </c>
      <c r="CH18" s="39">
        <f t="shared" ref="CH18:CL18" si="167">+IF(CD16&lt;0,1-CH16/CD16,CH16/CD16-1)</f>
        <v>0.14722394905607494</v>
      </c>
      <c r="CI18" s="39">
        <f t="shared" si="167"/>
        <v>6.8647745034731145E-2</v>
      </c>
      <c r="CJ18" s="39">
        <f t="shared" si="167"/>
        <v>3.1672745993668761E-2</v>
      </c>
      <c r="CK18" s="39">
        <f t="shared" si="167"/>
        <v>5.5162639995889107E-2</v>
      </c>
      <c r="CL18" s="39">
        <f t="shared" si="167"/>
        <v>0.10965111773723502</v>
      </c>
      <c r="CM18" s="40">
        <f t="shared" ref="CM18" si="168">+CM16/CI16-1</f>
        <v>6.6283562190381007E-2</v>
      </c>
      <c r="CN18" s="40">
        <f t="shared" ref="CN18" si="169">+CN16/CJ16-1</f>
        <v>6.5692516479293417E-2</v>
      </c>
      <c r="CO18" s="40">
        <f t="shared" ref="CO18" si="170">+CO16/CK16-1</f>
        <v>7.4197459100699525E-2</v>
      </c>
      <c r="CP18" s="40">
        <f t="shared" ref="CP18" si="171">+CP16/CL16-1</f>
        <v>7.8956163876902297E-2</v>
      </c>
      <c r="CQ18" s="40">
        <f t="shared" ref="CQ18" si="172">+CQ16/CM16-1</f>
        <v>7.128242541181895E-2</v>
      </c>
      <c r="CR18" s="40">
        <f t="shared" ref="CR18" si="173">+CR16/CN16-1</f>
        <v>7.2532141217178658E-2</v>
      </c>
      <c r="CS18" s="40">
        <f t="shared" ref="CS18" si="174">+CS16/CO16-1</f>
        <v>7.4242047401649858E-2</v>
      </c>
      <c r="CT18" s="40">
        <f t="shared" ref="CT18" si="175">+CT16/CP16-1</f>
        <v>7.4253194476887607E-2</v>
      </c>
      <c r="CU18" s="40">
        <f t="shared" ref="CU18" si="176">+CU16/CQ16-1</f>
        <v>7.3077452126883768E-2</v>
      </c>
      <c r="CV18" s="40">
        <f t="shared" ref="CV18" si="177">+CV16/CR16-1</f>
        <v>7.3526208805649862E-2</v>
      </c>
      <c r="CW18" s="40">
        <f t="shared" ref="CW18" si="178">+CW16/CS16-1</f>
        <v>7.3774725702767885E-2</v>
      </c>
      <c r="CX18" s="40">
        <f t="shared" ref="CX18" si="179">+CX16/CT16-1</f>
        <v>7.3657895278047114E-2</v>
      </c>
      <c r="CY18" s="40">
        <f t="shared" ref="CY18" si="180">+CY16/CU16-1</f>
        <v>7.3509070478337213E-2</v>
      </c>
      <c r="CZ18" s="40">
        <f t="shared" ref="CZ18" si="181">+CZ16/CV16-1</f>
        <v>7.3616975066200574E-2</v>
      </c>
      <c r="DA18" s="40">
        <f t="shared" ref="DA18" si="182">+DA16/CW16-1</f>
        <v>7.3639666631338363E-2</v>
      </c>
      <c r="DB18" s="40">
        <f t="shared" ref="DB18" si="183">+DB16/CX16-1</f>
        <v>7.3605901863480927E-2</v>
      </c>
      <c r="DE18" s="122"/>
      <c r="DF18" s="39">
        <v>7.56767700200911E-2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4">+IF(AJ16&lt;0,1-AK16/AJ16,AK16/AJ16-1)</f>
        <v>#DIV/0!</v>
      </c>
      <c r="AL19" s="39" t="e">
        <f t="shared" ref="AL19" si="185">+IF(AK16&lt;0,1-AL16/AK16,AL16/AK16-1)</f>
        <v>#DIV/0!</v>
      </c>
      <c r="AM19" s="39" t="e">
        <f t="shared" ref="AM19" si="186">+IF(AL16&lt;0,1-AM16/AL16,AM16/AL16-1)</f>
        <v>#DIV/0!</v>
      </c>
      <c r="AN19" s="39" t="e">
        <f t="shared" ref="AN19" si="187">+IF(AM16&lt;0,1-AN16/AM16,AN16/AM16-1)</f>
        <v>#DIV/0!</v>
      </c>
      <c r="AO19" s="39" t="e">
        <f t="shared" ref="AO19" si="188">+IF(AN16&lt;0,1-AO16/AN16,AO16/AN16-1)</f>
        <v>#DIV/0!</v>
      </c>
      <c r="AP19" s="39" t="e">
        <f t="shared" ref="AP19" si="189">+IF(AO16&lt;0,1-AP16/AO16,AP16/AO16-1)</f>
        <v>#DIV/0!</v>
      </c>
      <c r="AQ19" s="39" t="e">
        <f t="shared" ref="AQ19" si="190">+IF(AP16&lt;0,1-AQ16/AP16,AQ16/AP16-1)</f>
        <v>#DIV/0!</v>
      </c>
      <c r="AR19" s="39" t="e">
        <f t="shared" ref="AR19" si="191">+IF(AQ16&lt;0,1-AR16/AQ16,AR16/AQ16-1)</f>
        <v>#DIV/0!</v>
      </c>
      <c r="AS19" s="39" t="e">
        <f t="shared" ref="AS19" si="192">+IF(AR16&lt;0,1-AS16/AR16,AS16/AR16-1)</f>
        <v>#DIV/0!</v>
      </c>
      <c r="AT19" s="39" t="e">
        <f t="shared" ref="AT19" si="193">+IF(AS16&lt;0,1-AT16/AS16,AT16/AS16-1)</f>
        <v>#DIV/0!</v>
      </c>
      <c r="AU19" s="39" t="e">
        <f t="shared" ref="AU19" si="194">+IF(AT16&lt;0,1-AU16/AT16,AU16/AT16-1)</f>
        <v>#DIV/0!</v>
      </c>
      <c r="AV19" s="39" t="e">
        <f t="shared" ref="AV19" si="195">+IF(AU16&lt;0,1-AV16/AU16,AV16/AU16-1)</f>
        <v>#DIV/0!</v>
      </c>
      <c r="AW19" s="39" t="e">
        <f t="shared" ref="AW19" si="196">+IF(AV16&lt;0,1-AW16/AV16,AW16/AV16-1)</f>
        <v>#DIV/0!</v>
      </c>
      <c r="AX19" s="39" t="e">
        <f t="shared" ref="AX19" si="197">+IF(AW16&lt;0,1-AX16/AW16,AX16/AW16-1)</f>
        <v>#DIV/0!</v>
      </c>
      <c r="AY19" s="39" t="e">
        <f t="shared" ref="AY19" si="198">+IF(AX16&lt;0,1-AY16/AX16,AY16/AX16-1)</f>
        <v>#DIV/0!</v>
      </c>
      <c r="AZ19" s="39" t="e">
        <f t="shared" ref="AZ19" si="199">+IF(AY16&lt;0,1-AZ16/AY16,AZ16/AY16-1)</f>
        <v>#DIV/0!</v>
      </c>
      <c r="BA19" s="39" t="e">
        <f t="shared" ref="BA19" si="200">+IF(AZ16&lt;0,1-BA16/AZ16,BA16/AZ16-1)</f>
        <v>#DIV/0!</v>
      </c>
      <c r="BB19" s="39" t="e">
        <f t="shared" ref="BB19" si="201">+IF(BA16&lt;0,1-BB16/BA16,BB16/BA16-1)</f>
        <v>#DIV/0!</v>
      </c>
      <c r="BC19" s="39" t="e">
        <f t="shared" ref="BC19" si="202">+IF(BB16&lt;0,1-BC16/BB16,BC16/BB16-1)</f>
        <v>#DIV/0!</v>
      </c>
      <c r="BD19" s="39" t="e">
        <f t="shared" ref="BD19" si="203">+IF(BC16&lt;0,1-BD16/BC16,BD16/BC16-1)</f>
        <v>#DIV/0!</v>
      </c>
      <c r="BE19" s="39" t="e">
        <f t="shared" ref="BE19" si="204">+IF(BD16&lt;0,1-BE16/BD16,BE16/BD16-1)</f>
        <v>#DIV/0!</v>
      </c>
      <c r="BF19" s="39" t="e">
        <f t="shared" ref="BF19" si="205">+IF(BE16&lt;0,1-BF16/BE16,BF16/BE16-1)</f>
        <v>#DIV/0!</v>
      </c>
      <c r="BG19" s="39" t="e">
        <f t="shared" ref="BG19" si="206">+IF(BF16&lt;0,1-BG16/BF16,BG16/BF16-1)</f>
        <v>#DIV/0!</v>
      </c>
      <c r="BH19" s="39" t="e">
        <f t="shared" ref="BH19" si="207">+IF(BG16&lt;0,1-BH16/BG16,BH16/BG16-1)</f>
        <v>#DIV/0!</v>
      </c>
      <c r="BI19" s="39" t="e">
        <f t="shared" ref="BI19" si="208">+IF(BH16&lt;0,1-BI16/BH16,BI16/BH16-1)</f>
        <v>#DIV/0!</v>
      </c>
      <c r="BJ19" s="39" t="e">
        <f t="shared" ref="BJ19" si="209">+IF(BI16&lt;0,1-BJ16/BI16,BJ16/BI16-1)</f>
        <v>#DIV/0!</v>
      </c>
      <c r="BK19" s="39" t="e">
        <f t="shared" ref="BK19" si="210">+IF(BJ16&lt;0,1-BK16/BJ16,BK16/BJ16-1)</f>
        <v>#DIV/0!</v>
      </c>
      <c r="BL19" s="39" t="e">
        <f t="shared" ref="BL19" si="211">+IF(BK16&lt;0,1-BL16/BK16,BL16/BK16-1)</f>
        <v>#DIV/0!</v>
      </c>
      <c r="BM19" s="39">
        <f t="shared" ref="BM19" si="212">+IF(BL16&lt;0,1-BM16/BL16,BM16/BL16-1)</f>
        <v>1.2685025916572279E-2</v>
      </c>
      <c r="BN19" s="39">
        <f t="shared" ref="BN19" si="213">+IF(BM16&lt;0,1-BN16/BM16,BN16/BM16-1)</f>
        <v>-7.1975549900019642E-3</v>
      </c>
      <c r="BO19" s="39">
        <f t="shared" ref="BO19" si="214">+IF(BN16&lt;0,1-BO16/BN16,BO16/BN16-1)</f>
        <v>-0.14957228277973267</v>
      </c>
      <c r="BP19" s="39">
        <f t="shared" ref="BP19" si="215">+IF(BO16&lt;0,1-BP16/BO16,BP16/BO16-1)</f>
        <v>0.151515559293524</v>
      </c>
      <c r="BQ19" s="39">
        <f t="shared" ref="BQ19" si="216">+IF(BP16&lt;0,1-BQ16/BP16,BQ16/BP16-1)</f>
        <v>8.6529472257280471E-2</v>
      </c>
      <c r="BR19" s="39">
        <f t="shared" ref="BR19" si="217">+IF(BQ16&lt;0,1-BR16/BQ16,BR16/BQ16-1)</f>
        <v>7.4319855017128011E-2</v>
      </c>
      <c r="BS19" s="39">
        <f t="shared" ref="BS19" si="218">+IF(BR16&lt;0,1-BS16/BR16,BS16/BR16-1)</f>
        <v>7.0229710721667615E-3</v>
      </c>
      <c r="BT19" s="39">
        <f t="shared" ref="BT19" si="219">+IF(BS16&lt;0,1-BT16/BS16,BT16/BS16-1)</f>
        <v>0.1313277925796319</v>
      </c>
      <c r="BU19" s="39">
        <f t="shared" ref="BU19" si="220">+IF(BT16&lt;0,1-BU16/BT16,BU16/BT16-1)</f>
        <v>4.4447178333538284E-2</v>
      </c>
      <c r="BV19" s="39">
        <f t="shared" ref="BV19" si="221">+IF(BU16&lt;0,1-BV16/BU16,BV16/BU16-1)</f>
        <v>2.3019452110116578E-2</v>
      </c>
      <c r="BW19" s="39">
        <f t="shared" ref="BW19" si="222">+IF(BV16&lt;0,1-BW16/BV16,BW16/BV16-1)</f>
        <v>-2.6884992433712784E-2</v>
      </c>
      <c r="BX19" s="39">
        <f t="shared" ref="BX19" si="223">+IF(BW16&lt;0,1-BX16/BW16,BX16/BW16-1)</f>
        <v>2.4188027686924851E-2</v>
      </c>
      <c r="BY19" s="39">
        <f t="shared" ref="BY19" si="224">+IF(BX16&lt;0,1-BY16/BX16,BY16/BX16-1)</f>
        <v>4.9593596567232279E-3</v>
      </c>
      <c r="BZ19" s="39">
        <f t="shared" ref="BZ19" si="225">+IF(BY16&lt;0,1-BZ16/BY16,BZ16/BY16-1)</f>
        <v>2.3266221076314153E-2</v>
      </c>
      <c r="CA19" s="39">
        <f t="shared" ref="CA19" si="226">+IF(BZ16&lt;0,1-CA16/BZ16,CA16/BZ16-1)</f>
        <v>4.838729091354077E-2</v>
      </c>
      <c r="CB19" s="39">
        <f t="shared" ref="CB19" si="227">+IF(CA16&lt;0,1-CB16/CA16,CB16/CA16-1)</f>
        <v>5.2751828365206421E-2</v>
      </c>
      <c r="CC19" s="39">
        <f t="shared" ref="CC19" si="228">+IF(CB16&lt;0,1-CC16/CB16,CC16/CB16-1)</f>
        <v>5.3056713791837185E-2</v>
      </c>
      <c r="CD19" s="39">
        <f t="shared" ref="CD19" si="229">+IF(CC16&lt;0,1-CD16/CC16,CD16/CC16-1)</f>
        <v>7.1738274912143796E-2</v>
      </c>
      <c r="CE19" s="39">
        <f t="shared" ref="CE19" si="230">+IF(CD16&lt;0,1-CE16/CD16,CE16/CD16-1)</f>
        <v>6.7458182884052365E-2</v>
      </c>
      <c r="CF19" s="39">
        <f t="shared" ref="CF19" si="231">+IF(CE16&lt;0,1-CF16/CE16,CF16/CE16-1)</f>
        <v>0.10190041098122538</v>
      </c>
      <c r="CG19" s="39">
        <f t="shared" ref="CG19" si="232">+IF(CF16&lt;0,1-CG16/CF16,CG16/CF16-1)</f>
        <v>1.2517389065974216E-2</v>
      </c>
      <c r="CH19" s="39">
        <f t="shared" ref="CH19:CL19" si="233">+IF(CG16&lt;0,1-CH16/CG16,CH16/CG16-1)</f>
        <v>-3.6720100177691006E-2</v>
      </c>
      <c r="CI19" s="39">
        <f t="shared" si="233"/>
        <v>-5.6546666442052196E-3</v>
      </c>
      <c r="CJ19" s="39">
        <f t="shared" si="233"/>
        <v>6.3774876324290242E-2</v>
      </c>
      <c r="CK19" s="39">
        <f t="shared" si="233"/>
        <v>3.5571139624885229E-2</v>
      </c>
      <c r="CL19" s="39">
        <f t="shared" si="233"/>
        <v>1.3023563396635573E-2</v>
      </c>
      <c r="CM19" s="40">
        <f t="shared" ref="CM19" si="234">+CM16/CL16-1</f>
        <v>-4.4515823802318222E-2</v>
      </c>
      <c r="CN19" s="40">
        <f t="shared" ref="CN19" si="235">+CN16/CM16-1</f>
        <v>6.3185221188912566E-2</v>
      </c>
      <c r="CO19" s="40">
        <f t="shared" ref="CO19" si="236">+CO16/CN16-1</f>
        <v>4.3835693411929721E-2</v>
      </c>
      <c r="CP19" s="40">
        <f t="shared" ref="CP19" si="237">+CP16/CO16-1</f>
        <v>1.7511267243540241E-2</v>
      </c>
      <c r="CQ19" s="40">
        <f t="shared" ref="CQ19" si="238">+CQ16/CP16-1</f>
        <v>-5.1311406348805377E-2</v>
      </c>
      <c r="CR19" s="40">
        <f t="shared" ref="CR19" si="239">+CR16/CQ16-1</f>
        <v>6.4425491115336353E-2</v>
      </c>
      <c r="CS19" s="40">
        <f t="shared" ref="CS19" si="240">+CS16/CR16-1</f>
        <v>4.5499849700720629E-2</v>
      </c>
      <c r="CT19" s="40">
        <f t="shared" ref="CT19" si="241">+CT16/CS16-1</f>
        <v>1.752182564113669E-2</v>
      </c>
      <c r="CU19" s="40">
        <f t="shared" ref="CU19" si="242">+CU16/CT16-1</f>
        <v>-5.2349721489273082E-2</v>
      </c>
      <c r="CV19" s="40">
        <f t="shared" ref="CV19" si="243">+CV16/CU16-1</f>
        <v>6.4870629578771766E-2</v>
      </c>
      <c r="CW19" s="40">
        <f t="shared" ref="CW19" si="244">+CW16/CV16-1</f>
        <v>4.5741878611103459E-2</v>
      </c>
      <c r="CX19" s="40">
        <f t="shared" ref="CX19" si="245">+CX16/CW16-1</f>
        <v>1.7411115727588911E-2</v>
      </c>
      <c r="CY19" s="40">
        <f t="shared" ref="CY19" si="246">+CY16/CX16-1</f>
        <v>-5.2481079777154882E-2</v>
      </c>
      <c r="CZ19" s="40">
        <f t="shared" ref="CZ19" si="247">+CZ16/CY16-1</f>
        <v>6.4977665867120171E-2</v>
      </c>
      <c r="DA19" s="40">
        <f t="shared" ref="DA19" si="248">+DA16/CZ16-1</f>
        <v>4.5763981018672295E-2</v>
      </c>
      <c r="DB19" s="40">
        <f t="shared" ref="DB19" si="249">+DB16/DA16-1</f>
        <v>1.7379119284829159E-2</v>
      </c>
      <c r="DE19" s="122"/>
      <c r="DF19" s="39">
        <v>-1.7992324604882537E-2</v>
      </c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11.629087500000001</v>
      </c>
      <c r="G20" s="23">
        <f>'Annual Raw'!H14</f>
        <v>20.279050099999999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96.046027100000003</v>
      </c>
      <c r="P20" s="23">
        <f>'Annual Raw'!Q14</f>
        <v>114.7367</v>
      </c>
      <c r="Q20" s="23">
        <f>'Annual Raw'!R14</f>
        <v>139.5658</v>
      </c>
      <c r="R20" s="23">
        <f>'Annual Raw'!S14</f>
        <v>163.42519999999999</v>
      </c>
      <c r="S20" s="23">
        <f>'Annual Raw'!T14</f>
        <v>226.32769999999999</v>
      </c>
      <c r="T20" s="23">
        <f>'Annual Raw'!U14</f>
        <v>274.6173</v>
      </c>
      <c r="U20" s="23">
        <f>'Annual Raw'!V14</f>
        <v>258.02249999999998</v>
      </c>
      <c r="V20" s="23">
        <f>'Annual Raw'!W14</f>
        <v>262.36200000000002</v>
      </c>
      <c r="W20" s="23">
        <f>'Annual Raw'!X14</f>
        <v>321.75220000000002</v>
      </c>
      <c r="X20" s="23">
        <f>'Annual Raw'!Y14</f>
        <v>358.08179999999999</v>
      </c>
      <c r="Y20" s="23">
        <f>'Annual Raw'!Z14</f>
        <v>397.1574</v>
      </c>
      <c r="Z20" s="23">
        <f>'Annual Raw'!AA14</f>
        <v>469.07850000000002</v>
      </c>
      <c r="AA20" s="23">
        <f>'Annual Raw'!AB14</f>
        <v>497.01979999999998</v>
      </c>
      <c r="AB20" s="76">
        <f t="shared" ref="AB20:AB25" si="250">+SUM(CM20:CP20)</f>
        <v>531.81247000000008</v>
      </c>
      <c r="AC20" s="76">
        <f t="shared" ref="AC20:AC25" si="251">+SUM(CQ20:CT20)</f>
        <v>569.03934290000007</v>
      </c>
      <c r="AD20" s="76">
        <f t="shared" ref="AD20:AD25" si="252">+SUM(CU20:CX20)</f>
        <v>608.87209690300006</v>
      </c>
      <c r="AE20" s="76">
        <f t="shared" ref="AE20:AE25" si="253">+SUM(CY20:DB20)</f>
        <v>651.49314368621015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64.341999999999999</v>
      </c>
      <c r="BM20" s="23">
        <f>'QTR Raw'!AG16</f>
        <v>64.584000000000003</v>
      </c>
      <c r="BN20" s="23">
        <f>'QTR Raw'!AH16</f>
        <v>63.973999999999997</v>
      </c>
      <c r="BO20" s="23">
        <f>'QTR Raw'!AI16</f>
        <v>64.546000000000006</v>
      </c>
      <c r="BP20" s="23">
        <f>'QTR Raw'!AJ16</f>
        <v>62.408000000000001</v>
      </c>
      <c r="BQ20" s="23">
        <f>'QTR Raw'!AK16</f>
        <v>64.328999999999994</v>
      </c>
      <c r="BR20" s="23">
        <f>'QTR Raw'!AL16</f>
        <v>71.078999999999994</v>
      </c>
      <c r="BS20" s="23">
        <f>'QTR Raw'!AM16</f>
        <v>72.381</v>
      </c>
      <c r="BT20" s="23">
        <f>'QTR Raw'!AN16</f>
        <v>80.91</v>
      </c>
      <c r="BU20" s="23">
        <f>'QTR Raw'!AO16</f>
        <v>83.206000000000003</v>
      </c>
      <c r="BV20" s="23">
        <f>'QTR Raw'!AP16</f>
        <v>85.256</v>
      </c>
      <c r="BW20" s="23">
        <f>'QTR Raw'!AQ16</f>
        <v>93.268000000000001</v>
      </c>
      <c r="BX20" s="23">
        <f>'QTR Raw'!AR16</f>
        <v>90.064999999999998</v>
      </c>
      <c r="BY20" s="23">
        <f>'QTR Raw'!AS16</f>
        <v>87.13</v>
      </c>
      <c r="BZ20" s="23">
        <f>'QTR Raw'!AT16</f>
        <v>87.619</v>
      </c>
      <c r="CA20" s="23">
        <f>'QTR Raw'!AU16</f>
        <v>94.951999999999998</v>
      </c>
      <c r="CB20" s="23">
        <f>'QTR Raw'!AV16</f>
        <v>97.682000000000002</v>
      </c>
      <c r="CC20" s="23">
        <f>'QTR Raw'!AW16</f>
        <v>99.745000000000005</v>
      </c>
      <c r="CD20" s="23">
        <f>'QTR Raw'!AX16</f>
        <v>104.77800000000001</v>
      </c>
      <c r="CE20" s="23">
        <f>'QTR Raw'!AY16</f>
        <v>112.999</v>
      </c>
      <c r="CF20" s="23">
        <f>'QTR Raw'!AZ16</f>
        <v>118.57</v>
      </c>
      <c r="CG20" s="23">
        <f>'QTR Raw'!BA16</f>
        <v>119.70399999999999</v>
      </c>
      <c r="CH20" s="23">
        <f>'QTR Raw'!BB16</f>
        <v>117.806</v>
      </c>
      <c r="CI20" s="23">
        <f>'QTR Raw'!BC16</f>
        <v>122.437</v>
      </c>
      <c r="CJ20" s="23">
        <f>'QTR Raw'!BD16</f>
        <v>124.792</v>
      </c>
      <c r="CK20" s="23">
        <f>'QTR Raw'!BE16</f>
        <v>124.458</v>
      </c>
      <c r="CL20" s="23">
        <f>'QTR Raw'!BF16</f>
        <v>125.334</v>
      </c>
      <c r="CM20" s="24">
        <f t="shared" ref="CM20:DB20" si="254">CI20*107%</f>
        <v>131.00758999999999</v>
      </c>
      <c r="CN20" s="24">
        <f t="shared" si="254"/>
        <v>133.52744000000001</v>
      </c>
      <c r="CO20" s="24">
        <f t="shared" si="254"/>
        <v>133.17006000000001</v>
      </c>
      <c r="CP20" s="24">
        <f t="shared" si="254"/>
        <v>134.10738000000001</v>
      </c>
      <c r="CQ20" s="24">
        <f t="shared" si="254"/>
        <v>140.17812130000002</v>
      </c>
      <c r="CR20" s="24">
        <f t="shared" si="254"/>
        <v>142.87436080000003</v>
      </c>
      <c r="CS20" s="24">
        <f t="shared" si="254"/>
        <v>142.49196420000001</v>
      </c>
      <c r="CT20" s="24">
        <f t="shared" si="254"/>
        <v>143.4948966</v>
      </c>
      <c r="CU20" s="24">
        <f t="shared" si="254"/>
        <v>149.99058979100002</v>
      </c>
      <c r="CV20" s="24">
        <f t="shared" si="254"/>
        <v>152.87556605600005</v>
      </c>
      <c r="CW20" s="24">
        <f t="shared" si="254"/>
        <v>152.46640169400001</v>
      </c>
      <c r="CX20" s="24">
        <f t="shared" si="254"/>
        <v>153.539539362</v>
      </c>
      <c r="CY20" s="24">
        <f t="shared" si="254"/>
        <v>160.48993107637003</v>
      </c>
      <c r="CZ20" s="24">
        <f t="shared" si="254"/>
        <v>163.57685567992007</v>
      </c>
      <c r="DA20" s="24">
        <f t="shared" si="254"/>
        <v>163.13904981258003</v>
      </c>
      <c r="DB20" s="24">
        <f t="shared" si="254"/>
        <v>164.28730711734002</v>
      </c>
      <c r="DE20" s="123"/>
      <c r="DF20" s="23">
        <v>126.05242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37.0809523</v>
      </c>
      <c r="G21" s="23">
        <f>'Annual Raw'!H17</f>
        <v>68.707056499999993</v>
      </c>
      <c r="H21" s="23">
        <f>'Annual Raw'!I17</f>
        <v>128.9648</v>
      </c>
      <c r="I21" s="23">
        <f>'Annual Raw'!J17</f>
        <v>163.4187</v>
      </c>
      <c r="J21" s="23">
        <f>'Annual Raw'!K17</f>
        <v>172.27170000000001</v>
      </c>
      <c r="K21" s="23">
        <f>'Annual Raw'!L17</f>
        <v>194.7577</v>
      </c>
      <c r="L21" s="23">
        <f>'Annual Raw'!M17</f>
        <v>232.46299999999999</v>
      </c>
      <c r="M21" s="23">
        <f>'Annual Raw'!N17</f>
        <v>200.59</v>
      </c>
      <c r="N21" s="23">
        <f>'Annual Raw'!O17</f>
        <v>204.33</v>
      </c>
      <c r="O21" s="23">
        <f>'Annual Raw'!P17</f>
        <v>30.970382000000001</v>
      </c>
      <c r="P21" s="23">
        <f>'Annual Raw'!Q17</f>
        <v>30.688700000000001</v>
      </c>
      <c r="Q21" s="23">
        <f>'Annual Raw'!R17</f>
        <v>42.967500000000001</v>
      </c>
      <c r="R21" s="23">
        <f>'Annual Raw'!S17</f>
        <v>53.481000000000002</v>
      </c>
      <c r="S21" s="23">
        <f>'Annual Raw'!T17</f>
        <v>71.289000000000001</v>
      </c>
      <c r="T21" s="23">
        <f>'Annual Raw'!U17</f>
        <v>78.296000000000006</v>
      </c>
      <c r="U21" s="23">
        <f>'Annual Raw'!V17</f>
        <v>52.284399999999998</v>
      </c>
      <c r="V21" s="23">
        <f>'Annual Raw'!W17</f>
        <v>48.848999999999997</v>
      </c>
      <c r="W21" s="23">
        <f>'Annual Raw'!X17</f>
        <v>56.172400000000003</v>
      </c>
      <c r="X21" s="23">
        <f>'Annual Raw'!Y17</f>
        <v>58.7256</v>
      </c>
      <c r="Y21" s="23">
        <f>'Annual Raw'!Z17</f>
        <v>116.58620000000001</v>
      </c>
      <c r="Z21" s="23">
        <f>'Annual Raw'!AA17</f>
        <v>155.7105</v>
      </c>
      <c r="AA21" s="23">
        <f>'Annual Raw'!AB17</f>
        <v>172.41249999999999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9.6537200000000004E-2</v>
      </c>
      <c r="G22" s="23">
        <f>'Annual Raw'!H19-'Annual Raw'!H20</f>
        <v>8.4810285000000007</v>
      </c>
      <c r="H22" s="23">
        <f>'Annual Raw'!I19-'Annual Raw'!I20</f>
        <v>0</v>
      </c>
      <c r="I22" s="23">
        <f>'Annual Raw'!J19-'Annual Raw'!J20</f>
        <v>2.3702999999999999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95.541126599999998</v>
      </c>
      <c r="P22" s="23">
        <f>'Annual Raw'!Q19-'Annual Raw'!Q20</f>
        <v>90.097099999999998</v>
      </c>
      <c r="Q22" s="23">
        <f>'Annual Raw'!R19-'Annual Raw'!R20</f>
        <v>7.0845000000000002</v>
      </c>
      <c r="R22" s="23">
        <f>'Annual Raw'!S19-'Annual Raw'!S20</f>
        <v>5.5378999999999996</v>
      </c>
      <c r="S22" s="23">
        <f>'Annual Raw'!T19-'Annual Raw'!T20</f>
        <v>7.8109000000000002</v>
      </c>
      <c r="T22" s="23">
        <f>'Annual Raw'!U19-'Annual Raw'!U20</f>
        <v>6.391</v>
      </c>
      <c r="U22" s="23">
        <f>'Annual Raw'!V19-'Annual Raw'!V20</f>
        <v>6.0601000000000003</v>
      </c>
      <c r="V22" s="23">
        <f>'Annual Raw'!W19-'Annual Raw'!W20</f>
        <v>32.882399999999997</v>
      </c>
      <c r="W22" s="23">
        <f>'Annual Raw'!X19-'Annual Raw'!X20</f>
        <v>12.7705</v>
      </c>
      <c r="X22" s="23">
        <f>'Annual Raw'!Y19-'Annual Raw'!Y20</f>
        <v>8.1317000000000004</v>
      </c>
      <c r="Y22" s="23">
        <f>'Annual Raw'!Z19-'Annual Raw'!Z20</f>
        <v>12.502000000000001</v>
      </c>
      <c r="Z22" s="23">
        <f>'Annual Raw'!AA19-'Annual Raw'!AA20</f>
        <v>12.273999999999999</v>
      </c>
      <c r="AA22" s="23">
        <f>'Annual Raw'!AB19-'Annual Raw'!AB20</f>
        <v>23.075099999999999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4.9402029000000001</v>
      </c>
      <c r="G23" s="23">
        <f>'Annual Raw'!H15+'Annual Raw'!H16</f>
        <v>6.9093925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5.0685045999999998</v>
      </c>
      <c r="P23" s="23">
        <f>'Annual Raw'!Q15+'Annual Raw'!Q16</f>
        <v>6.2877999999999998</v>
      </c>
      <c r="Q23" s="23">
        <f>'Annual Raw'!R15+'Annual Raw'!R16</f>
        <v>25.031300000000002</v>
      </c>
      <c r="R23" s="23">
        <f>'Annual Raw'!S15+'Annual Raw'!S16</f>
        <v>63.075600000000001</v>
      </c>
      <c r="S23" s="23">
        <f>'Annual Raw'!T15+'Annual Raw'!T16</f>
        <v>94.082999999999998</v>
      </c>
      <c r="T23" s="23">
        <f>'Annual Raw'!U15+'Annual Raw'!U16</f>
        <v>105.81829999999999</v>
      </c>
      <c r="U23" s="23">
        <f>'Annual Raw'!V15+'Annual Raw'!V16</f>
        <v>86.701999999999998</v>
      </c>
      <c r="V23" s="23">
        <f>'Annual Raw'!W15+'Annual Raw'!W16</f>
        <v>78.634799999999998</v>
      </c>
      <c r="W23" s="23">
        <f>'Annual Raw'!X15+'Annual Raw'!X16</f>
        <v>92.988</v>
      </c>
      <c r="X23" s="23">
        <f>'Annual Raw'!Y15+'Annual Raw'!Y16</f>
        <v>112.26</v>
      </c>
      <c r="Y23" s="23">
        <f>'Annual Raw'!Z15+'Annual Raw'!Z16</f>
        <v>90.673699999999997</v>
      </c>
      <c r="Z23" s="23">
        <f>'Annual Raw'!AA15+'Annual Raw'!AA16</f>
        <v>117.3107</v>
      </c>
      <c r="AA23" s="23">
        <f>'Annual Raw'!AB15+'Annual Raw'!AB16</f>
        <v>122.42959999999999</v>
      </c>
      <c r="AB23" s="76">
        <f t="shared" si="250"/>
        <v>354.28816776256718</v>
      </c>
      <c r="AC23" s="76">
        <f t="shared" si="251"/>
        <v>380.62234336663016</v>
      </c>
      <c r="AD23" s="76">
        <f t="shared" si="252"/>
        <v>410.37925096097365</v>
      </c>
      <c r="AE23" s="76">
        <f t="shared" si="253"/>
        <v>442.73398438757067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39.981000000000002</v>
      </c>
      <c r="BM23" s="23">
        <f>'QTR Raw'!AG14</f>
        <v>41.738</v>
      </c>
      <c r="BN23" s="23">
        <f>'QTR Raw'!AH14</f>
        <v>31.378</v>
      </c>
      <c r="BO23" s="23">
        <f>'QTR Raw'!AI14</f>
        <v>32.710999999999999</v>
      </c>
      <c r="BP23" s="23">
        <f>'QTR Raw'!AJ14</f>
        <v>34.956000000000003</v>
      </c>
      <c r="BQ23" s="23">
        <f>'QTR Raw'!AK14</f>
        <v>39.805999999999997</v>
      </c>
      <c r="BR23" s="23">
        <f>'QTR Raw'!AL14</f>
        <v>39.648000000000003</v>
      </c>
      <c r="BS23" s="23">
        <f>'QTR Raw'!AM14</f>
        <v>35.902000000000001</v>
      </c>
      <c r="BT23" s="23">
        <f>'QTR Raw'!AN14</f>
        <v>40.939</v>
      </c>
      <c r="BU23" s="23">
        <f>'QTR Raw'!AO14</f>
        <v>41.182000000000002</v>
      </c>
      <c r="BV23" s="23">
        <f>'QTR Raw'!AP14</f>
        <v>45.762</v>
      </c>
      <c r="BW23" s="23">
        <f>'QTR Raw'!AQ14</f>
        <v>45.505000000000003</v>
      </c>
      <c r="BX23" s="23">
        <f>'QTR Raw'!AR14</f>
        <v>46.241</v>
      </c>
      <c r="BY23" s="23">
        <f>'QTR Raw'!AS14</f>
        <v>48.235999999999997</v>
      </c>
      <c r="BZ23" s="23">
        <f>'QTR Raw'!AT14</f>
        <v>52.530999999999999</v>
      </c>
      <c r="CA23" s="23">
        <f>'QTR Raw'!AU14</f>
        <v>56.292999999999999</v>
      </c>
      <c r="CB23" s="23">
        <f>'QTR Raw'!AV14</f>
        <v>55.283999999999999</v>
      </c>
      <c r="CC23" s="23">
        <f>'QTR Raw'!AW14</f>
        <v>60.555</v>
      </c>
      <c r="CD23" s="23">
        <f>'QTR Raw'!AX14</f>
        <v>62.34</v>
      </c>
      <c r="CE23" s="23">
        <f>'QTR Raw'!AY14</f>
        <v>68.599999999999994</v>
      </c>
      <c r="CF23" s="23">
        <f>'QTR Raw'!AZ14</f>
        <v>76.397999999999996</v>
      </c>
      <c r="CG23" s="23">
        <f>'QTR Raw'!BA14</f>
        <v>77.212000000000003</v>
      </c>
      <c r="CH23" s="23">
        <f>'QTR Raw'!BB14</f>
        <v>78.977000000000004</v>
      </c>
      <c r="CI23" s="23">
        <f>'QTR Raw'!BC14</f>
        <v>77.435000000000002</v>
      </c>
      <c r="CJ23" s="23">
        <f>'QTR Raw'!BD14</f>
        <v>84.337000000000003</v>
      </c>
      <c r="CK23" s="23">
        <f>'QTR Raw'!BE14</f>
        <v>86.781999999999996</v>
      </c>
      <c r="CL23" s="23">
        <f>'QTR Raw'!BF14</f>
        <v>86.771000000000001</v>
      </c>
      <c r="CM23" s="24">
        <f t="shared" ref="CM23:DB23" si="255">CM26-CM20-CM21-CM22-CM24-CM25</f>
        <v>76.460033239588654</v>
      </c>
      <c r="CN23" s="24">
        <f t="shared" si="255"/>
        <v>85.546629405123326</v>
      </c>
      <c r="CO23" s="24">
        <f t="shared" si="255"/>
        <v>94.517419187549706</v>
      </c>
      <c r="CP23" s="24">
        <f t="shared" si="255"/>
        <v>97.764085930305498</v>
      </c>
      <c r="CQ23" s="24">
        <f t="shared" si="255"/>
        <v>80.511827521535594</v>
      </c>
      <c r="CR23" s="24">
        <f t="shared" si="255"/>
        <v>91.616798762835117</v>
      </c>
      <c r="CS23" s="24">
        <f t="shared" si="255"/>
        <v>102.54492426056888</v>
      </c>
      <c r="CT23" s="24">
        <f t="shared" si="255"/>
        <v>105.94879282169055</v>
      </c>
      <c r="CU23" s="24">
        <f t="shared" si="255"/>
        <v>86.478902187925598</v>
      </c>
      <c r="CV23" s="24">
        <f t="shared" si="255"/>
        <v>98.841229357952869</v>
      </c>
      <c r="CW23" s="24">
        <f t="shared" si="255"/>
        <v>110.76031178372045</v>
      </c>
      <c r="CX23" s="24">
        <f t="shared" si="255"/>
        <v>114.29880763137473</v>
      </c>
      <c r="CY23" s="24">
        <f t="shared" si="255"/>
        <v>93.296982735284217</v>
      </c>
      <c r="CZ23" s="24">
        <f t="shared" si="255"/>
        <v>106.68317210408583</v>
      </c>
      <c r="DA23" s="24">
        <f t="shared" si="255"/>
        <v>119.49244777712414</v>
      </c>
      <c r="DB23" s="24">
        <f t="shared" si="255"/>
        <v>123.26138177107643</v>
      </c>
      <c r="DE23" s="123"/>
      <c r="DF23" s="23">
        <v>85.94906007018939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5.5609719000000002</v>
      </c>
      <c r="P24" s="23">
        <f>'Annual Raw'!Q13</f>
        <v>5.4584999999999999</v>
      </c>
      <c r="Q24" s="23">
        <f>'Annual Raw'!R13</f>
        <v>6.1021000000000001</v>
      </c>
      <c r="R24" s="23">
        <f>'Annual Raw'!S13</f>
        <v>6.3442999999999996</v>
      </c>
      <c r="S24" s="23">
        <f>'Annual Raw'!T13</f>
        <v>7.5955000000000004</v>
      </c>
      <c r="T24" s="23">
        <f>'Annual Raw'!U13</f>
        <v>8.9968000000000004</v>
      </c>
      <c r="U24" s="23">
        <f>'Annual Raw'!V13</f>
        <v>8.6416000000000004</v>
      </c>
      <c r="V24" s="23">
        <f>'Annual Raw'!W13</f>
        <v>6.2614999999999998</v>
      </c>
      <c r="W24" s="23">
        <f>'Annual Raw'!X13</f>
        <v>7.7320000000000002</v>
      </c>
      <c r="X24" s="23">
        <f>'Annual Raw'!Y13</f>
        <v>10.235200000000001</v>
      </c>
      <c r="Y24" s="23">
        <f>'Annual Raw'!Z13</f>
        <v>11.882400000000001</v>
      </c>
      <c r="Z24" s="23">
        <f>'Annual Raw'!AA13</f>
        <v>13.1831</v>
      </c>
      <c r="AA24" s="23">
        <f>'Annual Raw'!AB13</f>
        <v>13.8568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9.8491499999999996E-2</v>
      </c>
      <c r="G25" s="23">
        <f>'Annual Raw'!H18</f>
        <v>6.1707900000000003E-2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0.1901805</v>
      </c>
      <c r="P25" s="23">
        <f>'Annual Raw'!Q18</f>
        <v>0.3735</v>
      </c>
      <c r="Q25" s="23">
        <f>'Annual Raw'!R18</f>
        <v>24.402200000000001</v>
      </c>
      <c r="R25" s="23">
        <f>'Annual Raw'!S18</f>
        <v>0.35270000000000001</v>
      </c>
      <c r="S25" s="23">
        <f>'Annual Raw'!T18</f>
        <v>1.8180000000000001</v>
      </c>
      <c r="T25" s="23">
        <f>'Annual Raw'!U18</f>
        <v>1.615</v>
      </c>
      <c r="U25" s="23">
        <f>'Annual Raw'!V18</f>
        <v>1.5268999999999999</v>
      </c>
      <c r="V25" s="23">
        <f>'Annual Raw'!W18</f>
        <v>1.6093999999999999</v>
      </c>
      <c r="W25" s="23">
        <f>'Annual Raw'!X18</f>
        <v>1.7883</v>
      </c>
      <c r="X25" s="23">
        <f>'Annual Raw'!Y18</f>
        <v>3.1610999999999998</v>
      </c>
      <c r="Y25" s="23">
        <f>'Annual Raw'!Z18</f>
        <v>2.8281000000000001</v>
      </c>
      <c r="Z25" s="23">
        <f>'Annual Raw'!AA18</f>
        <v>2.7071999999999998</v>
      </c>
      <c r="AA25" s="23">
        <f>'Annual Raw'!AB18</f>
        <v>3.5556000000000001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0</v>
      </c>
      <c r="F26" s="22">
        <f t="shared" ref="F26:AE26" si="257">+SUM(F20:F25)</f>
        <v>53.845271400000009</v>
      </c>
      <c r="G26" s="22">
        <f t="shared" si="257"/>
        <v>104.4382355</v>
      </c>
      <c r="H26" s="22">
        <f t="shared" si="257"/>
        <v>128.9648</v>
      </c>
      <c r="I26" s="22">
        <f t="shared" si="257"/>
        <v>165.78899999999999</v>
      </c>
      <c r="J26" s="22">
        <f t="shared" si="257"/>
        <v>172.27170000000001</v>
      </c>
      <c r="K26" s="22">
        <f t="shared" si="257"/>
        <v>194.7577</v>
      </c>
      <c r="L26" s="22">
        <f t="shared" si="257"/>
        <v>232.46299999999999</v>
      </c>
      <c r="M26" s="22">
        <f t="shared" si="257"/>
        <v>200.59</v>
      </c>
      <c r="N26" s="22">
        <f t="shared" si="257"/>
        <v>204.33</v>
      </c>
      <c r="O26" s="22">
        <f t="shared" si="257"/>
        <v>233.37719270000002</v>
      </c>
      <c r="P26" s="22">
        <f t="shared" si="257"/>
        <v>247.64229999999998</v>
      </c>
      <c r="Q26" s="22">
        <f t="shared" si="257"/>
        <v>245.15339999999998</v>
      </c>
      <c r="R26" s="22">
        <f t="shared" si="257"/>
        <v>292.2167</v>
      </c>
      <c r="S26" s="22">
        <f t="shared" si="257"/>
        <v>408.92409999999995</v>
      </c>
      <c r="T26" s="22">
        <f t="shared" si="257"/>
        <v>475.73440000000005</v>
      </c>
      <c r="U26" s="22">
        <f t="shared" si="257"/>
        <v>413.23749999999995</v>
      </c>
      <c r="V26" s="22">
        <f t="shared" si="257"/>
        <v>430.59910000000002</v>
      </c>
      <c r="W26" s="22">
        <f t="shared" si="257"/>
        <v>493.20340000000004</v>
      </c>
      <c r="X26" s="22">
        <f t="shared" si="257"/>
        <v>550.59540000000004</v>
      </c>
      <c r="Y26" s="22">
        <f t="shared" si="257"/>
        <v>631.62979999999993</v>
      </c>
      <c r="Z26" s="22">
        <f t="shared" ref="Z26:AA26" si="258">+SUM(Z20:Z25)</f>
        <v>770.2639999999999</v>
      </c>
      <c r="AA26" s="22">
        <f t="shared" si="258"/>
        <v>832.34939999999995</v>
      </c>
      <c r="AB26" s="21">
        <f t="shared" si="257"/>
        <v>886.1006377625672</v>
      </c>
      <c r="AC26" s="21">
        <f t="shared" si="257"/>
        <v>949.66168626663023</v>
      </c>
      <c r="AD26" s="21">
        <f t="shared" si="257"/>
        <v>1019.2513478639737</v>
      </c>
      <c r="AE26" s="21">
        <f t="shared" si="257"/>
        <v>1094.2271280737809</v>
      </c>
      <c r="AI26" s="22">
        <f t="shared" ref="AI26:BN26" si="259">+SUM(AI20:AI25)</f>
        <v>0</v>
      </c>
      <c r="AJ26" s="22">
        <f t="shared" si="259"/>
        <v>0</v>
      </c>
      <c r="AK26" s="22">
        <f t="shared" si="259"/>
        <v>0</v>
      </c>
      <c r="AL26" s="22">
        <f t="shared" si="259"/>
        <v>0</v>
      </c>
      <c r="AM26" s="22">
        <f t="shared" si="259"/>
        <v>0</v>
      </c>
      <c r="AN26" s="22">
        <f t="shared" si="259"/>
        <v>0</v>
      </c>
      <c r="AO26" s="22">
        <f t="shared" si="259"/>
        <v>0</v>
      </c>
      <c r="AP26" s="22">
        <f t="shared" si="259"/>
        <v>0</v>
      </c>
      <c r="AQ26" s="22">
        <f t="shared" si="259"/>
        <v>0</v>
      </c>
      <c r="AR26" s="22">
        <f t="shared" si="259"/>
        <v>0</v>
      </c>
      <c r="AS26" s="22">
        <f t="shared" si="259"/>
        <v>0</v>
      </c>
      <c r="AT26" s="22">
        <f t="shared" si="259"/>
        <v>0</v>
      </c>
      <c r="AU26" s="22">
        <f t="shared" si="259"/>
        <v>0</v>
      </c>
      <c r="AV26" s="22">
        <f t="shared" si="259"/>
        <v>0</v>
      </c>
      <c r="AW26" s="22">
        <f t="shared" si="259"/>
        <v>0</v>
      </c>
      <c r="AX26" s="22">
        <f t="shared" si="259"/>
        <v>0</v>
      </c>
      <c r="AY26" s="22">
        <f t="shared" si="259"/>
        <v>0</v>
      </c>
      <c r="AZ26" s="22">
        <f t="shared" si="259"/>
        <v>0</v>
      </c>
      <c r="BA26" s="22">
        <f t="shared" si="259"/>
        <v>0</v>
      </c>
      <c r="BB26" s="22">
        <f t="shared" si="259"/>
        <v>0</v>
      </c>
      <c r="BC26" s="22">
        <f t="shared" si="259"/>
        <v>0</v>
      </c>
      <c r="BD26" s="22">
        <f t="shared" si="259"/>
        <v>0</v>
      </c>
      <c r="BE26" s="22">
        <f t="shared" si="259"/>
        <v>0</v>
      </c>
      <c r="BF26" s="22">
        <f t="shared" si="259"/>
        <v>0</v>
      </c>
      <c r="BG26" s="22">
        <f t="shared" si="259"/>
        <v>0</v>
      </c>
      <c r="BH26" s="22">
        <f t="shared" si="259"/>
        <v>0</v>
      </c>
      <c r="BI26" s="22">
        <f t="shared" si="259"/>
        <v>0</v>
      </c>
      <c r="BJ26" s="22">
        <f t="shared" si="259"/>
        <v>0</v>
      </c>
      <c r="BK26" s="22">
        <f t="shared" si="259"/>
        <v>0</v>
      </c>
      <c r="BL26" s="22">
        <f t="shared" si="259"/>
        <v>104.32300000000001</v>
      </c>
      <c r="BM26" s="22">
        <f t="shared" si="259"/>
        <v>106.322</v>
      </c>
      <c r="BN26" s="22">
        <f t="shared" si="259"/>
        <v>95.352000000000004</v>
      </c>
      <c r="BO26" s="22">
        <f t="shared" ref="BO26:CH26" si="260">+SUM(BO20:BO25)</f>
        <v>97.257000000000005</v>
      </c>
      <c r="BP26" s="22">
        <f t="shared" si="260"/>
        <v>97.364000000000004</v>
      </c>
      <c r="BQ26" s="22">
        <f t="shared" si="260"/>
        <v>104.13499999999999</v>
      </c>
      <c r="BR26" s="22">
        <f t="shared" si="260"/>
        <v>110.727</v>
      </c>
      <c r="BS26" s="22">
        <f t="shared" si="260"/>
        <v>108.283</v>
      </c>
      <c r="BT26" s="22">
        <f t="shared" si="260"/>
        <v>121.84899999999999</v>
      </c>
      <c r="BU26" s="22">
        <f t="shared" si="260"/>
        <v>124.38800000000001</v>
      </c>
      <c r="BV26" s="22">
        <f t="shared" si="260"/>
        <v>131.018</v>
      </c>
      <c r="BW26" s="22">
        <f t="shared" si="260"/>
        <v>138.773</v>
      </c>
      <c r="BX26" s="22">
        <f t="shared" si="260"/>
        <v>136.30599999999998</v>
      </c>
      <c r="BY26" s="22">
        <f t="shared" si="260"/>
        <v>135.36599999999999</v>
      </c>
      <c r="BZ26" s="22">
        <f t="shared" si="260"/>
        <v>140.15</v>
      </c>
      <c r="CA26" s="22">
        <f t="shared" si="260"/>
        <v>151.245</v>
      </c>
      <c r="CB26" s="22">
        <f t="shared" si="260"/>
        <v>152.96600000000001</v>
      </c>
      <c r="CC26" s="22">
        <f t="shared" si="260"/>
        <v>160.30000000000001</v>
      </c>
      <c r="CD26" s="22">
        <f t="shared" si="260"/>
        <v>167.11799999999999</v>
      </c>
      <c r="CE26" s="22">
        <f t="shared" si="260"/>
        <v>181.59899999999999</v>
      </c>
      <c r="CF26" s="22">
        <f t="shared" si="260"/>
        <v>194.96799999999999</v>
      </c>
      <c r="CG26" s="22">
        <f t="shared" si="260"/>
        <v>196.916</v>
      </c>
      <c r="CH26" s="22">
        <f t="shared" si="260"/>
        <v>196.78300000000002</v>
      </c>
      <c r="CI26" s="22">
        <f t="shared" ref="CI26:CJ26" si="261">+SUM(CI20:CI25)</f>
        <v>199.87200000000001</v>
      </c>
      <c r="CJ26" s="22">
        <f t="shared" si="261"/>
        <v>209.12900000000002</v>
      </c>
      <c r="CK26" s="22">
        <f t="shared" ref="CK26:CL26" si="262">+SUM(CK20:CK25)</f>
        <v>211.24</v>
      </c>
      <c r="CL26" s="22">
        <f t="shared" si="262"/>
        <v>212.10500000000002</v>
      </c>
      <c r="CM26" s="21">
        <f t="shared" ref="CM26:DB26" si="263">CM27*CM10</f>
        <v>207.46762323958865</v>
      </c>
      <c r="CN26" s="21">
        <f t="shared" si="263"/>
        <v>219.07406940512334</v>
      </c>
      <c r="CO26" s="21">
        <f t="shared" si="263"/>
        <v>227.68747918754971</v>
      </c>
      <c r="CP26" s="21">
        <f t="shared" si="263"/>
        <v>231.8714659303055</v>
      </c>
      <c r="CQ26" s="21">
        <f t="shared" si="263"/>
        <v>220.68994882153561</v>
      </c>
      <c r="CR26" s="21">
        <f t="shared" si="263"/>
        <v>234.49115956283515</v>
      </c>
      <c r="CS26" s="21">
        <f t="shared" si="263"/>
        <v>245.03688846056889</v>
      </c>
      <c r="CT26" s="21">
        <f t="shared" si="263"/>
        <v>249.44368942169055</v>
      </c>
      <c r="CU26" s="21">
        <f t="shared" si="263"/>
        <v>236.46949197892562</v>
      </c>
      <c r="CV26" s="21">
        <f t="shared" si="263"/>
        <v>251.71679541395292</v>
      </c>
      <c r="CW26" s="21">
        <f t="shared" si="263"/>
        <v>263.22671347772047</v>
      </c>
      <c r="CX26" s="21">
        <f t="shared" si="263"/>
        <v>267.83834699337473</v>
      </c>
      <c r="CY26" s="21">
        <f t="shared" si="263"/>
        <v>253.78691381165424</v>
      </c>
      <c r="CZ26" s="21">
        <f t="shared" si="263"/>
        <v>270.2600277840059</v>
      </c>
      <c r="DA26" s="21">
        <f t="shared" si="263"/>
        <v>282.63149758970417</v>
      </c>
      <c r="DB26" s="21">
        <f t="shared" si="263"/>
        <v>287.54868888841645</v>
      </c>
      <c r="DE26" s="126"/>
      <c r="DF26" s="22">
        <v>212.00148007018939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>
        <f t="shared" ref="F27:AE27" si="265">F26/F10</f>
        <v>0.58536779696869745</v>
      </c>
      <c r="G27" s="44">
        <f t="shared" si="265"/>
        <v>0.65863814676628063</v>
      </c>
      <c r="H27" s="44">
        <f t="shared" si="265"/>
        <v>0.59106108381608857</v>
      </c>
      <c r="I27" s="44">
        <f t="shared" si="265"/>
        <v>0.58283380786934091</v>
      </c>
      <c r="J27" s="44">
        <f t="shared" si="265"/>
        <v>0.69849723413718989</v>
      </c>
      <c r="K27" s="44">
        <f t="shared" si="265"/>
        <v>0.62587172691669057</v>
      </c>
      <c r="L27" s="44">
        <f t="shared" si="265"/>
        <v>0.73193639798488663</v>
      </c>
      <c r="M27" s="44">
        <f t="shared" si="265"/>
        <v>0.73540841765654796</v>
      </c>
      <c r="N27" s="44">
        <f t="shared" si="265"/>
        <v>0.69194039959363363</v>
      </c>
      <c r="O27" s="44">
        <f t="shared" si="265"/>
        <v>0.72384819486069751</v>
      </c>
      <c r="P27" s="44">
        <f t="shared" si="265"/>
        <v>0.64549184280422989</v>
      </c>
      <c r="Q27" s="44">
        <f t="shared" si="265"/>
        <v>0.61607972159563806</v>
      </c>
      <c r="R27" s="44">
        <f t="shared" si="265"/>
        <v>0.61093771070344771</v>
      </c>
      <c r="S27" s="44">
        <f t="shared" si="265"/>
        <v>0.63741421173779977</v>
      </c>
      <c r="T27" s="44">
        <f t="shared" si="265"/>
        <v>0.68584817079772498</v>
      </c>
      <c r="U27" s="44">
        <f t="shared" si="265"/>
        <v>0.59065157163809023</v>
      </c>
      <c r="V27" s="44">
        <f t="shared" si="265"/>
        <v>0.6103496292961631</v>
      </c>
      <c r="W27" s="44">
        <f t="shared" si="265"/>
        <v>0.54217986242225868</v>
      </c>
      <c r="X27" s="44">
        <f t="shared" si="265"/>
        <v>0.56655689406511778</v>
      </c>
      <c r="Y27" s="44">
        <f t="shared" si="265"/>
        <v>0.55575868083403157</v>
      </c>
      <c r="Z27" s="44">
        <f t="shared" ref="Z27:AA27" si="266">Z26/Z10</f>
        <v>0.54149247305750436</v>
      </c>
      <c r="AA27" s="44">
        <f t="shared" si="266"/>
        <v>0.54895297540179744</v>
      </c>
      <c r="AB27" s="52">
        <f t="shared" si="265"/>
        <v>0.54541866637351422</v>
      </c>
      <c r="AC27" s="52">
        <f t="shared" si="265"/>
        <v>0.54470544458960912</v>
      </c>
      <c r="AD27" s="52">
        <f t="shared" si="265"/>
        <v>0.54458240858934026</v>
      </c>
      <c r="AE27" s="52">
        <f t="shared" si="265"/>
        <v>0.54456453262120397</v>
      </c>
      <c r="AI27" s="44" t="e">
        <f t="shared" ref="AI27:BN27" si="267">AI26/AI10</f>
        <v>#DIV/0!</v>
      </c>
      <c r="AJ27" s="44" t="e">
        <f t="shared" si="267"/>
        <v>#DIV/0!</v>
      </c>
      <c r="AK27" s="44" t="e">
        <f t="shared" si="267"/>
        <v>#DIV/0!</v>
      </c>
      <c r="AL27" s="44" t="e">
        <f t="shared" si="267"/>
        <v>#DIV/0!</v>
      </c>
      <c r="AM27" s="44" t="e">
        <f t="shared" si="267"/>
        <v>#DIV/0!</v>
      </c>
      <c r="AN27" s="44" t="e">
        <f t="shared" si="267"/>
        <v>#DIV/0!</v>
      </c>
      <c r="AO27" s="44" t="e">
        <f t="shared" si="267"/>
        <v>#DIV/0!</v>
      </c>
      <c r="AP27" s="44" t="e">
        <f t="shared" si="267"/>
        <v>#DIV/0!</v>
      </c>
      <c r="AQ27" s="44" t="e">
        <f t="shared" si="267"/>
        <v>#DIV/0!</v>
      </c>
      <c r="AR27" s="44" t="e">
        <f t="shared" si="267"/>
        <v>#DIV/0!</v>
      </c>
      <c r="AS27" s="44" t="e">
        <f t="shared" si="267"/>
        <v>#DIV/0!</v>
      </c>
      <c r="AT27" s="44" t="e">
        <f t="shared" si="267"/>
        <v>#DIV/0!</v>
      </c>
      <c r="AU27" s="44" t="e">
        <f t="shared" si="267"/>
        <v>#DIV/0!</v>
      </c>
      <c r="AV27" s="44" t="e">
        <f t="shared" si="267"/>
        <v>#DIV/0!</v>
      </c>
      <c r="AW27" s="44" t="e">
        <f t="shared" si="267"/>
        <v>#DIV/0!</v>
      </c>
      <c r="AX27" s="44" t="e">
        <f t="shared" si="267"/>
        <v>#DIV/0!</v>
      </c>
      <c r="AY27" s="44" t="e">
        <f t="shared" si="267"/>
        <v>#DIV/0!</v>
      </c>
      <c r="AZ27" s="44" t="e">
        <f t="shared" si="267"/>
        <v>#DIV/0!</v>
      </c>
      <c r="BA27" s="44" t="e">
        <f t="shared" si="267"/>
        <v>#DIV/0!</v>
      </c>
      <c r="BB27" s="44" t="e">
        <f t="shared" si="267"/>
        <v>#DIV/0!</v>
      </c>
      <c r="BC27" s="44" t="e">
        <f t="shared" si="267"/>
        <v>#DIV/0!</v>
      </c>
      <c r="BD27" s="44" t="e">
        <f t="shared" si="267"/>
        <v>#DIV/0!</v>
      </c>
      <c r="BE27" s="44" t="e">
        <f t="shared" si="267"/>
        <v>#DIV/0!</v>
      </c>
      <c r="BF27" s="44" t="e">
        <f t="shared" si="267"/>
        <v>#DIV/0!</v>
      </c>
      <c r="BG27" s="44" t="e">
        <f t="shared" si="267"/>
        <v>#DIV/0!</v>
      </c>
      <c r="BH27" s="44" t="e">
        <f t="shared" si="267"/>
        <v>#DIV/0!</v>
      </c>
      <c r="BI27" s="44" t="e">
        <f t="shared" si="267"/>
        <v>#DIV/0!</v>
      </c>
      <c r="BJ27" s="44" t="e">
        <f t="shared" si="267"/>
        <v>#DIV/0!</v>
      </c>
      <c r="BK27" s="44" t="e">
        <f t="shared" si="267"/>
        <v>#DIV/0!</v>
      </c>
      <c r="BL27" s="44">
        <f t="shared" si="267"/>
        <v>0.60015417627871392</v>
      </c>
      <c r="BM27" s="44">
        <f t="shared" si="267"/>
        <v>0.60399245591710593</v>
      </c>
      <c r="BN27" s="44">
        <f t="shared" si="267"/>
        <v>0.54560123594541243</v>
      </c>
      <c r="BO27" s="44">
        <f t="shared" ref="BO27:CH27" si="268">BO26/BO10</f>
        <v>0.65437846930193444</v>
      </c>
      <c r="BP27" s="44">
        <f t="shared" si="268"/>
        <v>0.56890104239704575</v>
      </c>
      <c r="BQ27" s="44">
        <f t="shared" si="268"/>
        <v>0.56000709856791764</v>
      </c>
      <c r="BR27" s="44">
        <f t="shared" si="268"/>
        <v>0.55426408974185704</v>
      </c>
      <c r="BS27" s="44">
        <f t="shared" si="268"/>
        <v>0.53825008947389352</v>
      </c>
      <c r="BT27" s="44">
        <f t="shared" si="268"/>
        <v>0.53537408390305619</v>
      </c>
      <c r="BU27" s="44">
        <f t="shared" si="268"/>
        <v>0.52327185838325374</v>
      </c>
      <c r="BV27" s="44">
        <f t="shared" si="268"/>
        <v>0.53876077373511411</v>
      </c>
      <c r="BW27" s="44">
        <f t="shared" si="268"/>
        <v>0.58641599688986923</v>
      </c>
      <c r="BX27" s="44">
        <f t="shared" si="268"/>
        <v>0.56238808433386966</v>
      </c>
      <c r="BY27" s="44">
        <f t="shared" si="268"/>
        <v>0.55575353488906765</v>
      </c>
      <c r="BZ27" s="44">
        <f t="shared" si="268"/>
        <v>0.56231167674400873</v>
      </c>
      <c r="CA27" s="44">
        <f t="shared" si="268"/>
        <v>0.57881966635922844</v>
      </c>
      <c r="CB27" s="44">
        <f t="shared" si="268"/>
        <v>0.55607216730950293</v>
      </c>
      <c r="CC27" s="44">
        <f t="shared" si="268"/>
        <v>0.55337305559966588</v>
      </c>
      <c r="CD27" s="44">
        <f t="shared" si="268"/>
        <v>0.53829330120885521</v>
      </c>
      <c r="CE27" s="44">
        <f t="shared" si="268"/>
        <v>0.54797194947525962</v>
      </c>
      <c r="CF27" s="44">
        <f t="shared" si="268"/>
        <v>0.5339073094322675</v>
      </c>
      <c r="CG27" s="44">
        <f t="shared" si="268"/>
        <v>0.53257532935038665</v>
      </c>
      <c r="CH27" s="44">
        <f t="shared" si="268"/>
        <v>0.55250360786824126</v>
      </c>
      <c r="CI27" s="44">
        <f t="shared" ref="CI27:CJ27" si="269">CI26/CI10</f>
        <v>0.56436784205651813</v>
      </c>
      <c r="CJ27" s="44">
        <f t="shared" si="269"/>
        <v>0.55510460850776933</v>
      </c>
      <c r="CK27" s="44">
        <f t="shared" ref="CK27:CL27" si="270">CK26/CK10</f>
        <v>0.54144804800340396</v>
      </c>
      <c r="CL27" s="44">
        <f t="shared" si="270"/>
        <v>0.53667577551743328</v>
      </c>
      <c r="CM27" s="52">
        <f t="shared" ref="CM27:DB27" si="271">AVERAGE(CI27:CL27)</f>
        <v>0.54939906852128118</v>
      </c>
      <c r="CN27" s="52">
        <f t="shared" si="271"/>
        <v>0.54565687513747196</v>
      </c>
      <c r="CO27" s="52">
        <f t="shared" si="271"/>
        <v>0.54329494179489757</v>
      </c>
      <c r="CP27" s="52">
        <f t="shared" si="271"/>
        <v>0.543756665242771</v>
      </c>
      <c r="CQ27" s="52">
        <f t="shared" si="271"/>
        <v>0.54552688767410551</v>
      </c>
      <c r="CR27" s="52">
        <f t="shared" si="271"/>
        <v>0.54455884246231157</v>
      </c>
      <c r="CS27" s="52">
        <f t="shared" si="271"/>
        <v>0.54428433429352141</v>
      </c>
      <c r="CT27" s="52">
        <f t="shared" si="271"/>
        <v>0.5445316824181774</v>
      </c>
      <c r="CU27" s="52">
        <f t="shared" si="271"/>
        <v>0.54472543671202889</v>
      </c>
      <c r="CV27" s="52">
        <f t="shared" si="271"/>
        <v>0.54452507397150973</v>
      </c>
      <c r="CW27" s="52">
        <f t="shared" si="271"/>
        <v>0.54451663184880927</v>
      </c>
      <c r="CX27" s="52">
        <f t="shared" si="271"/>
        <v>0.54457470623763138</v>
      </c>
      <c r="CY27" s="52">
        <f t="shared" si="271"/>
        <v>0.54458546219249482</v>
      </c>
      <c r="CZ27" s="52">
        <f t="shared" si="271"/>
        <v>0.54455046856261125</v>
      </c>
      <c r="DA27" s="52">
        <f t="shared" si="271"/>
        <v>0.54455681721038673</v>
      </c>
      <c r="DB27" s="52">
        <f t="shared" si="271"/>
        <v>0.54456686355078099</v>
      </c>
      <c r="DE27" s="128"/>
      <c r="DF27" s="44">
        <v>0.5533560266089832</v>
      </c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0</v>
      </c>
      <c r="E28" s="26">
        <f t="shared" si="272"/>
        <v>0</v>
      </c>
      <c r="F28" s="26">
        <f t="shared" ref="F28:AE28" si="273">F16-F26</f>
        <v>38.140095199999998</v>
      </c>
      <c r="G28" s="26">
        <f t="shared" si="273"/>
        <v>54.128704499999984</v>
      </c>
      <c r="H28" s="26">
        <f t="shared" si="273"/>
        <v>89.227200000000011</v>
      </c>
      <c r="I28" s="26">
        <f t="shared" si="273"/>
        <v>118.66430000000003</v>
      </c>
      <c r="J28" s="26">
        <f t="shared" si="273"/>
        <v>74.360199999999992</v>
      </c>
      <c r="K28" s="26">
        <f t="shared" si="273"/>
        <v>116.42059999999998</v>
      </c>
      <c r="L28" s="26">
        <f t="shared" si="273"/>
        <v>85.137000000000029</v>
      </c>
      <c r="M28" s="26">
        <f t="shared" si="273"/>
        <v>72.169999999999987</v>
      </c>
      <c r="N28" s="26">
        <f t="shared" si="273"/>
        <v>90.97</v>
      </c>
      <c r="O28" s="26">
        <f t="shared" si="273"/>
        <v>89.03459799999996</v>
      </c>
      <c r="P28" s="26">
        <f t="shared" si="273"/>
        <v>136.00670000000002</v>
      </c>
      <c r="Q28" s="26">
        <f t="shared" si="273"/>
        <v>152.77140000000003</v>
      </c>
      <c r="R28" s="26">
        <f t="shared" si="273"/>
        <v>186.09179999999998</v>
      </c>
      <c r="S28" s="26">
        <f t="shared" si="273"/>
        <v>232.61180000000002</v>
      </c>
      <c r="T28" s="26">
        <f t="shared" si="273"/>
        <v>217.90949999999998</v>
      </c>
      <c r="U28" s="26">
        <f t="shared" si="273"/>
        <v>286.39240000000007</v>
      </c>
      <c r="V28" s="26">
        <f t="shared" si="273"/>
        <v>274.89670000000001</v>
      </c>
      <c r="W28" s="26">
        <f t="shared" si="273"/>
        <v>416.46409999999997</v>
      </c>
      <c r="X28" s="26">
        <f t="shared" si="273"/>
        <v>421.23179999999991</v>
      </c>
      <c r="Y28" s="26">
        <f t="shared" si="273"/>
        <v>504.88830000000007</v>
      </c>
      <c r="Z28" s="26">
        <f t="shared" ref="Z28:AA28" si="274">Z16-Z26</f>
        <v>652.2193000000002</v>
      </c>
      <c r="AA28" s="26">
        <f t="shared" si="274"/>
        <v>683.89960000000008</v>
      </c>
      <c r="AB28" s="27">
        <f t="shared" si="273"/>
        <v>738.52406321117405</v>
      </c>
      <c r="AC28" s="27">
        <f t="shared" si="273"/>
        <v>793.77909571806674</v>
      </c>
      <c r="AD28" s="27">
        <f t="shared" si="273"/>
        <v>852.36868941228113</v>
      </c>
      <c r="AE28" s="27">
        <f t="shared" si="273"/>
        <v>915.13459588358728</v>
      </c>
      <c r="AI28" s="26">
        <f t="shared" ref="AI28:BN28" si="275">AI16-AI26</f>
        <v>0</v>
      </c>
      <c r="AJ28" s="26">
        <f t="shared" si="275"/>
        <v>0</v>
      </c>
      <c r="AK28" s="26">
        <f t="shared" si="275"/>
        <v>0</v>
      </c>
      <c r="AL28" s="26">
        <f t="shared" si="275"/>
        <v>0</v>
      </c>
      <c r="AM28" s="26">
        <f t="shared" si="275"/>
        <v>0</v>
      </c>
      <c r="AN28" s="26">
        <f t="shared" si="275"/>
        <v>0</v>
      </c>
      <c r="AO28" s="26">
        <f t="shared" si="275"/>
        <v>0</v>
      </c>
      <c r="AP28" s="26">
        <f t="shared" si="275"/>
        <v>0</v>
      </c>
      <c r="AQ28" s="26">
        <f t="shared" si="275"/>
        <v>0</v>
      </c>
      <c r="AR28" s="26">
        <f t="shared" si="275"/>
        <v>0</v>
      </c>
      <c r="AS28" s="26">
        <f t="shared" si="275"/>
        <v>0</v>
      </c>
      <c r="AT28" s="26">
        <f t="shared" si="275"/>
        <v>0</v>
      </c>
      <c r="AU28" s="26">
        <f t="shared" si="275"/>
        <v>0</v>
      </c>
      <c r="AV28" s="26">
        <f t="shared" si="275"/>
        <v>0</v>
      </c>
      <c r="AW28" s="26">
        <f t="shared" si="275"/>
        <v>0</v>
      </c>
      <c r="AX28" s="26">
        <f t="shared" si="275"/>
        <v>0</v>
      </c>
      <c r="AY28" s="26">
        <f t="shared" si="275"/>
        <v>0</v>
      </c>
      <c r="AZ28" s="26">
        <f t="shared" si="275"/>
        <v>0</v>
      </c>
      <c r="BA28" s="26">
        <f t="shared" si="275"/>
        <v>0</v>
      </c>
      <c r="BB28" s="26">
        <f t="shared" si="275"/>
        <v>0</v>
      </c>
      <c r="BC28" s="26">
        <f t="shared" si="275"/>
        <v>0</v>
      </c>
      <c r="BD28" s="26">
        <f t="shared" si="275"/>
        <v>0</v>
      </c>
      <c r="BE28" s="26">
        <f t="shared" si="275"/>
        <v>0</v>
      </c>
      <c r="BF28" s="26">
        <f t="shared" si="275"/>
        <v>0</v>
      </c>
      <c r="BG28" s="26">
        <f t="shared" si="275"/>
        <v>0</v>
      </c>
      <c r="BH28" s="26">
        <f t="shared" si="275"/>
        <v>0</v>
      </c>
      <c r="BI28" s="26">
        <f t="shared" si="275"/>
        <v>0</v>
      </c>
      <c r="BJ28" s="26">
        <f t="shared" si="275"/>
        <v>0</v>
      </c>
      <c r="BK28" s="26">
        <f t="shared" si="275"/>
        <v>0</v>
      </c>
      <c r="BL28" s="26">
        <f t="shared" si="275"/>
        <v>69.503999999999991</v>
      </c>
      <c r="BM28" s="26">
        <f t="shared" si="275"/>
        <v>69.710000000000008</v>
      </c>
      <c r="BN28" s="26">
        <f t="shared" si="275"/>
        <v>79.412999999999982</v>
      </c>
      <c r="BO28" s="26">
        <f t="shared" ref="BO28:CT28" si="276">BO16-BO26</f>
        <v>51.367999999999995</v>
      </c>
      <c r="BP28" s="26">
        <f t="shared" si="276"/>
        <v>73.78</v>
      </c>
      <c r="BQ28" s="26">
        <f t="shared" si="276"/>
        <v>81.818000000000012</v>
      </c>
      <c r="BR28" s="26">
        <f t="shared" si="276"/>
        <v>89.045999999999992</v>
      </c>
      <c r="BS28" s="26">
        <f t="shared" si="276"/>
        <v>92.892999999999986</v>
      </c>
      <c r="BT28" s="26">
        <f t="shared" si="276"/>
        <v>105.74700000000001</v>
      </c>
      <c r="BU28" s="26">
        <f t="shared" si="276"/>
        <v>113.32399999999998</v>
      </c>
      <c r="BV28" s="26">
        <f t="shared" si="276"/>
        <v>112.166</v>
      </c>
      <c r="BW28" s="26">
        <f t="shared" si="276"/>
        <v>97.87299999999999</v>
      </c>
      <c r="BX28" s="26">
        <f t="shared" si="276"/>
        <v>106.06400000000002</v>
      </c>
      <c r="BY28" s="26">
        <f t="shared" si="276"/>
        <v>108.20600000000002</v>
      </c>
      <c r="BZ28" s="26">
        <f t="shared" si="276"/>
        <v>109.089</v>
      </c>
      <c r="CA28" s="26">
        <f t="shared" si="276"/>
        <v>110.05399999999997</v>
      </c>
      <c r="CB28" s="26">
        <f t="shared" si="276"/>
        <v>122.11700000000002</v>
      </c>
      <c r="CC28" s="26">
        <f t="shared" si="276"/>
        <v>129.37799999999999</v>
      </c>
      <c r="CD28" s="26">
        <f t="shared" si="276"/>
        <v>143.34100000000001</v>
      </c>
      <c r="CE28" s="26">
        <f t="shared" si="276"/>
        <v>149.803</v>
      </c>
      <c r="CF28" s="26">
        <f t="shared" si="276"/>
        <v>170.20400000000004</v>
      </c>
      <c r="CG28" s="26">
        <f t="shared" si="276"/>
        <v>172.827</v>
      </c>
      <c r="CH28" s="26">
        <f t="shared" si="276"/>
        <v>159.38299999999998</v>
      </c>
      <c r="CI28" s="26">
        <f t="shared" ref="CI28:CJ28" si="277">CI16-CI26</f>
        <v>154.27999999999997</v>
      </c>
      <c r="CJ28" s="26">
        <f t="shared" si="277"/>
        <v>167.60899999999998</v>
      </c>
      <c r="CK28" s="26">
        <f t="shared" ref="CK28:CL28" si="278">CK16-CK26</f>
        <v>178.899</v>
      </c>
      <c r="CL28" s="26">
        <f t="shared" si="278"/>
        <v>183.11500000000001</v>
      </c>
      <c r="CM28" s="27">
        <f t="shared" si="276"/>
        <v>170.15883287725916</v>
      </c>
      <c r="CN28" s="27">
        <f t="shared" si="276"/>
        <v>182.41279786825271</v>
      </c>
      <c r="CO28" s="27">
        <f t="shared" si="276"/>
        <v>191.39884330853815</v>
      </c>
      <c r="CP28" s="27">
        <f t="shared" si="276"/>
        <v>194.55358915712387</v>
      </c>
      <c r="CQ28" s="27">
        <f t="shared" si="276"/>
        <v>183.85463698699095</v>
      </c>
      <c r="CR28" s="27">
        <f t="shared" si="276"/>
        <v>196.11640986445605</v>
      </c>
      <c r="CS28" s="27">
        <f t="shared" si="276"/>
        <v>205.16326065565664</v>
      </c>
      <c r="CT28" s="27">
        <f t="shared" si="276"/>
        <v>208.64478821096318</v>
      </c>
      <c r="CU28" s="27">
        <f t="shared" ref="CU28:DB28" si="279">CU16-CU26</f>
        <v>197.6381814322136</v>
      </c>
      <c r="CV28" s="27">
        <f t="shared" si="279"/>
        <v>210.5517160763427</v>
      </c>
      <c r="CW28" s="27">
        <f t="shared" si="279"/>
        <v>220.18682815089977</v>
      </c>
      <c r="CX28" s="27">
        <f t="shared" si="279"/>
        <v>223.99196375282509</v>
      </c>
      <c r="CY28" s="27">
        <f t="shared" si="279"/>
        <v>212.2316111594514</v>
      </c>
      <c r="CZ28" s="27">
        <f t="shared" si="279"/>
        <v>226.03929319056044</v>
      </c>
      <c r="DA28" s="27">
        <f t="shared" si="279"/>
        <v>236.38045608952223</v>
      </c>
      <c r="DB28" s="27">
        <f t="shared" si="279"/>
        <v>240.48323544405343</v>
      </c>
      <c r="DE28" s="121"/>
      <c r="DF28" s="26">
        <v>171.11801240078634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 t="e">
        <f t="shared" si="280"/>
        <v>#DIV/0!</v>
      </c>
      <c r="F29" s="166">
        <f t="shared" ref="F29:AE29" si="281">F28/F10</f>
        <v>0.41463220303130255</v>
      </c>
      <c r="G29" s="166">
        <f t="shared" si="281"/>
        <v>0.34136185323371937</v>
      </c>
      <c r="H29" s="166">
        <f t="shared" si="281"/>
        <v>0.40893891618391143</v>
      </c>
      <c r="I29" s="166">
        <f t="shared" si="281"/>
        <v>0.41716619213065914</v>
      </c>
      <c r="J29" s="166">
        <f t="shared" si="281"/>
        <v>0.30150276586281011</v>
      </c>
      <c r="K29" s="166">
        <f t="shared" si="281"/>
        <v>0.37412827308330943</v>
      </c>
      <c r="L29" s="166">
        <f t="shared" si="281"/>
        <v>0.26806360201511342</v>
      </c>
      <c r="M29" s="166">
        <f t="shared" si="281"/>
        <v>0.26459158234345209</v>
      </c>
      <c r="N29" s="166">
        <f t="shared" si="281"/>
        <v>0.30805960040636637</v>
      </c>
      <c r="O29" s="166">
        <f t="shared" si="281"/>
        <v>0.27615180513930243</v>
      </c>
      <c r="P29" s="166">
        <f t="shared" si="281"/>
        <v>0.35450815719577017</v>
      </c>
      <c r="Q29" s="166">
        <f t="shared" si="281"/>
        <v>0.38392027840436188</v>
      </c>
      <c r="R29" s="166">
        <f t="shared" si="281"/>
        <v>0.38906228929655229</v>
      </c>
      <c r="S29" s="166">
        <f t="shared" si="281"/>
        <v>0.36258578826220017</v>
      </c>
      <c r="T29" s="166">
        <f t="shared" si="281"/>
        <v>0.31415182920227508</v>
      </c>
      <c r="U29" s="166">
        <f t="shared" si="281"/>
        <v>0.40934842836190971</v>
      </c>
      <c r="V29" s="166">
        <f t="shared" si="281"/>
        <v>0.38965037070383696</v>
      </c>
      <c r="W29" s="166">
        <f t="shared" si="281"/>
        <v>0.45782013757774126</v>
      </c>
      <c r="X29" s="166">
        <f t="shared" si="281"/>
        <v>0.43344310593488217</v>
      </c>
      <c r="Y29" s="166">
        <f t="shared" si="281"/>
        <v>0.44424131916596848</v>
      </c>
      <c r="Z29" s="166">
        <f t="shared" ref="Z29:AA29" si="282">Z28/Z10</f>
        <v>0.45850752694249569</v>
      </c>
      <c r="AA29" s="166">
        <f t="shared" si="282"/>
        <v>0.45104702459820256</v>
      </c>
      <c r="AB29" s="167">
        <f t="shared" si="281"/>
        <v>0.45458133362648584</v>
      </c>
      <c r="AC29" s="167">
        <f t="shared" si="281"/>
        <v>0.45529455541039082</v>
      </c>
      <c r="AD29" s="167">
        <f t="shared" si="281"/>
        <v>0.45541759141065974</v>
      </c>
      <c r="AE29" s="167">
        <f t="shared" si="281"/>
        <v>0.45543546737879603</v>
      </c>
      <c r="AI29" s="166" t="e">
        <f t="shared" ref="AI29:BN29" si="283">AI28/AI10</f>
        <v>#DIV/0!</v>
      </c>
      <c r="AJ29" s="166" t="e">
        <f t="shared" si="283"/>
        <v>#DIV/0!</v>
      </c>
      <c r="AK29" s="166" t="e">
        <f t="shared" si="283"/>
        <v>#DIV/0!</v>
      </c>
      <c r="AL29" s="166" t="e">
        <f t="shared" si="283"/>
        <v>#DIV/0!</v>
      </c>
      <c r="AM29" s="166" t="e">
        <f t="shared" si="283"/>
        <v>#DIV/0!</v>
      </c>
      <c r="AN29" s="166" t="e">
        <f t="shared" si="283"/>
        <v>#DIV/0!</v>
      </c>
      <c r="AO29" s="166" t="e">
        <f t="shared" si="283"/>
        <v>#DIV/0!</v>
      </c>
      <c r="AP29" s="166" t="e">
        <f t="shared" si="283"/>
        <v>#DIV/0!</v>
      </c>
      <c r="AQ29" s="166" t="e">
        <f t="shared" si="283"/>
        <v>#DIV/0!</v>
      </c>
      <c r="AR29" s="166" t="e">
        <f t="shared" si="283"/>
        <v>#DIV/0!</v>
      </c>
      <c r="AS29" s="166" t="e">
        <f t="shared" si="283"/>
        <v>#DIV/0!</v>
      </c>
      <c r="AT29" s="166" t="e">
        <f t="shared" si="283"/>
        <v>#DIV/0!</v>
      </c>
      <c r="AU29" s="166" t="e">
        <f t="shared" si="283"/>
        <v>#DIV/0!</v>
      </c>
      <c r="AV29" s="166" t="e">
        <f t="shared" si="283"/>
        <v>#DIV/0!</v>
      </c>
      <c r="AW29" s="166" t="e">
        <f t="shared" si="283"/>
        <v>#DIV/0!</v>
      </c>
      <c r="AX29" s="166" t="e">
        <f t="shared" si="283"/>
        <v>#DIV/0!</v>
      </c>
      <c r="AY29" s="166" t="e">
        <f t="shared" si="283"/>
        <v>#DIV/0!</v>
      </c>
      <c r="AZ29" s="166" t="e">
        <f t="shared" si="283"/>
        <v>#DIV/0!</v>
      </c>
      <c r="BA29" s="166" t="e">
        <f t="shared" si="283"/>
        <v>#DIV/0!</v>
      </c>
      <c r="BB29" s="166" t="e">
        <f t="shared" si="283"/>
        <v>#DIV/0!</v>
      </c>
      <c r="BC29" s="166" t="e">
        <f t="shared" si="283"/>
        <v>#DIV/0!</v>
      </c>
      <c r="BD29" s="166" t="e">
        <f t="shared" si="283"/>
        <v>#DIV/0!</v>
      </c>
      <c r="BE29" s="166" t="e">
        <f t="shared" si="283"/>
        <v>#DIV/0!</v>
      </c>
      <c r="BF29" s="166" t="e">
        <f t="shared" si="283"/>
        <v>#DIV/0!</v>
      </c>
      <c r="BG29" s="166" t="e">
        <f t="shared" si="283"/>
        <v>#DIV/0!</v>
      </c>
      <c r="BH29" s="166" t="e">
        <f t="shared" si="283"/>
        <v>#DIV/0!</v>
      </c>
      <c r="BI29" s="166" t="e">
        <f t="shared" si="283"/>
        <v>#DIV/0!</v>
      </c>
      <c r="BJ29" s="166" t="e">
        <f t="shared" si="283"/>
        <v>#DIV/0!</v>
      </c>
      <c r="BK29" s="166" t="e">
        <f t="shared" si="283"/>
        <v>#DIV/0!</v>
      </c>
      <c r="BL29" s="166">
        <f t="shared" si="283"/>
        <v>0.39984582372128608</v>
      </c>
      <c r="BM29" s="166">
        <f t="shared" si="283"/>
        <v>0.39600754408289401</v>
      </c>
      <c r="BN29" s="166">
        <f t="shared" si="283"/>
        <v>0.45439876405458751</v>
      </c>
      <c r="BO29" s="166">
        <f t="shared" ref="BO29:CT29" si="284">BO28/BO10</f>
        <v>0.34562153069806556</v>
      </c>
      <c r="BP29" s="166">
        <f t="shared" si="284"/>
        <v>0.43109895760295425</v>
      </c>
      <c r="BQ29" s="166">
        <f t="shared" si="284"/>
        <v>0.43999290143208236</v>
      </c>
      <c r="BR29" s="166">
        <f t="shared" si="284"/>
        <v>0.44573591025814296</v>
      </c>
      <c r="BS29" s="166">
        <f t="shared" si="284"/>
        <v>0.46174991052610648</v>
      </c>
      <c r="BT29" s="166">
        <f t="shared" si="284"/>
        <v>0.46462591609694376</v>
      </c>
      <c r="BU29" s="166">
        <f t="shared" si="284"/>
        <v>0.47672814161674626</v>
      </c>
      <c r="BV29" s="166">
        <f t="shared" si="284"/>
        <v>0.46123922626488584</v>
      </c>
      <c r="BW29" s="166">
        <f t="shared" si="284"/>
        <v>0.41358400311013072</v>
      </c>
      <c r="BX29" s="166">
        <f t="shared" si="284"/>
        <v>0.43761191566613039</v>
      </c>
      <c r="BY29" s="166">
        <f t="shared" si="284"/>
        <v>0.44424646511093235</v>
      </c>
      <c r="BZ29" s="166">
        <f t="shared" si="284"/>
        <v>0.43768832325599122</v>
      </c>
      <c r="CA29" s="166">
        <f t="shared" si="284"/>
        <v>0.42118033364077162</v>
      </c>
      <c r="CB29" s="166">
        <f t="shared" si="284"/>
        <v>0.44392783269049707</v>
      </c>
      <c r="CC29" s="166">
        <f t="shared" si="284"/>
        <v>0.44662694440033412</v>
      </c>
      <c r="CD29" s="166">
        <f t="shared" si="284"/>
        <v>0.46170669879114473</v>
      </c>
      <c r="CE29" s="166">
        <f t="shared" si="284"/>
        <v>0.45202805052474038</v>
      </c>
      <c r="CF29" s="166">
        <f t="shared" si="284"/>
        <v>0.46609269056773256</v>
      </c>
      <c r="CG29" s="166">
        <f t="shared" si="284"/>
        <v>0.46742467064961341</v>
      </c>
      <c r="CH29" s="166">
        <f t="shared" si="284"/>
        <v>0.44749639213175874</v>
      </c>
      <c r="CI29" s="166">
        <f t="shared" ref="CI29:CJ29" si="285">CI28/CI10</f>
        <v>0.43563215794348181</v>
      </c>
      <c r="CJ29" s="166">
        <f t="shared" si="285"/>
        <v>0.44489539149223062</v>
      </c>
      <c r="CK29" s="166">
        <f t="shared" ref="CK29:CL29" si="286">CK28/CK10</f>
        <v>0.4585519519965961</v>
      </c>
      <c r="CL29" s="166">
        <f t="shared" si="286"/>
        <v>0.46332422448256666</v>
      </c>
      <c r="CM29" s="167">
        <f t="shared" si="284"/>
        <v>0.45060093147871882</v>
      </c>
      <c r="CN29" s="167">
        <f t="shared" si="284"/>
        <v>0.45434312486252804</v>
      </c>
      <c r="CO29" s="167">
        <f t="shared" si="284"/>
        <v>0.45670505820510249</v>
      </c>
      <c r="CP29" s="167">
        <f t="shared" si="284"/>
        <v>0.456243334757229</v>
      </c>
      <c r="CQ29" s="167">
        <f t="shared" si="284"/>
        <v>0.45447311232589449</v>
      </c>
      <c r="CR29" s="167">
        <f t="shared" si="284"/>
        <v>0.45544115753768843</v>
      </c>
      <c r="CS29" s="167">
        <f t="shared" si="284"/>
        <v>0.45571566570647859</v>
      </c>
      <c r="CT29" s="167">
        <f t="shared" si="284"/>
        <v>0.45546831758182266</v>
      </c>
      <c r="CU29" s="167">
        <f t="shared" ref="CU29:DB29" si="287">CU28/CU10</f>
        <v>0.45527456328797111</v>
      </c>
      <c r="CV29" s="167">
        <f t="shared" si="287"/>
        <v>0.45547492602849027</v>
      </c>
      <c r="CW29" s="167">
        <f t="shared" si="287"/>
        <v>0.45548336815119067</v>
      </c>
      <c r="CX29" s="167">
        <f t="shared" si="287"/>
        <v>0.45542529376236862</v>
      </c>
      <c r="CY29" s="167">
        <f t="shared" si="287"/>
        <v>0.45541453780750524</v>
      </c>
      <c r="CZ29" s="167">
        <f t="shared" si="287"/>
        <v>0.45544953143738875</v>
      </c>
      <c r="DA29" s="167">
        <f t="shared" si="287"/>
        <v>0.45544318278961332</v>
      </c>
      <c r="DB29" s="167">
        <f t="shared" si="287"/>
        <v>0.45543313644921901</v>
      </c>
      <c r="DE29" s="169"/>
      <c r="DF29" s="168">
        <v>0.4466439733910168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 t="e">
        <f t="shared" ref="F30:Y30" si="289">+IF(E28&lt;0,1-F28/E28,F28/E28-1)</f>
        <v>#DIV/0!</v>
      </c>
      <c r="G30" s="39">
        <f t="shared" si="289"/>
        <v>0.41920737785678064</v>
      </c>
      <c r="H30" s="39">
        <f t="shared" si="289"/>
        <v>0.64842666796135928</v>
      </c>
      <c r="I30" s="39">
        <f t="shared" si="289"/>
        <v>0.32991173095199677</v>
      </c>
      <c r="J30" s="39">
        <f t="shared" si="289"/>
        <v>-0.37335660346035016</v>
      </c>
      <c r="K30" s="39">
        <f t="shared" si="289"/>
        <v>0.56563053891732396</v>
      </c>
      <c r="L30" s="39">
        <f t="shared" si="289"/>
        <v>-0.2687118946303314</v>
      </c>
      <c r="M30" s="39">
        <f t="shared" si="289"/>
        <v>-0.15230745739220364</v>
      </c>
      <c r="N30" s="39">
        <f t="shared" si="289"/>
        <v>0.2604960509907166</v>
      </c>
      <c r="O30" s="39">
        <f t="shared" si="289"/>
        <v>-2.1275167637683223E-2</v>
      </c>
      <c r="P30" s="39">
        <f t="shared" si="289"/>
        <v>0.52757133805445022</v>
      </c>
      <c r="Q30" s="39">
        <f t="shared" si="289"/>
        <v>0.1232637803872898</v>
      </c>
      <c r="R30" s="39">
        <f t="shared" si="289"/>
        <v>0.21810626858168436</v>
      </c>
      <c r="S30" s="39">
        <f t="shared" si="289"/>
        <v>0.24998414760886845</v>
      </c>
      <c r="T30" s="39">
        <f t="shared" si="289"/>
        <v>-6.3205306007691919E-2</v>
      </c>
      <c r="U30" s="39">
        <f t="shared" si="289"/>
        <v>0.31427220933460953</v>
      </c>
      <c r="V30" s="39">
        <f t="shared" si="289"/>
        <v>-4.0139682477607797E-2</v>
      </c>
      <c r="W30" s="39">
        <f t="shared" si="289"/>
        <v>0.5149839921686945</v>
      </c>
      <c r="X30" s="39">
        <f t="shared" si="289"/>
        <v>1.1448045581839983E-2</v>
      </c>
      <c r="Y30" s="39">
        <f t="shared" si="289"/>
        <v>0.19859967837186132</v>
      </c>
      <c r="Z30" s="39">
        <f t="shared" ref="Z30:AE30" si="290">+IF(Y28&lt;0,1-Z28/Y28,Z28/Y28-1)</f>
        <v>0.29180909916114151</v>
      </c>
      <c r="AA30" s="39">
        <f t="shared" si="290"/>
        <v>4.8573079637477479E-2</v>
      </c>
      <c r="AB30" s="40">
        <f t="shared" si="290"/>
        <v>7.9872050241254655E-2</v>
      </c>
      <c r="AC30" s="40">
        <f t="shared" si="290"/>
        <v>7.4818188410325392E-2</v>
      </c>
      <c r="AD30" s="40">
        <f t="shared" si="290"/>
        <v>7.3810955730968519E-2</v>
      </c>
      <c r="AE30" s="40">
        <f t="shared" si="290"/>
        <v>7.3637039054759379E-2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1">+IF(AJ28&lt;0,1-AN28/AJ28,AN28/AJ28-1)</f>
        <v>#DIV/0!</v>
      </c>
      <c r="AO30" s="39" t="e">
        <f t="shared" ref="AO30" si="292">+IF(AK28&lt;0,1-AO28/AK28,AO28/AK28-1)</f>
        <v>#DIV/0!</v>
      </c>
      <c r="AP30" s="39" t="e">
        <f t="shared" ref="AP30" si="293">+IF(AL28&lt;0,1-AP28/AL28,AP28/AL28-1)</f>
        <v>#DIV/0!</v>
      </c>
      <c r="AQ30" s="39" t="e">
        <f t="shared" ref="AQ30" si="294">+IF(AM28&lt;0,1-AQ28/AM28,AQ28/AM28-1)</f>
        <v>#DIV/0!</v>
      </c>
      <c r="AR30" s="39" t="e">
        <f t="shared" ref="AR30" si="295">+IF(AN28&lt;0,1-AR28/AN28,AR28/AN28-1)</f>
        <v>#DIV/0!</v>
      </c>
      <c r="AS30" s="39" t="e">
        <f t="shared" ref="AS30" si="296">+IF(AO28&lt;0,1-AS28/AO28,AS28/AO28-1)</f>
        <v>#DIV/0!</v>
      </c>
      <c r="AT30" s="39" t="e">
        <f t="shared" ref="AT30" si="297">+IF(AP28&lt;0,1-AT28/AP28,AT28/AP28-1)</f>
        <v>#DIV/0!</v>
      </c>
      <c r="AU30" s="39" t="e">
        <f t="shared" ref="AU30" si="298">+IF(AQ28&lt;0,1-AU28/AQ28,AU28/AQ28-1)</f>
        <v>#DIV/0!</v>
      </c>
      <c r="AV30" s="39" t="e">
        <f t="shared" ref="AV30" si="299">+IF(AR28&lt;0,1-AV28/AR28,AV28/AR28-1)</f>
        <v>#DIV/0!</v>
      </c>
      <c r="AW30" s="39" t="e">
        <f t="shared" ref="AW30" si="300">+IF(AS28&lt;0,1-AW28/AS28,AW28/AS28-1)</f>
        <v>#DIV/0!</v>
      </c>
      <c r="AX30" s="39" t="e">
        <f t="shared" ref="AX30" si="301">+IF(AT28&lt;0,1-AX28/AT28,AX28/AT28-1)</f>
        <v>#DIV/0!</v>
      </c>
      <c r="AY30" s="39" t="e">
        <f t="shared" ref="AY30" si="302">+IF(AU28&lt;0,1-AY28/AU28,AY28/AU28-1)</f>
        <v>#DIV/0!</v>
      </c>
      <c r="AZ30" s="39" t="e">
        <f t="shared" ref="AZ30" si="303">+IF(AV28&lt;0,1-AZ28/AV28,AZ28/AV28-1)</f>
        <v>#DIV/0!</v>
      </c>
      <c r="BA30" s="39" t="e">
        <f t="shared" ref="BA30" si="304">+IF(AW28&lt;0,1-BA28/AW28,BA28/AW28-1)</f>
        <v>#DIV/0!</v>
      </c>
      <c r="BB30" s="39" t="e">
        <f t="shared" ref="BB30" si="305">+IF(AX28&lt;0,1-BB28/AX28,BB28/AX28-1)</f>
        <v>#DIV/0!</v>
      </c>
      <c r="BC30" s="39" t="e">
        <f t="shared" ref="BC30" si="306">+IF(AY28&lt;0,1-BC28/AY28,BC28/AY28-1)</f>
        <v>#DIV/0!</v>
      </c>
      <c r="BD30" s="39" t="e">
        <f t="shared" ref="BD30" si="307">+IF(AZ28&lt;0,1-BD28/AZ28,BD28/AZ28-1)</f>
        <v>#DIV/0!</v>
      </c>
      <c r="BE30" s="39" t="e">
        <f t="shared" ref="BE30" si="308">+IF(BA28&lt;0,1-BE28/BA28,BE28/BA28-1)</f>
        <v>#DIV/0!</v>
      </c>
      <c r="BF30" s="39" t="e">
        <f t="shared" ref="BF30" si="309">+IF(BB28&lt;0,1-BF28/BB28,BF28/BB28-1)</f>
        <v>#DIV/0!</v>
      </c>
      <c r="BG30" s="39" t="e">
        <f t="shared" ref="BG30" si="310">+IF(BC28&lt;0,1-BG28/BC28,BG28/BC28-1)</f>
        <v>#DIV/0!</v>
      </c>
      <c r="BH30" s="39" t="e">
        <f t="shared" ref="BH30" si="311">+IF(BD28&lt;0,1-BH28/BD28,BH28/BD28-1)</f>
        <v>#DIV/0!</v>
      </c>
      <c r="BI30" s="39" t="e">
        <f t="shared" ref="BI30" si="312">+IF(BE28&lt;0,1-BI28/BE28,BI28/BE28-1)</f>
        <v>#DIV/0!</v>
      </c>
      <c r="BJ30" s="39" t="e">
        <f t="shared" ref="BJ30" si="313">+IF(BF28&lt;0,1-BJ28/BF28,BJ28/BF28-1)</f>
        <v>#DIV/0!</v>
      </c>
      <c r="BK30" s="39" t="e">
        <f t="shared" ref="BK30" si="314">+IF(BG28&lt;0,1-BK28/BG28,BK28/BG28-1)</f>
        <v>#DIV/0!</v>
      </c>
      <c r="BL30" s="39" t="e">
        <f t="shared" ref="BL30" si="315">+IF(BH28&lt;0,1-BL28/BH28,BL28/BH28-1)</f>
        <v>#DIV/0!</v>
      </c>
      <c r="BM30" s="39" t="e">
        <f t="shared" ref="BM30" si="316">+IF(BI28&lt;0,1-BM28/BI28,BM28/BI28-1)</f>
        <v>#DIV/0!</v>
      </c>
      <c r="BN30" s="39" t="e">
        <f t="shared" ref="BN30" si="317">+IF(BJ28&lt;0,1-BN28/BJ28,BN28/BJ28-1)</f>
        <v>#DIV/0!</v>
      </c>
      <c r="BO30" s="39" t="e">
        <f t="shared" ref="BO30" si="318">+IF(BK28&lt;0,1-BO28/BK28,BO28/BK28-1)</f>
        <v>#DIV/0!</v>
      </c>
      <c r="BP30" s="39">
        <f t="shared" ref="BP30" si="319">+IF(BL28&lt;0,1-BP28/BL28,BP28/BL28-1)</f>
        <v>6.1521639042357412E-2</v>
      </c>
      <c r="BQ30" s="39">
        <f t="shared" ref="BQ30" si="320">+IF(BM28&lt;0,1-BQ28/BM28,BQ28/BM28-1)</f>
        <v>0.17369100559460637</v>
      </c>
      <c r="BR30" s="39">
        <f t="shared" ref="BR30" si="321">+IF(BN28&lt;0,1-BR28/BN28,BR28/BN28-1)</f>
        <v>0.12130255751577224</v>
      </c>
      <c r="BS30" s="39">
        <f t="shared" ref="BS30" si="322">+IF(BO28&lt;0,1-BS28/BO28,BS28/BO28-1)</f>
        <v>0.80838265067746451</v>
      </c>
      <c r="BT30" s="39">
        <f t="shared" ref="BT30" si="323">+IF(BP28&lt;0,1-BT28/BP28,BT28/BP28-1)</f>
        <v>0.43327460016264596</v>
      </c>
      <c r="BU30" s="39">
        <f t="shared" ref="BU30" si="324">+IF(BQ28&lt;0,1-BU28/BQ28,BU28/BQ28-1)</f>
        <v>0.38507418905375301</v>
      </c>
      <c r="BV30" s="39">
        <f t="shared" ref="BV30" si="325">+IF(BR28&lt;0,1-BV28/BR28,BV28/BR28-1)</f>
        <v>0.25964108438335254</v>
      </c>
      <c r="BW30" s="39">
        <f t="shared" ref="BW30" si="326">+IF(BS28&lt;0,1-BW28/BS28,BW28/BS28-1)</f>
        <v>5.3610067497012803E-2</v>
      </c>
      <c r="BX30" s="39">
        <f t="shared" ref="BX30" si="327">+IF(BT28&lt;0,1-BX28/BT28,BX28/BT28-1)</f>
        <v>2.9977209755360779E-3</v>
      </c>
      <c r="BY30" s="39">
        <f t="shared" ref="BY30" si="328">+IF(BU28&lt;0,1-BY28/BU28,BY28/BU28-1)</f>
        <v>-4.5162542797641869E-2</v>
      </c>
      <c r="BZ30" s="39">
        <f t="shared" ref="BZ30" si="329">+IF(BV28&lt;0,1-BZ28/BV28,BZ28/BV28-1)</f>
        <v>-2.7432555319793828E-2</v>
      </c>
      <c r="CA30" s="39">
        <f t="shared" ref="CA30" si="330">+IF(BW28&lt;0,1-CA28/BW28,CA28/BW28-1)</f>
        <v>0.12445720474492439</v>
      </c>
      <c r="CB30" s="39">
        <f t="shared" ref="CB30" si="331">+IF(BX28&lt;0,1-CB28/BX28,CB28/BX28-1)</f>
        <v>0.15135201387841302</v>
      </c>
      <c r="CC30" s="39">
        <f t="shared" ref="CC30" si="332">+IF(BY28&lt;0,1-CC28/BY28,CC28/BY28-1)</f>
        <v>0.19566382640518976</v>
      </c>
      <c r="CD30" s="39">
        <f t="shared" ref="CD30" si="333">+IF(BZ28&lt;0,1-CD28/BZ28,CD28/BZ28-1)</f>
        <v>0.31398216135449042</v>
      </c>
      <c r="CE30" s="39">
        <f t="shared" ref="CE30" si="334">+IF(CA28&lt;0,1-CE28/CA28,CE28/CA28-1)</f>
        <v>0.36117724026387066</v>
      </c>
      <c r="CF30" s="39">
        <f t="shared" ref="CF30" si="335">+IF(CB28&lt;0,1-CF28/CB28,CF28/CB28-1)</f>
        <v>0.39377809805350616</v>
      </c>
      <c r="CG30" s="39">
        <f t="shared" ref="CG30" si="336">+IF(CC28&lt;0,1-CG28/CC28,CG28/CC28-1)</f>
        <v>0.33582989379956429</v>
      </c>
      <c r="CH30" s="39">
        <f t="shared" ref="CH30:CL30" si="337">+IF(CD28&lt;0,1-CH28/CD28,CH28/CD28-1)</f>
        <v>0.11191494408438607</v>
      </c>
      <c r="CI30" s="39">
        <f t="shared" si="337"/>
        <v>2.9885916837446347E-2</v>
      </c>
      <c r="CJ30" s="39">
        <f t="shared" si="337"/>
        <v>-1.524641019012507E-2</v>
      </c>
      <c r="CK30" s="39">
        <f t="shared" si="337"/>
        <v>3.5133399295248946E-2</v>
      </c>
      <c r="CL30" s="39">
        <f t="shared" si="337"/>
        <v>0.14889919251112116</v>
      </c>
      <c r="CM30" s="40">
        <f t="shared" ref="CM30" si="338">+CM28/CI28-1</f>
        <v>0.10292217317383456</v>
      </c>
      <c r="CN30" s="40">
        <f t="shared" ref="CN30" si="339">+CN28/CJ28-1</f>
        <v>8.8323406668214366E-2</v>
      </c>
      <c r="CO30" s="40">
        <f t="shared" ref="CO30" si="340">+CO28/CK28-1</f>
        <v>6.987095125483167E-2</v>
      </c>
      <c r="CP30" s="40">
        <f t="shared" ref="CP30" si="341">+CP28/CL28-1</f>
        <v>6.2466696650322895E-2</v>
      </c>
      <c r="CQ30" s="40">
        <f t="shared" ref="CQ30" si="342">+CQ28/CM28-1</f>
        <v>8.0488352430173382E-2</v>
      </c>
      <c r="CR30" s="40">
        <f t="shared" ref="CR30" si="343">+CR28/CN28-1</f>
        <v>7.5124180739230439E-2</v>
      </c>
      <c r="CS30" s="40">
        <f t="shared" ref="CS30" si="344">+CS28/CO28-1</f>
        <v>7.191484080669186E-2</v>
      </c>
      <c r="CT30" s="40">
        <f t="shared" ref="CT30" si="345">+CT28/CP28-1</f>
        <v>7.2428368527599263E-2</v>
      </c>
      <c r="CU30" s="40">
        <f t="shared" ref="CU30" si="346">+CU28/CQ28-1</f>
        <v>7.4969795002765904E-2</v>
      </c>
      <c r="CV30" s="40">
        <f t="shared" ref="CV30" si="347">+CV28/CR28-1</f>
        <v>7.3605804949537168E-2</v>
      </c>
      <c r="CW30" s="40">
        <f t="shared" ref="CW30" si="348">+CW28/CS28-1</f>
        <v>7.3227377295677076E-2</v>
      </c>
      <c r="CX30" s="40">
        <f t="shared" ref="CX30" si="349">+CX28/CT28-1</f>
        <v>7.3556476888098521E-2</v>
      </c>
      <c r="CY30" s="40">
        <f t="shared" ref="CY30" si="350">+CY28/CU28-1</f>
        <v>7.3839121679244446E-2</v>
      </c>
      <c r="CZ30" s="40">
        <f t="shared" ref="CZ30" si="351">+CZ28/CV28-1</f>
        <v>7.3557116526194344E-2</v>
      </c>
      <c r="DA30" s="40">
        <f t="shared" ref="DA30" si="352">+DA28/CW28-1</f>
        <v>7.3544943966968646E-2</v>
      </c>
      <c r="DB30" s="40">
        <f t="shared" ref="DB30" si="353">+DB28/CX28-1</f>
        <v>7.3624389977787086E-2</v>
      </c>
      <c r="DE30" s="122"/>
      <c r="DF30" s="38">
        <v>7.3627754533333922E-2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4">+IF(AJ28&lt;0,1-AK28/AJ28,AK28/AJ28-1)</f>
        <v>#DIV/0!</v>
      </c>
      <c r="AL31" s="39" t="e">
        <f t="shared" si="354"/>
        <v>#DIV/0!</v>
      </c>
      <c r="AM31" s="39" t="e">
        <f t="shared" si="354"/>
        <v>#DIV/0!</v>
      </c>
      <c r="AN31" s="39" t="e">
        <f t="shared" ref="AN31" si="355">+IF(AM28&lt;0,1-AN28/AM28,AN28/AM28-1)</f>
        <v>#DIV/0!</v>
      </c>
      <c r="AO31" s="39" t="e">
        <f t="shared" ref="AO31" si="356">+IF(AN28&lt;0,1-AO28/AN28,AO28/AN28-1)</f>
        <v>#DIV/0!</v>
      </c>
      <c r="AP31" s="39" t="e">
        <f t="shared" ref="AP31" si="357">+IF(AO28&lt;0,1-AP28/AO28,AP28/AO28-1)</f>
        <v>#DIV/0!</v>
      </c>
      <c r="AQ31" s="39" t="e">
        <f t="shared" ref="AQ31" si="358">+IF(AP28&lt;0,1-AQ28/AP28,AQ28/AP28-1)</f>
        <v>#DIV/0!</v>
      </c>
      <c r="AR31" s="39" t="e">
        <f t="shared" ref="AR31" si="359">+IF(AQ28&lt;0,1-AR28/AQ28,AR28/AQ28-1)</f>
        <v>#DIV/0!</v>
      </c>
      <c r="AS31" s="39" t="e">
        <f t="shared" ref="AS31" si="360">+IF(AR28&lt;0,1-AS28/AR28,AS28/AR28-1)</f>
        <v>#DIV/0!</v>
      </c>
      <c r="AT31" s="39" t="e">
        <f t="shared" ref="AT31" si="361">+IF(AS28&lt;0,1-AT28/AS28,AT28/AS28-1)</f>
        <v>#DIV/0!</v>
      </c>
      <c r="AU31" s="39" t="e">
        <f t="shared" ref="AU31" si="362">+IF(AT28&lt;0,1-AU28/AT28,AU28/AT28-1)</f>
        <v>#DIV/0!</v>
      </c>
      <c r="AV31" s="39" t="e">
        <f t="shared" ref="AV31" si="363">+IF(AU28&lt;0,1-AV28/AU28,AV28/AU28-1)</f>
        <v>#DIV/0!</v>
      </c>
      <c r="AW31" s="39" t="e">
        <f t="shared" ref="AW31" si="364">+IF(AV28&lt;0,1-AW28/AV28,AW28/AV28-1)</f>
        <v>#DIV/0!</v>
      </c>
      <c r="AX31" s="39" t="e">
        <f t="shared" ref="AX31" si="365">+IF(AW28&lt;0,1-AX28/AW28,AX28/AW28-1)</f>
        <v>#DIV/0!</v>
      </c>
      <c r="AY31" s="39" t="e">
        <f t="shared" ref="AY31" si="366">+IF(AX28&lt;0,1-AY28/AX28,AY28/AX28-1)</f>
        <v>#DIV/0!</v>
      </c>
      <c r="AZ31" s="39" t="e">
        <f t="shared" ref="AZ31" si="367">+IF(AY28&lt;0,1-AZ28/AY28,AZ28/AY28-1)</f>
        <v>#DIV/0!</v>
      </c>
      <c r="BA31" s="39" t="e">
        <f t="shared" ref="BA31" si="368">+IF(AZ28&lt;0,1-BA28/AZ28,BA28/AZ28-1)</f>
        <v>#DIV/0!</v>
      </c>
      <c r="BB31" s="39" t="e">
        <f t="shared" ref="BB31" si="369">+IF(BA28&lt;0,1-BB28/BA28,BB28/BA28-1)</f>
        <v>#DIV/0!</v>
      </c>
      <c r="BC31" s="39" t="e">
        <f t="shared" ref="BC31" si="370">+IF(BB28&lt;0,1-BC28/BB28,BC28/BB28-1)</f>
        <v>#DIV/0!</v>
      </c>
      <c r="BD31" s="39" t="e">
        <f t="shared" ref="BD31" si="371">+IF(BC28&lt;0,1-BD28/BC28,BD28/BC28-1)</f>
        <v>#DIV/0!</v>
      </c>
      <c r="BE31" s="39" t="e">
        <f t="shared" ref="BE31" si="372">+IF(BD28&lt;0,1-BE28/BD28,BE28/BD28-1)</f>
        <v>#DIV/0!</v>
      </c>
      <c r="BF31" s="39" t="e">
        <f t="shared" ref="BF31" si="373">+IF(BE28&lt;0,1-BF28/BE28,BF28/BE28-1)</f>
        <v>#DIV/0!</v>
      </c>
      <c r="BG31" s="39" t="e">
        <f t="shared" ref="BG31" si="374">+IF(BF28&lt;0,1-BG28/BF28,BG28/BF28-1)</f>
        <v>#DIV/0!</v>
      </c>
      <c r="BH31" s="39" t="e">
        <f t="shared" ref="BH31" si="375">+IF(BG28&lt;0,1-BH28/BG28,BH28/BG28-1)</f>
        <v>#DIV/0!</v>
      </c>
      <c r="BI31" s="39" t="e">
        <f t="shared" ref="BI31" si="376">+IF(BH28&lt;0,1-BI28/BH28,BI28/BH28-1)</f>
        <v>#DIV/0!</v>
      </c>
      <c r="BJ31" s="39" t="e">
        <f t="shared" ref="BJ31" si="377">+IF(BI28&lt;0,1-BJ28/BI28,BJ28/BI28-1)</f>
        <v>#DIV/0!</v>
      </c>
      <c r="BK31" s="39" t="e">
        <f t="shared" ref="BK31" si="378">+IF(BJ28&lt;0,1-BK28/BJ28,BK28/BJ28-1)</f>
        <v>#DIV/0!</v>
      </c>
      <c r="BL31" s="39" t="e">
        <f t="shared" ref="BL31" si="379">+IF(BK28&lt;0,1-BL28/BK28,BL28/BK28-1)</f>
        <v>#DIV/0!</v>
      </c>
      <c r="BM31" s="39">
        <f t="shared" ref="BM31" si="380">+IF(BL28&lt;0,1-BM28/BL28,BM28/BL28-1)</f>
        <v>2.9638581952120546E-3</v>
      </c>
      <c r="BN31" s="39">
        <f t="shared" ref="BN31" si="381">+IF(BM28&lt;0,1-BN28/BM28,BN28/BM28-1)</f>
        <v>0.13919093386888504</v>
      </c>
      <c r="BO31" s="39">
        <f t="shared" ref="BO31" si="382">+IF(BN28&lt;0,1-BO28/BN28,BO28/BN28-1)</f>
        <v>-0.35315376575623636</v>
      </c>
      <c r="BP31" s="39">
        <f t="shared" ref="BP31" si="383">+IF(BO28&lt;0,1-BP28/BO28,BP28/BO28-1)</f>
        <v>0.4363027565799722</v>
      </c>
      <c r="BQ31" s="39">
        <f t="shared" ref="BQ31" si="384">+IF(BP28&lt;0,1-BQ28/BP28,BQ28/BP28-1)</f>
        <v>0.10894551368934691</v>
      </c>
      <c r="BR31" s="39">
        <f t="shared" ref="BR31" si="385">+IF(BQ28&lt;0,1-BR28/BQ28,BR28/BQ28-1)</f>
        <v>8.8342418538707612E-2</v>
      </c>
      <c r="BS31" s="39">
        <f t="shared" ref="BS31" si="386">+IF(BR28&lt;0,1-BS28/BR28,BS28/BR28-1)</f>
        <v>4.3202389776070715E-2</v>
      </c>
      <c r="BT31" s="39">
        <f t="shared" ref="BT31" si="387">+IF(BS28&lt;0,1-BT28/BS28,BT28/BS28-1)</f>
        <v>0.13837425855554275</v>
      </c>
      <c r="BU31" s="39">
        <f t="shared" ref="BU31" si="388">+IF(BT28&lt;0,1-BU28/BT28,BU28/BT28-1)</f>
        <v>7.1652150888440902E-2</v>
      </c>
      <c r="BV31" s="39">
        <f t="shared" ref="BV31" si="389">+IF(BU28&lt;0,1-BV28/BU28,BV28/BU28-1)</f>
        <v>-1.0218488581412499E-2</v>
      </c>
      <c r="BW31" s="39">
        <f t="shared" ref="BW31" si="390">+IF(BV28&lt;0,1-BW28/BV28,BW28/BV28-1)</f>
        <v>-0.12742720610523695</v>
      </c>
      <c r="BX31" s="39">
        <f t="shared" ref="BX31" si="391">+IF(BW28&lt;0,1-BX28/BW28,BX28/BW28-1)</f>
        <v>8.3690088175492949E-2</v>
      </c>
      <c r="BY31" s="39">
        <f t="shared" ref="BY31" si="392">+IF(BX28&lt;0,1-BY28/BX28,BY28/BX28-1)</f>
        <v>2.0195353748680089E-2</v>
      </c>
      <c r="BZ31" s="39">
        <f t="shared" ref="BZ31" si="393">+IF(BY28&lt;0,1-BZ28/BY28,BZ28/BY28-1)</f>
        <v>8.1603607933014022E-3</v>
      </c>
      <c r="CA31" s="39">
        <f t="shared" ref="CA31" si="394">+IF(BZ28&lt;0,1-CA28/BZ28,CA28/BZ28-1)</f>
        <v>8.8459881381255379E-3</v>
      </c>
      <c r="CB31" s="39">
        <f t="shared" ref="CB31" si="395">+IF(CA28&lt;0,1-CB28/CA28,CB28/CA28-1)</f>
        <v>0.10960982790266649</v>
      </c>
      <c r="CC31" s="39">
        <f t="shared" ref="CC31" si="396">+IF(CB28&lt;0,1-CC28/CB28,CC28/CB28-1)</f>
        <v>5.9459370931155942E-2</v>
      </c>
      <c r="CD31" s="39">
        <f t="shared" ref="CD31" si="397">+IF(CC28&lt;0,1-CD28/CC28,CD28/CC28-1)</f>
        <v>0.10792406746123784</v>
      </c>
      <c r="CE31" s="39">
        <f t="shared" ref="CE31" si="398">+IF(CD28&lt;0,1-CE28/CD28,CE28/CD28-1)</f>
        <v>4.5081309604369846E-2</v>
      </c>
      <c r="CF31" s="39">
        <f t="shared" ref="CF31" si="399">+IF(CE28&lt;0,1-CF28/CE28,CF28/CE28-1)</f>
        <v>0.13618552365439962</v>
      </c>
      <c r="CG31" s="39">
        <f t="shared" ref="CG31" si="400">+IF(CF28&lt;0,1-CG28/CF28,CG28/CF28-1)</f>
        <v>1.5410918662310813E-2</v>
      </c>
      <c r="CH31" s="39">
        <f t="shared" ref="CH31:CI31" si="401">+IF(CG28&lt;0,1-CH28/CG28,CH28/CG28-1)</f>
        <v>-7.778877143038998E-2</v>
      </c>
      <c r="CI31" s="39">
        <f t="shared" si="401"/>
        <v>-3.201721639070676E-2</v>
      </c>
      <c r="CJ31" s="39">
        <f>+IF(CI28&gt;1,CJ28/CI28-1,1-CJ28/CI28)</f>
        <v>8.6394866476536158E-2</v>
      </c>
      <c r="CK31" s="39">
        <f>+IF(CJ28&gt;1,CK28/CJ28-1,1-CK28/CJ28)</f>
        <v>6.7359151358220792E-2</v>
      </c>
      <c r="CL31" s="39">
        <f>+IF(CK28&gt;1,CL28/CK28-1,1-CL28/CK28)</f>
        <v>2.3566369851145019E-2</v>
      </c>
      <c r="CM31" s="40">
        <f t="shared" ref="CM31" si="402">+CM28/CL28-1</f>
        <v>-7.0754264384353283E-2</v>
      </c>
      <c r="CN31" s="40">
        <f t="shared" ref="CN31" si="403">+CN28/CM28-1</f>
        <v>7.2014862724362416E-2</v>
      </c>
      <c r="CO31" s="40">
        <f t="shared" ref="CO31" si="404">+CO28/CN28-1</f>
        <v>4.9262143584769769E-2</v>
      </c>
      <c r="CP31" s="40">
        <f t="shared" ref="CP31" si="405">+CP28/CO28-1</f>
        <v>1.6482575307418257E-2</v>
      </c>
      <c r="CQ31" s="40">
        <f t="shared" ref="CQ31" si="406">+CQ28/CP28-1</f>
        <v>-5.4992314541636667E-2</v>
      </c>
      <c r="CR31" s="40">
        <f t="shared" ref="CR31" si="407">+CR28/CQ28-1</f>
        <v>6.6692758357422832E-2</v>
      </c>
      <c r="CS31" s="40">
        <f t="shared" ref="CS31" si="408">+CS28/CR28-1</f>
        <v>4.6130004100387367E-2</v>
      </c>
      <c r="CT31" s="40">
        <f t="shared" ref="CT31" si="409">+CT28/CS28-1</f>
        <v>1.6969546809600944E-2</v>
      </c>
      <c r="CU31" s="40">
        <f t="shared" ref="CU31" si="410">+CU28/CT28-1</f>
        <v>-5.2752847905410793E-2</v>
      </c>
      <c r="CV31" s="40">
        <f t="shared" ref="CV31" si="411">+CV28/CU28-1</f>
        <v>6.533927073478063E-2</v>
      </c>
      <c r="CW31" s="40">
        <f t="shared" ref="CW31" si="412">+CW28/CV28-1</f>
        <v>4.576126119562729E-2</v>
      </c>
      <c r="CX31" s="40">
        <f t="shared" ref="CX31" si="413">+CX28/CW28-1</f>
        <v>1.7281395230951624E-2</v>
      </c>
      <c r="CY31" s="40">
        <f t="shared" ref="CY31" si="414">+CY28/CX28-1</f>
        <v>-5.2503457697041345E-2</v>
      </c>
      <c r="CZ31" s="40">
        <f t="shared" ref="CZ31" si="415">+CZ28/CY28-1</f>
        <v>6.5059497761317031E-2</v>
      </c>
      <c r="DA31" s="40">
        <f t="shared" ref="DA31" si="416">+DA28/CZ28-1</f>
        <v>4.574940380053194E-2</v>
      </c>
      <c r="DB31" s="40">
        <f t="shared" ref="DB31" si="417">+DB28/DA28-1</f>
        <v>1.7356677546037869E-2</v>
      </c>
      <c r="DE31" s="122"/>
      <c r="DF31" s="38">
        <v>-4.349374562861541E-2</v>
      </c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4.5313876999999998</v>
      </c>
      <c r="G32" s="23">
        <f>'Annual Raw'!H27</f>
        <v>5.7737274000000003</v>
      </c>
      <c r="H32" s="23">
        <f>'Annual Raw'!I27</f>
        <v>9.1152999999999995</v>
      </c>
      <c r="I32" s="23">
        <f>'Annual Raw'!J27</f>
        <v>7.5877999999999997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11.310727699999999</v>
      </c>
      <c r="P32" s="23">
        <f>'Annual Raw'!Q27</f>
        <v>23.7211</v>
      </c>
      <c r="Q32" s="23">
        <f>'Annual Raw'!R27</f>
        <v>18.470500000000001</v>
      </c>
      <c r="R32" s="23">
        <f>'Annual Raw'!S27</f>
        <v>16.919599999999999</v>
      </c>
      <c r="S32" s="23">
        <f>'Annual Raw'!T27</f>
        <v>22.665800000000001</v>
      </c>
      <c r="T32" s="23">
        <f>'Annual Raw'!U27</f>
        <v>28.436599999999999</v>
      </c>
      <c r="U32" s="23">
        <f>'Annual Raw'!V27</f>
        <v>51.250799999999998</v>
      </c>
      <c r="V32" s="23">
        <f>'Annual Raw'!W27</f>
        <v>43.413200000000003</v>
      </c>
      <c r="W32" s="23">
        <f>'Annual Raw'!X27</f>
        <v>51.621699999999997</v>
      </c>
      <c r="X32" s="23">
        <f>'Annual Raw'!Y27</f>
        <v>60.25</v>
      </c>
      <c r="Y32" s="23">
        <f>'Annual Raw'!Z27</f>
        <v>70.477800000000002</v>
      </c>
      <c r="Z32" s="23">
        <f>'Annual Raw'!AA27</f>
        <v>77.720100000000002</v>
      </c>
      <c r="AA32" s="23">
        <f>'Annual Raw'!AB27</f>
        <v>98.773700000000005</v>
      </c>
      <c r="AB32" s="76">
        <f>+SUM(CM32:CP32)</f>
        <v>124.9096389880267</v>
      </c>
      <c r="AC32" s="76">
        <f>+SUM(CQ32:CT32)</f>
        <v>66.388135998194528</v>
      </c>
      <c r="AD32" s="76">
        <f>+SUM(CU32:CX32)</f>
        <v>35.284583615978917</v>
      </c>
      <c r="AE32" s="76">
        <f>+SUM(CY32:DB32)</f>
        <v>18.753378479957139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13.57</v>
      </c>
      <c r="BM32" s="23">
        <f>'QTR Raw'!AG28</f>
        <v>12.882999999999999</v>
      </c>
      <c r="BN32" s="23">
        <f>'QTR Raw'!AH28</f>
        <v>13.176</v>
      </c>
      <c r="BO32" s="23">
        <f>'QTR Raw'!AI28</f>
        <v>11.257999999999999</v>
      </c>
      <c r="BP32" s="23">
        <f>'QTR Raw'!AJ28</f>
        <v>10.798999999999999</v>
      </c>
      <c r="BQ32" s="23">
        <f>'QTR Raw'!AK28</f>
        <v>10.757999999999999</v>
      </c>
      <c r="BR32" s="23">
        <f>'QTR Raw'!AL28</f>
        <v>10.598000000000001</v>
      </c>
      <c r="BS32" s="23">
        <f>'QTR Raw'!AM28</f>
        <v>10.621</v>
      </c>
      <c r="BT32" s="23">
        <f>'QTR Raw'!AN28</f>
        <v>11.898</v>
      </c>
      <c r="BU32" s="23">
        <f>'QTR Raw'!AO28</f>
        <v>13.417</v>
      </c>
      <c r="BV32" s="23">
        <f>'QTR Raw'!AP28</f>
        <v>15.686</v>
      </c>
      <c r="BW32" s="23">
        <f>'QTR Raw'!AQ28</f>
        <v>13.631</v>
      </c>
      <c r="BX32" s="23">
        <f>'QTR Raw'!AR28</f>
        <v>14.718999999999999</v>
      </c>
      <c r="BY32" s="23">
        <f>'QTR Raw'!AS28</f>
        <v>15.506</v>
      </c>
      <c r="BZ32" s="23">
        <f>'QTR Raw'!AT28</f>
        <v>16.393999999999998</v>
      </c>
      <c r="CA32" s="23">
        <f>'QTR Raw'!AU28</f>
        <v>16.504000000000001</v>
      </c>
      <c r="CB32" s="23">
        <f>'QTR Raw'!AV28</f>
        <v>17.422999999999998</v>
      </c>
      <c r="CC32" s="23">
        <f>'QTR Raw'!AW28</f>
        <v>18.452999999999999</v>
      </c>
      <c r="CD32" s="23">
        <f>'QTR Raw'!AX28</f>
        <v>18.097999999999999</v>
      </c>
      <c r="CE32" s="23">
        <f>'QTR Raw'!AY28</f>
        <v>16.983000000000001</v>
      </c>
      <c r="CF32" s="23">
        <f>'QTR Raw'!AZ28</f>
        <v>18.372</v>
      </c>
      <c r="CG32" s="23">
        <f>'QTR Raw'!BA28</f>
        <v>19.516999999999999</v>
      </c>
      <c r="CH32" s="23">
        <f>'QTR Raw'!BB28</f>
        <v>22.847999999999999</v>
      </c>
      <c r="CI32" s="23">
        <f>'QTR Raw'!BC28</f>
        <v>20.844000000000001</v>
      </c>
      <c r="CJ32" s="23">
        <f>'QTR Raw'!BD28</f>
        <v>24.558</v>
      </c>
      <c r="CK32" s="23">
        <f>'QTR Raw'!BE28</f>
        <v>25.332000000000001</v>
      </c>
      <c r="CL32" s="23">
        <f>'QTR Raw'!BF28</f>
        <v>28.041</v>
      </c>
      <c r="CM32" s="24">
        <f t="shared" ref="CM32:DB32" si="418">CM33*CL134</f>
        <v>38.969219834865847</v>
      </c>
      <c r="CN32" s="24">
        <f t="shared" si="418"/>
        <v>33.2732590886894</v>
      </c>
      <c r="CO32" s="24">
        <f t="shared" si="418"/>
        <v>28.409852059509753</v>
      </c>
      <c r="CP32" s="24">
        <f t="shared" si="418"/>
        <v>24.257308004961722</v>
      </c>
      <c r="CQ32" s="24">
        <f t="shared" si="418"/>
        <v>20.711723187260198</v>
      </c>
      <c r="CR32" s="24">
        <f t="shared" si="418"/>
        <v>17.684381024388472</v>
      </c>
      <c r="CS32" s="24">
        <f t="shared" si="418"/>
        <v>15.099532249837914</v>
      </c>
      <c r="CT32" s="24">
        <f t="shared" si="418"/>
        <v>12.892499536707946</v>
      </c>
      <c r="CU32" s="24">
        <f t="shared" si="418"/>
        <v>11.008059160627232</v>
      </c>
      <c r="CV32" s="24">
        <f t="shared" si="418"/>
        <v>9.3990592079409438</v>
      </c>
      <c r="CW32" s="24">
        <f t="shared" si="418"/>
        <v>8.025239754375173</v>
      </c>
      <c r="CX32" s="24">
        <f t="shared" si="418"/>
        <v>6.8522254930355686</v>
      </c>
      <c r="CY32" s="24">
        <f t="shared" si="418"/>
        <v>5.8506656055738251</v>
      </c>
      <c r="CZ32" s="24">
        <f t="shared" si="418"/>
        <v>4.9954993546308986</v>
      </c>
      <c r="DA32" s="24">
        <f t="shared" si="418"/>
        <v>4.2653290214268171</v>
      </c>
      <c r="DB32" s="24">
        <f t="shared" si="418"/>
        <v>3.6418844983255978</v>
      </c>
      <c r="DE32" s="123"/>
      <c r="DF32" s="23">
        <v>22.37720654215935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 t="e">
        <f t="shared" ref="E33:AE33" si="420">+E32/E134</f>
        <v>#DIV/0!</v>
      </c>
      <c r="F33" s="46">
        <f t="shared" si="420"/>
        <v>0.25600240376480593</v>
      </c>
      <c r="G33" s="46">
        <f t="shared" si="420"/>
        <v>0.23708474974788027</v>
      </c>
      <c r="H33" s="46">
        <f t="shared" si="420"/>
        <v>0.32147515696358786</v>
      </c>
      <c r="I33" s="46">
        <f t="shared" si="420"/>
        <v>0.25213903139853017</v>
      </c>
      <c r="J33" s="46">
        <f t="shared" si="420"/>
        <v>0</v>
      </c>
      <c r="K33" s="46">
        <f t="shared" si="420"/>
        <v>0</v>
      </c>
      <c r="L33" s="46">
        <f t="shared" si="420"/>
        <v>0</v>
      </c>
      <c r="M33" s="46">
        <f t="shared" si="420"/>
        <v>0</v>
      </c>
      <c r="N33" s="46">
        <f t="shared" si="420"/>
        <v>0</v>
      </c>
      <c r="O33" s="46">
        <f t="shared" si="420"/>
        <v>0.32703254354002748</v>
      </c>
      <c r="P33" s="46">
        <f t="shared" si="420"/>
        <v>0.37051192939982031</v>
      </c>
      <c r="Q33" s="46">
        <f t="shared" si="420"/>
        <v>0.3170781532714646</v>
      </c>
      <c r="R33" s="46">
        <f t="shared" si="420"/>
        <v>0.26778255921980382</v>
      </c>
      <c r="S33" s="46">
        <f t="shared" si="420"/>
        <v>0.27303126889709617</v>
      </c>
      <c r="T33" s="46">
        <f t="shared" si="420"/>
        <v>0.31857346270485976</v>
      </c>
      <c r="U33" s="46">
        <f t="shared" si="420"/>
        <v>0.29220217223980161</v>
      </c>
      <c r="V33" s="46">
        <f t="shared" si="420"/>
        <v>0.28861839695301</v>
      </c>
      <c r="W33" s="46">
        <f t="shared" si="420"/>
        <v>0.2860043647194595</v>
      </c>
      <c r="X33" s="46">
        <f t="shared" si="420"/>
        <v>0.31829131711852593</v>
      </c>
      <c r="Y33" s="46">
        <f t="shared" si="420"/>
        <v>0.35915127987309048</v>
      </c>
      <c r="Z33" s="46">
        <f t="shared" si="420"/>
        <v>0.34314812836160674</v>
      </c>
      <c r="AA33" s="46">
        <f t="shared" ref="AA33" si="421">+AA32/AA134</f>
        <v>0.42651367387801986</v>
      </c>
      <c r="AB33" s="110">
        <f t="shared" si="420"/>
        <v>0.88150543933668712</v>
      </c>
      <c r="AC33" s="110">
        <f t="shared" si="420"/>
        <v>0.8815054393366879</v>
      </c>
      <c r="AD33" s="110">
        <f t="shared" si="420"/>
        <v>0.8815054393366879</v>
      </c>
      <c r="AE33" s="110">
        <f t="shared" si="420"/>
        <v>0.88150543933668601</v>
      </c>
      <c r="AI33" s="46" t="e">
        <f t="shared" ref="AI33:BN33" si="422">+AI32/AH134</f>
        <v>#DIV/0!</v>
      </c>
      <c r="AJ33" s="46" t="e">
        <f t="shared" si="422"/>
        <v>#DIV/0!</v>
      </c>
      <c r="AK33" s="46" t="e">
        <f t="shared" si="422"/>
        <v>#DIV/0!</v>
      </c>
      <c r="AL33" s="46" t="e">
        <f t="shared" si="422"/>
        <v>#DIV/0!</v>
      </c>
      <c r="AM33" s="46" t="e">
        <f t="shared" si="422"/>
        <v>#DIV/0!</v>
      </c>
      <c r="AN33" s="46" t="e">
        <f t="shared" si="422"/>
        <v>#DIV/0!</v>
      </c>
      <c r="AO33" s="46" t="e">
        <f t="shared" si="422"/>
        <v>#DIV/0!</v>
      </c>
      <c r="AP33" s="46" t="e">
        <f t="shared" si="422"/>
        <v>#DIV/0!</v>
      </c>
      <c r="AQ33" s="46" t="e">
        <f t="shared" si="422"/>
        <v>#DIV/0!</v>
      </c>
      <c r="AR33" s="46" t="e">
        <f t="shared" si="422"/>
        <v>#DIV/0!</v>
      </c>
      <c r="AS33" s="46" t="e">
        <f t="shared" si="422"/>
        <v>#DIV/0!</v>
      </c>
      <c r="AT33" s="46" t="e">
        <f t="shared" si="422"/>
        <v>#DIV/0!</v>
      </c>
      <c r="AU33" s="46" t="e">
        <f t="shared" si="422"/>
        <v>#DIV/0!</v>
      </c>
      <c r="AV33" s="46" t="e">
        <f t="shared" si="422"/>
        <v>#DIV/0!</v>
      </c>
      <c r="AW33" s="46" t="e">
        <f t="shared" si="422"/>
        <v>#DIV/0!</v>
      </c>
      <c r="AX33" s="46" t="e">
        <f t="shared" si="422"/>
        <v>#DIV/0!</v>
      </c>
      <c r="AY33" s="46" t="e">
        <f t="shared" si="422"/>
        <v>#DIV/0!</v>
      </c>
      <c r="AZ33" s="46" t="e">
        <f t="shared" si="422"/>
        <v>#DIV/0!</v>
      </c>
      <c r="BA33" s="46" t="e">
        <f t="shared" si="422"/>
        <v>#DIV/0!</v>
      </c>
      <c r="BB33" s="46" t="e">
        <f t="shared" si="422"/>
        <v>#DIV/0!</v>
      </c>
      <c r="BC33" s="46" t="e">
        <f t="shared" si="422"/>
        <v>#DIV/0!</v>
      </c>
      <c r="BD33" s="46" t="e">
        <f t="shared" si="422"/>
        <v>#DIV/0!</v>
      </c>
      <c r="BE33" s="46" t="e">
        <f t="shared" si="422"/>
        <v>#DIV/0!</v>
      </c>
      <c r="BF33" s="46" t="e">
        <f t="shared" si="422"/>
        <v>#DIV/0!</v>
      </c>
      <c r="BG33" s="46" t="e">
        <f t="shared" si="422"/>
        <v>#DIV/0!</v>
      </c>
      <c r="BH33" s="46" t="e">
        <f t="shared" si="422"/>
        <v>#DIV/0!</v>
      </c>
      <c r="BI33" s="46" t="e">
        <f t="shared" si="422"/>
        <v>#DIV/0!</v>
      </c>
      <c r="BJ33" s="46" t="e">
        <f t="shared" si="422"/>
        <v>#DIV/0!</v>
      </c>
      <c r="BK33" s="46" t="e">
        <f t="shared" si="422"/>
        <v>#DIV/0!</v>
      </c>
      <c r="BL33" s="46" t="e">
        <f t="shared" si="422"/>
        <v>#DIV/0!</v>
      </c>
      <c r="BM33" s="46" t="e">
        <f t="shared" si="422"/>
        <v>#DIV/0!</v>
      </c>
      <c r="BN33" s="46" t="e">
        <f t="shared" si="422"/>
        <v>#DIV/0!</v>
      </c>
      <c r="BO33" s="46">
        <f t="shared" ref="BO33:CL33" si="423">+BO32/BN134</f>
        <v>0.1474872923544516</v>
      </c>
      <c r="BP33" s="46">
        <f t="shared" si="423"/>
        <v>0.14147408688361368</v>
      </c>
      <c r="BQ33" s="46">
        <f t="shared" si="423"/>
        <v>0.15970902612826601</v>
      </c>
      <c r="BR33" s="46">
        <f t="shared" si="423"/>
        <v>0.15733372921615202</v>
      </c>
      <c r="BS33" s="46">
        <f t="shared" si="423"/>
        <v>0.13850888746886453</v>
      </c>
      <c r="BT33" s="46">
        <f t="shared" si="423"/>
        <v>0.15516229574470861</v>
      </c>
      <c r="BU33" s="46">
        <f t="shared" si="423"/>
        <v>0.1695649975987665</v>
      </c>
      <c r="BV33" s="46">
        <f t="shared" si="423"/>
        <v>0.1982407805272603</v>
      </c>
      <c r="BW33" s="46">
        <f t="shared" si="423"/>
        <v>0.12616039613124161</v>
      </c>
      <c r="BX33" s="46">
        <f t="shared" si="423"/>
        <v>0.13623027442269425</v>
      </c>
      <c r="BY33" s="46">
        <f t="shared" si="423"/>
        <v>0.1559928371662542</v>
      </c>
      <c r="BZ33" s="46">
        <f t="shared" si="423"/>
        <v>0.16492625902899335</v>
      </c>
      <c r="CA33" s="46">
        <f t="shared" si="423"/>
        <v>0.14430483784941725</v>
      </c>
      <c r="CB33" s="46">
        <f t="shared" si="423"/>
        <v>0.15234023205588926</v>
      </c>
      <c r="CC33" s="46">
        <f t="shared" si="423"/>
        <v>0.15589912558611077</v>
      </c>
      <c r="CD33" s="46">
        <f t="shared" si="423"/>
        <v>0.15289992818823131</v>
      </c>
      <c r="CE33" s="46">
        <f t="shared" si="423"/>
        <v>0.13750748951467945</v>
      </c>
      <c r="CF33" s="46">
        <f t="shared" si="423"/>
        <v>0.14875390669279226</v>
      </c>
      <c r="CG33" s="46">
        <f t="shared" si="423"/>
        <v>0.16359186273605861</v>
      </c>
      <c r="CH33" s="46">
        <f t="shared" si="423"/>
        <v>0.19151236766887672</v>
      </c>
      <c r="CI33" s="46">
        <f t="shared" si="423"/>
        <v>9.2029984361437153E-2</v>
      </c>
      <c r="CJ33" s="46">
        <f t="shared" si="423"/>
        <v>0.1194179941005819</v>
      </c>
      <c r="CK33" s="46">
        <f t="shared" si="423"/>
        <v>0.11664272295281247</v>
      </c>
      <c r="CL33" s="46">
        <f t="shared" si="423"/>
        <v>0.14616563457809476</v>
      </c>
      <c r="CM33" s="47">
        <f t="shared" ref="CM33" si="424">CL33</f>
        <v>0.14616563457809476</v>
      </c>
      <c r="CN33" s="47">
        <f t="shared" ref="CN33" si="425">CM33</f>
        <v>0.14616563457809476</v>
      </c>
      <c r="CO33" s="47">
        <f t="shared" ref="CO33" si="426">CN33</f>
        <v>0.14616563457809476</v>
      </c>
      <c r="CP33" s="47">
        <f t="shared" ref="CP33" si="427">CO33</f>
        <v>0.14616563457809476</v>
      </c>
      <c r="CQ33" s="47">
        <f t="shared" ref="CQ33" si="428">CP33</f>
        <v>0.14616563457809476</v>
      </c>
      <c r="CR33" s="47">
        <f t="shared" ref="CR33" si="429">CQ33</f>
        <v>0.14616563457809476</v>
      </c>
      <c r="CS33" s="47">
        <f t="shared" ref="CS33" si="430">CR33</f>
        <v>0.14616563457809476</v>
      </c>
      <c r="CT33" s="47">
        <f t="shared" ref="CT33" si="431">CS33</f>
        <v>0.14616563457809476</v>
      </c>
      <c r="CU33" s="47">
        <f t="shared" ref="CU33" si="432">CT33</f>
        <v>0.14616563457809476</v>
      </c>
      <c r="CV33" s="47">
        <f t="shared" ref="CV33" si="433">CU33</f>
        <v>0.14616563457809476</v>
      </c>
      <c r="CW33" s="47">
        <f t="shared" ref="CW33" si="434">CV33</f>
        <v>0.14616563457809476</v>
      </c>
      <c r="CX33" s="47">
        <f t="shared" ref="CX33" si="435">CW33</f>
        <v>0.14616563457809476</v>
      </c>
      <c r="CY33" s="47">
        <f t="shared" ref="CY33" si="436">CX33</f>
        <v>0.14616563457809476</v>
      </c>
      <c r="CZ33" s="47">
        <f t="shared" ref="CZ33" si="437">CY33</f>
        <v>0.14616563457809476</v>
      </c>
      <c r="DA33" s="47">
        <f t="shared" ref="DA33" si="438">CZ33</f>
        <v>0.14616563457809476</v>
      </c>
      <c r="DB33" s="47">
        <f t="shared" ref="DB33" si="439">DA33</f>
        <v>0.14616563457809476</v>
      </c>
      <c r="DE33" s="130"/>
      <c r="DF33" s="46">
        <v>0.11664272295281247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0</v>
      </c>
      <c r="F34" s="26">
        <f t="shared" si="440"/>
        <v>33.608707499999994</v>
      </c>
      <c r="G34" s="26">
        <f t="shared" si="440"/>
        <v>48.354977099999985</v>
      </c>
      <c r="H34" s="26">
        <f t="shared" si="440"/>
        <v>80.111900000000006</v>
      </c>
      <c r="I34" s="26">
        <f t="shared" si="440"/>
        <v>111.07650000000002</v>
      </c>
      <c r="J34" s="26">
        <f t="shared" si="440"/>
        <v>74.360199999999992</v>
      </c>
      <c r="K34" s="26">
        <f t="shared" si="440"/>
        <v>116.42059999999998</v>
      </c>
      <c r="L34" s="26">
        <f t="shared" si="440"/>
        <v>85.137000000000029</v>
      </c>
      <c r="M34" s="26">
        <f t="shared" si="440"/>
        <v>72.169999999999987</v>
      </c>
      <c r="N34" s="26">
        <f t="shared" si="440"/>
        <v>90.97</v>
      </c>
      <c r="O34" s="26">
        <f t="shared" si="440"/>
        <v>77.723870299999959</v>
      </c>
      <c r="P34" s="26">
        <f t="shared" si="440"/>
        <v>112.28560000000002</v>
      </c>
      <c r="Q34" s="26">
        <f t="shared" si="440"/>
        <v>134.30090000000001</v>
      </c>
      <c r="R34" s="26">
        <f t="shared" si="440"/>
        <v>169.17219999999998</v>
      </c>
      <c r="S34" s="26">
        <f t="shared" si="440"/>
        <v>209.94600000000003</v>
      </c>
      <c r="T34" s="26">
        <f t="shared" si="440"/>
        <v>189.47289999999998</v>
      </c>
      <c r="U34" s="26">
        <f t="shared" ref="U34:Z34" si="441">U28-U32</f>
        <v>235.14160000000007</v>
      </c>
      <c r="V34" s="26">
        <f t="shared" si="441"/>
        <v>231.48349999999999</v>
      </c>
      <c r="W34" s="26">
        <f t="shared" si="441"/>
        <v>364.8424</v>
      </c>
      <c r="X34" s="26">
        <f t="shared" si="441"/>
        <v>360.98179999999991</v>
      </c>
      <c r="Y34" s="26">
        <f t="shared" si="441"/>
        <v>434.41050000000007</v>
      </c>
      <c r="Z34" s="26">
        <f t="shared" si="441"/>
        <v>574.4992000000002</v>
      </c>
      <c r="AA34" s="26">
        <f t="shared" ref="AA34" si="442">AA28-AA32</f>
        <v>585.12590000000012</v>
      </c>
      <c r="AB34" s="27">
        <f t="shared" ref="AA34:AD34" si="443">AB28-AB32</f>
        <v>613.61442422314735</v>
      </c>
      <c r="AC34" s="27">
        <f t="shared" si="443"/>
        <v>727.39095971987217</v>
      </c>
      <c r="AD34" s="27">
        <f t="shared" si="443"/>
        <v>817.0841057963022</v>
      </c>
      <c r="AE34" s="27">
        <f t="shared" ref="AE34" si="444">AE28-AE32</f>
        <v>896.3812174036301</v>
      </c>
      <c r="AI34" s="26">
        <f t="shared" ref="AI34" si="445">AI28-AI32</f>
        <v>0</v>
      </c>
      <c r="AJ34" s="26">
        <f t="shared" ref="AJ34" si="446">AJ28-AJ32</f>
        <v>0</v>
      </c>
      <c r="AK34" s="26">
        <f t="shared" ref="AK34:AM34" si="447">AK28-AK32</f>
        <v>0</v>
      </c>
      <c r="AL34" s="26">
        <f t="shared" si="447"/>
        <v>0</v>
      </c>
      <c r="AM34" s="26">
        <f t="shared" si="447"/>
        <v>0</v>
      </c>
      <c r="AN34" s="26">
        <f t="shared" ref="AN34:AO34" si="448">AN28-AN32</f>
        <v>0</v>
      </c>
      <c r="AO34" s="26">
        <f t="shared" si="448"/>
        <v>0</v>
      </c>
      <c r="AP34" s="26">
        <f t="shared" ref="AP34:CD34" si="449">AP28-AP32</f>
        <v>0</v>
      </c>
      <c r="AQ34" s="26">
        <f t="shared" si="449"/>
        <v>0</v>
      </c>
      <c r="AR34" s="26">
        <f t="shared" si="449"/>
        <v>0</v>
      </c>
      <c r="AS34" s="26">
        <f t="shared" si="449"/>
        <v>0</v>
      </c>
      <c r="AT34" s="26">
        <f t="shared" si="449"/>
        <v>0</v>
      </c>
      <c r="AU34" s="26">
        <f t="shared" si="449"/>
        <v>0</v>
      </c>
      <c r="AV34" s="26">
        <f t="shared" si="449"/>
        <v>0</v>
      </c>
      <c r="AW34" s="26">
        <f t="shared" si="449"/>
        <v>0</v>
      </c>
      <c r="AX34" s="26">
        <f t="shared" si="449"/>
        <v>0</v>
      </c>
      <c r="AY34" s="26">
        <f t="shared" si="449"/>
        <v>0</v>
      </c>
      <c r="AZ34" s="26">
        <f t="shared" si="449"/>
        <v>0</v>
      </c>
      <c r="BA34" s="26">
        <f t="shared" si="449"/>
        <v>0</v>
      </c>
      <c r="BB34" s="26">
        <f t="shared" si="449"/>
        <v>0</v>
      </c>
      <c r="BC34" s="26">
        <f t="shared" si="449"/>
        <v>0</v>
      </c>
      <c r="BD34" s="26">
        <f t="shared" si="449"/>
        <v>0</v>
      </c>
      <c r="BE34" s="26">
        <f t="shared" si="449"/>
        <v>0</v>
      </c>
      <c r="BF34" s="26">
        <f t="shared" si="449"/>
        <v>0</v>
      </c>
      <c r="BG34" s="26">
        <f t="shared" si="449"/>
        <v>0</v>
      </c>
      <c r="BH34" s="26">
        <f t="shared" si="449"/>
        <v>0</v>
      </c>
      <c r="BI34" s="26">
        <f t="shared" si="449"/>
        <v>0</v>
      </c>
      <c r="BJ34" s="26">
        <f t="shared" si="449"/>
        <v>0</v>
      </c>
      <c r="BK34" s="26">
        <f t="shared" si="449"/>
        <v>0</v>
      </c>
      <c r="BL34" s="26">
        <f t="shared" si="449"/>
        <v>55.93399999999999</v>
      </c>
      <c r="BM34" s="26">
        <f t="shared" si="449"/>
        <v>56.827000000000012</v>
      </c>
      <c r="BN34" s="26">
        <f t="shared" si="449"/>
        <v>66.236999999999981</v>
      </c>
      <c r="BO34" s="26">
        <f t="shared" si="449"/>
        <v>40.11</v>
      </c>
      <c r="BP34" s="26">
        <f t="shared" si="449"/>
        <v>62.981000000000002</v>
      </c>
      <c r="BQ34" s="26">
        <f t="shared" si="449"/>
        <v>71.060000000000016</v>
      </c>
      <c r="BR34" s="26">
        <f t="shared" si="449"/>
        <v>78.447999999999993</v>
      </c>
      <c r="BS34" s="26">
        <f t="shared" si="449"/>
        <v>82.271999999999991</v>
      </c>
      <c r="BT34" s="26">
        <f t="shared" si="449"/>
        <v>93.849000000000018</v>
      </c>
      <c r="BU34" s="26">
        <f t="shared" si="449"/>
        <v>99.906999999999982</v>
      </c>
      <c r="BV34" s="26">
        <f t="shared" si="449"/>
        <v>96.47999999999999</v>
      </c>
      <c r="BW34" s="26">
        <f t="shared" si="449"/>
        <v>84.24199999999999</v>
      </c>
      <c r="BX34" s="26">
        <f t="shared" si="449"/>
        <v>91.345000000000027</v>
      </c>
      <c r="BY34" s="26">
        <f t="shared" si="449"/>
        <v>92.700000000000017</v>
      </c>
      <c r="BZ34" s="26">
        <f t="shared" si="449"/>
        <v>92.694999999999993</v>
      </c>
      <c r="CA34" s="26">
        <f t="shared" si="449"/>
        <v>93.549999999999969</v>
      </c>
      <c r="CB34" s="26">
        <f t="shared" si="449"/>
        <v>104.69400000000002</v>
      </c>
      <c r="CC34" s="26">
        <f t="shared" si="449"/>
        <v>110.92499999999998</v>
      </c>
      <c r="CD34" s="26">
        <f t="shared" si="449"/>
        <v>125.24300000000001</v>
      </c>
      <c r="CE34" s="26">
        <f t="shared" ref="CE34:CF34" si="450">CE28-CE32</f>
        <v>132.82</v>
      </c>
      <c r="CF34" s="26">
        <f t="shared" si="450"/>
        <v>151.83200000000005</v>
      </c>
      <c r="CG34" s="26">
        <f t="shared" ref="CG34:CH34" si="451">CG28-CG32</f>
        <v>153.31</v>
      </c>
      <c r="CH34" s="26">
        <f t="shared" si="451"/>
        <v>136.53499999999997</v>
      </c>
      <c r="CI34" s="26">
        <f t="shared" ref="CI34:CJ34" si="452">CI28-CI32</f>
        <v>133.43599999999998</v>
      </c>
      <c r="CJ34" s="26">
        <f t="shared" si="452"/>
        <v>143.05099999999999</v>
      </c>
      <c r="CK34" s="26">
        <f t="shared" ref="CK34:CL34" si="453">CK28-CK32</f>
        <v>153.56700000000001</v>
      </c>
      <c r="CL34" s="26">
        <f t="shared" si="453"/>
        <v>155.07400000000001</v>
      </c>
      <c r="CM34" s="27">
        <f t="shared" ref="CM34:DB34" si="454">CM28-CM32</f>
        <v>131.18961304239332</v>
      </c>
      <c r="CN34" s="27">
        <f t="shared" si="454"/>
        <v>149.13953877956331</v>
      </c>
      <c r="CO34" s="27">
        <f t="shared" si="454"/>
        <v>162.9889912490284</v>
      </c>
      <c r="CP34" s="27">
        <f t="shared" si="454"/>
        <v>170.29628115216215</v>
      </c>
      <c r="CQ34" s="27">
        <f t="shared" si="454"/>
        <v>163.14291379973076</v>
      </c>
      <c r="CR34" s="27">
        <f t="shared" si="454"/>
        <v>178.43202884006757</v>
      </c>
      <c r="CS34" s="27">
        <f t="shared" si="454"/>
        <v>190.06372840581872</v>
      </c>
      <c r="CT34" s="27">
        <f t="shared" si="454"/>
        <v>195.75228867425523</v>
      </c>
      <c r="CU34" s="27">
        <f t="shared" si="454"/>
        <v>186.63012227158637</v>
      </c>
      <c r="CV34" s="27">
        <f t="shared" si="454"/>
        <v>201.15265686840175</v>
      </c>
      <c r="CW34" s="27">
        <f t="shared" si="454"/>
        <v>212.16158839652459</v>
      </c>
      <c r="CX34" s="27">
        <f t="shared" si="454"/>
        <v>217.13973825978951</v>
      </c>
      <c r="CY34" s="27">
        <f t="shared" si="454"/>
        <v>206.38094555387758</v>
      </c>
      <c r="CZ34" s="27">
        <f t="shared" si="454"/>
        <v>221.04379383592953</v>
      </c>
      <c r="DA34" s="27">
        <f t="shared" si="454"/>
        <v>232.1151270680954</v>
      </c>
      <c r="DB34" s="27">
        <f t="shared" si="454"/>
        <v>236.84135094572784</v>
      </c>
      <c r="DE34" s="121"/>
      <c r="DF34" s="26">
        <v>148.740805858627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2.5720421</v>
      </c>
      <c r="G35" s="23">
        <f>'Annual Raw'!H23</f>
        <v>2.4817323999999998</v>
      </c>
      <c r="H35" s="23">
        <f>'Annual Raw'!I23</f>
        <v>0.59519999999999995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17.9551053</v>
      </c>
      <c r="P35" s="23">
        <f>'Annual Raw'!Q23</f>
        <v>7.2958999999999996</v>
      </c>
      <c r="Q35" s="23">
        <f>'Annual Raw'!R23</f>
        <v>14.235099999999999</v>
      </c>
      <c r="R35" s="23">
        <f>'Annual Raw'!S23</f>
        <v>24.522300000000001</v>
      </c>
      <c r="S35" s="23">
        <f>'Annual Raw'!T23</f>
        <v>22.263200000000001</v>
      </c>
      <c r="T35" s="23">
        <f>'Annual Raw'!U23</f>
        <v>18.063199999999998</v>
      </c>
      <c r="U35" s="23">
        <f>'Annual Raw'!V23</f>
        <v>21.420500000000001</v>
      </c>
      <c r="V35" s="23">
        <f>'Annual Raw'!W23</f>
        <v>50.875599999999999</v>
      </c>
      <c r="W35" s="23">
        <f>'Annual Raw'!X23</f>
        <v>24.939699999999998</v>
      </c>
      <c r="X35" s="23">
        <f>'Annual Raw'!Y23</f>
        <v>26.812999999999999</v>
      </c>
      <c r="Y35" s="23">
        <f>'Annual Raw'!Z23</f>
        <v>40.648099999999999</v>
      </c>
      <c r="Z35" s="23">
        <f>'Annual Raw'!AA23</f>
        <v>52.636600000000001</v>
      </c>
      <c r="AA35" s="23">
        <f>'Annual Raw'!AB23</f>
        <v>51.173099999999998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5.7249999999999996</v>
      </c>
      <c r="BM35" s="23">
        <f>'QTR Raw'!AG23</f>
        <v>6.726</v>
      </c>
      <c r="BN35" s="23">
        <f>'QTR Raw'!AH23</f>
        <v>3.6709999999999998</v>
      </c>
      <c r="BO35" s="23">
        <f>'QTR Raw'!AI23</f>
        <v>14.135999999999999</v>
      </c>
      <c r="BP35" s="23">
        <f>'QTR Raw'!AJ23</f>
        <v>5.069</v>
      </c>
      <c r="BQ35" s="23">
        <f>'QTR Raw'!AK23</f>
        <v>6.391</v>
      </c>
      <c r="BR35" s="23">
        <f>'QTR Raw'!AL23</f>
        <v>4.1630000000000003</v>
      </c>
      <c r="BS35" s="23">
        <f>'QTR Raw'!AM23</f>
        <v>4.5229999999999997</v>
      </c>
      <c r="BT35" s="23">
        <f>'QTR Raw'!AN23</f>
        <v>4.3879999999999999</v>
      </c>
      <c r="BU35" s="23">
        <f>'QTR Raw'!AO23</f>
        <v>4.1130000000000004</v>
      </c>
      <c r="BV35" s="23">
        <f>'QTR Raw'!AP23</f>
        <v>4.25</v>
      </c>
      <c r="BW35" s="23">
        <f>'QTR Raw'!AQ23</f>
        <v>4.4370000000000003</v>
      </c>
      <c r="BX35" s="23">
        <f>'QTR Raw'!AR23</f>
        <v>7.4160000000000004</v>
      </c>
      <c r="BY35" s="23">
        <f>'QTR Raw'!AS23</f>
        <v>7.08</v>
      </c>
      <c r="BZ35" s="23">
        <f>'QTR Raw'!AT23</f>
        <v>7.8810000000000002</v>
      </c>
      <c r="CA35" s="23">
        <f>'QTR Raw'!AU23</f>
        <v>9.6780000000000008</v>
      </c>
      <c r="CB35" s="23">
        <f>'QTR Raw'!AV23</f>
        <v>9.6270000000000007</v>
      </c>
      <c r="CC35" s="23">
        <f>'QTR Raw'!AW23</f>
        <v>9.9120000000000008</v>
      </c>
      <c r="CD35" s="23">
        <f>'QTR Raw'!AX23</f>
        <v>11.43</v>
      </c>
      <c r="CE35" s="23">
        <f>'QTR Raw'!AY23</f>
        <v>11.706</v>
      </c>
      <c r="CF35" s="23">
        <f>'QTR Raw'!AZ23</f>
        <v>12.574</v>
      </c>
      <c r="CG35" s="23">
        <f>'QTR Raw'!BA23</f>
        <v>14.94</v>
      </c>
      <c r="CH35" s="23">
        <f>'QTR Raw'!BB23</f>
        <v>13.416</v>
      </c>
      <c r="CI35" s="23">
        <f>'QTR Raw'!BC23</f>
        <v>13.148</v>
      </c>
      <c r="CJ35" s="23">
        <f>'QTR Raw'!BD23</f>
        <v>12.202</v>
      </c>
      <c r="CK35" s="23">
        <f>'QTR Raw'!BE23</f>
        <v>12.88</v>
      </c>
      <c r="CL35" s="23">
        <f>'QTR Raw'!BF23</f>
        <v>12.938000000000001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51.168000000000006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3.0261E-2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0.12068180000000001</v>
      </c>
      <c r="P36" s="23">
        <f>'Annual Raw'!Q25</f>
        <v>0.14030000000000001</v>
      </c>
      <c r="Q36" s="23">
        <f>'Annual Raw'!R25</f>
        <v>1.0999000000000001</v>
      </c>
      <c r="R36" s="23">
        <f>'Annual Raw'!S25</f>
        <v>9.8900000000000002E-2</v>
      </c>
      <c r="S36" s="23">
        <f>'Annual Raw'!T25</f>
        <v>0.28100000000000003</v>
      </c>
      <c r="T36" s="23">
        <f>'Annual Raw'!U25</f>
        <v>0.27810000000000001</v>
      </c>
      <c r="U36" s="23">
        <f>'Annual Raw'!V25</f>
        <v>9.7239000000000004</v>
      </c>
      <c r="V36" s="23">
        <f>'Annual Raw'!W25</f>
        <v>7.9039999999999999</v>
      </c>
      <c r="W36" s="23">
        <f>'Annual Raw'!X25</f>
        <v>7.1338999999999997</v>
      </c>
      <c r="X36" s="23">
        <f>'Annual Raw'!Y25</f>
        <v>7.6074999999999999</v>
      </c>
      <c r="Y36" s="23">
        <f>'Annual Raw'!Z25</f>
        <v>8.2134999999999998</v>
      </c>
      <c r="Z36" s="23">
        <f>'Annual Raw'!AA25</f>
        <v>8.4731000000000005</v>
      </c>
      <c r="AA36" s="23">
        <f>'Annual Raw'!AB25</f>
        <v>6.9836999999999998</v>
      </c>
      <c r="AB36" s="76">
        <f t="shared" si="455"/>
        <v>-50.706641767181821</v>
      </c>
      <c r="AC36" s="76">
        <f t="shared" si="456"/>
        <v>-80.941551602707847</v>
      </c>
      <c r="AD36" s="76">
        <f t="shared" si="457"/>
        <v>-113.70941007808342</v>
      </c>
      <c r="AE36" s="76">
        <f t="shared" si="458"/>
        <v>-149.50187929759545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2.6040000000000001</v>
      </c>
      <c r="BM36" s="23">
        <f>'QTR Raw'!AG25</f>
        <v>2.552</v>
      </c>
      <c r="BN36" s="23">
        <f>'QTR Raw'!AH25</f>
        <v>2.431</v>
      </c>
      <c r="BO36" s="23">
        <f>'QTR Raw'!AI25</f>
        <v>2.3490000000000002</v>
      </c>
      <c r="BP36" s="23">
        <f>'QTR Raw'!AJ25</f>
        <v>1.9510000000000001</v>
      </c>
      <c r="BQ36" s="23">
        <f>'QTR Raw'!AK25</f>
        <v>1.8580000000000001</v>
      </c>
      <c r="BR36" s="23">
        <f>'QTR Raw'!AL25</f>
        <v>1.746</v>
      </c>
      <c r="BS36" s="23">
        <f>'QTR Raw'!AM25</f>
        <v>1.804</v>
      </c>
      <c r="BT36" s="23">
        <f>'QTR Raw'!AN25</f>
        <v>1.7669999999999999</v>
      </c>
      <c r="BU36" s="23">
        <f>'QTR Raw'!AO25</f>
        <v>1.7729999999999999</v>
      </c>
      <c r="BV36" s="23">
        <f>'QTR Raw'!AP25</f>
        <v>1.79</v>
      </c>
      <c r="BW36" s="23">
        <f>'QTR Raw'!AQ25</f>
        <v>1.774</v>
      </c>
      <c r="BX36" s="23">
        <f>'QTR Raw'!AR25</f>
        <v>1.8109999999999999</v>
      </c>
      <c r="BY36" s="23">
        <f>'QTR Raw'!AS25</f>
        <v>1.99</v>
      </c>
      <c r="BZ36" s="23">
        <f>'QTR Raw'!AT25</f>
        <v>2.032</v>
      </c>
      <c r="CA36" s="23">
        <f>'QTR Raw'!AU25</f>
        <v>2.0230000000000001</v>
      </c>
      <c r="CB36" s="23">
        <f>'QTR Raw'!AV25</f>
        <v>1.9690000000000001</v>
      </c>
      <c r="CC36" s="23">
        <f>'QTR Raw'!AW25</f>
        <v>2.1160000000000001</v>
      </c>
      <c r="CD36" s="23">
        <f>'QTR Raw'!AX25</f>
        <v>2.1059999999999999</v>
      </c>
      <c r="CE36" s="23">
        <f>'QTR Raw'!AY25</f>
        <v>2.1339999999999999</v>
      </c>
      <c r="CF36" s="23">
        <f>'QTR Raw'!AZ25</f>
        <v>2.16</v>
      </c>
      <c r="CG36" s="23">
        <f>'QTR Raw'!BA25</f>
        <v>2.1469999999999998</v>
      </c>
      <c r="CH36" s="23">
        <f>'QTR Raw'!BB25</f>
        <v>2.032</v>
      </c>
      <c r="CI36" s="23">
        <f>'QTR Raw'!BC25</f>
        <v>1.9370000000000001</v>
      </c>
      <c r="CJ36" s="23">
        <f>'QTR Raw'!BD25</f>
        <v>1.8420000000000001</v>
      </c>
      <c r="CK36" s="23">
        <f>'QTR Raw'!BE25</f>
        <v>1.679</v>
      </c>
      <c r="CL36" s="23">
        <f>'QTR Raw'!BF25</f>
        <v>1.526</v>
      </c>
      <c r="CM36" s="24">
        <f t="shared" ref="CM36:DB36" si="459">CM37*CL168</f>
        <v>-10.014203316214507</v>
      </c>
      <c r="CN36" s="24">
        <f t="shared" si="459"/>
        <v>-11.724927042107954</v>
      </c>
      <c r="CO36" s="24">
        <f t="shared" si="459"/>
        <v>-13.535261782152789</v>
      </c>
      <c r="CP36" s="24">
        <f t="shared" si="459"/>
        <v>-15.432249626706572</v>
      </c>
      <c r="CQ36" s="24">
        <f t="shared" si="459"/>
        <v>-17.362346460137179</v>
      </c>
      <c r="CR36" s="24">
        <f t="shared" si="459"/>
        <v>-19.208759346843131</v>
      </c>
      <c r="CS36" s="24">
        <f t="shared" si="459"/>
        <v>-21.162564914707175</v>
      </c>
      <c r="CT36" s="24">
        <f t="shared" si="459"/>
        <v>-23.207880881020355</v>
      </c>
      <c r="CU36" s="24">
        <f t="shared" si="459"/>
        <v>-25.297315187771058</v>
      </c>
      <c r="CV36" s="24">
        <f t="shared" si="459"/>
        <v>-27.308413178312922</v>
      </c>
      <c r="CW36" s="24">
        <f t="shared" si="459"/>
        <v>-29.43694639659947</v>
      </c>
      <c r="CX36" s="24">
        <f t="shared" si="459"/>
        <v>-31.666735315399972</v>
      </c>
      <c r="CY36" s="24">
        <f t="shared" si="459"/>
        <v>-33.948689922136374</v>
      </c>
      <c r="CZ36" s="24">
        <f t="shared" si="459"/>
        <v>-36.150539524719171</v>
      </c>
      <c r="DA36" s="24">
        <f t="shared" si="459"/>
        <v>-38.480672683747045</v>
      </c>
      <c r="DB36" s="24">
        <f t="shared" si="459"/>
        <v>-40.92197716699286</v>
      </c>
      <c r="DE36" s="123"/>
      <c r="DF36" s="23">
        <v>-13.26871248989224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 t="e">
        <f t="shared" ref="E37:AE37" si="461">+E36/E128</f>
        <v>#DIV/0!</v>
      </c>
      <c r="F37" s="46" t="e">
        <f t="shared" si="461"/>
        <v>#DIV/0!</v>
      </c>
      <c r="G37" s="46" t="e">
        <f t="shared" si="461"/>
        <v>#DIV/0!</v>
      </c>
      <c r="H37" s="46" t="e">
        <f t="shared" si="461"/>
        <v>#DIV/0!</v>
      </c>
      <c r="I37" s="46" t="e">
        <f t="shared" si="461"/>
        <v>#DIV/0!</v>
      </c>
      <c r="J37" s="46" t="e">
        <f t="shared" si="461"/>
        <v>#DIV/0!</v>
      </c>
      <c r="K37" s="46" t="e">
        <f t="shared" si="461"/>
        <v>#DIV/0!</v>
      </c>
      <c r="L37" s="46" t="e">
        <f t="shared" si="461"/>
        <v>#DIV/0!</v>
      </c>
      <c r="M37" s="46" t="e">
        <f t="shared" si="461"/>
        <v>#DIV/0!</v>
      </c>
      <c r="N37" s="46" t="e">
        <f t="shared" si="461"/>
        <v>#DIV/0!</v>
      </c>
      <c r="O37" s="46" t="e">
        <f t="shared" si="461"/>
        <v>#DIV/0!</v>
      </c>
      <c r="P37" s="46" t="e">
        <f t="shared" si="461"/>
        <v>#DIV/0!</v>
      </c>
      <c r="Q37" s="46" t="e">
        <f t="shared" si="461"/>
        <v>#DIV/0!</v>
      </c>
      <c r="R37" s="46" t="e">
        <f t="shared" si="461"/>
        <v>#DIV/0!</v>
      </c>
      <c r="S37" s="46" t="e">
        <f t="shared" si="461"/>
        <v>#DIV/0!</v>
      </c>
      <c r="T37" s="46" t="e">
        <f t="shared" si="461"/>
        <v>#DIV/0!</v>
      </c>
      <c r="U37" s="46" t="e">
        <f t="shared" si="461"/>
        <v>#DIV/0!</v>
      </c>
      <c r="V37" s="46" t="e">
        <f t="shared" si="461"/>
        <v>#DIV/0!</v>
      </c>
      <c r="W37" s="46" t="e">
        <f t="shared" si="461"/>
        <v>#DIV/0!</v>
      </c>
      <c r="X37" s="46" t="e">
        <f t="shared" si="461"/>
        <v>#DIV/0!</v>
      </c>
      <c r="Y37" s="46" t="e">
        <f t="shared" si="461"/>
        <v>#DIV/0!</v>
      </c>
      <c r="Z37" s="46">
        <f t="shared" si="461"/>
        <v>12.838030303030303</v>
      </c>
      <c r="AA37" s="46">
        <f t="shared" ref="AA37" si="462">+AA36/AA128</f>
        <v>14.582793902693673</v>
      </c>
      <c r="AB37" s="110">
        <f t="shared" si="461"/>
        <v>-105.85937738451319</v>
      </c>
      <c r="AC37" s="110">
        <f t="shared" si="461"/>
        <v>-168.98027474469279</v>
      </c>
      <c r="AD37" s="110">
        <f t="shared" si="461"/>
        <v>-237.38916508994453</v>
      </c>
      <c r="AE37" s="110">
        <f t="shared" si="461"/>
        <v>-312.11248287598215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 t="e">
        <f t="shared" si="463"/>
        <v>#DIV/0!</v>
      </c>
      <c r="AM37" s="46" t="e">
        <f t="shared" si="463"/>
        <v>#DIV/0!</v>
      </c>
      <c r="AN37" s="46" t="e">
        <f t="shared" si="463"/>
        <v>#DIV/0!</v>
      </c>
      <c r="AO37" s="46" t="e">
        <f t="shared" si="463"/>
        <v>#DIV/0!</v>
      </c>
      <c r="AP37" s="46" t="e">
        <f t="shared" si="463"/>
        <v>#DIV/0!</v>
      </c>
      <c r="AQ37" s="46" t="e">
        <f t="shared" si="463"/>
        <v>#DIV/0!</v>
      </c>
      <c r="AR37" s="46" t="e">
        <f t="shared" si="463"/>
        <v>#DIV/0!</v>
      </c>
      <c r="AS37" s="46" t="e">
        <f t="shared" si="463"/>
        <v>#DIV/0!</v>
      </c>
      <c r="AT37" s="46" t="e">
        <f t="shared" si="463"/>
        <v>#DIV/0!</v>
      </c>
      <c r="AU37" s="46" t="e">
        <f t="shared" si="463"/>
        <v>#DIV/0!</v>
      </c>
      <c r="AV37" s="46" t="e">
        <f t="shared" si="463"/>
        <v>#DIV/0!</v>
      </c>
      <c r="AW37" s="46" t="e">
        <f t="shared" si="463"/>
        <v>#DIV/0!</v>
      </c>
      <c r="AX37" s="46" t="e">
        <f t="shared" si="463"/>
        <v>#DIV/0!</v>
      </c>
      <c r="AY37" s="46" t="e">
        <f t="shared" si="463"/>
        <v>#DIV/0!</v>
      </c>
      <c r="AZ37" s="46" t="e">
        <f t="shared" si="463"/>
        <v>#DIV/0!</v>
      </c>
      <c r="BA37" s="46" t="e">
        <f t="shared" si="463"/>
        <v>#DIV/0!</v>
      </c>
      <c r="BB37" s="46" t="e">
        <f t="shared" si="463"/>
        <v>#DIV/0!</v>
      </c>
      <c r="BC37" s="46" t="e">
        <f t="shared" si="463"/>
        <v>#DIV/0!</v>
      </c>
      <c r="BD37" s="46" t="e">
        <f t="shared" si="463"/>
        <v>#DIV/0!</v>
      </c>
      <c r="BE37" s="46" t="e">
        <f t="shared" si="463"/>
        <v>#DIV/0!</v>
      </c>
      <c r="BF37" s="46" t="e">
        <f t="shared" si="463"/>
        <v>#DIV/0!</v>
      </c>
      <c r="BG37" s="46" t="e">
        <f t="shared" si="463"/>
        <v>#DIV/0!</v>
      </c>
      <c r="BH37" s="46" t="e">
        <f t="shared" si="463"/>
        <v>#DIV/0!</v>
      </c>
      <c r="BI37" s="46" t="e">
        <f t="shared" si="463"/>
        <v>#DIV/0!</v>
      </c>
      <c r="BJ37" s="46" t="e">
        <f t="shared" si="463"/>
        <v>#DIV/0!</v>
      </c>
      <c r="BK37" s="46" t="e">
        <f t="shared" si="463"/>
        <v>#DIV/0!</v>
      </c>
      <c r="BL37" s="46" t="e">
        <f t="shared" si="463"/>
        <v>#DIV/0!</v>
      </c>
      <c r="BM37" s="46" t="e">
        <f t="shared" si="463"/>
        <v>#DIV/0!</v>
      </c>
      <c r="BN37" s="46">
        <f t="shared" si="463"/>
        <v>2.682066921895614E-2</v>
      </c>
      <c r="BO37" s="46">
        <f t="shared" ref="BO37:CL37" si="464">(BO36-BO35)/BN168</f>
        <v>3.3103599352925311E-2</v>
      </c>
      <c r="BP37" s="46">
        <f t="shared" si="464"/>
        <v>7.8886165259967281E-3</v>
      </c>
      <c r="BQ37" s="46">
        <f t="shared" si="464"/>
        <v>1.2141845035450544E-2</v>
      </c>
      <c r="BR37" s="46">
        <f t="shared" si="464"/>
        <v>5.6135136393980116E-3</v>
      </c>
      <c r="BS37" s="46">
        <f t="shared" si="464"/>
        <v>6.5393430834241231E-3</v>
      </c>
      <c r="BT37" s="46">
        <f t="shared" si="464"/>
        <v>5.4695214209263517E-3</v>
      </c>
      <c r="BU37" s="46">
        <f t="shared" si="464"/>
        <v>5.0629515276482606E-3</v>
      </c>
      <c r="BV37" s="46">
        <f t="shared" si="464"/>
        <v>4.5546844127514838E-3</v>
      </c>
      <c r="BW37" s="46">
        <f t="shared" si="464"/>
        <v>5.6930783028084865E-3</v>
      </c>
      <c r="BX37" s="46">
        <f t="shared" si="464"/>
        <v>1.0537501231269428E-2</v>
      </c>
      <c r="BY37" s="46">
        <f t="shared" si="464"/>
        <v>9.6196914517040454E-3</v>
      </c>
      <c r="BZ37" s="46">
        <f t="shared" si="464"/>
        <v>9.7027319034730768E-3</v>
      </c>
      <c r="CA37" s="46">
        <f t="shared" si="464"/>
        <v>1.5875418920264128E-2</v>
      </c>
      <c r="CB37" s="46">
        <f t="shared" si="464"/>
        <v>1.3698697276916749E-2</v>
      </c>
      <c r="CC37" s="46">
        <f t="shared" si="464"/>
        <v>1.2480229497909291E-2</v>
      </c>
      <c r="CD37" s="46">
        <f t="shared" si="464"/>
        <v>1.3055521366390056E-2</v>
      </c>
      <c r="CE37" s="46">
        <f t="shared" si="464"/>
        <v>1.5496747496268282E-2</v>
      </c>
      <c r="CF37" s="46">
        <f t="shared" si="464"/>
        <v>1.4346883652261265E-2</v>
      </c>
      <c r="CG37" s="46">
        <f t="shared" si="464"/>
        <v>1.7468805217291564E-2</v>
      </c>
      <c r="CH37" s="46">
        <f t="shared" si="464"/>
        <v>1.3271269551981366E-2</v>
      </c>
      <c r="CI37" s="46">
        <f t="shared" si="464"/>
        <v>1.6485089529872772E-2</v>
      </c>
      <c r="CJ37" s="46">
        <f t="shared" si="464"/>
        <v>1.2792524862345838E-2</v>
      </c>
      <c r="CK37" s="46">
        <f t="shared" si="464"/>
        <v>1.3634582003471639E-2</v>
      </c>
      <c r="CL37" s="46">
        <f t="shared" si="464"/>
        <v>1.1726672798295144E-2</v>
      </c>
      <c r="CM37" s="47">
        <f t="shared" ref="CM37" si="465">+CL37</f>
        <v>1.1726672798295144E-2</v>
      </c>
      <c r="CN37" s="47">
        <f t="shared" ref="CN37" si="466">+CM37</f>
        <v>1.1726672798295144E-2</v>
      </c>
      <c r="CO37" s="47">
        <f t="shared" ref="CO37" si="467">+CN37</f>
        <v>1.1726672798295144E-2</v>
      </c>
      <c r="CP37" s="47">
        <f t="shared" ref="CP37" si="468">+CO37</f>
        <v>1.1726672798295144E-2</v>
      </c>
      <c r="CQ37" s="47">
        <f t="shared" ref="CQ37" si="469">+CP37</f>
        <v>1.1726672798295144E-2</v>
      </c>
      <c r="CR37" s="47">
        <f t="shared" ref="CR37" si="470">+CQ37</f>
        <v>1.1726672798295144E-2</v>
      </c>
      <c r="CS37" s="47">
        <f t="shared" ref="CS37" si="471">+CR37</f>
        <v>1.1726672798295144E-2</v>
      </c>
      <c r="CT37" s="47">
        <f t="shared" ref="CT37" si="472">+CS37</f>
        <v>1.1726672798295144E-2</v>
      </c>
      <c r="CU37" s="47">
        <f t="shared" ref="CU37" si="473">+CT37</f>
        <v>1.1726672798295144E-2</v>
      </c>
      <c r="CV37" s="47">
        <f t="shared" ref="CV37" si="474">+CU37</f>
        <v>1.1726672798295144E-2</v>
      </c>
      <c r="CW37" s="47">
        <f t="shared" ref="CW37" si="475">+CV37</f>
        <v>1.1726672798295144E-2</v>
      </c>
      <c r="CX37" s="47">
        <f t="shared" ref="CX37" si="476">+CW37</f>
        <v>1.1726672798295144E-2</v>
      </c>
      <c r="CY37" s="47">
        <f t="shared" ref="CY37" si="477">+CX37</f>
        <v>1.1726672798295144E-2</v>
      </c>
      <c r="CZ37" s="47">
        <f t="shared" ref="CZ37" si="478">+CY37</f>
        <v>1.1726672798295144E-2</v>
      </c>
      <c r="DA37" s="47">
        <f t="shared" ref="DA37" si="479">+CZ37</f>
        <v>1.1726672798295144E-2</v>
      </c>
      <c r="DB37" s="47">
        <f t="shared" ref="DB37" si="480">+DA37</f>
        <v>1.1726672798295144E-2</v>
      </c>
      <c r="DE37" s="130"/>
      <c r="DF37" s="46">
        <v>1.3634582003471639E-2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0</v>
      </c>
      <c r="E38" s="26">
        <f t="shared" si="481"/>
        <v>0</v>
      </c>
      <c r="F38" s="26">
        <f t="shared" si="481"/>
        <v>36.150488599999989</v>
      </c>
      <c r="G38" s="26">
        <f t="shared" si="481"/>
        <v>50.836709499999984</v>
      </c>
      <c r="H38" s="26">
        <f t="shared" si="481"/>
        <v>80.707100000000011</v>
      </c>
      <c r="I38" s="26">
        <f t="shared" si="481"/>
        <v>111.07650000000002</v>
      </c>
      <c r="J38" s="26">
        <f t="shared" si="481"/>
        <v>74.360199999999992</v>
      </c>
      <c r="K38" s="26">
        <f t="shared" si="481"/>
        <v>116.42059999999998</v>
      </c>
      <c r="L38" s="26">
        <f t="shared" si="481"/>
        <v>85.137000000000029</v>
      </c>
      <c r="M38" s="26">
        <f t="shared" si="481"/>
        <v>72.169999999999987</v>
      </c>
      <c r="N38" s="26">
        <f t="shared" si="481"/>
        <v>90.97</v>
      </c>
      <c r="O38" s="26">
        <f t="shared" si="481"/>
        <v>95.558293799999959</v>
      </c>
      <c r="P38" s="26">
        <f t="shared" si="481"/>
        <v>119.44120000000002</v>
      </c>
      <c r="Q38" s="26">
        <f t="shared" si="481"/>
        <v>147.43610000000001</v>
      </c>
      <c r="R38" s="26">
        <f t="shared" si="481"/>
        <v>193.59559999999999</v>
      </c>
      <c r="S38" s="26">
        <f t="shared" si="481"/>
        <v>231.92820000000003</v>
      </c>
      <c r="T38" s="26">
        <f t="shared" si="481"/>
        <v>207.25799999999998</v>
      </c>
      <c r="U38" s="26">
        <f t="shared" ref="U38:Z38" si="482">U34+U35-U36</f>
        <v>246.83820000000003</v>
      </c>
      <c r="V38" s="26">
        <f t="shared" si="482"/>
        <v>274.45510000000002</v>
      </c>
      <c r="W38" s="26">
        <f t="shared" si="482"/>
        <v>382.64820000000003</v>
      </c>
      <c r="X38" s="26">
        <f t="shared" si="482"/>
        <v>380.18729999999988</v>
      </c>
      <c r="Y38" s="26">
        <f t="shared" si="482"/>
        <v>466.84510000000006</v>
      </c>
      <c r="Z38" s="26">
        <f t="shared" si="482"/>
        <v>618.6627000000002</v>
      </c>
      <c r="AA38" s="26">
        <f t="shared" ref="AA38" si="483">AA34+AA35-AA36</f>
        <v>629.31530000000009</v>
      </c>
      <c r="AB38" s="27">
        <f t="shared" ref="AB38:AD38" si="484">AB34+AB35-AB36</f>
        <v>664.3210659903292</v>
      </c>
      <c r="AC38" s="27">
        <f t="shared" si="484"/>
        <v>808.33251132257999</v>
      </c>
      <c r="AD38" s="27">
        <f t="shared" si="484"/>
        <v>930.79351587438566</v>
      </c>
      <c r="AE38" s="27">
        <f t="shared" ref="AE38" si="485">AE34+AE35-AE36</f>
        <v>1045.8830967012254</v>
      </c>
      <c r="AI38" s="26">
        <f>AI34+AI35-AI36</f>
        <v>0</v>
      </c>
      <c r="AJ38" s="26">
        <f t="shared" ref="AJ38" si="486">AJ34+AJ35-AJ36</f>
        <v>0</v>
      </c>
      <c r="AK38" s="26">
        <f t="shared" ref="AK38:AM38" si="487">AK34+AK35-AK36</f>
        <v>0</v>
      </c>
      <c r="AL38" s="26">
        <f t="shared" si="487"/>
        <v>0</v>
      </c>
      <c r="AM38" s="26">
        <f t="shared" si="487"/>
        <v>0</v>
      </c>
      <c r="AN38" s="26">
        <f t="shared" ref="AN38:AO38" si="488">AN34+AN35-AN36</f>
        <v>0</v>
      </c>
      <c r="AO38" s="26">
        <f t="shared" si="488"/>
        <v>0</v>
      </c>
      <c r="AP38" s="26">
        <f t="shared" ref="AP38:CD38" si="489">AP34+AP35-AP36</f>
        <v>0</v>
      </c>
      <c r="AQ38" s="26">
        <f t="shared" si="489"/>
        <v>0</v>
      </c>
      <c r="AR38" s="26">
        <f t="shared" si="489"/>
        <v>0</v>
      </c>
      <c r="AS38" s="26">
        <f t="shared" si="489"/>
        <v>0</v>
      </c>
      <c r="AT38" s="26">
        <f t="shared" si="489"/>
        <v>0</v>
      </c>
      <c r="AU38" s="26">
        <f t="shared" si="489"/>
        <v>0</v>
      </c>
      <c r="AV38" s="26">
        <f t="shared" si="489"/>
        <v>0</v>
      </c>
      <c r="AW38" s="26">
        <f t="shared" si="489"/>
        <v>0</v>
      </c>
      <c r="AX38" s="26">
        <f t="shared" si="489"/>
        <v>0</v>
      </c>
      <c r="AY38" s="26">
        <f t="shared" si="489"/>
        <v>0</v>
      </c>
      <c r="AZ38" s="26">
        <f t="shared" si="489"/>
        <v>0</v>
      </c>
      <c r="BA38" s="26">
        <f t="shared" si="489"/>
        <v>0</v>
      </c>
      <c r="BB38" s="26">
        <f t="shared" si="489"/>
        <v>0</v>
      </c>
      <c r="BC38" s="26">
        <f t="shared" si="489"/>
        <v>0</v>
      </c>
      <c r="BD38" s="26">
        <f t="shared" si="489"/>
        <v>0</v>
      </c>
      <c r="BE38" s="26">
        <f t="shared" si="489"/>
        <v>0</v>
      </c>
      <c r="BF38" s="26">
        <f t="shared" si="489"/>
        <v>0</v>
      </c>
      <c r="BG38" s="26">
        <f t="shared" si="489"/>
        <v>0</v>
      </c>
      <c r="BH38" s="26">
        <f t="shared" si="489"/>
        <v>0</v>
      </c>
      <c r="BI38" s="26">
        <f t="shared" si="489"/>
        <v>0</v>
      </c>
      <c r="BJ38" s="26">
        <f t="shared" si="489"/>
        <v>0</v>
      </c>
      <c r="BK38" s="26">
        <f t="shared" si="489"/>
        <v>0</v>
      </c>
      <c r="BL38" s="26">
        <f t="shared" si="489"/>
        <v>59.054999999999993</v>
      </c>
      <c r="BM38" s="26">
        <f t="shared" si="489"/>
        <v>61.001000000000012</v>
      </c>
      <c r="BN38" s="26">
        <f t="shared" si="489"/>
        <v>67.47699999999999</v>
      </c>
      <c r="BO38" s="26">
        <f t="shared" si="489"/>
        <v>51.896999999999991</v>
      </c>
      <c r="BP38" s="26">
        <f t="shared" si="489"/>
        <v>66.099000000000004</v>
      </c>
      <c r="BQ38" s="26">
        <f t="shared" si="489"/>
        <v>75.593000000000018</v>
      </c>
      <c r="BR38" s="26">
        <f t="shared" si="489"/>
        <v>80.864999999999995</v>
      </c>
      <c r="BS38" s="26">
        <f t="shared" si="489"/>
        <v>84.990999999999985</v>
      </c>
      <c r="BT38" s="26">
        <f t="shared" si="489"/>
        <v>96.470000000000027</v>
      </c>
      <c r="BU38" s="26">
        <f t="shared" si="489"/>
        <v>102.24699999999999</v>
      </c>
      <c r="BV38" s="26">
        <f t="shared" si="489"/>
        <v>98.939999999999984</v>
      </c>
      <c r="BW38" s="26">
        <f t="shared" si="489"/>
        <v>86.904999999999987</v>
      </c>
      <c r="BX38" s="26">
        <f t="shared" si="489"/>
        <v>96.950000000000017</v>
      </c>
      <c r="BY38" s="26">
        <f t="shared" si="489"/>
        <v>97.79000000000002</v>
      </c>
      <c r="BZ38" s="26">
        <f t="shared" si="489"/>
        <v>98.543999999999997</v>
      </c>
      <c r="CA38" s="26">
        <f t="shared" si="489"/>
        <v>101.20499999999997</v>
      </c>
      <c r="CB38" s="26">
        <f t="shared" si="489"/>
        <v>112.35200000000002</v>
      </c>
      <c r="CC38" s="26">
        <f t="shared" si="489"/>
        <v>118.72099999999999</v>
      </c>
      <c r="CD38" s="26">
        <f t="shared" si="489"/>
        <v>134.56700000000001</v>
      </c>
      <c r="CE38" s="26">
        <f t="shared" ref="CE38:CF38" si="490">CE34+CE35-CE36</f>
        <v>142.392</v>
      </c>
      <c r="CF38" s="26">
        <f t="shared" si="490"/>
        <v>162.24600000000007</v>
      </c>
      <c r="CG38" s="26">
        <f t="shared" ref="CG38:CH38" si="491">CG34+CG35-CG36</f>
        <v>166.10300000000001</v>
      </c>
      <c r="CH38" s="26">
        <f t="shared" si="491"/>
        <v>147.91899999999995</v>
      </c>
      <c r="CI38" s="26">
        <f t="shared" ref="CI38:CJ38" si="492">CI34+CI35-CI36</f>
        <v>144.64699999999996</v>
      </c>
      <c r="CJ38" s="26">
        <f t="shared" si="492"/>
        <v>153.41099999999997</v>
      </c>
      <c r="CK38" s="26">
        <f t="shared" ref="CK38:CL38" si="493">CK34+CK35-CK36</f>
        <v>164.768</v>
      </c>
      <c r="CL38" s="26">
        <f t="shared" si="493"/>
        <v>166.48599999999999</v>
      </c>
      <c r="CM38" s="27">
        <f t="shared" ref="CM38:DB38" si="494">CM34+CM35-CM36</f>
        <v>141.20381635860784</v>
      </c>
      <c r="CN38" s="27">
        <f t="shared" si="494"/>
        <v>160.86446582167127</v>
      </c>
      <c r="CO38" s="27">
        <f t="shared" si="494"/>
        <v>176.52425303118119</v>
      </c>
      <c r="CP38" s="27">
        <f t="shared" si="494"/>
        <v>185.72853077886873</v>
      </c>
      <c r="CQ38" s="27">
        <f t="shared" si="494"/>
        <v>180.50526025986795</v>
      </c>
      <c r="CR38" s="27">
        <f t="shared" si="494"/>
        <v>197.6407881869107</v>
      </c>
      <c r="CS38" s="27">
        <f t="shared" si="494"/>
        <v>211.22629332052588</v>
      </c>
      <c r="CT38" s="27">
        <f t="shared" si="494"/>
        <v>218.96016955527557</v>
      </c>
      <c r="CU38" s="27">
        <f t="shared" si="494"/>
        <v>211.92743745935744</v>
      </c>
      <c r="CV38" s="27">
        <f t="shared" si="494"/>
        <v>228.46107004671467</v>
      </c>
      <c r="CW38" s="27">
        <f t="shared" si="494"/>
        <v>241.59853479312406</v>
      </c>
      <c r="CX38" s="27">
        <f t="shared" si="494"/>
        <v>248.80647357518947</v>
      </c>
      <c r="CY38" s="27">
        <f t="shared" si="494"/>
        <v>240.32963547601395</v>
      </c>
      <c r="CZ38" s="27">
        <f t="shared" si="494"/>
        <v>257.19433336064873</v>
      </c>
      <c r="DA38" s="27">
        <f t="shared" si="494"/>
        <v>270.59579975184243</v>
      </c>
      <c r="DB38" s="27">
        <f t="shared" si="494"/>
        <v>277.76332811272073</v>
      </c>
      <c r="DE38" s="121"/>
      <c r="DF38" s="26">
        <v>162.00951834851924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12.5196779</v>
      </c>
      <c r="G39" s="23">
        <f>'Annual Raw'!H30</f>
        <v>19.217268799999999</v>
      </c>
      <c r="H39" s="23">
        <f>'Annual Raw'!I30</f>
        <v>27.7315</v>
      </c>
      <c r="I39" s="23">
        <f>'Annual Raw'!J30</f>
        <v>38.260899999999999</v>
      </c>
      <c r="J39" s="23">
        <f>'Annual Raw'!K30</f>
        <v>25.1282</v>
      </c>
      <c r="K39" s="23">
        <f>'Annual Raw'!L30</f>
        <v>35.8108</v>
      </c>
      <c r="L39" s="23">
        <f>'Annual Raw'!M30</f>
        <v>26.222899999999999</v>
      </c>
      <c r="M39" s="23">
        <f>'Annual Raw'!N30</f>
        <v>21.61</v>
      </c>
      <c r="N39" s="23">
        <f>'Annual Raw'!O30</f>
        <v>25.64</v>
      </c>
      <c r="O39" s="23">
        <f>'Annual Raw'!P30</f>
        <v>29.9399315</v>
      </c>
      <c r="P39" s="23">
        <f>'Annual Raw'!Q30</f>
        <v>39.460099999999997</v>
      </c>
      <c r="Q39" s="23">
        <f>'Annual Raw'!R30</f>
        <v>48.953800000000001</v>
      </c>
      <c r="R39" s="23">
        <f>'Annual Raw'!S30</f>
        <v>66.465100000000007</v>
      </c>
      <c r="S39" s="23">
        <f>'Annual Raw'!T30</f>
        <v>82.2119</v>
      </c>
      <c r="T39" s="23">
        <f>'Annual Raw'!U30</f>
        <v>72.080699999999993</v>
      </c>
      <c r="U39" s="23">
        <f>'Annual Raw'!V30</f>
        <v>74.945999999999998</v>
      </c>
      <c r="V39" s="23">
        <f>'Annual Raw'!W30</f>
        <v>69.163799999999995</v>
      </c>
      <c r="W39" s="23">
        <f>'Annual Raw'!X30</f>
        <v>95.701300000000003</v>
      </c>
      <c r="X39" s="23">
        <f>'Annual Raw'!Y30</f>
        <v>95.552899999999994</v>
      </c>
      <c r="Y39" s="23">
        <f>'Annual Raw'!Z30</f>
        <v>115.8678</v>
      </c>
      <c r="Z39" s="23">
        <f>'Annual Raw'!AA30</f>
        <v>153.96719999999999</v>
      </c>
      <c r="AA39" s="23">
        <f>'Annual Raw'!AB30</f>
        <v>156.535</v>
      </c>
      <c r="AB39" s="24">
        <f>+SUM(CM39:CP39)</f>
        <v>164.43737526987482</v>
      </c>
      <c r="AC39" s="24">
        <f>+SUM(CQ39:CT39)</f>
        <v>199.87797202593052</v>
      </c>
      <c r="AD39" s="24">
        <f>+SUM(CU39:CX39)</f>
        <v>230.10988407829018</v>
      </c>
      <c r="AE39" s="24">
        <f>+SUM(CY39:DB39)</f>
        <v>258.55350656799629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16.449000000000002</v>
      </c>
      <c r="BM39" s="23">
        <f>'QTR Raw'!AG29</f>
        <v>14.768000000000001</v>
      </c>
      <c r="BN39" s="23">
        <f>'QTR Raw'!AH29</f>
        <v>24.41</v>
      </c>
      <c r="BO39" s="23">
        <f>'QTR Raw'!AI29</f>
        <v>12.102</v>
      </c>
      <c r="BP39" s="23">
        <f>'QTR Raw'!AJ29</f>
        <v>17.148</v>
      </c>
      <c r="BQ39" s="23">
        <f>'QTR Raw'!AK29</f>
        <v>19.175000000000001</v>
      </c>
      <c r="BR39" s="23">
        <f>'QTR Raw'!AL29</f>
        <v>20.739000000000001</v>
      </c>
      <c r="BS39" s="23">
        <f>'QTR Raw'!AM29</f>
        <v>21.748999999999999</v>
      </c>
      <c r="BT39" s="23">
        <f>'QTR Raw'!AN29</f>
        <v>23.911000000000001</v>
      </c>
      <c r="BU39" s="23">
        <f>'QTR Raw'!AO29</f>
        <v>24.936</v>
      </c>
      <c r="BV39" s="23">
        <f>'QTR Raw'!AP29</f>
        <v>25.105</v>
      </c>
      <c r="BW39" s="23">
        <f>'QTR Raw'!AQ29</f>
        <v>22.298999999999999</v>
      </c>
      <c r="BX39" s="23">
        <f>'QTR Raw'!AR29</f>
        <v>24.85</v>
      </c>
      <c r="BY39" s="23">
        <f>'QTR Raw'!AS29</f>
        <v>24.22</v>
      </c>
      <c r="BZ39" s="23">
        <f>'QTR Raw'!AT29</f>
        <v>24.183</v>
      </c>
      <c r="CA39" s="23">
        <f>'QTR Raw'!AU29</f>
        <v>25.527999999999999</v>
      </c>
      <c r="CB39" s="23">
        <f>'QTR Raw'!AV29</f>
        <v>28.571999999999999</v>
      </c>
      <c r="CC39" s="23">
        <f>'QTR Raw'!AW29</f>
        <v>30.184999999999999</v>
      </c>
      <c r="CD39" s="23">
        <f>'QTR Raw'!AX29</f>
        <v>31.582999999999998</v>
      </c>
      <c r="CE39" s="23">
        <f>'QTR Raw'!AY29</f>
        <v>35.44</v>
      </c>
      <c r="CF39" s="23">
        <f>'QTR Raw'!AZ29</f>
        <v>41.414999999999999</v>
      </c>
      <c r="CG39" s="23">
        <f>'QTR Raw'!BA29</f>
        <v>41.997</v>
      </c>
      <c r="CH39" s="23">
        <f>'QTR Raw'!BB29</f>
        <v>35.115000000000002</v>
      </c>
      <c r="CI39" s="23">
        <f>'QTR Raw'!BC29</f>
        <v>36.348999999999997</v>
      </c>
      <c r="CJ39" s="23">
        <f>'QTR Raw'!BD29</f>
        <v>39.433</v>
      </c>
      <c r="CK39" s="23">
        <f>'QTR Raw'!BE29</f>
        <v>40.118000000000002</v>
      </c>
      <c r="CL39" s="23">
        <f>'QTR Raw'!BF29</f>
        <v>40.634</v>
      </c>
      <c r="CM39" s="24">
        <f t="shared" ref="CM39:DB39" si="495">+CM38*CM40</f>
        <v>35.155739632458939</v>
      </c>
      <c r="CN39" s="24">
        <f t="shared" si="495"/>
        <v>39.957263537949608</v>
      </c>
      <c r="CO39" s="24">
        <f t="shared" si="495"/>
        <v>43.465247952348228</v>
      </c>
      <c r="CP39" s="24">
        <f t="shared" si="495"/>
        <v>45.85912414711806</v>
      </c>
      <c r="CQ39" s="24">
        <f t="shared" si="495"/>
        <v>44.69786144807167</v>
      </c>
      <c r="CR39" s="24">
        <f t="shared" si="495"/>
        <v>48.874601767937229</v>
      </c>
      <c r="CS39" s="24">
        <f t="shared" si="495"/>
        <v>52.176032295988804</v>
      </c>
      <c r="CT39" s="24">
        <f t="shared" si="495"/>
        <v>54.129476513932815</v>
      </c>
      <c r="CU39" s="24">
        <f t="shared" si="495"/>
        <v>52.406624619332305</v>
      </c>
      <c r="CV39" s="24">
        <f t="shared" si="495"/>
        <v>56.475698323440525</v>
      </c>
      <c r="CW39" s="24">
        <f t="shared" si="495"/>
        <v>59.717879409037003</v>
      </c>
      <c r="CX39" s="24">
        <f t="shared" si="495"/>
        <v>61.509681726480345</v>
      </c>
      <c r="CY39" s="24">
        <f t="shared" si="495"/>
        <v>59.41449443948931</v>
      </c>
      <c r="CZ39" s="24">
        <f t="shared" si="495"/>
        <v>63.579628868799631</v>
      </c>
      <c r="DA39" s="24">
        <f t="shared" si="495"/>
        <v>66.892810194262566</v>
      </c>
      <c r="DB39" s="24">
        <f t="shared" si="495"/>
        <v>68.66657306544478</v>
      </c>
      <c r="DE39" s="123"/>
      <c r="DF39" s="23">
        <v>40.065409748089159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 t="e">
        <f t="shared" si="496"/>
        <v>#DIV/0!</v>
      </c>
      <c r="E40" s="90" t="e">
        <f t="shared" si="496"/>
        <v>#DIV/0!</v>
      </c>
      <c r="F40" s="90">
        <f t="shared" ref="F40:T40" si="497">F39/F38</f>
        <v>0.34632112551861893</v>
      </c>
      <c r="G40" s="90">
        <f t="shared" si="497"/>
        <v>0.37801952543761719</v>
      </c>
      <c r="H40" s="90">
        <f t="shared" si="497"/>
        <v>0.34360669631296376</v>
      </c>
      <c r="I40" s="90">
        <f t="shared" si="497"/>
        <v>0.3444553978564322</v>
      </c>
      <c r="J40" s="90">
        <f t="shared" si="497"/>
        <v>0.33792539557451434</v>
      </c>
      <c r="K40" s="90">
        <f t="shared" si="497"/>
        <v>0.30759848342990853</v>
      </c>
      <c r="L40" s="90">
        <f t="shared" si="497"/>
        <v>0.30800826902521805</v>
      </c>
      <c r="M40" s="90">
        <f t="shared" si="497"/>
        <v>0.29943189691007349</v>
      </c>
      <c r="N40" s="90">
        <f t="shared" si="497"/>
        <v>0.28185115972298563</v>
      </c>
      <c r="O40" s="90">
        <f t="shared" si="497"/>
        <v>0.31331588614027778</v>
      </c>
      <c r="P40" s="90">
        <f t="shared" si="497"/>
        <v>0.33037260174881022</v>
      </c>
      <c r="Q40" s="90">
        <f t="shared" si="497"/>
        <v>0.33203401337935551</v>
      </c>
      <c r="R40" s="90">
        <f t="shared" si="497"/>
        <v>0.34331926965282272</v>
      </c>
      <c r="S40" s="90">
        <f t="shared" si="497"/>
        <v>0.35447134069940606</v>
      </c>
      <c r="T40" s="90">
        <f t="shared" si="497"/>
        <v>0.34778247401789075</v>
      </c>
      <c r="U40" s="90">
        <f t="shared" ref="U40:Z40" si="498">U39/U38</f>
        <v>0.30362399336893559</v>
      </c>
      <c r="V40" s="90">
        <f t="shared" si="498"/>
        <v>0.2520040618665858</v>
      </c>
      <c r="W40" s="90">
        <f t="shared" si="498"/>
        <v>0.25010257463644148</v>
      </c>
      <c r="X40" s="90">
        <f t="shared" si="498"/>
        <v>0.25133112021364212</v>
      </c>
      <c r="Y40" s="90">
        <f t="shared" si="498"/>
        <v>0.24819324439733861</v>
      </c>
      <c r="Z40" s="90">
        <f t="shared" si="498"/>
        <v>0.24887099222241771</v>
      </c>
      <c r="AA40" s="90">
        <f t="shared" ref="AA40" si="499">AA39/AA38</f>
        <v>0.24873858938436738</v>
      </c>
      <c r="AB40" s="91">
        <f t="shared" ref="AA40:AD40" si="500">AB39/AB38</f>
        <v>0.24752696201909785</v>
      </c>
      <c r="AC40" s="91">
        <f t="shared" si="500"/>
        <v>0.24727196942616295</v>
      </c>
      <c r="AD40" s="91">
        <f t="shared" si="500"/>
        <v>0.24721904499101005</v>
      </c>
      <c r="AE40" s="91">
        <f t="shared" ref="AE40" si="501">AE39/AE38</f>
        <v>0.24721071349512072</v>
      </c>
      <c r="AI40" s="90" t="e">
        <f t="shared" ref="AI40" si="502">AI39/AI38</f>
        <v>#DIV/0!</v>
      </c>
      <c r="AJ40" s="90" t="e">
        <f t="shared" ref="AJ40" si="503">AJ39/AJ38</f>
        <v>#DIV/0!</v>
      </c>
      <c r="AK40" s="90" t="e">
        <f t="shared" ref="AK40:AM40" si="504">AK39/AK38</f>
        <v>#DIV/0!</v>
      </c>
      <c r="AL40" s="90" t="e">
        <f t="shared" si="504"/>
        <v>#DIV/0!</v>
      </c>
      <c r="AM40" s="90" t="e">
        <f t="shared" si="504"/>
        <v>#DIV/0!</v>
      </c>
      <c r="AN40" s="90" t="e">
        <f t="shared" ref="AN40:AO40" si="505">AN39/AN38</f>
        <v>#DIV/0!</v>
      </c>
      <c r="AO40" s="90" t="e">
        <f t="shared" si="505"/>
        <v>#DIV/0!</v>
      </c>
      <c r="AP40" s="90" t="e">
        <f t="shared" ref="AP40:CD40" si="506">AP39/AP38</f>
        <v>#DIV/0!</v>
      </c>
      <c r="AQ40" s="90" t="e">
        <f t="shared" si="506"/>
        <v>#DIV/0!</v>
      </c>
      <c r="AR40" s="90" t="e">
        <f t="shared" si="506"/>
        <v>#DIV/0!</v>
      </c>
      <c r="AS40" s="90" t="e">
        <f t="shared" si="506"/>
        <v>#DIV/0!</v>
      </c>
      <c r="AT40" s="90" t="e">
        <f t="shared" si="506"/>
        <v>#DIV/0!</v>
      </c>
      <c r="AU40" s="90" t="e">
        <f t="shared" si="506"/>
        <v>#DIV/0!</v>
      </c>
      <c r="AV40" s="90" t="e">
        <f t="shared" si="506"/>
        <v>#DIV/0!</v>
      </c>
      <c r="AW40" s="90" t="e">
        <f t="shared" si="506"/>
        <v>#DIV/0!</v>
      </c>
      <c r="AX40" s="90" t="e">
        <f t="shared" si="506"/>
        <v>#DIV/0!</v>
      </c>
      <c r="AY40" s="90" t="e">
        <f t="shared" si="506"/>
        <v>#DIV/0!</v>
      </c>
      <c r="AZ40" s="90" t="e">
        <f t="shared" si="506"/>
        <v>#DIV/0!</v>
      </c>
      <c r="BA40" s="90" t="e">
        <f t="shared" si="506"/>
        <v>#DIV/0!</v>
      </c>
      <c r="BB40" s="90" t="e">
        <f t="shared" si="506"/>
        <v>#DIV/0!</v>
      </c>
      <c r="BC40" s="90" t="e">
        <f t="shared" si="506"/>
        <v>#DIV/0!</v>
      </c>
      <c r="BD40" s="90" t="e">
        <f t="shared" si="506"/>
        <v>#DIV/0!</v>
      </c>
      <c r="BE40" s="90" t="e">
        <f t="shared" si="506"/>
        <v>#DIV/0!</v>
      </c>
      <c r="BF40" s="90" t="e">
        <f t="shared" si="506"/>
        <v>#DIV/0!</v>
      </c>
      <c r="BG40" s="90" t="e">
        <f t="shared" si="506"/>
        <v>#DIV/0!</v>
      </c>
      <c r="BH40" s="90" t="e">
        <f t="shared" si="506"/>
        <v>#DIV/0!</v>
      </c>
      <c r="BI40" s="90" t="e">
        <f t="shared" si="506"/>
        <v>#DIV/0!</v>
      </c>
      <c r="BJ40" s="90" t="e">
        <f t="shared" si="506"/>
        <v>#DIV/0!</v>
      </c>
      <c r="BK40" s="90" t="e">
        <f t="shared" si="506"/>
        <v>#DIV/0!</v>
      </c>
      <c r="BL40" s="90">
        <f t="shared" si="506"/>
        <v>0.27853695707391424</v>
      </c>
      <c r="BM40" s="90">
        <f t="shared" si="506"/>
        <v>0.24209439189521478</v>
      </c>
      <c r="BN40" s="90">
        <f t="shared" si="506"/>
        <v>0.36175289357855273</v>
      </c>
      <c r="BO40" s="90">
        <f t="shared" si="506"/>
        <v>0.23319267009653741</v>
      </c>
      <c r="BP40" s="90">
        <f t="shared" si="506"/>
        <v>0.25942903826079061</v>
      </c>
      <c r="BQ40" s="90">
        <f t="shared" si="506"/>
        <v>0.25366105327212835</v>
      </c>
      <c r="BR40" s="90">
        <f t="shared" si="506"/>
        <v>0.25646447783342613</v>
      </c>
      <c r="BS40" s="90">
        <f t="shared" si="506"/>
        <v>0.25589768328411244</v>
      </c>
      <c r="BT40" s="90">
        <f t="shared" si="506"/>
        <v>0.24785943816730585</v>
      </c>
      <c r="BU40" s="90">
        <f t="shared" si="506"/>
        <v>0.24388001603959045</v>
      </c>
      <c r="BV40" s="90">
        <f t="shared" si="506"/>
        <v>0.25373964018597134</v>
      </c>
      <c r="BW40" s="90">
        <f t="shared" si="506"/>
        <v>0.25659052988895925</v>
      </c>
      <c r="BX40" s="90">
        <f t="shared" si="506"/>
        <v>0.2563176895306859</v>
      </c>
      <c r="BY40" s="90">
        <f t="shared" si="506"/>
        <v>0.24767358625626335</v>
      </c>
      <c r="BZ40" s="90">
        <f t="shared" si="506"/>
        <v>0.24540306867998052</v>
      </c>
      <c r="CA40" s="90">
        <f t="shared" si="506"/>
        <v>0.25224050195148467</v>
      </c>
      <c r="CB40" s="90">
        <f t="shared" si="506"/>
        <v>0.25430788949017369</v>
      </c>
      <c r="CC40" s="90">
        <f t="shared" si="506"/>
        <v>0.25425156459261633</v>
      </c>
      <c r="CD40" s="90">
        <f t="shared" si="506"/>
        <v>0.2347009296484279</v>
      </c>
      <c r="CE40" s="90">
        <f t="shared" ref="CE40:CF40" si="507">CE39/CE38</f>
        <v>0.2488903871003989</v>
      </c>
      <c r="CF40" s="90">
        <f t="shared" si="507"/>
        <v>0.25526053030583179</v>
      </c>
      <c r="CG40" s="90">
        <f t="shared" ref="CG40:CH40" si="508">CG39/CG38</f>
        <v>0.25283709505547763</v>
      </c>
      <c r="CH40" s="90">
        <f t="shared" si="508"/>
        <v>0.23739343830069168</v>
      </c>
      <c r="CI40" s="90">
        <f t="shared" ref="CI40:CJ40" si="509">CI39/CI38</f>
        <v>0.25129453082331471</v>
      </c>
      <c r="CJ40" s="90">
        <f t="shared" si="509"/>
        <v>0.25704154200155144</v>
      </c>
      <c r="CK40" s="90">
        <f t="shared" ref="CK40:CL40" si="510">CK39/CK38</f>
        <v>0.2434817440279666</v>
      </c>
      <c r="CL40" s="90">
        <f t="shared" si="510"/>
        <v>0.24406857033023799</v>
      </c>
      <c r="CM40" s="91">
        <f t="shared" ref="CM40:DB40" si="511">AVERAGE(CI40:CL40)</f>
        <v>0.24897159679576769</v>
      </c>
      <c r="CN40" s="91">
        <f t="shared" si="511"/>
        <v>0.24839086328888094</v>
      </c>
      <c r="CO40" s="91">
        <f t="shared" si="511"/>
        <v>0.2462281936107133</v>
      </c>
      <c r="CP40" s="91">
        <f t="shared" si="511"/>
        <v>0.24691480600639998</v>
      </c>
      <c r="CQ40" s="91">
        <f t="shared" si="511"/>
        <v>0.24762636492544049</v>
      </c>
      <c r="CR40" s="91">
        <f t="shared" si="511"/>
        <v>0.24729005695785866</v>
      </c>
      <c r="CS40" s="91">
        <f t="shared" si="511"/>
        <v>0.24701485537510309</v>
      </c>
      <c r="CT40" s="91">
        <f t="shared" si="511"/>
        <v>0.24721152081620057</v>
      </c>
      <c r="CU40" s="91">
        <f t="shared" si="511"/>
        <v>0.2472856995186507</v>
      </c>
      <c r="CV40" s="91">
        <f t="shared" si="511"/>
        <v>0.24720053316695328</v>
      </c>
      <c r="CW40" s="91">
        <f t="shared" si="511"/>
        <v>0.2471781522192269</v>
      </c>
      <c r="CX40" s="91">
        <f t="shared" si="511"/>
        <v>0.24721897643025786</v>
      </c>
      <c r="CY40" s="91">
        <f t="shared" si="511"/>
        <v>0.24722084033377217</v>
      </c>
      <c r="CZ40" s="91">
        <f t="shared" si="511"/>
        <v>0.24720462553755257</v>
      </c>
      <c r="DA40" s="91">
        <f t="shared" si="511"/>
        <v>0.24720564863020239</v>
      </c>
      <c r="DB40" s="91">
        <f t="shared" si="511"/>
        <v>0.24721252273294625</v>
      </c>
      <c r="DE40" s="127"/>
      <c r="DF40" s="90">
        <v>0.24730281378838109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23.630810699999991</v>
      </c>
      <c r="G41" s="26">
        <f t="shared" si="513"/>
        <v>31.619440699999984</v>
      </c>
      <c r="H41" s="26">
        <f t="shared" si="513"/>
        <v>52.975600000000014</v>
      </c>
      <c r="I41" s="26">
        <f t="shared" si="513"/>
        <v>72.815600000000018</v>
      </c>
      <c r="J41" s="26">
        <f t="shared" si="513"/>
        <v>49.231999999999992</v>
      </c>
      <c r="K41" s="26">
        <f t="shared" si="513"/>
        <v>80.609799999999979</v>
      </c>
      <c r="L41" s="26">
        <f t="shared" si="513"/>
        <v>58.914100000000033</v>
      </c>
      <c r="M41" s="26">
        <f t="shared" si="513"/>
        <v>50.559999999999988</v>
      </c>
      <c r="N41" s="26">
        <f t="shared" si="513"/>
        <v>65.33</v>
      </c>
      <c r="O41" s="26">
        <f t="shared" si="513"/>
        <v>65.618362299999959</v>
      </c>
      <c r="P41" s="26">
        <f t="shared" si="513"/>
        <v>79.981100000000026</v>
      </c>
      <c r="Q41" s="26">
        <f t="shared" si="513"/>
        <v>98.482300000000009</v>
      </c>
      <c r="R41" s="26">
        <f t="shared" si="513"/>
        <v>127.13049999999998</v>
      </c>
      <c r="S41" s="26">
        <f t="shared" si="513"/>
        <v>149.71630000000005</v>
      </c>
      <c r="T41" s="26">
        <f t="shared" si="513"/>
        <v>135.1773</v>
      </c>
      <c r="U41" s="26">
        <f t="shared" ref="U41:Z41" si="514">U38-U39</f>
        <v>171.89220000000003</v>
      </c>
      <c r="V41" s="26">
        <f t="shared" si="514"/>
        <v>205.29130000000004</v>
      </c>
      <c r="W41" s="26">
        <f t="shared" si="514"/>
        <v>286.94690000000003</v>
      </c>
      <c r="X41" s="26">
        <f t="shared" si="514"/>
        <v>284.63439999999991</v>
      </c>
      <c r="Y41" s="26">
        <f t="shared" si="514"/>
        <v>350.97730000000007</v>
      </c>
      <c r="Z41" s="26">
        <f t="shared" si="514"/>
        <v>464.69550000000021</v>
      </c>
      <c r="AA41" s="26">
        <f t="shared" ref="AA41" si="515">AA38-AA39</f>
        <v>472.78030000000012</v>
      </c>
      <c r="AB41" s="27">
        <f t="shared" ref="AA41:AD41" si="516">AB38-AB39</f>
        <v>499.88369072045441</v>
      </c>
      <c r="AC41" s="27">
        <f t="shared" si="516"/>
        <v>608.4545392966495</v>
      </c>
      <c r="AD41" s="27">
        <f t="shared" si="516"/>
        <v>700.68363179609548</v>
      </c>
      <c r="AE41" s="27">
        <f t="shared" ref="AE41" si="517">AE38-AE39</f>
        <v>787.3295901332292</v>
      </c>
      <c r="AI41" s="26">
        <f>AI38-AI39</f>
        <v>0</v>
      </c>
      <c r="AJ41" s="26">
        <f t="shared" ref="AJ41" si="518">AJ38-AJ39</f>
        <v>0</v>
      </c>
      <c r="AK41" s="26">
        <f t="shared" ref="AK41:AM41" si="519">AK38-AK39</f>
        <v>0</v>
      </c>
      <c r="AL41" s="26">
        <f t="shared" si="519"/>
        <v>0</v>
      </c>
      <c r="AM41" s="26">
        <f t="shared" si="519"/>
        <v>0</v>
      </c>
      <c r="AN41" s="26">
        <f t="shared" ref="AN41:AO41" si="520">AN38-AN39</f>
        <v>0</v>
      </c>
      <c r="AO41" s="26">
        <f t="shared" si="520"/>
        <v>0</v>
      </c>
      <c r="AP41" s="26">
        <f t="shared" ref="AP41:CD41" si="521">AP38-AP39</f>
        <v>0</v>
      </c>
      <c r="AQ41" s="26">
        <f t="shared" si="521"/>
        <v>0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0</v>
      </c>
      <c r="AW41" s="26">
        <f t="shared" si="521"/>
        <v>0</v>
      </c>
      <c r="AX41" s="26">
        <f t="shared" si="521"/>
        <v>0</v>
      </c>
      <c r="AY41" s="26">
        <f t="shared" si="521"/>
        <v>0</v>
      </c>
      <c r="AZ41" s="26">
        <f t="shared" si="521"/>
        <v>0</v>
      </c>
      <c r="BA41" s="26">
        <f t="shared" si="521"/>
        <v>0</v>
      </c>
      <c r="BB41" s="26">
        <f t="shared" si="521"/>
        <v>0</v>
      </c>
      <c r="BC41" s="26">
        <f t="shared" si="521"/>
        <v>0</v>
      </c>
      <c r="BD41" s="26">
        <f t="shared" si="521"/>
        <v>0</v>
      </c>
      <c r="BE41" s="26">
        <f t="shared" si="521"/>
        <v>0</v>
      </c>
      <c r="BF41" s="26">
        <f t="shared" si="521"/>
        <v>0</v>
      </c>
      <c r="BG41" s="26">
        <f t="shared" si="521"/>
        <v>0</v>
      </c>
      <c r="BH41" s="26">
        <f t="shared" si="521"/>
        <v>0</v>
      </c>
      <c r="BI41" s="26">
        <f t="shared" si="521"/>
        <v>0</v>
      </c>
      <c r="BJ41" s="26">
        <f t="shared" si="521"/>
        <v>0</v>
      </c>
      <c r="BK41" s="26">
        <f t="shared" si="521"/>
        <v>0</v>
      </c>
      <c r="BL41" s="26">
        <f t="shared" si="521"/>
        <v>42.605999999999995</v>
      </c>
      <c r="BM41" s="26">
        <f t="shared" si="521"/>
        <v>46.233000000000011</v>
      </c>
      <c r="BN41" s="26">
        <f t="shared" si="521"/>
        <v>43.066999999999993</v>
      </c>
      <c r="BO41" s="26">
        <f t="shared" si="521"/>
        <v>39.794999999999987</v>
      </c>
      <c r="BP41" s="26">
        <f t="shared" si="521"/>
        <v>48.951000000000008</v>
      </c>
      <c r="BQ41" s="26">
        <f t="shared" si="521"/>
        <v>56.418000000000021</v>
      </c>
      <c r="BR41" s="26">
        <f t="shared" si="521"/>
        <v>60.125999999999991</v>
      </c>
      <c r="BS41" s="26">
        <f t="shared" si="521"/>
        <v>63.24199999999999</v>
      </c>
      <c r="BT41" s="26">
        <f t="shared" si="521"/>
        <v>72.559000000000026</v>
      </c>
      <c r="BU41" s="26">
        <f t="shared" si="521"/>
        <v>77.310999999999979</v>
      </c>
      <c r="BV41" s="26">
        <f t="shared" si="521"/>
        <v>73.83499999999998</v>
      </c>
      <c r="BW41" s="26">
        <f t="shared" si="521"/>
        <v>64.605999999999995</v>
      </c>
      <c r="BX41" s="26">
        <f t="shared" si="521"/>
        <v>72.100000000000023</v>
      </c>
      <c r="BY41" s="26">
        <f t="shared" si="521"/>
        <v>73.570000000000022</v>
      </c>
      <c r="BZ41" s="26">
        <f t="shared" si="521"/>
        <v>74.36099999999999</v>
      </c>
      <c r="CA41" s="26">
        <f t="shared" si="521"/>
        <v>75.676999999999964</v>
      </c>
      <c r="CB41" s="26">
        <f t="shared" si="521"/>
        <v>83.780000000000015</v>
      </c>
      <c r="CC41" s="26">
        <f t="shared" si="521"/>
        <v>88.535999999999987</v>
      </c>
      <c r="CD41" s="26">
        <f t="shared" si="521"/>
        <v>102.98400000000001</v>
      </c>
      <c r="CE41" s="26">
        <f t="shared" ref="CE41:CF41" si="522">CE38-CE39</f>
        <v>106.952</v>
      </c>
      <c r="CF41" s="26">
        <f t="shared" si="522"/>
        <v>120.83100000000007</v>
      </c>
      <c r="CG41" s="26">
        <f t="shared" ref="CG41:CH41" si="523">CG38-CG39</f>
        <v>124.10600000000001</v>
      </c>
      <c r="CH41" s="26">
        <f t="shared" si="523"/>
        <v>112.80399999999995</v>
      </c>
      <c r="CI41" s="26">
        <f t="shared" ref="CI41:CJ41" si="524">CI38-CI39</f>
        <v>108.29799999999997</v>
      </c>
      <c r="CJ41" s="26">
        <f t="shared" si="524"/>
        <v>113.97799999999998</v>
      </c>
      <c r="CK41" s="26">
        <f t="shared" ref="CK41:CL41" si="525">CK38-CK39</f>
        <v>124.65</v>
      </c>
      <c r="CL41" s="26">
        <f t="shared" si="525"/>
        <v>125.85199999999999</v>
      </c>
      <c r="CM41" s="27">
        <f t="shared" ref="CM41:DB41" si="526">CM38-CM39</f>
        <v>106.04807672614891</v>
      </c>
      <c r="CN41" s="27">
        <f t="shared" si="526"/>
        <v>120.90720228372166</v>
      </c>
      <c r="CO41" s="27">
        <f t="shared" si="526"/>
        <v>133.05900507883297</v>
      </c>
      <c r="CP41" s="27">
        <f t="shared" si="526"/>
        <v>139.86940663175068</v>
      </c>
      <c r="CQ41" s="27">
        <f t="shared" si="526"/>
        <v>135.80739881179628</v>
      </c>
      <c r="CR41" s="27">
        <f t="shared" si="526"/>
        <v>148.76618641897346</v>
      </c>
      <c r="CS41" s="27">
        <f t="shared" si="526"/>
        <v>159.05026102453706</v>
      </c>
      <c r="CT41" s="27">
        <f t="shared" si="526"/>
        <v>164.83069304134276</v>
      </c>
      <c r="CU41" s="27">
        <f t="shared" si="526"/>
        <v>159.52081284002514</v>
      </c>
      <c r="CV41" s="27">
        <f t="shared" si="526"/>
        <v>171.98537172327414</v>
      </c>
      <c r="CW41" s="27">
        <f t="shared" si="526"/>
        <v>181.88065538408705</v>
      </c>
      <c r="CX41" s="27">
        <f t="shared" si="526"/>
        <v>187.29679184870912</v>
      </c>
      <c r="CY41" s="27">
        <f t="shared" si="526"/>
        <v>180.91514103652463</v>
      </c>
      <c r="CZ41" s="27">
        <f t="shared" si="526"/>
        <v>193.6147044918491</v>
      </c>
      <c r="DA41" s="27">
        <f t="shared" si="526"/>
        <v>203.70298955757988</v>
      </c>
      <c r="DB41" s="27">
        <f t="shared" si="526"/>
        <v>209.09675504727596</v>
      </c>
      <c r="DE41" s="121"/>
      <c r="DF41" s="26">
        <v>121.94410860043007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>
        <f t="shared" ref="F42:AE42" si="528">+F41/F10</f>
        <v>0.25689749982471655</v>
      </c>
      <c r="G42" s="45">
        <f t="shared" si="528"/>
        <v>0.19940752277870777</v>
      </c>
      <c r="H42" s="45">
        <f t="shared" si="528"/>
        <v>0.24279350296986146</v>
      </c>
      <c r="I42" s="45">
        <f t="shared" si="528"/>
        <v>0.25598437423647402</v>
      </c>
      <c r="J42" s="45">
        <f t="shared" si="528"/>
        <v>0.1996173244418098</v>
      </c>
      <c r="K42" s="45">
        <f t="shared" si="528"/>
        <v>0.2590469836746328</v>
      </c>
      <c r="L42" s="45">
        <f t="shared" si="528"/>
        <v>0.18549779596977339</v>
      </c>
      <c r="M42" s="45">
        <f t="shared" si="528"/>
        <v>0.18536442293591432</v>
      </c>
      <c r="N42" s="45">
        <f t="shared" si="528"/>
        <v>0.2212326447680325</v>
      </c>
      <c r="O42" s="45">
        <f t="shared" si="528"/>
        <v>0.20352345724557264</v>
      </c>
      <c r="P42" s="45">
        <f t="shared" si="528"/>
        <v>0.20847467346454709</v>
      </c>
      <c r="Q42" s="45">
        <f t="shared" si="528"/>
        <v>0.24748972670213068</v>
      </c>
      <c r="R42" s="45">
        <f t="shared" si="528"/>
        <v>0.26579184773007375</v>
      </c>
      <c r="S42" s="45">
        <f t="shared" si="528"/>
        <v>0.23337166322258826</v>
      </c>
      <c r="T42" s="45">
        <f t="shared" si="528"/>
        <v>0.19487996650731015</v>
      </c>
      <c r="U42" s="45">
        <f t="shared" si="528"/>
        <v>0.24569018562528563</v>
      </c>
      <c r="V42" s="45">
        <f t="shared" si="528"/>
        <v>0.29098869192417592</v>
      </c>
      <c r="W42" s="45">
        <f t="shared" si="528"/>
        <v>0.31544152121516933</v>
      </c>
      <c r="X42" s="45">
        <f t="shared" si="528"/>
        <v>0.2928858134450239</v>
      </c>
      <c r="Y42" s="45">
        <f t="shared" si="528"/>
        <v>0.30881804698051007</v>
      </c>
      <c r="Z42" s="45">
        <f t="shared" ref="Z42:AA42" si="529">+Z41/Z10</f>
        <v>0.32667905486131205</v>
      </c>
      <c r="AA42" s="45">
        <f t="shared" si="529"/>
        <v>0.31180914216596356</v>
      </c>
      <c r="AB42" s="48">
        <f t="shared" si="528"/>
        <v>0.30769179517019668</v>
      </c>
      <c r="AC42" s="48">
        <f t="shared" si="528"/>
        <v>0.34899639011770589</v>
      </c>
      <c r="AD42" s="48">
        <f t="shared" si="528"/>
        <v>0.37437279888058456</v>
      </c>
      <c r="AE42" s="48">
        <f t="shared" si="528"/>
        <v>0.39183068968916701</v>
      </c>
      <c r="AI42" s="45" t="e">
        <f t="shared" ref="AI42:BN42" si="530">+AI41/AI10</f>
        <v>#DIV/0!</v>
      </c>
      <c r="AJ42" s="45" t="e">
        <f t="shared" si="530"/>
        <v>#DIV/0!</v>
      </c>
      <c r="AK42" s="45" t="e">
        <f t="shared" si="530"/>
        <v>#DIV/0!</v>
      </c>
      <c r="AL42" s="45" t="e">
        <f t="shared" si="530"/>
        <v>#DIV/0!</v>
      </c>
      <c r="AM42" s="45" t="e">
        <f t="shared" si="530"/>
        <v>#DIV/0!</v>
      </c>
      <c r="AN42" s="45" t="e">
        <f t="shared" si="530"/>
        <v>#DIV/0!</v>
      </c>
      <c r="AO42" s="45" t="e">
        <f t="shared" si="530"/>
        <v>#DIV/0!</v>
      </c>
      <c r="AP42" s="45" t="e">
        <f t="shared" si="530"/>
        <v>#DIV/0!</v>
      </c>
      <c r="AQ42" s="45" t="e">
        <f t="shared" si="530"/>
        <v>#DIV/0!</v>
      </c>
      <c r="AR42" s="45" t="e">
        <f t="shared" si="530"/>
        <v>#DIV/0!</v>
      </c>
      <c r="AS42" s="45" t="e">
        <f t="shared" si="530"/>
        <v>#DIV/0!</v>
      </c>
      <c r="AT42" s="45" t="e">
        <f t="shared" si="530"/>
        <v>#DIV/0!</v>
      </c>
      <c r="AU42" s="45" t="e">
        <f t="shared" si="530"/>
        <v>#DIV/0!</v>
      </c>
      <c r="AV42" s="45" t="e">
        <f t="shared" si="530"/>
        <v>#DIV/0!</v>
      </c>
      <c r="AW42" s="45" t="e">
        <f t="shared" si="530"/>
        <v>#DIV/0!</v>
      </c>
      <c r="AX42" s="45" t="e">
        <f t="shared" si="530"/>
        <v>#DIV/0!</v>
      </c>
      <c r="AY42" s="45" t="e">
        <f t="shared" si="530"/>
        <v>#DIV/0!</v>
      </c>
      <c r="AZ42" s="45" t="e">
        <f t="shared" si="530"/>
        <v>#DIV/0!</v>
      </c>
      <c r="BA42" s="45" t="e">
        <f t="shared" si="530"/>
        <v>#DIV/0!</v>
      </c>
      <c r="BB42" s="45" t="e">
        <f t="shared" si="530"/>
        <v>#DIV/0!</v>
      </c>
      <c r="BC42" s="45" t="e">
        <f t="shared" si="530"/>
        <v>#DIV/0!</v>
      </c>
      <c r="BD42" s="45" t="e">
        <f t="shared" si="530"/>
        <v>#DIV/0!</v>
      </c>
      <c r="BE42" s="45" t="e">
        <f t="shared" si="530"/>
        <v>#DIV/0!</v>
      </c>
      <c r="BF42" s="45" t="e">
        <f t="shared" si="530"/>
        <v>#DIV/0!</v>
      </c>
      <c r="BG42" s="45" t="e">
        <f t="shared" si="530"/>
        <v>#DIV/0!</v>
      </c>
      <c r="BH42" s="45" t="e">
        <f t="shared" si="530"/>
        <v>#DIV/0!</v>
      </c>
      <c r="BI42" s="45" t="e">
        <f t="shared" si="530"/>
        <v>#DIV/0!</v>
      </c>
      <c r="BJ42" s="45" t="e">
        <f t="shared" si="530"/>
        <v>#DIV/0!</v>
      </c>
      <c r="BK42" s="45" t="e">
        <f t="shared" si="530"/>
        <v>#DIV/0!</v>
      </c>
      <c r="BL42" s="45">
        <f t="shared" si="530"/>
        <v>0.24510576607776693</v>
      </c>
      <c r="BM42" s="45">
        <f t="shared" si="530"/>
        <v>0.2626397473186694</v>
      </c>
      <c r="BN42" s="45">
        <f t="shared" si="530"/>
        <v>0.2464280605384373</v>
      </c>
      <c r="BO42" s="45">
        <f t="shared" ref="BO42:CT42" si="531">+BO41/BO10</f>
        <v>0.26775441547518913</v>
      </c>
      <c r="BP42" s="45">
        <f t="shared" si="531"/>
        <v>0.28602229701304166</v>
      </c>
      <c r="BQ42" s="45">
        <f t="shared" si="531"/>
        <v>0.30339924604604401</v>
      </c>
      <c r="BR42" s="45">
        <f t="shared" si="531"/>
        <v>0.30097160276914292</v>
      </c>
      <c r="BS42" s="45">
        <f t="shared" si="531"/>
        <v>0.31436155406211475</v>
      </c>
      <c r="BT42" s="45">
        <f t="shared" si="531"/>
        <v>0.31880613016045989</v>
      </c>
      <c r="BU42" s="45">
        <f t="shared" si="531"/>
        <v>0.32522968970855481</v>
      </c>
      <c r="BV42" s="45">
        <f t="shared" si="531"/>
        <v>0.30361783669978282</v>
      </c>
      <c r="BW42" s="45">
        <f t="shared" si="531"/>
        <v>0.27300693863407788</v>
      </c>
      <c r="BX42" s="45">
        <f t="shared" si="531"/>
        <v>0.29747906093988541</v>
      </c>
      <c r="BY42" s="45">
        <f t="shared" si="531"/>
        <v>0.30204621220829991</v>
      </c>
      <c r="BZ42" s="45">
        <f t="shared" si="531"/>
        <v>0.29835218404824282</v>
      </c>
      <c r="CA42" s="45">
        <f t="shared" si="531"/>
        <v>0.28961840649983339</v>
      </c>
      <c r="CB42" s="45">
        <f t="shared" si="531"/>
        <v>0.30456262291744673</v>
      </c>
      <c r="CC42" s="45">
        <f t="shared" si="531"/>
        <v>0.30563591297923898</v>
      </c>
      <c r="CD42" s="45">
        <f t="shared" si="531"/>
        <v>0.33171529896057128</v>
      </c>
      <c r="CE42" s="45">
        <f t="shared" si="531"/>
        <v>0.322725873712289</v>
      </c>
      <c r="CF42" s="45">
        <f t="shared" si="531"/>
        <v>0.33088791035457282</v>
      </c>
      <c r="CG42" s="45">
        <f t="shared" si="531"/>
        <v>0.33565476560746249</v>
      </c>
      <c r="CH42" s="45">
        <f t="shared" si="531"/>
        <v>0.3167174856667957</v>
      </c>
      <c r="CI42" s="45">
        <f t="shared" ref="CI42:CJ42" si="532">+CI41/CI10</f>
        <v>0.30579525175630795</v>
      </c>
      <c r="CJ42" s="45">
        <f t="shared" si="532"/>
        <v>0.30253916514925489</v>
      </c>
      <c r="CK42" s="45">
        <f t="shared" ref="CK42:CL42" si="533">+CK41/CK10</f>
        <v>0.31950151099992569</v>
      </c>
      <c r="CL42" s="45">
        <f t="shared" si="533"/>
        <v>0.31843530185719343</v>
      </c>
      <c r="CM42" s="48">
        <f t="shared" si="531"/>
        <v>0.28082798492628591</v>
      </c>
      <c r="CN42" s="48">
        <f t="shared" si="531"/>
        <v>0.30114858576780007</v>
      </c>
      <c r="CO42" s="48">
        <f t="shared" si="531"/>
        <v>0.3174978469503143</v>
      </c>
      <c r="CP42" s="48">
        <f t="shared" si="531"/>
        <v>0.32800466333544459</v>
      </c>
      <c r="CQ42" s="48">
        <f t="shared" si="531"/>
        <v>0.33570440336105439</v>
      </c>
      <c r="CR42" s="48">
        <f t="shared" si="531"/>
        <v>0.34547972906475549</v>
      </c>
      <c r="CS42" s="48">
        <f t="shared" si="531"/>
        <v>0.35328789058991622</v>
      </c>
      <c r="CT42" s="48">
        <f t="shared" si="531"/>
        <v>0.35982283137346738</v>
      </c>
      <c r="CU42" s="48">
        <f t="shared" ref="CU42:DB42" si="534">+CU41/CU10</f>
        <v>0.36746830938633168</v>
      </c>
      <c r="CV42" s="48">
        <f t="shared" si="534"/>
        <v>0.37204647828772697</v>
      </c>
      <c r="CW42" s="48">
        <f t="shared" si="534"/>
        <v>0.37624236750036233</v>
      </c>
      <c r="CX42" s="48">
        <f t="shared" si="534"/>
        <v>0.38081587847756754</v>
      </c>
      <c r="CY42" s="48">
        <f t="shared" si="534"/>
        <v>0.38821448363612121</v>
      </c>
      <c r="CZ42" s="48">
        <f t="shared" si="534"/>
        <v>0.39011680312528818</v>
      </c>
      <c r="DA42" s="48">
        <f t="shared" si="534"/>
        <v>0.39248226965400074</v>
      </c>
      <c r="DB42" s="48">
        <f t="shared" si="534"/>
        <v>0.39599263872466228</v>
      </c>
      <c r="DE42" s="129"/>
      <c r="DF42" s="45">
        <v>0.31829262409473535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 t="e">
        <f t="shared" ref="F43:AE43" si="536">+IF(E41&lt;0,1-F41/E41,F41/E41-1)</f>
        <v>#DIV/0!</v>
      </c>
      <c r="G43" s="39">
        <f t="shared" si="536"/>
        <v>0.33805992106737137</v>
      </c>
      <c r="H43" s="39">
        <f t="shared" si="536"/>
        <v>0.67541230417779152</v>
      </c>
      <c r="I43" s="39">
        <f t="shared" si="536"/>
        <v>0.37451203950497969</v>
      </c>
      <c r="J43" s="39">
        <f t="shared" si="536"/>
        <v>-0.32388114634776088</v>
      </c>
      <c r="K43" s="39">
        <f t="shared" si="536"/>
        <v>0.63734562885927826</v>
      </c>
      <c r="L43" s="39">
        <f t="shared" si="536"/>
        <v>-0.26914469456567258</v>
      </c>
      <c r="M43" s="39">
        <f t="shared" si="536"/>
        <v>-0.14180136843302438</v>
      </c>
      <c r="N43" s="39">
        <f t="shared" si="536"/>
        <v>0.29212816455696222</v>
      </c>
      <c r="O43" s="39">
        <f t="shared" si="536"/>
        <v>4.4139338741766565E-3</v>
      </c>
      <c r="P43" s="39">
        <f t="shared" si="536"/>
        <v>0.21888290406175037</v>
      </c>
      <c r="Q43" s="39">
        <f t="shared" si="536"/>
        <v>0.23131964926713899</v>
      </c>
      <c r="R43" s="39">
        <f t="shared" si="536"/>
        <v>0.29089694290242996</v>
      </c>
      <c r="S43" s="39">
        <f t="shared" si="536"/>
        <v>0.17765839039412312</v>
      </c>
      <c r="T43" s="39">
        <f t="shared" si="536"/>
        <v>-9.7110334679657684E-2</v>
      </c>
      <c r="U43" s="39">
        <f t="shared" si="536"/>
        <v>0.27160551364763186</v>
      </c>
      <c r="V43" s="39">
        <f t="shared" si="536"/>
        <v>0.19430259197334143</v>
      </c>
      <c r="W43" s="39">
        <f t="shared" si="536"/>
        <v>0.39775480013035125</v>
      </c>
      <c r="X43" s="39">
        <f t="shared" si="536"/>
        <v>-8.0589823413325101E-3</v>
      </c>
      <c r="Y43" s="39">
        <f t="shared" si="536"/>
        <v>0.23308110333817766</v>
      </c>
      <c r="Z43" s="39">
        <f t="shared" ref="Z43:AA43" si="537">+IF(Y41&lt;0,1-Z41/Y41,Z41/Y41-1)</f>
        <v>0.3240044299161231</v>
      </c>
      <c r="AA43" s="39">
        <f t="shared" si="537"/>
        <v>1.7398059589559089E-2</v>
      </c>
      <c r="AB43" s="40">
        <f t="shared" si="536"/>
        <v>5.7327665134216277E-2</v>
      </c>
      <c r="AC43" s="40">
        <f t="shared" si="536"/>
        <v>0.21719222009367423</v>
      </c>
      <c r="AD43" s="40">
        <f t="shared" si="536"/>
        <v>0.15157926606326133</v>
      </c>
      <c r="AE43" s="40">
        <f t="shared" si="536"/>
        <v>0.12365917284956418</v>
      </c>
      <c r="AM43" s="39" t="e">
        <f>+IF(AI41&lt;0,1-AM41/AI41,AM41/AI41-1)</f>
        <v>#DIV/0!</v>
      </c>
      <c r="AN43" s="39" t="e">
        <f t="shared" ref="AN43" si="538">+IF(AJ41&lt;0,1-AN41/AJ41,AN41/AJ41-1)</f>
        <v>#DIV/0!</v>
      </c>
      <c r="AO43" s="39" t="e">
        <f t="shared" ref="AO43" si="539">+IF(AK41&lt;0,1-AO41/AK41,AO41/AK41-1)</f>
        <v>#DIV/0!</v>
      </c>
      <c r="AP43" s="39" t="e">
        <f t="shared" ref="AP43" si="540">+IF(AL41&lt;0,1-AP41/AL41,AP41/AL41-1)</f>
        <v>#DIV/0!</v>
      </c>
      <c r="AQ43" s="39" t="e">
        <f t="shared" ref="AQ43" si="541">+IF(AM41&lt;0,1-AQ41/AM41,AQ41/AM41-1)</f>
        <v>#DIV/0!</v>
      </c>
      <c r="AR43" s="39" t="e">
        <f t="shared" ref="AR43" si="542">+IF(AN41&lt;0,1-AR41/AN41,AR41/AN41-1)</f>
        <v>#DIV/0!</v>
      </c>
      <c r="AS43" s="39" t="e">
        <f t="shared" ref="AS43" si="543">+IF(AO41&lt;0,1-AS41/AO41,AS41/AO41-1)</f>
        <v>#DIV/0!</v>
      </c>
      <c r="AT43" s="39" t="e">
        <f t="shared" ref="AT43" si="544">+IF(AP41&lt;0,1-AT41/AP41,AT41/AP41-1)</f>
        <v>#DIV/0!</v>
      </c>
      <c r="AU43" s="39" t="e">
        <f t="shared" ref="AU43" si="545">+IF(AQ41&lt;0,1-AU41/AQ41,AU41/AQ41-1)</f>
        <v>#DIV/0!</v>
      </c>
      <c r="AV43" s="39" t="e">
        <f t="shared" ref="AV43" si="546">+IF(AR41&lt;0,1-AV41/AR41,AV41/AR41-1)</f>
        <v>#DIV/0!</v>
      </c>
      <c r="AW43" s="39" t="e">
        <f t="shared" ref="AW43" si="547">+IF(AS41&lt;0,1-AW41/AS41,AW41/AS41-1)</f>
        <v>#DIV/0!</v>
      </c>
      <c r="AX43" s="39" t="e">
        <f t="shared" ref="AX43" si="548">+IF(AT41&lt;0,1-AX41/AT41,AX41/AT41-1)</f>
        <v>#DIV/0!</v>
      </c>
      <c r="AY43" s="39" t="e">
        <f t="shared" ref="AY43" si="549">+IF(AU41&lt;0,1-AY41/AU41,AY41/AU41-1)</f>
        <v>#DIV/0!</v>
      </c>
      <c r="AZ43" s="39" t="e">
        <f t="shared" ref="AZ43" si="550">+IF(AV41&lt;0,1-AZ41/AV41,AZ41/AV41-1)</f>
        <v>#DIV/0!</v>
      </c>
      <c r="BA43" s="39" t="e">
        <f t="shared" ref="BA43" si="551">+IF(AW41&lt;0,1-BA41/AW41,BA41/AW41-1)</f>
        <v>#DIV/0!</v>
      </c>
      <c r="BB43" s="39" t="e">
        <f t="shared" ref="BB43" si="552">+IF(AX41&lt;0,1-BB41/AX41,BB41/AX41-1)</f>
        <v>#DIV/0!</v>
      </c>
      <c r="BC43" s="39" t="e">
        <f t="shared" ref="BC43" si="553">+IF(AY41&lt;0,1-BC41/AY41,BC41/AY41-1)</f>
        <v>#DIV/0!</v>
      </c>
      <c r="BD43" s="39" t="e">
        <f t="shared" ref="BD43" si="554">+IF(AZ41&lt;0,1-BD41/AZ41,BD41/AZ41-1)</f>
        <v>#DIV/0!</v>
      </c>
      <c r="BE43" s="39" t="e">
        <f t="shared" ref="BE43" si="555">+IF(BA41&lt;0,1-BE41/BA41,BE41/BA41-1)</f>
        <v>#DIV/0!</v>
      </c>
      <c r="BF43" s="39" t="e">
        <f t="shared" ref="BF43" si="556">+IF(BB41&lt;0,1-BF41/BB41,BF41/BB41-1)</f>
        <v>#DIV/0!</v>
      </c>
      <c r="BG43" s="39" t="e">
        <f t="shared" ref="BG43" si="557">+IF(BC41&lt;0,1-BG41/BC41,BG41/BC41-1)</f>
        <v>#DIV/0!</v>
      </c>
      <c r="BH43" s="39" t="e">
        <f t="shared" ref="BH43" si="558">+IF(BD41&lt;0,1-BH41/BD41,BH41/BD41-1)</f>
        <v>#DIV/0!</v>
      </c>
      <c r="BI43" s="39" t="e">
        <f t="shared" ref="BI43" si="559">+IF(BE41&lt;0,1-BI41/BE41,BI41/BE41-1)</f>
        <v>#DIV/0!</v>
      </c>
      <c r="BJ43" s="39" t="e">
        <f t="shared" ref="BJ43" si="560">+IF(BF41&lt;0,1-BJ41/BF41,BJ41/BF41-1)</f>
        <v>#DIV/0!</v>
      </c>
      <c r="BK43" s="39" t="e">
        <f t="shared" ref="BK43" si="561">+IF(BG41&lt;0,1-BK41/BG41,BK41/BG41-1)</f>
        <v>#DIV/0!</v>
      </c>
      <c r="BL43" s="39" t="e">
        <f t="shared" ref="BL43" si="562">+IF(BH41&lt;0,1-BL41/BH41,BL41/BH41-1)</f>
        <v>#DIV/0!</v>
      </c>
      <c r="BM43" s="39" t="e">
        <f t="shared" ref="BM43" si="563">+IF(BI41&lt;0,1-BM41/BI41,BM41/BI41-1)</f>
        <v>#DIV/0!</v>
      </c>
      <c r="BN43" s="39" t="e">
        <f t="shared" ref="BN43" si="564">+IF(BJ41&lt;0,1-BN41/BJ41,BN41/BJ41-1)</f>
        <v>#DIV/0!</v>
      </c>
      <c r="BO43" s="39" t="e">
        <f t="shared" ref="BO43" si="565">+IF(BK41&lt;0,1-BO41/BK41,BO41/BK41-1)</f>
        <v>#DIV/0!</v>
      </c>
      <c r="BP43" s="39">
        <f t="shared" ref="BP43" si="566">+IF(BL41&lt;0,1-BP41/BL41,BP41/BL41-1)</f>
        <v>0.14892268694550093</v>
      </c>
      <c r="BQ43" s="39">
        <f t="shared" ref="BQ43" si="567">+IF(BM41&lt;0,1-BQ41/BM41,BQ41/BM41-1)</f>
        <v>0.22029719031860373</v>
      </c>
      <c r="BR43" s="39">
        <f t="shared" ref="BR43" si="568">+IF(BN41&lt;0,1-BR41/BN41,BR41/BN41-1)</f>
        <v>0.39610374532704862</v>
      </c>
      <c r="BS43" s="39">
        <f t="shared" ref="BS43" si="569">+IF(BO41&lt;0,1-BS41/BO41,BS41/BO41-1)</f>
        <v>0.58919462244000531</v>
      </c>
      <c r="BT43" s="39">
        <f t="shared" ref="BT43" si="570">+IF(BP41&lt;0,1-BT41/BP41,BT41/BP41-1)</f>
        <v>0.48227819656391113</v>
      </c>
      <c r="BU43" s="39">
        <f t="shared" ref="BU43" si="571">+IF(BQ41&lt;0,1-BU41/BQ41,BU41/BQ41-1)</f>
        <v>0.37032507355808342</v>
      </c>
      <c r="BV43" s="39">
        <f t="shared" ref="BV43" si="572">+IF(BR41&lt;0,1-BV41/BR41,BV41/BR41-1)</f>
        <v>0.22800452383328329</v>
      </c>
      <c r="BW43" s="39">
        <f t="shared" ref="BW43" si="573">+IF(BS41&lt;0,1-BW41/BS41,BW41/BS41-1)</f>
        <v>2.1567945352771956E-2</v>
      </c>
      <c r="BX43" s="39">
        <f t="shared" ref="BX43" si="574">+IF(BT41&lt;0,1-BX41/BT41,BX41/BT41-1)</f>
        <v>-6.3258865199355974E-3</v>
      </c>
      <c r="BY43" s="39">
        <f t="shared" ref="BY43" si="575">+IF(BU41&lt;0,1-BY41/BU41,BY41/BU41-1)</f>
        <v>-4.8388974402089668E-2</v>
      </c>
      <c r="BZ43" s="39">
        <f t="shared" ref="BZ43" si="576">+IF(BV41&lt;0,1-BZ41/BV41,BZ41/BV41-1)</f>
        <v>7.1239926863955194E-3</v>
      </c>
      <c r="CA43" s="39">
        <f t="shared" ref="CA43" si="577">+IF(BW41&lt;0,1-CA41/BW41,CA41/BW41-1)</f>
        <v>0.17136179302231946</v>
      </c>
      <c r="CB43" s="39">
        <f t="shared" ref="CB43" si="578">+IF(BX41&lt;0,1-CB41/BX41,CB41/BX41-1)</f>
        <v>0.16199722607489586</v>
      </c>
      <c r="CC43" s="39">
        <f t="shared" ref="CC43" si="579">+IF(BY41&lt;0,1-CC41/BY41,CC41/BY41-1)</f>
        <v>0.2034253092293048</v>
      </c>
      <c r="CD43" s="39">
        <f t="shared" ref="CD43" si="580">+IF(BZ41&lt;0,1-CD41/BZ41,CD41/BZ41-1)</f>
        <v>0.38491951426150828</v>
      </c>
      <c r="CE43" s="39">
        <f t="shared" ref="CE43" si="581">+IF(CA41&lt;0,1-CE41/CA41,CE41/CA41-1)</f>
        <v>0.41326955349710026</v>
      </c>
      <c r="CF43" s="39">
        <f t="shared" ref="CF43" si="582">+IF(CB41&lt;0,1-CF41/CB41,CF41/CB41-1)</f>
        <v>0.44224158510384393</v>
      </c>
      <c r="CG43" s="39">
        <f t="shared" ref="CG43" si="583">+IF(CC41&lt;0,1-CG41/CC41,CG41/CC41-1)</f>
        <v>0.40175747718442256</v>
      </c>
      <c r="CH43" s="39">
        <f t="shared" ref="CH43:CL43" si="584">+IF(CD41&lt;0,1-CH41/CD41,CH41/CD41-1)</f>
        <v>9.5354618193116858E-2</v>
      </c>
      <c r="CI43" s="39">
        <f t="shared" si="584"/>
        <v>1.2585084897897891E-2</v>
      </c>
      <c r="CJ43" s="39">
        <f t="shared" si="584"/>
        <v>-5.6715577955988805E-2</v>
      </c>
      <c r="CK43" s="39">
        <f t="shared" si="584"/>
        <v>4.3833497171772429E-3</v>
      </c>
      <c r="CL43" s="39">
        <f t="shared" si="584"/>
        <v>0.1156696571043585</v>
      </c>
      <c r="CM43" s="40">
        <f t="shared" ref="CM43" si="585">+CM41/CI41-1</f>
        <v>-2.0775298471357395E-2</v>
      </c>
      <c r="CN43" s="40">
        <f t="shared" ref="CN43" si="586">+CN41/CJ41-1</f>
        <v>6.0794208388651239E-2</v>
      </c>
      <c r="CO43" s="40">
        <f t="shared" ref="CO43" si="587">+CO41/CK41-1</f>
        <v>6.7460931238130462E-2</v>
      </c>
      <c r="CP43" s="40">
        <f t="shared" ref="CP43" si="588">+CP41/CL41-1</f>
        <v>0.11138008638520391</v>
      </c>
      <c r="CQ43" s="40">
        <f t="shared" ref="CQ43" si="589">+CQ41/CM41-1</f>
        <v>0.28062104475968708</v>
      </c>
      <c r="CR43" s="40">
        <f t="shared" ref="CR43" si="590">+CR41/CN41-1</f>
        <v>0.23041624989285348</v>
      </c>
      <c r="CS43" s="40">
        <f t="shared" ref="CS43" si="591">+CS41/CO41-1</f>
        <v>0.19533631662362994</v>
      </c>
      <c r="CT43" s="40">
        <f t="shared" ref="CT43" si="592">+CT41/CP41-1</f>
        <v>0.17846137343894197</v>
      </c>
      <c r="CU43" s="40">
        <f t="shared" ref="CU43" si="593">+CU41/CQ41-1</f>
        <v>0.17461061941913214</v>
      </c>
      <c r="CV43" s="40">
        <f t="shared" ref="CV43" si="594">+CV41/CR41-1</f>
        <v>0.15607837952441672</v>
      </c>
      <c r="CW43" s="40">
        <f t="shared" ref="CW43" si="595">+CW41/CS41-1</f>
        <v>0.14354201126414923</v>
      </c>
      <c r="CX43" s="40">
        <f t="shared" ref="CX43" si="596">+CX41/CT41-1</f>
        <v>0.1362980303779433</v>
      </c>
      <c r="CY43" s="40">
        <f t="shared" ref="CY43" si="597">+CY41/CU41-1</f>
        <v>0.13411621853980082</v>
      </c>
      <c r="CZ43" s="40">
        <f t="shared" ref="CZ43" si="598">+CZ41/CV41-1</f>
        <v>0.12576263057637682</v>
      </c>
      <c r="DA43" s="40">
        <f t="shared" ref="DA43" si="599">+DA41/CW41-1</f>
        <v>0.11998161171901134</v>
      </c>
      <c r="DB43" s="40">
        <f t="shared" ref="DB43" si="600">+DB41/CX41-1</f>
        <v>0.11639261400791101</v>
      </c>
      <c r="DE43" s="122"/>
      <c r="DF43" s="39">
        <v>8.1026458285434311E-2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1">+IF(AJ41&lt;0,1-AK41/AJ41,AK41/AJ41-1)</f>
        <v>#DIV/0!</v>
      </c>
      <c r="AL44" s="39" t="e">
        <f t="shared" si="601"/>
        <v>#DIV/0!</v>
      </c>
      <c r="AM44" s="39" t="e">
        <f t="shared" si="601"/>
        <v>#DIV/0!</v>
      </c>
      <c r="AN44" s="39" t="e">
        <f t="shared" ref="AN44" si="602">+IF(AM41&lt;0,1-AN41/AM41,AN41/AM41-1)</f>
        <v>#DIV/0!</v>
      </c>
      <c r="AO44" s="39" t="e">
        <f t="shared" ref="AO44" si="603">+IF(AN41&lt;0,1-AO41/AN41,AO41/AN41-1)</f>
        <v>#DIV/0!</v>
      </c>
      <c r="AP44" s="39" t="e">
        <f t="shared" ref="AP44" si="604">+IF(AO41&lt;0,1-AP41/AO41,AP41/AO41-1)</f>
        <v>#DIV/0!</v>
      </c>
      <c r="AQ44" s="39" t="e">
        <f t="shared" ref="AQ44" si="605">+IF(AP41&lt;0,1-AQ41/AP41,AQ41/AP41-1)</f>
        <v>#DIV/0!</v>
      </c>
      <c r="AR44" s="39" t="e">
        <f t="shared" ref="AR44" si="606">+IF(AQ41&lt;0,1-AR41/AQ41,AR41/AQ41-1)</f>
        <v>#DIV/0!</v>
      </c>
      <c r="AS44" s="39" t="e">
        <f t="shared" ref="AS44" si="607">+IF(AR41&lt;0,1-AS41/AR41,AS41/AR41-1)</f>
        <v>#DIV/0!</v>
      </c>
      <c r="AT44" s="39" t="e">
        <f t="shared" ref="AT44" si="608">+IF(AS41&lt;0,1-AT41/AS41,AT41/AS41-1)</f>
        <v>#DIV/0!</v>
      </c>
      <c r="AU44" s="39" t="e">
        <f t="shared" ref="AU44" si="609">+IF(AT41&lt;0,1-AU41/AT41,AU41/AT41-1)</f>
        <v>#DIV/0!</v>
      </c>
      <c r="AV44" s="39" t="e">
        <f t="shared" ref="AV44" si="610">+IF(AU41&lt;0,1-AV41/AU41,AV41/AU41-1)</f>
        <v>#DIV/0!</v>
      </c>
      <c r="AW44" s="39" t="e">
        <f t="shared" ref="AW44" si="611">+IF(AV41&lt;0,1-AW41/AV41,AW41/AV41-1)</f>
        <v>#DIV/0!</v>
      </c>
      <c r="AX44" s="39" t="e">
        <f t="shared" ref="AX44" si="612">+IF(AW41&lt;0,1-AX41/AW41,AX41/AW41-1)</f>
        <v>#DIV/0!</v>
      </c>
      <c r="AY44" s="39" t="e">
        <f t="shared" ref="AY44" si="613">+IF(AX41&lt;0,1-AY41/AX41,AY41/AX41-1)</f>
        <v>#DIV/0!</v>
      </c>
      <c r="AZ44" s="39" t="e">
        <f t="shared" ref="AZ44" si="614">+IF(AY41&lt;0,1-AZ41/AY41,AZ41/AY41-1)</f>
        <v>#DIV/0!</v>
      </c>
      <c r="BA44" s="39" t="e">
        <f t="shared" ref="BA44" si="615">+IF(AZ41&lt;0,1-BA41/AZ41,BA41/AZ41-1)</f>
        <v>#DIV/0!</v>
      </c>
      <c r="BB44" s="39" t="e">
        <f t="shared" ref="BB44" si="616">+IF(BA41&lt;0,1-BB41/BA41,BB41/BA41-1)</f>
        <v>#DIV/0!</v>
      </c>
      <c r="BC44" s="39" t="e">
        <f t="shared" ref="BC44" si="617">+IF(BB41&lt;0,1-BC41/BB41,BC41/BB41-1)</f>
        <v>#DIV/0!</v>
      </c>
      <c r="BD44" s="39" t="e">
        <f t="shared" ref="BD44" si="618">+IF(BC41&lt;0,1-BD41/BC41,BD41/BC41-1)</f>
        <v>#DIV/0!</v>
      </c>
      <c r="BE44" s="39" t="e">
        <f t="shared" ref="BE44" si="619">+IF(BD41&lt;0,1-BE41/BD41,BE41/BD41-1)</f>
        <v>#DIV/0!</v>
      </c>
      <c r="BF44" s="39" t="e">
        <f t="shared" ref="BF44" si="620">+IF(BE41&lt;0,1-BF41/BE41,BF41/BE41-1)</f>
        <v>#DIV/0!</v>
      </c>
      <c r="BG44" s="39" t="e">
        <f t="shared" ref="BG44" si="621">+IF(BF41&lt;0,1-BG41/BF41,BG41/BF41-1)</f>
        <v>#DIV/0!</v>
      </c>
      <c r="BH44" s="39" t="e">
        <f t="shared" ref="BH44" si="622">+IF(BG41&lt;0,1-BH41/BG41,BH41/BG41-1)</f>
        <v>#DIV/0!</v>
      </c>
      <c r="BI44" s="39" t="e">
        <f t="shared" ref="BI44" si="623">+IF(BH41&lt;0,1-BI41/BH41,BI41/BH41-1)</f>
        <v>#DIV/0!</v>
      </c>
      <c r="BJ44" s="39" t="e">
        <f t="shared" ref="BJ44" si="624">+IF(BI41&lt;0,1-BJ41/BI41,BJ41/BI41-1)</f>
        <v>#DIV/0!</v>
      </c>
      <c r="BK44" s="39" t="e">
        <f t="shared" ref="BK44" si="625">+IF(BJ41&lt;0,1-BK41/BJ41,BK41/BJ41-1)</f>
        <v>#DIV/0!</v>
      </c>
      <c r="BL44" s="39" t="e">
        <f t="shared" ref="BL44" si="626">+IF(BK41&lt;0,1-BL41/BK41,BL41/BK41-1)</f>
        <v>#DIV/0!</v>
      </c>
      <c r="BM44" s="39">
        <f t="shared" ref="BM44" si="627">+IF(BL41&lt;0,1-BM41/BL41,BM41/BL41-1)</f>
        <v>8.5128855090832678E-2</v>
      </c>
      <c r="BN44" s="39">
        <f t="shared" ref="BN44" si="628">+IF(BM41&lt;0,1-BN41/BM41,BN41/BM41-1)</f>
        <v>-6.8479224796141658E-2</v>
      </c>
      <c r="BO44" s="39">
        <f t="shared" ref="BO44" si="629">+IF(BN41&lt;0,1-BO41/BN41,BO41/BN41-1)</f>
        <v>-7.5974644159101046E-2</v>
      </c>
      <c r="BP44" s="39">
        <f t="shared" ref="BP44" si="630">+IF(BO41&lt;0,1-BP41/BO41,BP41/BO41-1)</f>
        <v>0.23007915567282389</v>
      </c>
      <c r="BQ44" s="39">
        <f t="shared" ref="BQ44" si="631">+IF(BP41&lt;0,1-BQ41/BP41,BQ41/BP41-1)</f>
        <v>0.15254029539743841</v>
      </c>
      <c r="BR44" s="39">
        <f t="shared" ref="BR44" si="632">+IF(BQ41&lt;0,1-BR41/BQ41,BR41/BQ41-1)</f>
        <v>6.5723705200467331E-2</v>
      </c>
      <c r="BS44" s="39">
        <f t="shared" ref="BS44" si="633">+IF(BR41&lt;0,1-BS41/BR41,BS41/BR41-1)</f>
        <v>5.1824501879386586E-2</v>
      </c>
      <c r="BT44" s="39">
        <f t="shared" ref="BT44" si="634">+IF(BS41&lt;0,1-BT41/BS41,BT41/BS41-1)</f>
        <v>0.14732298156288604</v>
      </c>
      <c r="BU44" s="39">
        <f t="shared" ref="BU44" si="635">+IF(BT41&lt;0,1-BU41/BT41,BU41/BT41-1)</f>
        <v>6.5491531029919781E-2</v>
      </c>
      <c r="BV44" s="39">
        <f t="shared" ref="BV44" si="636">+IF(BU41&lt;0,1-BV41/BU41,BV41/BU41-1)</f>
        <v>-4.4961260363984401E-2</v>
      </c>
      <c r="BW44" s="39">
        <f t="shared" ref="BW44" si="637">+IF(BV41&lt;0,1-BW41/BV41,BW41/BV41-1)</f>
        <v>-0.12499492110787547</v>
      </c>
      <c r="BX44" s="39">
        <f t="shared" ref="BX44" si="638">+IF(BW41&lt;0,1-BX41/BW41,BX41/BW41-1)</f>
        <v>0.11599541838219407</v>
      </c>
      <c r="BY44" s="39">
        <f t="shared" ref="BY44" si="639">+IF(BX41&lt;0,1-BY41/BX41,BY41/BX41-1)</f>
        <v>2.0388349514563142E-2</v>
      </c>
      <c r="BZ44" s="39">
        <f t="shared" ref="BZ44" si="640">+IF(BY41&lt;0,1-BZ41/BY41,BZ41/BY41-1)</f>
        <v>1.0751665080874995E-2</v>
      </c>
      <c r="CA44" s="39">
        <f t="shared" ref="CA44" si="641">+IF(BZ41&lt;0,1-CA41/BZ41,CA41/BZ41-1)</f>
        <v>1.7697448931563331E-2</v>
      </c>
      <c r="CB44" s="39">
        <f t="shared" ref="CB44" si="642">+IF(CA41&lt;0,1-CB41/CA41,CB41/CA41-1)</f>
        <v>0.10707348335689915</v>
      </c>
      <c r="CC44" s="39">
        <f t="shared" ref="CC44" si="643">+IF(CB41&lt;0,1-CC41/CB41,CC41/CB41-1)</f>
        <v>5.676772499403171E-2</v>
      </c>
      <c r="CD44" s="39">
        <f t="shared" ref="CD44" si="644">+IF(CC41&lt;0,1-CD41/CC41,CD41/CC41-1)</f>
        <v>0.16318785578747663</v>
      </c>
      <c r="CE44" s="39">
        <f t="shared" ref="CE44" si="645">+IF(CD41&lt;0,1-CE41/CD41,CE41/CD41-1)</f>
        <v>3.8530257127320722E-2</v>
      </c>
      <c r="CF44" s="39">
        <f t="shared" ref="CF44" si="646">+IF(CE41&lt;0,1-CF41/CE41,CF41/CE41-1)</f>
        <v>0.12976849427780768</v>
      </c>
      <c r="CG44" s="39">
        <f t="shared" ref="CG44" si="647">+IF(CF41&lt;0,1-CG41/CF41,CG41/CF41-1)</f>
        <v>2.7103971662900461E-2</v>
      </c>
      <c r="CH44" s="39">
        <f t="shared" ref="CH44:CL44" si="648">+IF(CG41&lt;0,1-CH41/CG41,CH41/CG41-1)</f>
        <v>-9.1067313425620577E-2</v>
      </c>
      <c r="CI44" s="39">
        <f t="shared" si="648"/>
        <v>-3.9945392007375347E-2</v>
      </c>
      <c r="CJ44" s="39">
        <f t="shared" si="648"/>
        <v>5.2447875307023217E-2</v>
      </c>
      <c r="CK44" s="39">
        <f t="shared" si="648"/>
        <v>9.3632104441208286E-2</v>
      </c>
      <c r="CL44" s="39">
        <f t="shared" si="648"/>
        <v>9.6430004011229808E-3</v>
      </c>
      <c r="CM44" s="40">
        <f t="shared" ref="CM44" si="649">+CM41/CL41-1</f>
        <v>-0.15735882841632298</v>
      </c>
      <c r="CN44" s="40">
        <f t="shared" ref="CN44" si="650">+CN41/CM41-1</f>
        <v>0.14011687921454641</v>
      </c>
      <c r="CO44" s="40">
        <f t="shared" ref="CO44" si="651">+CO41/CN41-1</f>
        <v>0.10050520205236246</v>
      </c>
      <c r="CP44" s="40">
        <f t="shared" ref="CP44" si="652">+CP41/CO41-1</f>
        <v>5.1183319376864267E-2</v>
      </c>
      <c r="CQ44" s="40">
        <f t="shared" ref="CQ44" si="653">+CQ41/CP41-1</f>
        <v>-2.9041431702422904E-2</v>
      </c>
      <c r="CR44" s="40">
        <f t="shared" ref="CR44" si="654">+CR41/CQ41-1</f>
        <v>9.5420335862081096E-2</v>
      </c>
      <c r="CS44" s="40">
        <f t="shared" ref="CS44" si="655">+CS41/CR41-1</f>
        <v>6.9129113632047767E-2</v>
      </c>
      <c r="CT44" s="40">
        <f t="shared" ref="CT44" si="656">+CT41/CS41-1</f>
        <v>3.6343429929448057E-2</v>
      </c>
      <c r="CU44" s="40">
        <f t="shared" ref="CU44" si="657">+CU41/CT41-1</f>
        <v>-3.2214147155140482E-2</v>
      </c>
      <c r="CV44" s="40">
        <f t="shared" ref="CV44" si="658">+CV41/CU41-1</f>
        <v>7.8137508587979854E-2</v>
      </c>
      <c r="CW44" s="40">
        <f t="shared" ref="CW44" si="659">+CW41/CV41-1</f>
        <v>5.7535612253898583E-2</v>
      </c>
      <c r="CX44" s="40">
        <f t="shared" ref="CX44" si="660">+CX41/CW41-1</f>
        <v>2.9778518519105512E-2</v>
      </c>
      <c r="CY44" s="40">
        <f t="shared" ref="CY44" si="661">+CY41/CX41-1</f>
        <v>-3.407239787288685E-2</v>
      </c>
      <c r="CZ44" s="40">
        <f t="shared" ref="CZ44" si="662">+CZ41/CY41-1</f>
        <v>7.0196244397037866E-2</v>
      </c>
      <c r="DA44" s="40">
        <f t="shared" ref="DA44" si="663">+DA41/CZ41-1</f>
        <v>5.2104952938403892E-2</v>
      </c>
      <c r="DB44" s="40">
        <f t="shared" ref="DB44" si="664">+DB41/DA41-1</f>
        <v>2.6478577960052263E-2</v>
      </c>
      <c r="DE44" s="122"/>
      <c r="DF44" s="39">
        <v>-2.1707913353950503E-2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-0.6161529</v>
      </c>
      <c r="P45" s="75">
        <f>'Annual Raw'!Q32</f>
        <v>-6.1499999999999999E-2</v>
      </c>
      <c r="Q45" s="75">
        <f>'Annual Raw'!R32</f>
        <v>-0.26469999999999999</v>
      </c>
      <c r="R45" s="75">
        <f>'Annual Raw'!S32</f>
        <v>-0.78029999999999999</v>
      </c>
      <c r="S45" s="75">
        <f>'Annual Raw'!T32</f>
        <v>-0.37959999999999999</v>
      </c>
      <c r="T45" s="75">
        <f>'Annual Raw'!U32</f>
        <v>-0.52769999999999995</v>
      </c>
      <c r="U45" s="75">
        <f>'Annual Raw'!V32</f>
        <v>-7.2700000000000001E-2</v>
      </c>
      <c r="V45" s="75">
        <f>'Annual Raw'!W32</f>
        <v>0</v>
      </c>
      <c r="W45" s="75">
        <f>'Annual Raw'!X32</f>
        <v>0</v>
      </c>
      <c r="X45" s="75">
        <f>'Annual Raw'!Y32</f>
        <v>0.6139</v>
      </c>
      <c r="Y45" s="75">
        <f>'Annual Raw'!Z32</f>
        <v>2.6633</v>
      </c>
      <c r="Z45" s="75">
        <f>'Annual Raw'!AA32</f>
        <v>5.4983000000000004</v>
      </c>
      <c r="AA45" s="75">
        <f>'Annual Raw'!AB32</f>
        <v>3.9874000000000001</v>
      </c>
      <c r="AB45" s="76">
        <f t="shared" ref="AB45:AB46" si="665">+SUM(CM45:CP45)</f>
        <v>3.96</v>
      </c>
      <c r="AC45" s="76">
        <f t="shared" ref="AC45:AC46" si="666">+SUM(CQ45:CT45)</f>
        <v>3.96</v>
      </c>
      <c r="AD45" s="76">
        <f t="shared" ref="AD45:AD46" si="667">+SUM(CU45:CX45)</f>
        <v>3.96</v>
      </c>
      <c r="AE45" s="76">
        <f t="shared" ref="AE45:AE46" si="668">+SUM(CY45:DB45)</f>
        <v>3.96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0.17199999999999999</v>
      </c>
      <c r="BX45" s="75">
        <f>'QTR Raw'!AR34</f>
        <v>4.2999999999999997E-2</v>
      </c>
      <c r="BY45" s="75">
        <f>'QTR Raw'!AS34</f>
        <v>0.14799999999999999</v>
      </c>
      <c r="BZ45" s="75">
        <f>'QTR Raw'!AT34</f>
        <v>0.25</v>
      </c>
      <c r="CA45" s="75">
        <f>'QTR Raw'!AU34</f>
        <v>0.66300000000000003</v>
      </c>
      <c r="CB45" s="75">
        <f>'QTR Raw'!AV34</f>
        <v>0.72699999999999998</v>
      </c>
      <c r="CC45" s="75">
        <f>'QTR Raw'!AW34</f>
        <v>0.75800000000000001</v>
      </c>
      <c r="CD45" s="75">
        <f>'QTR Raw'!AX34</f>
        <v>0.51500000000000001</v>
      </c>
      <c r="CE45" s="75">
        <f>'QTR Raw'!AY34</f>
        <v>1.26</v>
      </c>
      <c r="CF45" s="75">
        <f>'QTR Raw'!AZ34</f>
        <v>1.6339999999999999</v>
      </c>
      <c r="CG45" s="75">
        <f>'QTR Raw'!BA34</f>
        <v>1.387</v>
      </c>
      <c r="CH45" s="75">
        <f>'QTR Raw'!BB34</f>
        <v>1.2170000000000001</v>
      </c>
      <c r="CI45" s="75">
        <f>'QTR Raw'!BC34</f>
        <v>1.0489999999999999</v>
      </c>
      <c r="CJ45" s="75">
        <f>'QTR Raw'!BD34</f>
        <v>1.0069999999999999</v>
      </c>
      <c r="CK45" s="75">
        <f>'QTR Raw'!BE34</f>
        <v>0.94099999999999995</v>
      </c>
      <c r="CL45" s="75">
        <f>'QTR Raw'!BF34</f>
        <v>0.99</v>
      </c>
      <c r="CM45" s="76">
        <f t="shared" ref="CM45:CM46" si="669">+CL45</f>
        <v>0.99</v>
      </c>
      <c r="CN45" s="76">
        <f t="shared" ref="CN45:CN46" si="670">+CM45</f>
        <v>0.99</v>
      </c>
      <c r="CO45" s="76">
        <f t="shared" ref="CO45:CO46" si="671">+CN45</f>
        <v>0.99</v>
      </c>
      <c r="CP45" s="76">
        <f t="shared" ref="CP45:CP46" si="672">+CO45</f>
        <v>0.99</v>
      </c>
      <c r="CQ45" s="76">
        <f t="shared" ref="CQ45:CQ46" si="673">+CP45</f>
        <v>0.99</v>
      </c>
      <c r="CR45" s="76">
        <f t="shared" ref="CR45:CR46" si="674">+CQ45</f>
        <v>0.99</v>
      </c>
      <c r="CS45" s="76">
        <f t="shared" ref="CS45:CS46" si="675">+CR45</f>
        <v>0.99</v>
      </c>
      <c r="CT45" s="76">
        <f t="shared" ref="CT45:CT46" si="676">+CS45</f>
        <v>0.99</v>
      </c>
      <c r="CU45" s="76">
        <f t="shared" ref="CU45:CU46" si="677">+CT45</f>
        <v>0.99</v>
      </c>
      <c r="CV45" s="76">
        <f t="shared" ref="CV45:CV46" si="678">+CU45</f>
        <v>0.99</v>
      </c>
      <c r="CW45" s="76">
        <f t="shared" ref="CW45:CW46" si="679">+CV45</f>
        <v>0.99</v>
      </c>
      <c r="CX45" s="76">
        <f t="shared" ref="CX45:CX46" si="680">+CW45</f>
        <v>0.99</v>
      </c>
      <c r="CY45" s="76">
        <f t="shared" ref="CY45:CY46" si="681">+CX45</f>
        <v>0.99</v>
      </c>
      <c r="CZ45" s="76">
        <f t="shared" ref="CZ45:CZ46" si="682">+CY45</f>
        <v>0.99</v>
      </c>
      <c r="DA45" s="76">
        <f t="shared" ref="DA45:DA46" si="683">+CZ45</f>
        <v>0.99</v>
      </c>
      <c r="DB45" s="76">
        <f t="shared" ref="DB45:DB46" si="684">+DA45</f>
        <v>0.99</v>
      </c>
      <c r="DE45" s="131"/>
      <c r="DF45" s="75">
        <v>0.94099999999999995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-0.76200000000000001</v>
      </c>
      <c r="AB46" s="76">
        <f t="shared" si="665"/>
        <v>-1.6319999999999999</v>
      </c>
      <c r="AC46" s="76">
        <f t="shared" si="666"/>
        <v>-1.6319999999999999</v>
      </c>
      <c r="AD46" s="76">
        <f t="shared" si="667"/>
        <v>-1.6319999999999999</v>
      </c>
      <c r="AE46" s="76">
        <f t="shared" si="668"/>
        <v>-1.6319999999999999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-0.25700000000000001</v>
      </c>
      <c r="CJ46" s="75">
        <f>'QTR Raw'!BD35</f>
        <v>-4.2999999999999997E-2</v>
      </c>
      <c r="CK46" s="75">
        <f>'QTR Raw'!BE35</f>
        <v>-5.3999999999999999E-2</v>
      </c>
      <c r="CL46" s="75">
        <f>'QTR Raw'!BF35</f>
        <v>-0.40799999999999997</v>
      </c>
      <c r="CM46" s="76">
        <f t="shared" si="669"/>
        <v>-0.40799999999999997</v>
      </c>
      <c r="CN46" s="76">
        <f t="shared" si="670"/>
        <v>-0.40799999999999997</v>
      </c>
      <c r="CO46" s="76">
        <f t="shared" si="671"/>
        <v>-0.40799999999999997</v>
      </c>
      <c r="CP46" s="76">
        <f t="shared" si="672"/>
        <v>-0.40799999999999997</v>
      </c>
      <c r="CQ46" s="76">
        <f t="shared" si="673"/>
        <v>-0.40799999999999997</v>
      </c>
      <c r="CR46" s="76">
        <f t="shared" si="674"/>
        <v>-0.40799999999999997</v>
      </c>
      <c r="CS46" s="76">
        <f t="shared" si="675"/>
        <v>-0.40799999999999997</v>
      </c>
      <c r="CT46" s="76">
        <f t="shared" si="676"/>
        <v>-0.40799999999999997</v>
      </c>
      <c r="CU46" s="76">
        <f t="shared" si="677"/>
        <v>-0.40799999999999997</v>
      </c>
      <c r="CV46" s="76">
        <f t="shared" si="678"/>
        <v>-0.40799999999999997</v>
      </c>
      <c r="CW46" s="76">
        <f t="shared" si="679"/>
        <v>-0.40799999999999997</v>
      </c>
      <c r="CX46" s="76">
        <f t="shared" si="680"/>
        <v>-0.40799999999999997</v>
      </c>
      <c r="CY46" s="76">
        <f t="shared" si="681"/>
        <v>-0.40799999999999997</v>
      </c>
      <c r="CZ46" s="76">
        <f t="shared" si="682"/>
        <v>-0.40799999999999997</v>
      </c>
      <c r="DA46" s="76">
        <f t="shared" si="683"/>
        <v>-0.40799999999999997</v>
      </c>
      <c r="DB46" s="76">
        <f t="shared" si="684"/>
        <v>-0.40799999999999997</v>
      </c>
      <c r="DE46" s="131"/>
      <c r="DF46" s="75">
        <v>-5.3999999999999999E-2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</v>
      </c>
      <c r="F48" s="26">
        <f t="shared" si="685"/>
        <v>23.630810699999991</v>
      </c>
      <c r="G48" s="26">
        <f t="shared" si="685"/>
        <v>31.619440699999984</v>
      </c>
      <c r="H48" s="26">
        <f t="shared" si="685"/>
        <v>52.975600000000014</v>
      </c>
      <c r="I48" s="26">
        <f t="shared" si="685"/>
        <v>72.815600000000018</v>
      </c>
      <c r="J48" s="26">
        <f t="shared" si="685"/>
        <v>49.231999999999992</v>
      </c>
      <c r="K48" s="26">
        <f t="shared" si="685"/>
        <v>80.609799999999979</v>
      </c>
      <c r="L48" s="26">
        <f t="shared" si="685"/>
        <v>58.914100000000033</v>
      </c>
      <c r="M48" s="26">
        <f t="shared" si="685"/>
        <v>50.559999999999988</v>
      </c>
      <c r="N48" s="26">
        <f t="shared" si="685"/>
        <v>65.33</v>
      </c>
      <c r="O48" s="26">
        <f t="shared" si="685"/>
        <v>65.002209399999956</v>
      </c>
      <c r="P48" s="26">
        <f t="shared" si="685"/>
        <v>79.919600000000031</v>
      </c>
      <c r="Q48" s="26">
        <f t="shared" si="685"/>
        <v>98.217600000000004</v>
      </c>
      <c r="R48" s="26">
        <f t="shared" si="685"/>
        <v>126.35019999999999</v>
      </c>
      <c r="S48" s="26">
        <f t="shared" si="685"/>
        <v>149.33670000000004</v>
      </c>
      <c r="T48" s="26">
        <f t="shared" si="685"/>
        <v>134.64959999999999</v>
      </c>
      <c r="U48" s="26">
        <f t="shared" si="685"/>
        <v>171.81950000000003</v>
      </c>
      <c r="V48" s="26">
        <f>V41+V45+V46+V47</f>
        <v>205.29130000000004</v>
      </c>
      <c r="W48" s="26">
        <f>W41+W45+W46+W47</f>
        <v>286.94690000000003</v>
      </c>
      <c r="X48" s="26">
        <f>X41+X45+X46+X47</f>
        <v>285.24829999999992</v>
      </c>
      <c r="Y48" s="26">
        <f>Y41+Y45+Y46+Y47</f>
        <v>353.64060000000006</v>
      </c>
      <c r="Z48" s="26">
        <f>Z41+Z45+Z46+Z47</f>
        <v>470.19380000000024</v>
      </c>
      <c r="AA48" s="26">
        <f>AA41+AA45+AA46+AA47</f>
        <v>476.0057000000001</v>
      </c>
      <c r="AB48" s="27">
        <f t="shared" ref="AA48:AD48" si="686">AB41+AB45+AB46+AB47</f>
        <v>502.21169072045438</v>
      </c>
      <c r="AC48" s="27">
        <f t="shared" si="686"/>
        <v>610.78253929664959</v>
      </c>
      <c r="AD48" s="27">
        <f t="shared" si="686"/>
        <v>703.01163179609557</v>
      </c>
      <c r="AE48" s="27">
        <f t="shared" ref="AE48" si="687">AE41+AE45+AE46+AE47</f>
        <v>789.65759013322929</v>
      </c>
      <c r="AI48" s="26">
        <f t="shared" ref="AI48" si="688">AI41+AI45+AI46+AI47</f>
        <v>0</v>
      </c>
      <c r="AJ48" s="26">
        <f t="shared" ref="AJ48" si="689">AJ41+AJ45+AJ46+AJ47</f>
        <v>0</v>
      </c>
      <c r="AK48" s="26">
        <f t="shared" ref="AK48:AM48" si="690">AK41+AK45+AK46+AK47</f>
        <v>0</v>
      </c>
      <c r="AL48" s="26">
        <f t="shared" si="690"/>
        <v>0</v>
      </c>
      <c r="AM48" s="26">
        <f t="shared" si="690"/>
        <v>0</v>
      </c>
      <c r="AN48" s="26">
        <f t="shared" ref="AN48:AO48" si="691">AN41+AN45+AN46+AN47</f>
        <v>0</v>
      </c>
      <c r="AO48" s="26">
        <f t="shared" si="691"/>
        <v>0</v>
      </c>
      <c r="AP48" s="26">
        <f t="shared" ref="AP48:CD48" si="692">AP41+AP45+AP46+AP47</f>
        <v>0</v>
      </c>
      <c r="AQ48" s="26">
        <f t="shared" si="692"/>
        <v>0</v>
      </c>
      <c r="AR48" s="26">
        <f t="shared" si="692"/>
        <v>0</v>
      </c>
      <c r="AS48" s="26">
        <f t="shared" si="692"/>
        <v>0</v>
      </c>
      <c r="AT48" s="26">
        <f t="shared" si="692"/>
        <v>0</v>
      </c>
      <c r="AU48" s="26">
        <f t="shared" si="692"/>
        <v>0</v>
      </c>
      <c r="AV48" s="26">
        <f t="shared" si="692"/>
        <v>0</v>
      </c>
      <c r="AW48" s="26">
        <f t="shared" si="692"/>
        <v>0</v>
      </c>
      <c r="AX48" s="26">
        <f t="shared" si="692"/>
        <v>0</v>
      </c>
      <c r="AY48" s="26">
        <f t="shared" si="692"/>
        <v>0</v>
      </c>
      <c r="AZ48" s="26">
        <f t="shared" si="692"/>
        <v>0</v>
      </c>
      <c r="BA48" s="26">
        <f t="shared" si="692"/>
        <v>0</v>
      </c>
      <c r="BB48" s="26">
        <f t="shared" si="692"/>
        <v>0</v>
      </c>
      <c r="BC48" s="26">
        <f t="shared" si="692"/>
        <v>0</v>
      </c>
      <c r="BD48" s="26">
        <f t="shared" si="692"/>
        <v>0</v>
      </c>
      <c r="BE48" s="26">
        <f t="shared" si="692"/>
        <v>0</v>
      </c>
      <c r="BF48" s="26">
        <f t="shared" si="692"/>
        <v>0</v>
      </c>
      <c r="BG48" s="26">
        <f t="shared" si="692"/>
        <v>0</v>
      </c>
      <c r="BH48" s="26">
        <f t="shared" si="692"/>
        <v>0</v>
      </c>
      <c r="BI48" s="26">
        <f t="shared" si="692"/>
        <v>0</v>
      </c>
      <c r="BJ48" s="26">
        <f t="shared" si="692"/>
        <v>0</v>
      </c>
      <c r="BK48" s="26">
        <f t="shared" si="692"/>
        <v>0</v>
      </c>
      <c r="BL48" s="26">
        <f t="shared" si="692"/>
        <v>42.605999999999995</v>
      </c>
      <c r="BM48" s="26">
        <f t="shared" si="692"/>
        <v>46.233000000000011</v>
      </c>
      <c r="BN48" s="26">
        <f t="shared" si="692"/>
        <v>43.066999999999993</v>
      </c>
      <c r="BO48" s="26">
        <f t="shared" si="692"/>
        <v>39.794999999999987</v>
      </c>
      <c r="BP48" s="26">
        <f t="shared" si="692"/>
        <v>48.951000000000008</v>
      </c>
      <c r="BQ48" s="26">
        <f t="shared" si="692"/>
        <v>56.418000000000021</v>
      </c>
      <c r="BR48" s="26">
        <f t="shared" si="692"/>
        <v>60.125999999999991</v>
      </c>
      <c r="BS48" s="26">
        <f t="shared" si="692"/>
        <v>63.24199999999999</v>
      </c>
      <c r="BT48" s="26">
        <f t="shared" si="692"/>
        <v>72.559000000000026</v>
      </c>
      <c r="BU48" s="26">
        <f t="shared" si="692"/>
        <v>77.310999999999979</v>
      </c>
      <c r="BV48" s="26">
        <f t="shared" si="692"/>
        <v>73.83499999999998</v>
      </c>
      <c r="BW48" s="26">
        <f t="shared" si="692"/>
        <v>64.777999999999992</v>
      </c>
      <c r="BX48" s="26">
        <f t="shared" si="692"/>
        <v>72.143000000000029</v>
      </c>
      <c r="BY48" s="26">
        <f t="shared" si="692"/>
        <v>73.718000000000018</v>
      </c>
      <c r="BZ48" s="26">
        <f t="shared" si="692"/>
        <v>74.61099999999999</v>
      </c>
      <c r="CA48" s="26">
        <f t="shared" si="692"/>
        <v>76.339999999999961</v>
      </c>
      <c r="CB48" s="26">
        <f t="shared" si="692"/>
        <v>84.507000000000019</v>
      </c>
      <c r="CC48" s="26">
        <f t="shared" si="692"/>
        <v>89.293999999999983</v>
      </c>
      <c r="CD48" s="26">
        <f t="shared" si="692"/>
        <v>103.49900000000001</v>
      </c>
      <c r="CE48" s="26">
        <f t="shared" ref="CE48:CF48" si="693">CE41+CE45+CE46+CE47</f>
        <v>108.212</v>
      </c>
      <c r="CF48" s="26">
        <f t="shared" si="693"/>
        <v>122.46500000000007</v>
      </c>
      <c r="CG48" s="26">
        <f t="shared" ref="CG48:CH48" si="694">CG41+CG45+CG46+CG47</f>
        <v>125.49300000000001</v>
      </c>
      <c r="CH48" s="26">
        <f t="shared" si="694"/>
        <v>114.02099999999994</v>
      </c>
      <c r="CI48" s="26">
        <f t="shared" ref="CI48:CJ48" si="695">CI41+CI45+CI46+CI47</f>
        <v>109.08999999999997</v>
      </c>
      <c r="CJ48" s="26">
        <f t="shared" si="695"/>
        <v>114.94199999999998</v>
      </c>
      <c r="CK48" s="26">
        <f t="shared" ref="CK48:CL48" si="696">CK41+CK45+CK46+CK47</f>
        <v>125.53700000000001</v>
      </c>
      <c r="CL48" s="26">
        <f t="shared" si="696"/>
        <v>126.43399999999998</v>
      </c>
      <c r="CM48" s="27">
        <f t="shared" ref="CM48:DB48" si="697">CM41+CM45+CM46+CM47</f>
        <v>106.6300767261489</v>
      </c>
      <c r="CN48" s="27">
        <f t="shared" si="697"/>
        <v>121.48920228372165</v>
      </c>
      <c r="CO48" s="27">
        <f t="shared" si="697"/>
        <v>133.64100507883299</v>
      </c>
      <c r="CP48" s="27">
        <f t="shared" si="697"/>
        <v>140.4514066317507</v>
      </c>
      <c r="CQ48" s="27">
        <f t="shared" si="697"/>
        <v>136.3893988117963</v>
      </c>
      <c r="CR48" s="27">
        <f t="shared" si="697"/>
        <v>149.34818641897348</v>
      </c>
      <c r="CS48" s="27">
        <f t="shared" si="697"/>
        <v>159.63226102453709</v>
      </c>
      <c r="CT48" s="27">
        <f t="shared" si="697"/>
        <v>165.41269304134278</v>
      </c>
      <c r="CU48" s="27">
        <f t="shared" si="697"/>
        <v>160.10281284002517</v>
      </c>
      <c r="CV48" s="27">
        <f t="shared" si="697"/>
        <v>172.56737172327416</v>
      </c>
      <c r="CW48" s="27">
        <f t="shared" si="697"/>
        <v>182.46265538408707</v>
      </c>
      <c r="CX48" s="27">
        <f t="shared" si="697"/>
        <v>187.87879184870914</v>
      </c>
      <c r="CY48" s="27">
        <f t="shared" si="697"/>
        <v>181.49714103652465</v>
      </c>
      <c r="CZ48" s="27">
        <f t="shared" si="697"/>
        <v>194.19670449184912</v>
      </c>
      <c r="DA48" s="27">
        <f t="shared" si="697"/>
        <v>204.28498955757991</v>
      </c>
      <c r="DB48" s="27">
        <f t="shared" si="697"/>
        <v>209.67875504727598</v>
      </c>
      <c r="DE48" s="121"/>
      <c r="DF48" s="26">
        <v>122.83110860043007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23.630810700000001</v>
      </c>
      <c r="G51" s="22">
        <f>'Annual Raw'!H35</f>
        <v>31.619440699999998</v>
      </c>
      <c r="H51" s="22">
        <f>'Annual Raw'!I35</f>
        <v>52.9756</v>
      </c>
      <c r="I51" s="22">
        <f>'Annual Raw'!J35</f>
        <v>72.815600000000003</v>
      </c>
      <c r="J51" s="22">
        <f>'Annual Raw'!K35</f>
        <v>49.231999999999999</v>
      </c>
      <c r="K51" s="22">
        <f>'Annual Raw'!L35</f>
        <v>80.609800000000007</v>
      </c>
      <c r="L51" s="22">
        <f>'Annual Raw'!M35</f>
        <v>58.914099999999998</v>
      </c>
      <c r="M51" s="22">
        <f>'Annual Raw'!N35</f>
        <v>50.56</v>
      </c>
      <c r="N51" s="22">
        <f>'Annual Raw'!O35</f>
        <v>65.33</v>
      </c>
      <c r="O51" s="22">
        <f>'Annual Raw'!P35</f>
        <v>65.002209399999998</v>
      </c>
      <c r="P51" s="22">
        <f>'Annual Raw'!Q35</f>
        <v>79.919600000000003</v>
      </c>
      <c r="Q51" s="22">
        <f>'Annual Raw'!R35</f>
        <v>98.217600000000004</v>
      </c>
      <c r="R51" s="22">
        <f>'Annual Raw'!S35</f>
        <v>126.3502</v>
      </c>
      <c r="S51" s="22">
        <f>'Annual Raw'!T35</f>
        <v>149.33670000000001</v>
      </c>
      <c r="T51" s="22">
        <f>'Annual Raw'!U35</f>
        <v>134.64959999999999</v>
      </c>
      <c r="U51" s="22">
        <f>'Annual Raw'!V35</f>
        <v>171.81950000000001</v>
      </c>
      <c r="V51" s="22">
        <f>'Annual Raw'!W35</f>
        <v>205.29130000000001</v>
      </c>
      <c r="W51" s="22">
        <f>'Annual Raw'!X35</f>
        <v>286.94690000000003</v>
      </c>
      <c r="X51" s="22">
        <f>'Annual Raw'!Y35</f>
        <v>285.24829999999997</v>
      </c>
      <c r="Y51" s="22">
        <f>'Annual Raw'!Z35</f>
        <v>353.64060000000001</v>
      </c>
      <c r="Z51" s="22">
        <f>'Annual Raw'!AA35</f>
        <v>470.19380000000001</v>
      </c>
      <c r="AA51" s="22">
        <f>'Annual Raw'!AB35</f>
        <v>476.00569999999999</v>
      </c>
      <c r="AB51" s="21">
        <f t="shared" ref="AA51:AD51" si="698">+AB48</f>
        <v>502.21169072045438</v>
      </c>
      <c r="AC51" s="21">
        <f t="shared" si="698"/>
        <v>610.78253929664959</v>
      </c>
      <c r="AD51" s="21">
        <f t="shared" si="698"/>
        <v>703.01163179609557</v>
      </c>
      <c r="AE51" s="21">
        <f t="shared" ref="AE51" si="699">+AE48</f>
        <v>789.65759013322929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42.606000000000002</v>
      </c>
      <c r="BM51" s="22">
        <f>'QTR Raw'!AG42</f>
        <v>46.234999999999999</v>
      </c>
      <c r="BN51" s="22">
        <f>'QTR Raw'!AH42</f>
        <v>43.067</v>
      </c>
      <c r="BO51" s="22">
        <f>'QTR Raw'!AI42</f>
        <v>39.795000000000002</v>
      </c>
      <c r="BP51" s="22">
        <f>'QTR Raw'!AJ42</f>
        <v>48.951000000000001</v>
      </c>
      <c r="BQ51" s="22">
        <f>'QTR Raw'!AK42</f>
        <v>56.417999999999999</v>
      </c>
      <c r="BR51" s="22">
        <f>'QTR Raw'!AL42</f>
        <v>60.127000000000002</v>
      </c>
      <c r="BS51" s="22">
        <f>'QTR Raw'!AM42</f>
        <v>63.241</v>
      </c>
      <c r="BT51" s="22">
        <f>'QTR Raw'!AN42</f>
        <v>72.558000000000007</v>
      </c>
      <c r="BU51" s="22">
        <f>'QTR Raw'!AO42</f>
        <v>77.311999999999998</v>
      </c>
      <c r="BV51" s="22">
        <f>'QTR Raw'!AP42</f>
        <v>73.835999999999999</v>
      </c>
      <c r="BW51" s="22">
        <f>'QTR Raw'!AQ42</f>
        <v>64.777000000000001</v>
      </c>
      <c r="BX51" s="22">
        <f>'QTR Raw'!AR42</f>
        <v>72.143000000000001</v>
      </c>
      <c r="BY51" s="22">
        <f>'QTR Raw'!AS42</f>
        <v>73.716999999999999</v>
      </c>
      <c r="BZ51" s="22">
        <f>'QTR Raw'!AT42</f>
        <v>74.611000000000004</v>
      </c>
      <c r="CA51" s="22">
        <f>'QTR Raw'!AU42</f>
        <v>76.34</v>
      </c>
      <c r="CB51" s="22">
        <f>'QTR Raw'!AV42</f>
        <v>84.507000000000005</v>
      </c>
      <c r="CC51" s="22">
        <f>'QTR Raw'!AW42</f>
        <v>89.293000000000006</v>
      </c>
      <c r="CD51" s="22">
        <f>'QTR Raw'!AX42</f>
        <v>103.5</v>
      </c>
      <c r="CE51" s="22">
        <f>'QTR Raw'!AY42</f>
        <v>108.214</v>
      </c>
      <c r="CF51" s="22">
        <f>'QTR Raw'!AZ42</f>
        <v>122.46599999999999</v>
      </c>
      <c r="CG51" s="22">
        <f>'QTR Raw'!BA42</f>
        <v>125.49299999999999</v>
      </c>
      <c r="CH51" s="22">
        <f>'QTR Raw'!BB42</f>
        <v>114.021</v>
      </c>
      <c r="CI51" s="22">
        <f>'QTR Raw'!BC42</f>
        <v>109.09</v>
      </c>
      <c r="CJ51" s="22">
        <f>'QTR Raw'!BD42</f>
        <v>114.943</v>
      </c>
      <c r="CK51" s="22">
        <f>'QTR Raw'!BE42</f>
        <v>125.539</v>
      </c>
      <c r="CL51" s="22">
        <f>'QTR Raw'!BF42</f>
        <v>126.43300000000001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476.00300000000004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0</v>
      </c>
      <c r="K52" s="25">
        <f t="shared" si="700"/>
        <v>0</v>
      </c>
      <c r="L52" s="25">
        <f t="shared" si="700"/>
        <v>0</v>
      </c>
      <c r="M52" s="25">
        <f t="shared" si="700"/>
        <v>0</v>
      </c>
      <c r="N52" s="25">
        <f t="shared" si="700"/>
        <v>0</v>
      </c>
      <c r="O52" s="25">
        <f t="shared" si="700"/>
        <v>0</v>
      </c>
      <c r="P52" s="25">
        <f t="shared" si="700"/>
        <v>0</v>
      </c>
      <c r="Q52" s="25">
        <f t="shared" si="700"/>
        <v>0</v>
      </c>
      <c r="R52" s="25">
        <f t="shared" si="700"/>
        <v>0</v>
      </c>
      <c r="S52" s="25">
        <f t="shared" si="700"/>
        <v>0</v>
      </c>
      <c r="T52" s="25">
        <f t="shared" si="700"/>
        <v>0</v>
      </c>
      <c r="U52" s="25">
        <f t="shared" si="700"/>
        <v>0</v>
      </c>
      <c r="V52" s="25">
        <f t="shared" si="700"/>
        <v>0</v>
      </c>
      <c r="W52" s="25">
        <f t="shared" ref="W52" si="701">W51-W48</f>
        <v>0</v>
      </c>
      <c r="X52" s="25">
        <f t="shared" ref="X52:Y52" si="702">X51-X48</f>
        <v>0</v>
      </c>
      <c r="Y52" s="25">
        <f t="shared" si="702"/>
        <v>0</v>
      </c>
      <c r="Z52" s="25">
        <f t="shared" ref="Z52:AA52" si="703">Z51-Z48</f>
        <v>0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0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0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1.9999999999882334E-3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1.0000000000118803E-3</v>
      </c>
      <c r="BS52" s="25">
        <f t="shared" si="710"/>
        <v>-9.9999999999056399E-4</v>
      </c>
      <c r="BT52" s="25">
        <f t="shared" si="710"/>
        <v>-1.0000000000189857E-3</v>
      </c>
      <c r="BU52" s="25">
        <f t="shared" si="710"/>
        <v>1.0000000000189857E-3</v>
      </c>
      <c r="BV52" s="25">
        <f t="shared" si="710"/>
        <v>1.0000000000189857E-3</v>
      </c>
      <c r="BW52" s="25">
        <f t="shared" si="710"/>
        <v>-9.9999999999056399E-4</v>
      </c>
      <c r="BX52" s="25">
        <f t="shared" si="710"/>
        <v>0</v>
      </c>
      <c r="BY52" s="25">
        <f t="shared" si="710"/>
        <v>-1.0000000000189857E-3</v>
      </c>
      <c r="BZ52" s="25">
        <f t="shared" si="710"/>
        <v>0</v>
      </c>
      <c r="CA52" s="25">
        <f t="shared" si="710"/>
        <v>0</v>
      </c>
      <c r="CB52" s="25">
        <f t="shared" si="710"/>
        <v>0</v>
      </c>
      <c r="CC52" s="25">
        <f t="shared" si="710"/>
        <v>-9.9999999997635314E-4</v>
      </c>
      <c r="CD52" s="25">
        <f t="shared" si="710"/>
        <v>9.9999999999056399E-4</v>
      </c>
      <c r="CE52" s="25">
        <f t="shared" ref="CE52:CF52" si="711">CE51-CE48</f>
        <v>1.9999999999953388E-3</v>
      </c>
      <c r="CF52" s="25">
        <f t="shared" si="711"/>
        <v>9.9999999991950972E-4</v>
      </c>
      <c r="CG52" s="25">
        <f t="shared" ref="CG52:CH52" si="712">CG51-CG48</f>
        <v>0</v>
      </c>
      <c r="CH52" s="25">
        <f t="shared" si="712"/>
        <v>0</v>
      </c>
      <c r="CI52" s="25">
        <f t="shared" ref="CI52:CJ52" si="713">CI51-CI48</f>
        <v>0</v>
      </c>
      <c r="CJ52" s="25">
        <f t="shared" si="713"/>
        <v>1.0000000000189857E-3</v>
      </c>
      <c r="CK52" s="25">
        <f t="shared" ref="CK52:CL52" si="714">CK51-CK48</f>
        <v>1.9999999999953388E-3</v>
      </c>
      <c r="CL52" s="25">
        <f t="shared" si="714"/>
        <v>-9.9999999997635314E-4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 t="e">
        <f t="shared" si="715"/>
        <v>#DIV/0!</v>
      </c>
      <c r="F54" s="39">
        <f t="shared" si="715"/>
        <v>0.49384420183391753</v>
      </c>
      <c r="G54" s="39">
        <f t="shared" si="715"/>
        <v>0.47177495389959473</v>
      </c>
      <c r="H54" s="39">
        <f t="shared" si="715"/>
        <v>0.51987084868435207</v>
      </c>
      <c r="I54" s="39">
        <f t="shared" si="715"/>
        <v>0.45206626768391739</v>
      </c>
      <c r="J54" s="39">
        <f t="shared" si="715"/>
        <v>0.27730711474622277</v>
      </c>
      <c r="K54" s="39">
        <f t="shared" si="715"/>
        <v>0.42178493966928859</v>
      </c>
      <c r="L54" s="39">
        <f t="shared" si="715"/>
        <v>0.29626305900332028</v>
      </c>
      <c r="M54" s="39">
        <f t="shared" si="715"/>
        <v>0.23256642379376918</v>
      </c>
      <c r="N54" s="39">
        <f t="shared" si="715"/>
        <v>0.27368421296931456</v>
      </c>
      <c r="O54" s="39">
        <f t="shared" si="715"/>
        <v>0.24287170797622848</v>
      </c>
      <c r="P54" s="39">
        <f t="shared" si="715"/>
        <v>0.27095532232215852</v>
      </c>
      <c r="Q54" s="39">
        <f t="shared" si="715"/>
        <v>0.26978684340856074</v>
      </c>
      <c r="R54" s="39">
        <f t="shared" si="715"/>
        <v>0.30406222641060826</v>
      </c>
      <c r="S54" s="39">
        <f t="shared" si="715"/>
        <v>0.3320204001185465</v>
      </c>
      <c r="T54" s="39">
        <f t="shared" si="715"/>
        <v>0.29806372008092125</v>
      </c>
      <c r="U54" s="39">
        <f t="shared" si="715"/>
        <v>0.31305000725144144</v>
      </c>
      <c r="V54" s="39">
        <f t="shared" si="715"/>
        <v>0.39795030431016098</v>
      </c>
      <c r="W54" s="39">
        <f t="shared" si="715"/>
        <v>0.44306694266455732</v>
      </c>
      <c r="X54" s="39">
        <f t="shared" si="715"/>
        <v>0.36489615396521985</v>
      </c>
      <c r="Y54" s="39">
        <f t="shared" si="715"/>
        <v>0.38668986102085562</v>
      </c>
      <c r="Z54" s="39">
        <f t="shared" si="715"/>
        <v>0.42035868100398943</v>
      </c>
      <c r="AA54" s="39">
        <f t="shared" ref="AA54" si="716">(AA48-AA47)/AA120</f>
        <v>0.36036066522690685</v>
      </c>
      <c r="AB54" s="40">
        <f t="shared" si="715"/>
        <v>0.275467247162068</v>
      </c>
      <c r="AC54" s="40">
        <f t="shared" si="715"/>
        <v>0.25094713137365332</v>
      </c>
      <c r="AD54" s="40">
        <f t="shared" si="715"/>
        <v>0.22410881968815163</v>
      </c>
      <c r="AE54" s="40">
        <f t="shared" si="715"/>
        <v>0.20110577180542288</v>
      </c>
      <c r="AF54" s="39"/>
      <c r="AG54" s="39"/>
      <c r="AH54" s="39"/>
      <c r="AI54" s="39"/>
      <c r="AJ54" s="39"/>
      <c r="AK54" s="39"/>
      <c r="AL54" s="39" t="e">
        <f t="shared" ref="AL54:BQ54" si="717">(SUM(AI48:AL48)-SUM(AI47:AL47))/AL120</f>
        <v>#DIV/0!</v>
      </c>
      <c r="AM54" s="39" t="e">
        <f t="shared" si="717"/>
        <v>#DIV/0!</v>
      </c>
      <c r="AN54" s="39" t="e">
        <f t="shared" si="717"/>
        <v>#DIV/0!</v>
      </c>
      <c r="AO54" s="39" t="e">
        <f t="shared" si="717"/>
        <v>#DIV/0!</v>
      </c>
      <c r="AP54" s="39" t="e">
        <f t="shared" si="717"/>
        <v>#DIV/0!</v>
      </c>
      <c r="AQ54" s="39" t="e">
        <f t="shared" si="717"/>
        <v>#DIV/0!</v>
      </c>
      <c r="AR54" s="39" t="e">
        <f t="shared" si="717"/>
        <v>#DIV/0!</v>
      </c>
      <c r="AS54" s="39" t="e">
        <f t="shared" si="717"/>
        <v>#DIV/0!</v>
      </c>
      <c r="AT54" s="39" t="e">
        <f t="shared" si="717"/>
        <v>#DIV/0!</v>
      </c>
      <c r="AU54" s="39" t="e">
        <f t="shared" si="717"/>
        <v>#DIV/0!</v>
      </c>
      <c r="AV54" s="39" t="e">
        <f t="shared" si="717"/>
        <v>#DIV/0!</v>
      </c>
      <c r="AW54" s="39" t="e">
        <f t="shared" si="717"/>
        <v>#DIV/0!</v>
      </c>
      <c r="AX54" s="39" t="e">
        <f t="shared" si="717"/>
        <v>#DIV/0!</v>
      </c>
      <c r="AY54" s="39" t="e">
        <f t="shared" si="717"/>
        <v>#DIV/0!</v>
      </c>
      <c r="AZ54" s="39" t="e">
        <f t="shared" si="717"/>
        <v>#DIV/0!</v>
      </c>
      <c r="BA54" s="39" t="e">
        <f t="shared" si="717"/>
        <v>#DIV/0!</v>
      </c>
      <c r="BB54" s="39" t="e">
        <f t="shared" si="717"/>
        <v>#DIV/0!</v>
      </c>
      <c r="BC54" s="39" t="e">
        <f t="shared" si="717"/>
        <v>#DIV/0!</v>
      </c>
      <c r="BD54" s="39" t="e">
        <f t="shared" si="717"/>
        <v>#DIV/0!</v>
      </c>
      <c r="BE54" s="39" t="e">
        <f t="shared" si="717"/>
        <v>#DIV/0!</v>
      </c>
      <c r="BF54" s="39" t="e">
        <f t="shared" si="717"/>
        <v>#DIV/0!</v>
      </c>
      <c r="BG54" s="39" t="e">
        <f t="shared" si="717"/>
        <v>#DIV/0!</v>
      </c>
      <c r="BH54" s="39" t="e">
        <f t="shared" si="717"/>
        <v>#DIV/0!</v>
      </c>
      <c r="BI54" s="39" t="e">
        <f t="shared" si="717"/>
        <v>#DIV/0!</v>
      </c>
      <c r="BJ54" s="39" t="e">
        <f t="shared" si="717"/>
        <v>#DIV/0!</v>
      </c>
      <c r="BK54" s="39" t="e">
        <f t="shared" si="717"/>
        <v>#DIV/0!</v>
      </c>
      <c r="BL54" s="39" t="e">
        <f t="shared" si="717"/>
        <v>#DIV/0!</v>
      </c>
      <c r="BM54" s="39">
        <f t="shared" si="717"/>
        <v>1.9215495425345528</v>
      </c>
      <c r="BN54" s="39">
        <f t="shared" si="717"/>
        <v>0.24032897517746005</v>
      </c>
      <c r="BO54" s="39">
        <f t="shared" si="717"/>
        <v>0.29168556581064164</v>
      </c>
      <c r="BP54" s="39">
        <f t="shared" si="717"/>
        <v>0.38467488246681419</v>
      </c>
      <c r="BQ54" s="39">
        <f t="shared" si="717"/>
        <v>0.36249436704887283</v>
      </c>
      <c r="BR54" s="39">
        <f t="shared" ref="BR54:CW54" si="718">(SUM(BO48:BR48)-SUM(BO47:BR47))/BR120</f>
        <v>0.39794755288133488</v>
      </c>
      <c r="BS54" s="39">
        <f t="shared" si="718"/>
        <v>0.39497750011224037</v>
      </c>
      <c r="BT54" s="39">
        <f t="shared" si="718"/>
        <v>0.43487514432936397</v>
      </c>
      <c r="BU54" s="39">
        <f t="shared" si="718"/>
        <v>0.41551991313617637</v>
      </c>
      <c r="BV54" s="39">
        <f t="shared" si="718"/>
        <v>0.44306696024631043</v>
      </c>
      <c r="BW54" s="39">
        <f t="shared" si="718"/>
        <v>0.40493616089475803</v>
      </c>
      <c r="BX54" s="39">
        <f t="shared" si="718"/>
        <v>0.40189768781207841</v>
      </c>
      <c r="BY54" s="39">
        <f t="shared" si="718"/>
        <v>0.35987273635805872</v>
      </c>
      <c r="BZ54" s="39">
        <f t="shared" si="718"/>
        <v>0.36489814192970671</v>
      </c>
      <c r="CA54" s="39">
        <f t="shared" si="718"/>
        <v>0.34590852674331202</v>
      </c>
      <c r="CB54" s="39">
        <f t="shared" si="718"/>
        <v>0.38480906786084562</v>
      </c>
      <c r="CC54" s="39">
        <f t="shared" si="718"/>
        <v>0.36376711431122138</v>
      </c>
      <c r="CD54" s="39">
        <f t="shared" si="718"/>
        <v>0.38668916266553527</v>
      </c>
      <c r="CE54" s="39">
        <f t="shared" si="718"/>
        <v>0.37693853306542685</v>
      </c>
      <c r="CF54" s="39">
        <f t="shared" si="718"/>
        <v>0.41108164358880778</v>
      </c>
      <c r="CG54" s="39">
        <f t="shared" si="718"/>
        <v>0.39776519973105567</v>
      </c>
      <c r="CH54" s="39">
        <f t="shared" si="718"/>
        <v>0.42035617777169054</v>
      </c>
      <c r="CI54" s="39">
        <f t="shared" si="718"/>
        <v>0.38371798073675767</v>
      </c>
      <c r="CJ54" s="39">
        <f t="shared" si="718"/>
        <v>0.38094838928650959</v>
      </c>
      <c r="CK54" s="39">
        <f t="shared" si="718"/>
        <v>0.34535496491993928</v>
      </c>
      <c r="CL54" s="39">
        <f t="shared" si="718"/>
        <v>0.36035853934583217</v>
      </c>
      <c r="CM54" s="40">
        <f t="shared" si="718"/>
        <v>0.33171847561699819</v>
      </c>
      <c r="CN54" s="40">
        <f t="shared" si="718"/>
        <v>0.30992876369187916</v>
      </c>
      <c r="CO54" s="40">
        <f t="shared" si="718"/>
        <v>0.2901298240397569</v>
      </c>
      <c r="CP54" s="40">
        <f t="shared" si="718"/>
        <v>0.27546724716206794</v>
      </c>
      <c r="CQ54" s="40">
        <f t="shared" si="718"/>
        <v>0.27148080878125719</v>
      </c>
      <c r="CR54" s="40">
        <f t="shared" si="718"/>
        <v>0.26546516213749061</v>
      </c>
      <c r="CS54" s="40">
        <f t="shared" si="718"/>
        <v>0.25824207502121349</v>
      </c>
      <c r="CT54" s="40">
        <f t="shared" si="718"/>
        <v>0.25094713137365338</v>
      </c>
      <c r="CU54" s="40">
        <f t="shared" si="718"/>
        <v>0.24460023424795826</v>
      </c>
      <c r="CV54" s="40">
        <f t="shared" si="718"/>
        <v>0.23773586081169204</v>
      </c>
      <c r="CW54" s="40">
        <f t="shared" si="718"/>
        <v>0.23076833657951976</v>
      </c>
      <c r="CX54" s="40">
        <f t="shared" ref="CX54:DB54" si="719">(SUM(CU48:CX48)-SUM(CU47:CX47))/CX120</f>
        <v>0.22410881968815163</v>
      </c>
      <c r="CY54" s="40">
        <f t="shared" si="719"/>
        <v>0.21829858666705165</v>
      </c>
      <c r="CZ54" s="40">
        <f t="shared" si="719"/>
        <v>0.21238745348355795</v>
      </c>
      <c r="DA54" s="40">
        <f t="shared" si="719"/>
        <v>0.20658551199949052</v>
      </c>
      <c r="DB54" s="40">
        <f t="shared" si="719"/>
        <v>0.20110577180542299</v>
      </c>
      <c r="DE54" s="122"/>
      <c r="DF54" s="38">
        <v>0.32241579317476188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 t="e">
        <f t="shared" si="720"/>
        <v>#DIV/0!</v>
      </c>
      <c r="F55" s="39">
        <f t="shared" si="720"/>
        <v>0.70236546433877112</v>
      </c>
      <c r="G55" s="39">
        <f t="shared" si="720"/>
        <v>0.72147598398754931</v>
      </c>
      <c r="H55" s="39">
        <f t="shared" si="720"/>
        <v>0.7861702640973568</v>
      </c>
      <c r="I55" s="39">
        <f t="shared" si="720"/>
        <v>0.68960413403711085</v>
      </c>
      <c r="J55" s="39">
        <f t="shared" si="720"/>
        <v>0.41884572054663782</v>
      </c>
      <c r="K55" s="39">
        <f t="shared" si="720"/>
        <v>0.60916235677625274</v>
      </c>
      <c r="L55" s="39">
        <f t="shared" si="720"/>
        <v>0.42813092374093248</v>
      </c>
      <c r="M55" s="39">
        <f t="shared" si="720"/>
        <v>0.33196833079897792</v>
      </c>
      <c r="N55" s="39">
        <f t="shared" si="720"/>
        <v>0.38109678331269775</v>
      </c>
      <c r="O55" s="39">
        <f t="shared" si="720"/>
        <v>0.27676752294078322</v>
      </c>
      <c r="P55" s="39">
        <f t="shared" si="720"/>
        <v>0.37253380356689636</v>
      </c>
      <c r="Q55" s="39">
        <f t="shared" si="720"/>
        <v>0.36154164848426773</v>
      </c>
      <c r="R55" s="39">
        <f t="shared" si="720"/>
        <v>0.39924131684438025</v>
      </c>
      <c r="S55" s="39">
        <f t="shared" si="720"/>
        <v>0.45886496130445592</v>
      </c>
      <c r="T55" s="39">
        <f t="shared" si="720"/>
        <v>0.41185982503344254</v>
      </c>
      <c r="U55" s="39">
        <f t="shared" si="720"/>
        <v>0.42842098588993416</v>
      </c>
      <c r="V55" s="39">
        <f t="shared" si="720"/>
        <v>0.44872300612729876</v>
      </c>
      <c r="W55" s="39">
        <f t="shared" si="720"/>
        <v>0.56334327613366608</v>
      </c>
      <c r="X55" s="39">
        <f t="shared" si="720"/>
        <v>0.46133510208671991</v>
      </c>
      <c r="Y55" s="39">
        <f t="shared" si="720"/>
        <v>0.47442968792149126</v>
      </c>
      <c r="Z55" s="39">
        <f t="shared" si="720"/>
        <v>0.5131439619574456</v>
      </c>
      <c r="AA55" s="39">
        <f t="shared" ref="AA55" si="721">+AA34/AA129</f>
        <v>0.44282504576009446</v>
      </c>
      <c r="AB55" s="40">
        <f t="shared" si="720"/>
        <v>0.3364926453165456</v>
      </c>
      <c r="AC55" s="40">
        <f t="shared" si="720"/>
        <v>0.29880390306286619</v>
      </c>
      <c r="AD55" s="40">
        <f t="shared" si="720"/>
        <v>0.26043734362947418</v>
      </c>
      <c r="AE55" s="40">
        <f t="shared" si="720"/>
        <v>0.22826040320288277</v>
      </c>
      <c r="AF55" s="39"/>
      <c r="AG55" s="39"/>
      <c r="AH55" s="39"/>
      <c r="AI55" s="39"/>
      <c r="AJ55" s="39"/>
      <c r="AK55" s="39"/>
      <c r="AL55" s="39" t="e">
        <f t="shared" ref="AL55:BQ55" si="722">+SUM(AI34:AL34)/AL129</f>
        <v>#DIV/0!</v>
      </c>
      <c r="AM55" s="39" t="e">
        <f t="shared" si="722"/>
        <v>#DIV/0!</v>
      </c>
      <c r="AN55" s="39" t="e">
        <f t="shared" si="722"/>
        <v>#DIV/0!</v>
      </c>
      <c r="AO55" s="39" t="e">
        <f t="shared" si="722"/>
        <v>#DIV/0!</v>
      </c>
      <c r="AP55" s="39" t="e">
        <f t="shared" si="722"/>
        <v>#DIV/0!</v>
      </c>
      <c r="AQ55" s="39" t="e">
        <f t="shared" si="722"/>
        <v>#DIV/0!</v>
      </c>
      <c r="AR55" s="39" t="e">
        <f t="shared" si="722"/>
        <v>#DIV/0!</v>
      </c>
      <c r="AS55" s="39" t="e">
        <f t="shared" si="722"/>
        <v>#DIV/0!</v>
      </c>
      <c r="AT55" s="39" t="e">
        <f t="shared" si="722"/>
        <v>#DIV/0!</v>
      </c>
      <c r="AU55" s="39" t="e">
        <f t="shared" si="722"/>
        <v>#DIV/0!</v>
      </c>
      <c r="AV55" s="39" t="e">
        <f t="shared" si="722"/>
        <v>#DIV/0!</v>
      </c>
      <c r="AW55" s="39" t="e">
        <f t="shared" si="722"/>
        <v>#DIV/0!</v>
      </c>
      <c r="AX55" s="39" t="e">
        <f t="shared" si="722"/>
        <v>#DIV/0!</v>
      </c>
      <c r="AY55" s="39" t="e">
        <f t="shared" si="722"/>
        <v>#DIV/0!</v>
      </c>
      <c r="AZ55" s="39" t="e">
        <f t="shared" si="722"/>
        <v>#DIV/0!</v>
      </c>
      <c r="BA55" s="39" t="e">
        <f t="shared" si="722"/>
        <v>#DIV/0!</v>
      </c>
      <c r="BB55" s="39" t="e">
        <f t="shared" si="722"/>
        <v>#DIV/0!</v>
      </c>
      <c r="BC55" s="39" t="e">
        <f t="shared" si="722"/>
        <v>#DIV/0!</v>
      </c>
      <c r="BD55" s="39" t="e">
        <f t="shared" si="722"/>
        <v>#DIV/0!</v>
      </c>
      <c r="BE55" s="39" t="e">
        <f t="shared" si="722"/>
        <v>#DIV/0!</v>
      </c>
      <c r="BF55" s="39" t="e">
        <f t="shared" si="722"/>
        <v>#DIV/0!</v>
      </c>
      <c r="BG55" s="39" t="e">
        <f t="shared" si="722"/>
        <v>#DIV/0!</v>
      </c>
      <c r="BH55" s="39" t="e">
        <f t="shared" si="722"/>
        <v>#DIV/0!</v>
      </c>
      <c r="BI55" s="39" t="e">
        <f t="shared" si="722"/>
        <v>#DIV/0!</v>
      </c>
      <c r="BJ55" s="39" t="e">
        <f t="shared" si="722"/>
        <v>#DIV/0!</v>
      </c>
      <c r="BK55" s="39" t="e">
        <f t="shared" si="722"/>
        <v>#DIV/0!</v>
      </c>
      <c r="BL55" s="39" t="e">
        <f t="shared" si="722"/>
        <v>#DIV/0!</v>
      </c>
      <c r="BM55" s="39">
        <f t="shared" si="722"/>
        <v>2.4389721627408987</v>
      </c>
      <c r="BN55" s="39">
        <f t="shared" si="722"/>
        <v>0.32612925794743974</v>
      </c>
      <c r="BO55" s="39">
        <f t="shared" si="722"/>
        <v>0.37222055173608815</v>
      </c>
      <c r="BP55" s="39">
        <f t="shared" si="722"/>
        <v>0.48861613315818581</v>
      </c>
      <c r="BQ55" s="39">
        <f t="shared" si="722"/>
        <v>0.46293807027612049</v>
      </c>
      <c r="BR55" s="39">
        <f t="shared" ref="BR55:CW55" si="723">+SUM(BO34:BR34)/BR129</f>
        <v>0.4896544103963773</v>
      </c>
      <c r="BS55" s="39">
        <f t="shared" si="723"/>
        <v>0.50898614089799243</v>
      </c>
      <c r="BT55" s="39">
        <f t="shared" si="723"/>
        <v>0.56116807692970516</v>
      </c>
      <c r="BU55" s="39">
        <f t="shared" si="723"/>
        <v>0.53906058721283001</v>
      </c>
      <c r="BV55" s="39">
        <f t="shared" si="723"/>
        <v>0.57517934401625603</v>
      </c>
      <c r="BW55" s="39">
        <f t="shared" si="723"/>
        <v>0.52564512868885582</v>
      </c>
      <c r="BX55" s="39">
        <f t="shared" si="723"/>
        <v>0.51813241994503512</v>
      </c>
      <c r="BY55" s="39">
        <f t="shared" si="723"/>
        <v>0.46077907509938348</v>
      </c>
      <c r="BZ55" s="39">
        <f t="shared" si="723"/>
        <v>0.46133535768692047</v>
      </c>
      <c r="CA55" s="39">
        <f t="shared" si="723"/>
        <v>0.43116537728862664</v>
      </c>
      <c r="CB55" s="39">
        <f t="shared" si="723"/>
        <v>0.47700571329101726</v>
      </c>
      <c r="CC55" s="39">
        <f t="shared" si="723"/>
        <v>0.44973415297702773</v>
      </c>
      <c r="CD55" s="39">
        <f t="shared" si="723"/>
        <v>0.474431222478507</v>
      </c>
      <c r="CE55" s="39">
        <f t="shared" si="723"/>
        <v>0.46264333014279296</v>
      </c>
      <c r="CF55" s="39">
        <f t="shared" si="723"/>
        <v>0.50490929819527075</v>
      </c>
      <c r="CG55" s="39">
        <f t="shared" si="723"/>
        <v>0.48677836310128314</v>
      </c>
      <c r="CH55" s="39">
        <f t="shared" si="723"/>
        <v>0.51314199691255724</v>
      </c>
      <c r="CI55" s="39">
        <f t="shared" si="723"/>
        <v>0.46808251576741539</v>
      </c>
      <c r="CJ55" s="39">
        <f t="shared" si="723"/>
        <v>0.465050127813813</v>
      </c>
      <c r="CK55" s="39">
        <f t="shared" si="723"/>
        <v>0.42178134240138637</v>
      </c>
      <c r="CL55" s="39">
        <f t="shared" si="723"/>
        <v>0.44282656801993114</v>
      </c>
      <c r="CM55" s="40">
        <f t="shared" si="723"/>
        <v>0.40818666794852743</v>
      </c>
      <c r="CN55" s="40">
        <f t="shared" si="723"/>
        <v>0.38011138395792143</v>
      </c>
      <c r="CO55" s="40">
        <f t="shared" si="723"/>
        <v>0.35552801250394678</v>
      </c>
      <c r="CP55" s="40">
        <f t="shared" si="723"/>
        <v>0.33649264531654555</v>
      </c>
      <c r="CQ55" s="40">
        <f t="shared" si="723"/>
        <v>0.32937984380734703</v>
      </c>
      <c r="CR55" s="40">
        <f t="shared" si="723"/>
        <v>0.31994552059365317</v>
      </c>
      <c r="CS55" s="40">
        <f t="shared" si="723"/>
        <v>0.30936833460830299</v>
      </c>
      <c r="CT55" s="40">
        <f t="shared" si="723"/>
        <v>0.29880390306286619</v>
      </c>
      <c r="CU55" s="40">
        <f t="shared" si="723"/>
        <v>0.28941764261262765</v>
      </c>
      <c r="CV55" s="40">
        <f t="shared" si="723"/>
        <v>0.27957908397652509</v>
      </c>
      <c r="CW55" s="40">
        <f t="shared" si="723"/>
        <v>0.26977568460015755</v>
      </c>
      <c r="CX55" s="40">
        <f t="shared" ref="CX55:DB55" si="724">+SUM(CU34:CX34)/CX129</f>
        <v>0.26043734362947418</v>
      </c>
      <c r="CY55" s="40">
        <f t="shared" si="724"/>
        <v>0.25214597713487191</v>
      </c>
      <c r="CZ55" s="40">
        <f t="shared" si="724"/>
        <v>0.24386974997684591</v>
      </c>
      <c r="DA55" s="40">
        <f t="shared" si="724"/>
        <v>0.23583565857556474</v>
      </c>
      <c r="DB55" s="40">
        <f t="shared" si="724"/>
        <v>0.22826040320288282</v>
      </c>
      <c r="DE55" s="122"/>
      <c r="DF55" s="38">
        <v>0.39477051402230962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295.3</v>
      </c>
      <c r="O58" s="9">
        <f>O10-SUM(AM10:AP10)</f>
        <v>322.41179069999998</v>
      </c>
      <c r="P58" s="9">
        <f>P10-SUM(AQ10:AT10)</f>
        <v>383.649</v>
      </c>
      <c r="Q58" s="9">
        <f>Q10-SUM(AU10:AX10)</f>
        <v>397.9248</v>
      </c>
      <c r="R58" s="9">
        <f>R10-SUM(AY10:BB10)</f>
        <v>478.30849999999998</v>
      </c>
      <c r="S58" s="9">
        <f>S10-SUM(BC10:BF10)</f>
        <v>641.53589999999997</v>
      </c>
      <c r="T58" s="9">
        <f>T10-SUM(BG10:BJ10)</f>
        <v>693.64390000000003</v>
      </c>
      <c r="U58" s="9">
        <f>U10-SUM(BK10:BN10)</f>
        <v>175.0059</v>
      </c>
      <c r="V58" s="9">
        <f>V10-SUM(BO10:BR10)</f>
        <v>8.0000000002655725E-4</v>
      </c>
      <c r="W58" s="9">
        <f>W10-SUM(BS10:BV10)</f>
        <v>-4.9999999987448973E-4</v>
      </c>
      <c r="X58" s="9">
        <f>X10-SUM(BW10:BZ10)</f>
        <v>1.9999999994979589E-4</v>
      </c>
      <c r="Y58" s="9">
        <f>Y10-SUM(CA10:CD10)</f>
        <v>-9.0000000000145519E-4</v>
      </c>
      <c r="Z58" s="9">
        <f>Z10-SUM(CE10:CH10)</f>
        <v>3.0000000015206751E-4</v>
      </c>
      <c r="AA58" s="9">
        <f>AA10-SUM(CF10:CI10)</f>
        <v>71.016000000000076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295.3</v>
      </c>
      <c r="O59" s="9">
        <f>O16-SUM(AM16:AP16)</f>
        <v>322.41179069999998</v>
      </c>
      <c r="P59" s="9">
        <f>P16-SUM(AQ16:AT16)</f>
        <v>383.649</v>
      </c>
      <c r="Q59" s="9">
        <f>Q16-SUM(AU16:AX16)</f>
        <v>397.9248</v>
      </c>
      <c r="R59" s="9">
        <f>R16-SUM(AY16:BB16)</f>
        <v>478.30849999999998</v>
      </c>
      <c r="S59" s="9">
        <f>S16-SUM(BC16:BF16)</f>
        <v>641.53589999999997</v>
      </c>
      <c r="T59" s="9">
        <f>T16-SUM(BG16:BJ16)</f>
        <v>693.64390000000003</v>
      </c>
      <c r="U59" s="9">
        <f>U16-SUM(BK16:BN16)</f>
        <v>175.0059</v>
      </c>
      <c r="V59" s="9">
        <f>V16-SUM(BO16:BR16)</f>
        <v>8.0000000002655725E-4</v>
      </c>
      <c r="W59" s="9">
        <f>W16-SUM(BS16:BV16)</f>
        <v>-4.9999999987448973E-4</v>
      </c>
      <c r="X59" s="9">
        <f>X16-SUM(BW16:BZ16)</f>
        <v>1.9999999994979589E-4</v>
      </c>
      <c r="Y59" s="9">
        <f>Y16-SUM(CA16:CD16)</f>
        <v>-9.0000000000145519E-4</v>
      </c>
      <c r="Z59" s="9">
        <f>Z16-SUM(CE16:CH16)</f>
        <v>3.0000000015206751E-4</v>
      </c>
      <c r="AA59" s="9">
        <f>AA16-SUM(CF16:CI16)</f>
        <v>71.016000000000076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90.97</v>
      </c>
      <c r="O60" s="9">
        <f>O28-SUM(AM28:AP28)</f>
        <v>89.03459799999996</v>
      </c>
      <c r="P60" s="9">
        <f>P28-SUM(AQ28:AT28)</f>
        <v>136.00670000000002</v>
      </c>
      <c r="Q60" s="9">
        <f>Q28-SUM(AU28:AX28)</f>
        <v>152.77140000000003</v>
      </c>
      <c r="R60" s="9">
        <f>R28-SUM(AY28:BB28)</f>
        <v>186.09179999999998</v>
      </c>
      <c r="S60" s="9">
        <f>S28-SUM(BC28:BF28)</f>
        <v>232.61180000000002</v>
      </c>
      <c r="T60" s="9">
        <f>T28-SUM(BG28:BJ28)</f>
        <v>217.90949999999998</v>
      </c>
      <c r="U60" s="9">
        <f>U28-SUM(BK28:BN28)</f>
        <v>67.765400000000085</v>
      </c>
      <c r="V60" s="9">
        <f>V28-SUM(BO28:BR28)</f>
        <v>-21.115299999999991</v>
      </c>
      <c r="W60" s="9">
        <f>W28-SUM(BS28:BV28)</f>
        <v>-7.6658999999999651</v>
      </c>
      <c r="X60" s="9">
        <f>X28-SUM(BW28:BZ28)</f>
        <v>-2.0000000012032615E-4</v>
      </c>
      <c r="Y60" s="9">
        <f>Y28-SUM(CA28:CD28)</f>
        <v>-1.6999999999143256E-3</v>
      </c>
      <c r="Z60" s="9">
        <f>Z28-SUM(CE28:CH28)</f>
        <v>2.3000000001047738E-3</v>
      </c>
      <c r="AA60" s="9">
        <f>AA28-SUM(CF28:CI28)</f>
        <v>27.205600000000118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65.33</v>
      </c>
      <c r="O61" s="9">
        <f>O48-SUM(AM48:AP48)</f>
        <v>65.002209399999956</v>
      </c>
      <c r="P61" s="9">
        <f>P48-SUM(AQ48:AT48)</f>
        <v>79.919600000000031</v>
      </c>
      <c r="Q61" s="9">
        <f>Q48-SUM(AU48:AX48)</f>
        <v>98.217600000000004</v>
      </c>
      <c r="R61" s="9">
        <f>R48-SUM(AY48:BB48)</f>
        <v>126.35019999999999</v>
      </c>
      <c r="S61" s="9">
        <f>S48-SUM(BC48:BF48)</f>
        <v>149.33670000000004</v>
      </c>
      <c r="T61" s="9">
        <f>T48-SUM(BG48:BJ48)</f>
        <v>134.64959999999999</v>
      </c>
      <c r="U61" s="9">
        <f>U48-SUM(BK48:BN48)</f>
        <v>39.913500000000028</v>
      </c>
      <c r="V61" s="9">
        <f>V48-SUM(BO48:BR48)</f>
        <v>1.3000000000147338E-3</v>
      </c>
      <c r="W61" s="9">
        <f>W41-SUM(BS41:BV41)</f>
        <v>-9.9999999974897946E-5</v>
      </c>
      <c r="X61" s="9">
        <f>X41-SUM(BW41:BZ41)</f>
        <v>-2.6000000001431545E-3</v>
      </c>
      <c r="Y61" s="9">
        <f>Y41-SUM(CA41:CD41)</f>
        <v>3.000000000952241E-4</v>
      </c>
      <c r="Z61" s="9">
        <f>Z41-SUM(CE41:CH41)</f>
        <v>2.5000000002250999E-3</v>
      </c>
      <c r="AA61" s="9">
        <f>AA41-SUM(CF41:CI41)</f>
        <v>6.7413000000001375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49.497999999999998</v>
      </c>
      <c r="AJ63" s="3">
        <f t="shared" si="730"/>
        <v>49.497999999999998</v>
      </c>
      <c r="AK63" s="3">
        <f t="shared" si="730"/>
        <v>49.497999999999998</v>
      </c>
      <c r="AL63" s="3">
        <f t="shared" si="730"/>
        <v>49.497999999999998</v>
      </c>
      <c r="AM63" s="3">
        <f t="shared" si="730"/>
        <v>49.497999999999998</v>
      </c>
      <c r="AN63" s="3">
        <f t="shared" si="730"/>
        <v>49.497999999999998</v>
      </c>
      <c r="AO63" s="3">
        <f t="shared" si="730"/>
        <v>49.497999999999998</v>
      </c>
      <c r="AP63" s="3">
        <f t="shared" si="730"/>
        <v>49.497999999999998</v>
      </c>
      <c r="AQ63" s="3">
        <f t="shared" si="730"/>
        <v>49.497999999999998</v>
      </c>
      <c r="AR63" s="3">
        <f t="shared" si="730"/>
        <v>49.497999999999998</v>
      </c>
      <c r="AS63" s="3">
        <f t="shared" si="730"/>
        <v>49.497999999999998</v>
      </c>
      <c r="AT63" s="3">
        <f t="shared" si="730"/>
        <v>49.497999999999998</v>
      </c>
      <c r="AU63" s="3">
        <f t="shared" si="730"/>
        <v>49.497999999999998</v>
      </c>
      <c r="AV63" s="3">
        <f t="shared" si="730"/>
        <v>49.497999999999998</v>
      </c>
      <c r="AW63" s="3">
        <f t="shared" si="730"/>
        <v>49.497999999999998</v>
      </c>
      <c r="AX63" s="3">
        <f t="shared" si="730"/>
        <v>49.497999999999998</v>
      </c>
      <c r="AY63" s="3">
        <f t="shared" si="730"/>
        <v>49.497999999999998</v>
      </c>
      <c r="AZ63" s="3">
        <f t="shared" si="730"/>
        <v>49.497999999999998</v>
      </c>
      <c r="BA63" s="3">
        <f t="shared" si="730"/>
        <v>49.497999999999998</v>
      </c>
      <c r="BB63" s="3">
        <f t="shared" si="730"/>
        <v>49.497999999999998</v>
      </c>
      <c r="BC63" s="3">
        <f t="shared" si="730"/>
        <v>49.497999999999998</v>
      </c>
      <c r="BD63" s="3">
        <f t="shared" si="730"/>
        <v>49.497999999999998</v>
      </c>
      <c r="BE63" s="3">
        <f t="shared" si="730"/>
        <v>49.497999999999998</v>
      </c>
      <c r="BF63" s="3">
        <f t="shared" si="730"/>
        <v>49.497999999999998</v>
      </c>
      <c r="BG63" s="3">
        <f t="shared" si="730"/>
        <v>49.497999999999998</v>
      </c>
      <c r="BH63" s="3">
        <f t="shared" si="730"/>
        <v>49.497999999999998</v>
      </c>
      <c r="BI63" s="3">
        <f t="shared" si="730"/>
        <v>49.497999999999998</v>
      </c>
      <c r="BJ63" s="3">
        <f t="shared" si="730"/>
        <v>49.497999999999998</v>
      </c>
      <c r="BK63" s="3">
        <f t="shared" si="730"/>
        <v>49.497999999999998</v>
      </c>
      <c r="BL63" s="3">
        <f t="shared" si="730"/>
        <v>49.497999999999998</v>
      </c>
      <c r="BM63" s="3">
        <f t="shared" si="730"/>
        <v>49.497999999999998</v>
      </c>
      <c r="BN63" s="3">
        <f t="shared" si="730"/>
        <v>49.497999999999998</v>
      </c>
      <c r="BO63" s="3">
        <f t="shared" si="730"/>
        <v>49.497999999999998</v>
      </c>
      <c r="BP63" s="3">
        <f t="shared" si="730"/>
        <v>49.497999999999998</v>
      </c>
      <c r="BQ63" s="3">
        <f t="shared" si="730"/>
        <v>49.497999999999998</v>
      </c>
      <c r="BR63" s="3">
        <f t="shared" si="730"/>
        <v>49.497999999999998</v>
      </c>
      <c r="BS63" s="3">
        <f t="shared" si="730"/>
        <v>49.497999999999998</v>
      </c>
      <c r="BT63" s="3">
        <f t="shared" si="730"/>
        <v>49.497999999999998</v>
      </c>
      <c r="BU63" s="3">
        <f t="shared" si="730"/>
        <v>49.497999999999998</v>
      </c>
      <c r="BV63" s="3">
        <f t="shared" si="730"/>
        <v>49.497999999999998</v>
      </c>
      <c r="BW63" s="3">
        <f t="shared" si="730"/>
        <v>49.497999999999998</v>
      </c>
      <c r="BX63" s="3">
        <f t="shared" si="730"/>
        <v>49.497999999999998</v>
      </c>
      <c r="BY63" s="3">
        <f t="shared" si="730"/>
        <v>49.497999999999998</v>
      </c>
      <c r="BZ63" s="3">
        <f t="shared" si="730"/>
        <v>49.497999999999998</v>
      </c>
      <c r="CA63" s="3">
        <f t="shared" si="730"/>
        <v>49.497999999999998</v>
      </c>
      <c r="CB63" s="3">
        <f t="shared" si="730"/>
        <v>49.497999999999998</v>
      </c>
      <c r="CC63" s="3">
        <f t="shared" si="730"/>
        <v>49.497999999999998</v>
      </c>
      <c r="CD63" s="3">
        <f t="shared" si="730"/>
        <v>49.497999999999998</v>
      </c>
      <c r="CE63" s="3">
        <f t="shared" si="730"/>
        <v>49.497999999999998</v>
      </c>
      <c r="CF63" s="3">
        <f t="shared" si="730"/>
        <v>49.497999999999998</v>
      </c>
      <c r="CG63" s="3">
        <f t="shared" si="730"/>
        <v>49.497999999999998</v>
      </c>
      <c r="CH63" s="3">
        <f t="shared" si="730"/>
        <v>49.497999999999998</v>
      </c>
      <c r="CI63" s="3">
        <f>+CJ63</f>
        <v>49.497999999999998</v>
      </c>
      <c r="CJ63" s="3">
        <f>'QTR Raw'!BD45</f>
        <v>49.497999999999998</v>
      </c>
      <c r="CK63" s="3">
        <f>'QTR Raw'!BE45</f>
        <v>49.53</v>
      </c>
      <c r="CL63" s="3">
        <f>'QTR Raw'!BF45</f>
        <v>49.597000000000001</v>
      </c>
      <c r="CM63" s="37">
        <f t="shared" ref="CM63:CM64" si="731">+CL63</f>
        <v>49.597000000000001</v>
      </c>
      <c r="CN63" s="37">
        <f t="shared" ref="CN63:CN64" si="732">+CM63</f>
        <v>49.597000000000001</v>
      </c>
      <c r="CO63" s="37">
        <f t="shared" ref="CO63:CO64" si="733">+CN63</f>
        <v>49.597000000000001</v>
      </c>
      <c r="CP63" s="37">
        <f t="shared" ref="CP63:CP64" si="734">+CO63</f>
        <v>49.597000000000001</v>
      </c>
      <c r="CQ63" s="37">
        <f t="shared" ref="CQ63:CQ64" si="735">+CP63</f>
        <v>49.597000000000001</v>
      </c>
      <c r="CR63" s="37">
        <f t="shared" ref="CR63:CR64" si="736">+CQ63</f>
        <v>49.597000000000001</v>
      </c>
      <c r="CS63" s="37">
        <f t="shared" ref="CS63:CS64" si="737">+CR63</f>
        <v>49.597000000000001</v>
      </c>
      <c r="CT63" s="37">
        <f t="shared" ref="CT63:CT64" si="738">+CS63</f>
        <v>49.597000000000001</v>
      </c>
      <c r="CU63" s="37">
        <f t="shared" ref="CU63:CU64" si="739">+CT63</f>
        <v>49.597000000000001</v>
      </c>
      <c r="CV63" s="37">
        <f t="shared" ref="CV63:CV64" si="740">+CU63</f>
        <v>49.597000000000001</v>
      </c>
      <c r="CW63" s="37">
        <f t="shared" ref="CW63:CW64" si="741">+CV63</f>
        <v>49.597000000000001</v>
      </c>
      <c r="CX63" s="37">
        <f t="shared" ref="CX63:CX64" si="742">+CW63</f>
        <v>49.597000000000001</v>
      </c>
      <c r="CY63" s="37">
        <f t="shared" ref="CY63:CY64" si="743">+CX63</f>
        <v>49.597000000000001</v>
      </c>
      <c r="CZ63" s="37">
        <f t="shared" ref="CZ63:CZ64" si="744">+CY63</f>
        <v>49.597000000000001</v>
      </c>
      <c r="DA63" s="37">
        <f t="shared" ref="DA63:DA64" si="745">+CZ63</f>
        <v>49.597000000000001</v>
      </c>
      <c r="DB63" s="37">
        <f t="shared" ref="DB63:DB64" si="746">+DA63</f>
        <v>49.597000000000001</v>
      </c>
      <c r="DE63" s="134"/>
      <c r="DF63" s="3">
        <v>49.53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10</v>
      </c>
      <c r="AJ64" s="3">
        <f t="shared" si="748"/>
        <v>10</v>
      </c>
      <c r="AK64" s="3">
        <f t="shared" si="748"/>
        <v>10</v>
      </c>
      <c r="AL64" s="3">
        <f t="shared" si="748"/>
        <v>10</v>
      </c>
      <c r="AM64" s="3">
        <f t="shared" si="748"/>
        <v>10</v>
      </c>
      <c r="AN64" s="3">
        <f t="shared" si="748"/>
        <v>10</v>
      </c>
      <c r="AO64" s="3">
        <f t="shared" si="748"/>
        <v>10</v>
      </c>
      <c r="AP64" s="3">
        <f t="shared" si="748"/>
        <v>10</v>
      </c>
      <c r="AQ64" s="3">
        <f t="shared" si="748"/>
        <v>10</v>
      </c>
      <c r="AR64" s="3">
        <f t="shared" si="748"/>
        <v>10</v>
      </c>
      <c r="AS64" s="3">
        <f t="shared" si="748"/>
        <v>10</v>
      </c>
      <c r="AT64" s="3">
        <f t="shared" si="748"/>
        <v>10</v>
      </c>
      <c r="AU64" s="3">
        <f t="shared" si="748"/>
        <v>10</v>
      </c>
      <c r="AV64" s="3">
        <f t="shared" si="748"/>
        <v>10</v>
      </c>
      <c r="AW64" s="3">
        <f t="shared" si="748"/>
        <v>10</v>
      </c>
      <c r="AX64" s="3">
        <f t="shared" si="748"/>
        <v>10</v>
      </c>
      <c r="AY64" s="3">
        <f t="shared" si="748"/>
        <v>10</v>
      </c>
      <c r="AZ64" s="3">
        <f t="shared" si="748"/>
        <v>10</v>
      </c>
      <c r="BA64" s="3">
        <f t="shared" si="748"/>
        <v>10</v>
      </c>
      <c r="BB64" s="3">
        <f t="shared" si="748"/>
        <v>10</v>
      </c>
      <c r="BC64" s="3">
        <f t="shared" si="748"/>
        <v>10</v>
      </c>
      <c r="BD64" s="3">
        <f t="shared" si="748"/>
        <v>10</v>
      </c>
      <c r="BE64" s="3">
        <f t="shared" si="748"/>
        <v>10</v>
      </c>
      <c r="BF64" s="3">
        <f t="shared" si="748"/>
        <v>10</v>
      </c>
      <c r="BG64" s="3">
        <f t="shared" si="748"/>
        <v>10</v>
      </c>
      <c r="BH64" s="3">
        <f t="shared" si="748"/>
        <v>10</v>
      </c>
      <c r="BI64" s="3">
        <f t="shared" si="748"/>
        <v>10</v>
      </c>
      <c r="BJ64" s="3">
        <f t="shared" si="748"/>
        <v>10</v>
      </c>
      <c r="BK64" s="3">
        <f t="shared" si="748"/>
        <v>10</v>
      </c>
      <c r="BL64" s="3">
        <f t="shared" si="748"/>
        <v>10</v>
      </c>
      <c r="BM64" s="3">
        <f t="shared" si="748"/>
        <v>10</v>
      </c>
      <c r="BN64" s="3">
        <f t="shared" si="748"/>
        <v>10</v>
      </c>
      <c r="BO64" s="3">
        <f t="shared" si="748"/>
        <v>10</v>
      </c>
      <c r="BP64" s="3">
        <f t="shared" si="748"/>
        <v>10</v>
      </c>
      <c r="BQ64" s="3">
        <f t="shared" si="748"/>
        <v>10</v>
      </c>
      <c r="BR64" s="3">
        <f t="shared" si="748"/>
        <v>10</v>
      </c>
      <c r="BS64" s="3">
        <f t="shared" si="748"/>
        <v>10</v>
      </c>
      <c r="BT64" s="3">
        <f t="shared" si="748"/>
        <v>10</v>
      </c>
      <c r="BU64" s="3">
        <f t="shared" si="748"/>
        <v>10</v>
      </c>
      <c r="BV64" s="3">
        <f t="shared" si="748"/>
        <v>10</v>
      </c>
      <c r="BW64" s="3">
        <f t="shared" si="748"/>
        <v>10</v>
      </c>
      <c r="BX64" s="3">
        <f t="shared" si="748"/>
        <v>10</v>
      </c>
      <c r="BY64" s="3">
        <f t="shared" si="748"/>
        <v>10</v>
      </c>
      <c r="BZ64" s="3">
        <f t="shared" si="748"/>
        <v>10</v>
      </c>
      <c r="CA64" s="3">
        <f t="shared" si="748"/>
        <v>10</v>
      </c>
      <c r="CB64" s="3">
        <f t="shared" si="748"/>
        <v>10</v>
      </c>
      <c r="CC64" s="3">
        <f t="shared" si="748"/>
        <v>10</v>
      </c>
      <c r="CD64" s="3">
        <f t="shared" si="748"/>
        <v>10</v>
      </c>
      <c r="CE64" s="3">
        <f t="shared" si="748"/>
        <v>10</v>
      </c>
      <c r="CF64" s="3">
        <f t="shared" si="748"/>
        <v>10</v>
      </c>
      <c r="CG64" s="3">
        <f t="shared" si="748"/>
        <v>10</v>
      </c>
      <c r="CH64" s="3">
        <f t="shared" si="748"/>
        <v>10</v>
      </c>
      <c r="CI64" s="3">
        <f>CJ64</f>
        <v>10</v>
      </c>
      <c r="CJ64" s="3">
        <f>'QTR Raw'!BD46</f>
        <v>10</v>
      </c>
      <c r="CK64" s="3">
        <f>'QTR Raw'!BE46</f>
        <v>2</v>
      </c>
      <c r="CL64" s="3">
        <f>'QTR Raw'!BF46</f>
        <v>2</v>
      </c>
      <c r="CM64" s="37">
        <f t="shared" si="731"/>
        <v>2</v>
      </c>
      <c r="CN64" s="37">
        <f t="shared" si="732"/>
        <v>2</v>
      </c>
      <c r="CO64" s="37">
        <f t="shared" si="733"/>
        <v>2</v>
      </c>
      <c r="CP64" s="37">
        <f t="shared" si="734"/>
        <v>2</v>
      </c>
      <c r="CQ64" s="37">
        <f t="shared" si="735"/>
        <v>2</v>
      </c>
      <c r="CR64" s="37">
        <f t="shared" si="736"/>
        <v>2</v>
      </c>
      <c r="CS64" s="37">
        <f t="shared" si="737"/>
        <v>2</v>
      </c>
      <c r="CT64" s="37">
        <f t="shared" si="738"/>
        <v>2</v>
      </c>
      <c r="CU64" s="37">
        <f t="shared" si="739"/>
        <v>2</v>
      </c>
      <c r="CV64" s="37">
        <f t="shared" si="740"/>
        <v>2</v>
      </c>
      <c r="CW64" s="37">
        <f t="shared" si="741"/>
        <v>2</v>
      </c>
      <c r="CX64" s="37">
        <f t="shared" si="742"/>
        <v>2</v>
      </c>
      <c r="CY64" s="37">
        <f t="shared" si="743"/>
        <v>2</v>
      </c>
      <c r="CZ64" s="37">
        <f t="shared" si="744"/>
        <v>2</v>
      </c>
      <c r="DA64" s="37">
        <f t="shared" si="745"/>
        <v>2</v>
      </c>
      <c r="DB64" s="37">
        <f t="shared" si="746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4.9497999999999998</v>
      </c>
      <c r="AJ65" s="3">
        <f t="shared" ref="AJ65" si="755">AJ63/AJ64</f>
        <v>4.9497999999999998</v>
      </c>
      <c r="AK65" s="3">
        <f t="shared" ref="AK65:AM65" si="756">AK63/AK64</f>
        <v>4.9497999999999998</v>
      </c>
      <c r="AL65" s="3">
        <f t="shared" si="756"/>
        <v>4.9497999999999998</v>
      </c>
      <c r="AM65" s="3">
        <f t="shared" si="756"/>
        <v>4.9497999999999998</v>
      </c>
      <c r="AN65" s="3">
        <f t="shared" ref="AN65:AO65" si="757">AN63/AN64</f>
        <v>4.9497999999999998</v>
      </c>
      <c r="AO65" s="3">
        <f t="shared" si="757"/>
        <v>4.9497999999999998</v>
      </c>
      <c r="AP65" s="3">
        <f t="shared" ref="AP65:CD65" si="758">AP63/AP64</f>
        <v>4.9497999999999998</v>
      </c>
      <c r="AQ65" s="3">
        <f t="shared" si="758"/>
        <v>4.9497999999999998</v>
      </c>
      <c r="AR65" s="3">
        <f t="shared" si="758"/>
        <v>4.9497999999999998</v>
      </c>
      <c r="AS65" s="3">
        <f t="shared" si="758"/>
        <v>4.9497999999999998</v>
      </c>
      <c r="AT65" s="3">
        <f t="shared" si="758"/>
        <v>4.9497999999999998</v>
      </c>
      <c r="AU65" s="3">
        <f t="shared" si="758"/>
        <v>4.9497999999999998</v>
      </c>
      <c r="AV65" s="3">
        <f t="shared" si="758"/>
        <v>4.9497999999999998</v>
      </c>
      <c r="AW65" s="3">
        <f t="shared" si="758"/>
        <v>4.9497999999999998</v>
      </c>
      <c r="AX65" s="3">
        <f t="shared" si="758"/>
        <v>4.9497999999999998</v>
      </c>
      <c r="AY65" s="3">
        <f t="shared" si="758"/>
        <v>4.9497999999999998</v>
      </c>
      <c r="AZ65" s="3">
        <f t="shared" si="758"/>
        <v>4.9497999999999998</v>
      </c>
      <c r="BA65" s="3">
        <f t="shared" si="758"/>
        <v>4.9497999999999998</v>
      </c>
      <c r="BB65" s="3">
        <f t="shared" si="758"/>
        <v>4.9497999999999998</v>
      </c>
      <c r="BC65" s="3">
        <f t="shared" si="758"/>
        <v>4.9497999999999998</v>
      </c>
      <c r="BD65" s="3">
        <f t="shared" si="758"/>
        <v>4.9497999999999998</v>
      </c>
      <c r="BE65" s="3">
        <f t="shared" si="758"/>
        <v>4.9497999999999998</v>
      </c>
      <c r="BF65" s="3">
        <f t="shared" si="758"/>
        <v>4.9497999999999998</v>
      </c>
      <c r="BG65" s="3">
        <f t="shared" si="758"/>
        <v>4.9497999999999998</v>
      </c>
      <c r="BH65" s="3">
        <f t="shared" si="758"/>
        <v>4.9497999999999998</v>
      </c>
      <c r="BI65" s="3">
        <f t="shared" si="758"/>
        <v>4.9497999999999998</v>
      </c>
      <c r="BJ65" s="3">
        <f t="shared" si="758"/>
        <v>4.9497999999999998</v>
      </c>
      <c r="BK65" s="3">
        <f t="shared" si="758"/>
        <v>4.9497999999999998</v>
      </c>
      <c r="BL65" s="3">
        <f t="shared" si="758"/>
        <v>4.9497999999999998</v>
      </c>
      <c r="BM65" s="3">
        <f t="shared" si="758"/>
        <v>4.9497999999999998</v>
      </c>
      <c r="BN65" s="3">
        <f t="shared" si="758"/>
        <v>4.9497999999999998</v>
      </c>
      <c r="BO65" s="3">
        <f t="shared" si="758"/>
        <v>4.9497999999999998</v>
      </c>
      <c r="BP65" s="3">
        <f t="shared" si="758"/>
        <v>4.9497999999999998</v>
      </c>
      <c r="BQ65" s="3">
        <f t="shared" si="758"/>
        <v>4.9497999999999998</v>
      </c>
      <c r="BR65" s="3">
        <f t="shared" si="758"/>
        <v>4.9497999999999998</v>
      </c>
      <c r="BS65" s="3">
        <f t="shared" si="758"/>
        <v>4.9497999999999998</v>
      </c>
      <c r="BT65" s="3">
        <f t="shared" si="758"/>
        <v>4.9497999999999998</v>
      </c>
      <c r="BU65" s="3">
        <f t="shared" si="758"/>
        <v>4.9497999999999998</v>
      </c>
      <c r="BV65" s="3">
        <f t="shared" si="758"/>
        <v>4.9497999999999998</v>
      </c>
      <c r="BW65" s="3">
        <f t="shared" si="758"/>
        <v>4.9497999999999998</v>
      </c>
      <c r="BX65" s="3">
        <f t="shared" si="758"/>
        <v>4.9497999999999998</v>
      </c>
      <c r="BY65" s="3">
        <f t="shared" si="758"/>
        <v>4.9497999999999998</v>
      </c>
      <c r="BZ65" s="3">
        <f t="shared" si="758"/>
        <v>4.9497999999999998</v>
      </c>
      <c r="CA65" s="3">
        <f t="shared" si="758"/>
        <v>4.9497999999999998</v>
      </c>
      <c r="CB65" s="3">
        <f t="shared" si="758"/>
        <v>4.9497999999999998</v>
      </c>
      <c r="CC65" s="3">
        <f t="shared" si="758"/>
        <v>4.9497999999999998</v>
      </c>
      <c r="CD65" s="3">
        <f t="shared" si="758"/>
        <v>4.9497999999999998</v>
      </c>
      <c r="CE65" s="3">
        <f t="shared" ref="CE65:CF65" si="759">CE63/CE64</f>
        <v>4.9497999999999998</v>
      </c>
      <c r="CF65" s="3">
        <f t="shared" si="759"/>
        <v>4.9497999999999998</v>
      </c>
      <c r="CG65" s="3">
        <f t="shared" ref="CG65:CH65" si="760">CG63/CG64</f>
        <v>4.9497999999999998</v>
      </c>
      <c r="CH65" s="3">
        <f t="shared" si="760"/>
        <v>4.9497999999999998</v>
      </c>
      <c r="CI65" s="3">
        <f t="shared" ref="CI65:CJ65" si="761">CI63/CI64</f>
        <v>4.9497999999999998</v>
      </c>
      <c r="CJ65" s="3">
        <f t="shared" si="761"/>
        <v>4.9497999999999998</v>
      </c>
      <c r="CK65" s="3">
        <f t="shared" ref="CK65:CL65" si="762">CK63/CK64</f>
        <v>24.765000000000001</v>
      </c>
      <c r="CL65" s="3">
        <f t="shared" si="762"/>
        <v>24.798500000000001</v>
      </c>
      <c r="CM65" s="37">
        <f t="shared" ref="CM65:DB65" si="763">CM63/CM64</f>
        <v>24.798500000000001</v>
      </c>
      <c r="CN65" s="37">
        <f t="shared" si="763"/>
        <v>24.798500000000001</v>
      </c>
      <c r="CO65" s="37">
        <f t="shared" si="763"/>
        <v>24.798500000000001</v>
      </c>
      <c r="CP65" s="37">
        <f t="shared" si="763"/>
        <v>24.798500000000001</v>
      </c>
      <c r="CQ65" s="37">
        <f t="shared" si="763"/>
        <v>24.798500000000001</v>
      </c>
      <c r="CR65" s="37">
        <f t="shared" si="763"/>
        <v>24.798500000000001</v>
      </c>
      <c r="CS65" s="37">
        <f t="shared" si="763"/>
        <v>24.798500000000001</v>
      </c>
      <c r="CT65" s="37">
        <f t="shared" si="763"/>
        <v>24.798500000000001</v>
      </c>
      <c r="CU65" s="37">
        <f t="shared" si="763"/>
        <v>24.798500000000001</v>
      </c>
      <c r="CV65" s="37">
        <f t="shared" si="763"/>
        <v>24.798500000000001</v>
      </c>
      <c r="CW65" s="37">
        <f t="shared" si="763"/>
        <v>24.798500000000001</v>
      </c>
      <c r="CX65" s="37">
        <f t="shared" si="763"/>
        <v>24.798500000000001</v>
      </c>
      <c r="CY65" s="37">
        <f t="shared" si="763"/>
        <v>24.798500000000001</v>
      </c>
      <c r="CZ65" s="37">
        <f t="shared" si="763"/>
        <v>24.798500000000001</v>
      </c>
      <c r="DA65" s="37">
        <f t="shared" si="763"/>
        <v>24.798500000000001</v>
      </c>
      <c r="DB65" s="37">
        <f t="shared" si="763"/>
        <v>24.798500000000001</v>
      </c>
      <c r="DE65" s="134"/>
      <c r="DF65" s="3">
        <v>24.765000000000001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0</v>
      </c>
      <c r="AJ66" s="53">
        <f t="shared" si="766"/>
        <v>0</v>
      </c>
      <c r="AK66" s="53">
        <f t="shared" si="766"/>
        <v>0</v>
      </c>
      <c r="AL66" s="53">
        <f t="shared" si="766"/>
        <v>0</v>
      </c>
      <c r="AM66" s="53">
        <f t="shared" si="766"/>
        <v>0</v>
      </c>
      <c r="AN66" s="53">
        <f t="shared" si="766"/>
        <v>0</v>
      </c>
      <c r="AO66" s="53">
        <f t="shared" si="766"/>
        <v>0</v>
      </c>
      <c r="AP66" s="53">
        <f t="shared" si="766"/>
        <v>0</v>
      </c>
      <c r="AQ66" s="53">
        <f t="shared" si="766"/>
        <v>0</v>
      </c>
      <c r="AR66" s="53">
        <f t="shared" si="766"/>
        <v>0</v>
      </c>
      <c r="AS66" s="53">
        <f t="shared" si="766"/>
        <v>0</v>
      </c>
      <c r="AT66" s="53">
        <f t="shared" si="766"/>
        <v>0</v>
      </c>
      <c r="AU66" s="53">
        <f t="shared" si="766"/>
        <v>0</v>
      </c>
      <c r="AV66" s="53">
        <f t="shared" si="766"/>
        <v>0</v>
      </c>
      <c r="AW66" s="53">
        <f t="shared" si="766"/>
        <v>0</v>
      </c>
      <c r="AX66" s="53">
        <f t="shared" si="766"/>
        <v>0</v>
      </c>
      <c r="AY66" s="53">
        <f t="shared" si="766"/>
        <v>0</v>
      </c>
      <c r="AZ66" s="53">
        <f t="shared" si="766"/>
        <v>0</v>
      </c>
      <c r="BA66" s="53">
        <f t="shared" si="766"/>
        <v>0</v>
      </c>
      <c r="BB66" s="53">
        <f t="shared" si="766"/>
        <v>0</v>
      </c>
      <c r="BC66" s="53">
        <f t="shared" si="766"/>
        <v>0</v>
      </c>
      <c r="BD66" s="53">
        <f t="shared" si="766"/>
        <v>0</v>
      </c>
      <c r="BE66" s="53">
        <f t="shared" si="766"/>
        <v>0</v>
      </c>
      <c r="BF66" s="53">
        <f t="shared" si="766"/>
        <v>0</v>
      </c>
      <c r="BG66" s="53">
        <f t="shared" si="766"/>
        <v>0</v>
      </c>
      <c r="BH66" s="53">
        <f t="shared" si="766"/>
        <v>0</v>
      </c>
      <c r="BI66" s="53">
        <f t="shared" si="766"/>
        <v>0</v>
      </c>
      <c r="BJ66" s="53">
        <f t="shared" si="766"/>
        <v>0</v>
      </c>
      <c r="BK66" s="53">
        <f t="shared" si="766"/>
        <v>0</v>
      </c>
      <c r="BL66" s="53">
        <f t="shared" si="766"/>
        <v>8.6076205099195917</v>
      </c>
      <c r="BM66" s="53">
        <f t="shared" si="766"/>
        <v>9.3403773889854165</v>
      </c>
      <c r="BN66" s="53">
        <f t="shared" si="766"/>
        <v>8.700755586084286</v>
      </c>
      <c r="BO66" s="53">
        <f t="shared" ref="BO66:CT66" si="767">(BO48-BO47)/BO65</f>
        <v>8.0397187765162208</v>
      </c>
      <c r="BP66" s="53">
        <f t="shared" si="767"/>
        <v>9.8894904844640212</v>
      </c>
      <c r="BQ66" s="53">
        <f t="shared" si="767"/>
        <v>11.398036284294319</v>
      </c>
      <c r="BR66" s="53">
        <f t="shared" si="767"/>
        <v>12.147157460907509</v>
      </c>
      <c r="BS66" s="53">
        <f t="shared" si="767"/>
        <v>12.776677845569516</v>
      </c>
      <c r="BT66" s="53">
        <f t="shared" si="767"/>
        <v>14.658976120247289</v>
      </c>
      <c r="BU66" s="53">
        <f t="shared" si="767"/>
        <v>15.619014909693318</v>
      </c>
      <c r="BV66" s="53">
        <f t="shared" si="767"/>
        <v>14.916764313709642</v>
      </c>
      <c r="BW66" s="53">
        <f t="shared" si="767"/>
        <v>13.086993413875307</v>
      </c>
      <c r="BX66" s="53">
        <f t="shared" si="767"/>
        <v>14.574932320497805</v>
      </c>
      <c r="BY66" s="53">
        <f t="shared" si="767"/>
        <v>14.893126995030107</v>
      </c>
      <c r="BZ66" s="53">
        <f t="shared" si="767"/>
        <v>15.073538324780799</v>
      </c>
      <c r="CA66" s="53">
        <f t="shared" si="767"/>
        <v>15.422845367489588</v>
      </c>
      <c r="CB66" s="53">
        <f t="shared" si="767"/>
        <v>17.072811022667587</v>
      </c>
      <c r="CC66" s="53">
        <f t="shared" si="767"/>
        <v>18.039920804881003</v>
      </c>
      <c r="CD66" s="53">
        <f t="shared" si="767"/>
        <v>20.909733726615219</v>
      </c>
      <c r="CE66" s="53">
        <f t="shared" si="767"/>
        <v>21.861893409834742</v>
      </c>
      <c r="CF66" s="53">
        <f t="shared" si="767"/>
        <v>24.741403693078524</v>
      </c>
      <c r="CG66" s="53">
        <f t="shared" si="767"/>
        <v>25.353145581639666</v>
      </c>
      <c r="CH66" s="53">
        <f t="shared" si="767"/>
        <v>23.035476180855781</v>
      </c>
      <c r="CI66" s="53">
        <f t="shared" si="767"/>
        <v>22.039274314113698</v>
      </c>
      <c r="CJ66" s="53">
        <f t="shared" si="767"/>
        <v>23.221544304820394</v>
      </c>
      <c r="CK66" s="53">
        <f t="shared" ref="CK66:CL66" si="768">(CK48-CK47)/CK65</f>
        <v>5.0691298203109225</v>
      </c>
      <c r="CL66" s="53">
        <f t="shared" si="768"/>
        <v>5.0984535354960974</v>
      </c>
      <c r="CM66" s="54">
        <f t="shared" si="767"/>
        <v>4.2998599401636755</v>
      </c>
      <c r="CN66" s="54">
        <f t="shared" si="767"/>
        <v>4.89905447038013</v>
      </c>
      <c r="CO66" s="54">
        <f t="shared" si="767"/>
        <v>5.3890761569785663</v>
      </c>
      <c r="CP66" s="54">
        <f t="shared" si="767"/>
        <v>5.6637057334818923</v>
      </c>
      <c r="CQ66" s="54">
        <f t="shared" si="767"/>
        <v>5.499905188289465</v>
      </c>
      <c r="CR66" s="54">
        <f t="shared" si="767"/>
        <v>6.0224685532985252</v>
      </c>
      <c r="CS66" s="54">
        <f t="shared" si="767"/>
        <v>6.4371740639368138</v>
      </c>
      <c r="CT66" s="54">
        <f t="shared" si="767"/>
        <v>6.6702700986488201</v>
      </c>
      <c r="CU66" s="54">
        <f t="shared" ref="CU66:DB66" si="769">(CU48-CU47)/CU65</f>
        <v>6.4561490751466888</v>
      </c>
      <c r="CV66" s="54">
        <f t="shared" si="769"/>
        <v>6.9587826571475757</v>
      </c>
      <c r="CW66" s="54">
        <f t="shared" si="769"/>
        <v>7.3578101652957661</v>
      </c>
      <c r="CX66" s="54">
        <f t="shared" si="769"/>
        <v>7.5762159747044837</v>
      </c>
      <c r="CY66" s="54">
        <f t="shared" si="769"/>
        <v>7.3188757802497992</v>
      </c>
      <c r="CZ66" s="54">
        <f t="shared" si="769"/>
        <v>7.8309859262394541</v>
      </c>
      <c r="DA66" s="54">
        <f t="shared" si="769"/>
        <v>8.2377962198350669</v>
      </c>
      <c r="DB66" s="54">
        <f t="shared" si="769"/>
        <v>8.4552999192401153</v>
      </c>
      <c r="DE66" s="132"/>
      <c r="DF66" s="53">
        <v>4.9598670947074526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0.125</v>
      </c>
      <c r="G67" s="3">
        <f>'Annual Raw'!H110</f>
        <v>0.2</v>
      </c>
      <c r="H67" s="3">
        <f>'Annual Raw'!I110</f>
        <v>0.65</v>
      </c>
      <c r="I67" s="3">
        <f>'Annual Raw'!J110</f>
        <v>1.1000000000000001</v>
      </c>
      <c r="J67" s="3">
        <f>'Annual Raw'!K110</f>
        <v>1.1499999999999999</v>
      </c>
      <c r="K67" s="3">
        <f>'Annual Raw'!L110</f>
        <v>2.35</v>
      </c>
      <c r="L67" s="3">
        <f>'Annual Raw'!M110</f>
        <v>1.8</v>
      </c>
      <c r="M67" s="3">
        <f>'Annual Raw'!N110</f>
        <v>1.1299999999999999</v>
      </c>
      <c r="N67" s="3">
        <f>'Annual Raw'!O110</f>
        <v>1.554</v>
      </c>
      <c r="O67" s="3">
        <f>'Annual Raw'!P110</f>
        <v>1.292</v>
      </c>
      <c r="P67" s="3">
        <f>'Annual Raw'!Q110</f>
        <v>1.77</v>
      </c>
      <c r="Q67" s="3">
        <f>'Annual Raw'!R110</f>
        <v>2.1560000000000001</v>
      </c>
      <c r="R67" s="3">
        <f>'Annual Raw'!S110</f>
        <v>2.6339999999999999</v>
      </c>
      <c r="S67" s="3">
        <f>'Annual Raw'!T110</f>
        <v>3</v>
      </c>
      <c r="T67" s="3">
        <f>'Annual Raw'!U110</f>
        <v>4.4939999999999998</v>
      </c>
      <c r="U67" s="3">
        <f>'Annual Raw'!V110</f>
        <v>2.4359999999999999</v>
      </c>
      <c r="V67" s="3">
        <f>'Annual Raw'!W110</f>
        <v>12.587999999999999</v>
      </c>
      <c r="W67" s="3">
        <f>'Annual Raw'!X110</f>
        <v>7.75</v>
      </c>
      <c r="X67" s="3">
        <f>'Annual Raw'!Y110</f>
        <v>7.55</v>
      </c>
      <c r="Y67" s="3">
        <f>'Annual Raw'!Z110</f>
        <v>9.3000000000000007</v>
      </c>
      <c r="Z67" s="3">
        <f>'Annual Raw'!AA110</f>
        <v>14.5</v>
      </c>
      <c r="AA67" s="3">
        <f>'Annual Raw'!AB110</f>
        <v>12.5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0</v>
      </c>
      <c r="AM69" s="3">
        <f t="shared" ref="AM69" si="782">SUM(AJ66:AM66)</f>
        <v>0</v>
      </c>
      <c r="AN69" s="3">
        <f t="shared" ref="AN69" si="783">SUM(AK66:AN66)</f>
        <v>0</v>
      </c>
      <c r="AO69" s="3">
        <f t="shared" ref="AO69" si="784">SUM(AL66:AO66)</f>
        <v>0</v>
      </c>
      <c r="AP69" s="3">
        <f t="shared" ref="AP69" si="785">SUM(AM66:AP66)</f>
        <v>0</v>
      </c>
      <c r="AQ69" s="3">
        <f t="shared" ref="AQ69" si="786">SUM(AN66:AQ66)</f>
        <v>0</v>
      </c>
      <c r="AR69" s="3">
        <f t="shared" ref="AR69" si="787">SUM(AO66:AR66)</f>
        <v>0</v>
      </c>
      <c r="AS69" s="3">
        <f t="shared" ref="AS69" si="788">SUM(AP66:AS66)</f>
        <v>0</v>
      </c>
      <c r="AT69" s="3">
        <f t="shared" ref="AT69" si="789">SUM(AQ66:AT66)</f>
        <v>0</v>
      </c>
      <c r="AU69" s="3">
        <f t="shared" ref="AU69" si="790">SUM(AR66:AU66)</f>
        <v>0</v>
      </c>
      <c r="AV69" s="3">
        <f t="shared" ref="AV69" si="791">SUM(AS66:AV66)</f>
        <v>0</v>
      </c>
      <c r="AW69" s="3">
        <f t="shared" ref="AW69" si="792">SUM(AT66:AW66)</f>
        <v>0</v>
      </c>
      <c r="AX69" s="3">
        <f t="shared" ref="AX69" si="793">SUM(AU66:AX66)</f>
        <v>0</v>
      </c>
      <c r="AY69" s="3">
        <f t="shared" ref="AY69" si="794">SUM(AV66:AY66)</f>
        <v>0</v>
      </c>
      <c r="AZ69" s="3">
        <f t="shared" ref="AZ69" si="795">SUM(AW66:AZ66)</f>
        <v>0</v>
      </c>
      <c r="BA69" s="3">
        <f t="shared" ref="BA69" si="796">SUM(AX66:BA66)</f>
        <v>0</v>
      </c>
      <c r="BB69" s="3">
        <f t="shared" ref="BB69" si="797">SUM(AY66:BB66)</f>
        <v>0</v>
      </c>
      <c r="BC69" s="3">
        <f t="shared" ref="BC69" si="798">SUM(AZ66:BC66)</f>
        <v>0</v>
      </c>
      <c r="BD69" s="3">
        <f t="shared" ref="BD69" si="799">SUM(BA66:BD66)</f>
        <v>0</v>
      </c>
      <c r="BE69" s="3">
        <f t="shared" ref="BE69" si="800">SUM(BB66:BE66)</f>
        <v>0</v>
      </c>
      <c r="BF69" s="3">
        <f t="shared" ref="BF69" si="801">SUM(BC66:BF66)</f>
        <v>0</v>
      </c>
      <c r="BG69" s="3">
        <f t="shared" ref="BG69" si="802">SUM(BD66:BG66)</f>
        <v>0</v>
      </c>
      <c r="BH69" s="3">
        <f t="shared" ref="BH69" si="803">SUM(BE66:BH66)</f>
        <v>0</v>
      </c>
      <c r="BI69" s="3">
        <f t="shared" ref="BI69" si="804">SUM(BF66:BI66)</f>
        <v>0</v>
      </c>
      <c r="BJ69" s="3">
        <f t="shared" ref="BJ69" si="805">SUM(BG66:BJ66)</f>
        <v>0</v>
      </c>
      <c r="BK69" s="3">
        <f t="shared" ref="BK69" si="806">SUM(BH66:BK66)</f>
        <v>0</v>
      </c>
      <c r="BL69" s="3">
        <f t="shared" ref="BL69" si="807">SUM(BI66:BL66)</f>
        <v>8.6076205099195917</v>
      </c>
      <c r="BM69" s="3">
        <f t="shared" ref="BM69" si="808">SUM(BJ66:BM66)</f>
        <v>17.947997898905008</v>
      </c>
      <c r="BN69" s="3">
        <f t="shared" ref="BN69" si="809">SUM(BK66:BN66)</f>
        <v>26.648753484989292</v>
      </c>
      <c r="BO69" s="3">
        <f t="shared" ref="BO69" si="810">SUM(BL66:BO66)</f>
        <v>34.68847226150551</v>
      </c>
      <c r="BP69" s="3">
        <f t="shared" ref="BP69" si="811">SUM(BM66:BP66)</f>
        <v>35.970342236049945</v>
      </c>
      <c r="BQ69" s="3">
        <f t="shared" ref="BQ69" si="812">SUM(BN66:BQ66)</f>
        <v>38.028001131358849</v>
      </c>
      <c r="BR69" s="3">
        <f t="shared" ref="BR69" si="813">SUM(BO66:BR66)</f>
        <v>41.474403006182072</v>
      </c>
      <c r="BS69" s="3">
        <f t="shared" ref="BS69" si="814">SUM(BP66:BS66)</f>
        <v>46.211362075235364</v>
      </c>
      <c r="BT69" s="3">
        <f t="shared" ref="BT69" si="815">SUM(BQ66:BT66)</f>
        <v>50.980847711018633</v>
      </c>
      <c r="BU69" s="3">
        <f t="shared" ref="BU69" si="816">SUM(BR66:BU66)</f>
        <v>55.201826336417632</v>
      </c>
      <c r="BV69" s="3">
        <f t="shared" ref="BV69" si="817">SUM(BS66:BV66)</f>
        <v>57.971433189219766</v>
      </c>
      <c r="BW69" s="3">
        <f t="shared" ref="BW69" si="818">SUM(BT66:BW66)</f>
        <v>58.281748757525556</v>
      </c>
      <c r="BX69" s="3">
        <f t="shared" ref="BX69" si="819">SUM(BU66:BX66)</f>
        <v>58.197704957776068</v>
      </c>
      <c r="BY69" s="3">
        <f t="shared" ref="BY69" si="820">SUM(BV66:BY66)</f>
        <v>57.471817043112857</v>
      </c>
      <c r="BZ69" s="3">
        <f t="shared" ref="BZ69" si="821">SUM(BW66:BZ66)</f>
        <v>57.628591054184021</v>
      </c>
      <c r="CA69" s="3">
        <f t="shared" ref="CA69" si="822">SUM(BX66:CA66)</f>
        <v>59.964443007798295</v>
      </c>
      <c r="CB69" s="3">
        <f t="shared" ref="CB69" si="823">SUM(BY66:CB66)</f>
        <v>62.46232170996808</v>
      </c>
      <c r="CC69" s="3">
        <f t="shared" ref="CC69" si="824">SUM(BZ66:CC66)</f>
        <v>65.609115519818971</v>
      </c>
      <c r="CD69" s="3">
        <f t="shared" ref="CD69" si="825">SUM(CA66:CD66)</f>
        <v>71.445310921653387</v>
      </c>
      <c r="CE69" s="3">
        <f t="shared" ref="CE69" si="826">SUM(CB66:CE66)</f>
        <v>77.884358963998551</v>
      </c>
      <c r="CF69" s="3">
        <f t="shared" ref="CF69" si="827">SUM(CC66:CF66)</f>
        <v>85.552951634409482</v>
      </c>
      <c r="CG69" s="3">
        <f t="shared" ref="CG69" si="828">SUM(CD66:CG66)</f>
        <v>92.866176411168155</v>
      </c>
      <c r="CH69" s="3">
        <f t="shared" ref="CH69:CL69" si="829">SUM(CE66:CH66)</f>
        <v>94.991918865408721</v>
      </c>
      <c r="CI69" s="3">
        <f t="shared" si="829"/>
        <v>95.169299769687669</v>
      </c>
      <c r="CJ69" s="3">
        <f t="shared" si="829"/>
        <v>93.649440381429542</v>
      </c>
      <c r="CK69" s="3">
        <f t="shared" si="829"/>
        <v>73.365424620100796</v>
      </c>
      <c r="CL69" s="3">
        <f t="shared" si="829"/>
        <v>55.428401974741114</v>
      </c>
      <c r="CM69" s="37">
        <f t="shared" ref="CM69" si="830">SUM(CJ66:CM66)</f>
        <v>37.688987600791094</v>
      </c>
      <c r="CN69" s="37">
        <f t="shared" ref="CN69" si="831">SUM(CK66:CN66)</f>
        <v>19.366497766350825</v>
      </c>
      <c r="CO69" s="37">
        <f t="shared" ref="CO69" si="832">SUM(CL66:CO66)</f>
        <v>19.686444103018466</v>
      </c>
      <c r="CP69" s="37">
        <f t="shared" ref="CP69" si="833">SUM(CM66:CP66)</f>
        <v>20.251696301004266</v>
      </c>
      <c r="CQ69" s="37">
        <f t="shared" ref="CQ69" si="834">SUM(CN66:CQ66)</f>
        <v>21.451741549130055</v>
      </c>
      <c r="CR69" s="37">
        <f t="shared" ref="CR69" si="835">SUM(CO66:CR66)</f>
        <v>22.57515563204845</v>
      </c>
      <c r="CS69" s="37">
        <f t="shared" ref="CS69" si="836">SUM(CP66:CS66)</f>
        <v>23.623253539006697</v>
      </c>
      <c r="CT69" s="37">
        <f t="shared" ref="CT69" si="837">SUM(CQ66:CT66)</f>
        <v>24.629817904173628</v>
      </c>
      <c r="CU69" s="37">
        <f t="shared" ref="CU69" si="838">SUM(CR66:CU66)</f>
        <v>25.586061791030851</v>
      </c>
      <c r="CV69" s="37">
        <f t="shared" ref="CV69" si="839">SUM(CS66:CV66)</f>
        <v>26.522375894879897</v>
      </c>
      <c r="CW69" s="37">
        <f t="shared" ref="CW69" si="840">SUM(CT66:CW66)</f>
        <v>27.443011996238852</v>
      </c>
      <c r="CX69" s="37">
        <f t="shared" ref="CX69" si="841">SUM(CU66:CX66)</f>
        <v>28.348957872294513</v>
      </c>
      <c r="CY69" s="37">
        <f t="shared" ref="CY69" si="842">SUM(CV66:CY66)</f>
        <v>29.211684577397627</v>
      </c>
      <c r="CZ69" s="37">
        <f t="shared" ref="CZ69" si="843">SUM(CW66:CZ66)</f>
        <v>30.0838878464895</v>
      </c>
      <c r="DA69" s="37">
        <f t="shared" ref="DA69" si="844">SUM(CX66:DA66)</f>
        <v>30.963873901028805</v>
      </c>
      <c r="DB69" s="37">
        <f t="shared" ref="DB69" si="845">SUM(CY66:DB66)</f>
        <v>31.842957845564438</v>
      </c>
      <c r="DE69" s="134"/>
      <c r="DF69" s="3">
        <v>55.289815533952471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 t="e">
        <f t="shared" ref="AP70:CL70" si="851">+IF(AL69&lt;0,1-AP69/AL69,AP69/AL69-1)</f>
        <v>#DIV/0!</v>
      </c>
      <c r="AQ70" s="176" t="e">
        <f t="shared" si="851"/>
        <v>#DIV/0!</v>
      </c>
      <c r="AR70" s="176" t="e">
        <f t="shared" si="851"/>
        <v>#DIV/0!</v>
      </c>
      <c r="AS70" s="176" t="e">
        <f t="shared" si="851"/>
        <v>#DIV/0!</v>
      </c>
      <c r="AT70" s="176" t="e">
        <f t="shared" si="851"/>
        <v>#DIV/0!</v>
      </c>
      <c r="AU70" s="176" t="e">
        <f t="shared" si="851"/>
        <v>#DIV/0!</v>
      </c>
      <c r="AV70" s="176" t="e">
        <f t="shared" si="851"/>
        <v>#DIV/0!</v>
      </c>
      <c r="AW70" s="176" t="e">
        <f t="shared" si="851"/>
        <v>#DIV/0!</v>
      </c>
      <c r="AX70" s="176" t="e">
        <f t="shared" si="851"/>
        <v>#DIV/0!</v>
      </c>
      <c r="AY70" s="176" t="e">
        <f t="shared" si="851"/>
        <v>#DIV/0!</v>
      </c>
      <c r="AZ70" s="176" t="e">
        <f t="shared" si="851"/>
        <v>#DIV/0!</v>
      </c>
      <c r="BA70" s="176" t="e">
        <f t="shared" si="851"/>
        <v>#DIV/0!</v>
      </c>
      <c r="BB70" s="176" t="e">
        <f t="shared" si="851"/>
        <v>#DIV/0!</v>
      </c>
      <c r="BC70" s="176" t="e">
        <f t="shared" si="851"/>
        <v>#DIV/0!</v>
      </c>
      <c r="BD70" s="176" t="e">
        <f t="shared" si="851"/>
        <v>#DIV/0!</v>
      </c>
      <c r="BE70" s="176" t="e">
        <f t="shared" si="851"/>
        <v>#DIV/0!</v>
      </c>
      <c r="BF70" s="176" t="e">
        <f t="shared" si="851"/>
        <v>#DIV/0!</v>
      </c>
      <c r="BG70" s="176" t="e">
        <f t="shared" si="851"/>
        <v>#DIV/0!</v>
      </c>
      <c r="BH70" s="176" t="e">
        <f t="shared" si="851"/>
        <v>#DIV/0!</v>
      </c>
      <c r="BI70" s="176" t="e">
        <f t="shared" si="851"/>
        <v>#DIV/0!</v>
      </c>
      <c r="BJ70" s="176" t="e">
        <f t="shared" si="851"/>
        <v>#DIV/0!</v>
      </c>
      <c r="BK70" s="176" t="e">
        <f t="shared" si="851"/>
        <v>#DIV/0!</v>
      </c>
      <c r="BL70" s="176" t="e">
        <f t="shared" si="851"/>
        <v>#DIV/0!</v>
      </c>
      <c r="BM70" s="176" t="e">
        <f t="shared" si="851"/>
        <v>#DIV/0!</v>
      </c>
      <c r="BN70" s="176" t="e">
        <f t="shared" si="851"/>
        <v>#DIV/0!</v>
      </c>
      <c r="BO70" s="176" t="e">
        <f t="shared" si="851"/>
        <v>#DIV/0!</v>
      </c>
      <c r="BP70" s="176">
        <f t="shared" si="851"/>
        <v>3.1788949913157776</v>
      </c>
      <c r="BQ70" s="176">
        <f t="shared" si="851"/>
        <v>1.1187879197199431</v>
      </c>
      <c r="BR70" s="176">
        <f t="shared" si="851"/>
        <v>0.55633557230148756</v>
      </c>
      <c r="BS70" s="176">
        <f t="shared" si="851"/>
        <v>0.33218210726786701</v>
      </c>
      <c r="BT70" s="176">
        <f t="shared" si="851"/>
        <v>0.41730227019983612</v>
      </c>
      <c r="BU70" s="176">
        <f t="shared" si="851"/>
        <v>0.45160998985289336</v>
      </c>
      <c r="BV70" s="176">
        <f t="shared" si="851"/>
        <v>0.39776413853572978</v>
      </c>
      <c r="BW70" s="176">
        <f t="shared" si="851"/>
        <v>0.2611995435806187</v>
      </c>
      <c r="BX70" s="176">
        <f t="shared" si="851"/>
        <v>0.14156016564623797</v>
      </c>
      <c r="BY70" s="176">
        <f t="shared" si="851"/>
        <v>4.1121659505632513E-2</v>
      </c>
      <c r="BZ70" s="176">
        <f t="shared" si="851"/>
        <v>-5.9139841155333439E-3</v>
      </c>
      <c r="CA70" s="176">
        <f t="shared" si="851"/>
        <v>2.8871718610802066E-2</v>
      </c>
      <c r="CB70" s="176">
        <f t="shared" si="851"/>
        <v>7.3278091555089686E-2</v>
      </c>
      <c r="CC70" s="176">
        <f t="shared" si="851"/>
        <v>0.14158763191012147</v>
      </c>
      <c r="CD70" s="176">
        <f t="shared" si="851"/>
        <v>0.23975460122699332</v>
      </c>
      <c r="CE70" s="176">
        <f t="shared" si="851"/>
        <v>0.29884236486395443</v>
      </c>
      <c r="CF70" s="176">
        <f t="shared" si="851"/>
        <v>0.36967293709731686</v>
      </c>
      <c r="CG70" s="176">
        <f t="shared" si="851"/>
        <v>0.41544624821402243</v>
      </c>
      <c r="CH70" s="176">
        <f t="shared" si="851"/>
        <v>0.32957527429023914</v>
      </c>
      <c r="CI70" s="176">
        <f t="shared" si="851"/>
        <v>0.22193083483782594</v>
      </c>
      <c r="CJ70" s="176">
        <f t="shared" si="851"/>
        <v>9.4637164380003025E-2</v>
      </c>
      <c r="CK70" s="176">
        <f t="shared" si="851"/>
        <v>-0.20998766768136456</v>
      </c>
      <c r="CL70" s="176">
        <f t="shared" si="851"/>
        <v>-0.41649350137588015</v>
      </c>
      <c r="CM70" s="102">
        <f t="shared" ref="CM70:DB70" si="852">+IF(CI69&lt;0,1-CM69/CI69,CM69/CI69-1)</f>
        <v>-0.60397956387196827</v>
      </c>
      <c r="CN70" s="102">
        <f t="shared" si="852"/>
        <v>-0.79320220508022221</v>
      </c>
      <c r="CO70" s="102">
        <f t="shared" si="852"/>
        <v>-0.73166591476900233</v>
      </c>
      <c r="CP70" s="102">
        <f t="shared" si="852"/>
        <v>-0.63463322810148803</v>
      </c>
      <c r="CQ70" s="102">
        <f t="shared" si="852"/>
        <v>-0.43082202747521448</v>
      </c>
      <c r="CR70" s="102">
        <f t="shared" si="852"/>
        <v>0.16568085280099787</v>
      </c>
      <c r="CS70" s="102">
        <f t="shared" si="852"/>
        <v>0.19997564899923237</v>
      </c>
      <c r="CT70" s="102">
        <f t="shared" si="852"/>
        <v>0.21618542654879991</v>
      </c>
      <c r="CU70" s="102">
        <f t="shared" si="852"/>
        <v>0.19272655473832412</v>
      </c>
      <c r="CV70" s="102">
        <f t="shared" si="852"/>
        <v>0.17484797567587274</v>
      </c>
      <c r="CW70" s="102">
        <f t="shared" si="852"/>
        <v>0.16169485083521518</v>
      </c>
      <c r="CX70" s="102">
        <f t="shared" si="852"/>
        <v>0.1510015211070912</v>
      </c>
      <c r="CY70" s="102">
        <f t="shared" si="852"/>
        <v>0.14170304191314553</v>
      </c>
      <c r="CZ70" s="102">
        <f t="shared" si="852"/>
        <v>0.13428329218036406</v>
      </c>
      <c r="DA70" s="102">
        <f t="shared" si="852"/>
        <v>0.12829721115424575</v>
      </c>
      <c r="DB70" s="102">
        <f t="shared" si="852"/>
        <v>0.12324967954764277</v>
      </c>
      <c r="DE70" s="135"/>
      <c r="DF70" s="97">
        <v>-0.41795243011891359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94.07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30.98</v>
      </c>
      <c r="W73" s="3">
        <f>'Annual Raw'!X112</f>
        <v>23.75</v>
      </c>
      <c r="X73" s="3">
        <f>'Annual Raw'!Y112</f>
        <v>19.920000000000002</v>
      </c>
      <c r="Y73" s="3">
        <f>'Annual Raw'!Z112</f>
        <v>0</v>
      </c>
      <c r="Z73" s="3">
        <f>'Annual Raw'!AA112</f>
        <v>0</v>
      </c>
      <c r="AA73" s="3">
        <f>'Annual Raw'!AB112</f>
        <v>0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30.98</v>
      </c>
      <c r="BQ73" s="3">
        <f>'QTR Raw'!AK49</f>
        <v>30.98</v>
      </c>
      <c r="BR73" s="3">
        <f>'QTR Raw'!AL49</f>
        <v>30.98</v>
      </c>
      <c r="BS73" s="3">
        <f>'QTR Raw'!AM49</f>
        <v>30.96</v>
      </c>
      <c r="BT73" s="3">
        <f>'QTR Raw'!AN49</f>
        <v>30.96</v>
      </c>
      <c r="BU73" s="3">
        <f>'QTR Raw'!AO49</f>
        <v>23.75</v>
      </c>
      <c r="BV73" s="3">
        <f>'QTR Raw'!AP49</f>
        <v>23.75</v>
      </c>
      <c r="BW73" s="3">
        <f>'QTR Raw'!AQ49</f>
        <v>23.74</v>
      </c>
      <c r="BX73" s="3">
        <f>'QTR Raw'!AR49</f>
        <v>19.920000000000002</v>
      </c>
      <c r="BY73" s="3">
        <f>'QTR Raw'!AS49</f>
        <v>19.920000000000002</v>
      </c>
      <c r="BZ73" s="3">
        <f>'QTR Raw'!AT49</f>
        <v>19.920000000000002</v>
      </c>
      <c r="CA73" s="3">
        <f>'QTR Raw'!AU49</f>
        <v>19.91</v>
      </c>
      <c r="CB73" s="3">
        <f>'QTR Raw'!AV49</f>
        <v>19.87</v>
      </c>
      <c r="CC73" s="3">
        <f>'QTR Raw'!AW49</f>
        <v>0</v>
      </c>
      <c r="CD73" s="3">
        <f>'QTR Raw'!AX49</f>
        <v>0</v>
      </c>
      <c r="CE73" s="3">
        <f>'QTR Raw'!AY49</f>
        <v>0</v>
      </c>
      <c r="CF73" s="3">
        <f>'QTR Raw'!AZ49</f>
        <v>0</v>
      </c>
      <c r="CG73" s="3">
        <f>'QTR Raw'!BA49</f>
        <v>0</v>
      </c>
      <c r="CH73" s="3">
        <f>'QTR Raw'!BB49</f>
        <v>0</v>
      </c>
      <c r="CI73" s="3">
        <f>'QTR Raw'!BC49</f>
        <v>0</v>
      </c>
      <c r="CJ73" s="3">
        <f>'QTR Raw'!BD49</f>
        <v>0</v>
      </c>
      <c r="CK73" s="3">
        <f>'QTR Raw'!BE49</f>
        <v>0</v>
      </c>
      <c r="CL73" s="3">
        <f>'QTR Raw'!BF49</f>
        <v>0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370.54</v>
      </c>
      <c r="W77" s="13">
        <f>'Annual Raw'!X106</f>
        <v>462.84</v>
      </c>
      <c r="X77" s="13">
        <f>'Annual Raw'!Y106</f>
        <v>406.38</v>
      </c>
      <c r="Y77" s="13">
        <f>'Annual Raw'!Z106</f>
        <v>583.07000000000005</v>
      </c>
      <c r="Z77" s="13">
        <f>'Annual Raw'!AA106</f>
        <v>743</v>
      </c>
      <c r="AA77" s="13">
        <f>'Annual Raw'!AB106</f>
        <v>625.9</v>
      </c>
      <c r="AB77" s="37">
        <f>+CP77</f>
        <v>625.9</v>
      </c>
      <c r="AC77" s="37">
        <f>+CT77</f>
        <v>625.9</v>
      </c>
      <c r="AD77" s="37">
        <f>+CX77</f>
        <v>625.9</v>
      </c>
      <c r="AE77" s="37">
        <f>+DB77</f>
        <v>625.9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361.09</v>
      </c>
      <c r="BR77" s="13">
        <f>'QTR Share Price'!IX21</f>
        <v>370.54</v>
      </c>
      <c r="BS77" s="13">
        <f>'QTR Share Price'!IY21</f>
        <v>557.91</v>
      </c>
      <c r="BT77" s="13">
        <f>'QTR Share Price'!IZ21</f>
        <v>607.04999999999995</v>
      </c>
      <c r="BU77" s="13">
        <f>'QTR Share Price'!JA21</f>
        <v>533.4</v>
      </c>
      <c r="BV77" s="13">
        <f>'QTR Share Price'!JB21</f>
        <v>462.84</v>
      </c>
      <c r="BW77" s="13">
        <f>'QTR Share Price'!JC21</f>
        <v>451.47</v>
      </c>
      <c r="BX77" s="13">
        <f>'QTR Share Price'!JD21</f>
        <v>504.83</v>
      </c>
      <c r="BY77" s="13">
        <f>'QTR Share Price'!JE21</f>
        <v>444.08</v>
      </c>
      <c r="BZ77" s="13">
        <f>'QTR Share Price'!JF21</f>
        <v>406.38</v>
      </c>
      <c r="CA77" s="13">
        <f>'QTR Share Price'!JG21</f>
        <v>439.91</v>
      </c>
      <c r="CB77" s="13">
        <f>'QTR Share Price'!JH21</f>
        <v>502.19</v>
      </c>
      <c r="CC77" s="13">
        <f>'QTR Share Price'!JI21</f>
        <v>530.51</v>
      </c>
      <c r="CD77" s="13">
        <f>'QTR Share Price'!JJ21</f>
        <v>583.07000000000005</v>
      </c>
      <c r="CE77" s="13">
        <f>'QTR Share Price'!JK21</f>
        <v>722.51</v>
      </c>
      <c r="CF77" s="13">
        <f>'QTR Share Price'!JL21</f>
        <v>881.64</v>
      </c>
      <c r="CG77" s="13">
        <f>'QTR Share Price'!JM21</f>
        <v>1015.11</v>
      </c>
      <c r="CH77" s="13">
        <f>'QTR Share Price'!JN21</f>
        <v>743</v>
      </c>
      <c r="CI77" s="13">
        <f>'QTR Share Price'!JO21</f>
        <v>859.89</v>
      </c>
      <c r="CJ77" s="13">
        <f>'QTR Share Price'!JP21</f>
        <v>751.98</v>
      </c>
      <c r="CK77" s="13">
        <f>'QTR Share Price'!JQ21</f>
        <v>740.95</v>
      </c>
      <c r="CL77" s="13">
        <f>'QTR Share Price'!JR21</f>
        <v>625.9</v>
      </c>
      <c r="CM77" s="37">
        <f t="shared" ref="CM77" si="853">+CL77</f>
        <v>625.9</v>
      </c>
      <c r="CN77" s="37">
        <f t="shared" ref="CN77" si="854">+CM77</f>
        <v>625.9</v>
      </c>
      <c r="CO77" s="37">
        <f t="shared" ref="CO77" si="855">+CN77</f>
        <v>625.9</v>
      </c>
      <c r="CP77" s="37">
        <f t="shared" ref="CP77" si="856">+CO77</f>
        <v>625.9</v>
      </c>
      <c r="CQ77" s="37">
        <f t="shared" ref="CQ77" si="857">+CP77</f>
        <v>625.9</v>
      </c>
      <c r="CR77" s="37">
        <f t="shared" ref="CR77" si="858">+CQ77</f>
        <v>625.9</v>
      </c>
      <c r="CS77" s="37">
        <f t="shared" ref="CS77" si="859">+CR77</f>
        <v>625.9</v>
      </c>
      <c r="CT77" s="37">
        <f t="shared" ref="CT77" si="860">+CS77</f>
        <v>625.9</v>
      </c>
      <c r="CU77" s="37">
        <f t="shared" ref="CU77" si="861">+CT77</f>
        <v>625.9</v>
      </c>
      <c r="CV77" s="37">
        <f t="shared" ref="CV77" si="862">+CU77</f>
        <v>625.9</v>
      </c>
      <c r="CW77" s="37">
        <f t="shared" ref="CW77" si="863">+CV77</f>
        <v>625.9</v>
      </c>
      <c r="CX77" s="37">
        <f t="shared" ref="CX77" si="864">+CW77</f>
        <v>625.9</v>
      </c>
      <c r="CY77" s="37">
        <f t="shared" ref="CY77" si="865">+CX77</f>
        <v>625.9</v>
      </c>
      <c r="CZ77" s="37">
        <f t="shared" ref="CZ77" si="866">+CY77</f>
        <v>625.9</v>
      </c>
      <c r="DA77" s="37">
        <f t="shared" ref="DA77" si="867">+CZ77</f>
        <v>625.9</v>
      </c>
      <c r="DB77" s="37">
        <f t="shared" ref="DB77" si="868">+DA77</f>
        <v>625.9</v>
      </c>
      <c r="DE77" s="134"/>
      <c r="DF77" s="13">
        <v>625.9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407.99</v>
      </c>
      <c r="W78" s="13">
        <f>'Annual Raw'!X107</f>
        <v>812.8</v>
      </c>
      <c r="X78" s="13">
        <f>'Annual Raw'!Y107</f>
        <v>537.79999999999995</v>
      </c>
      <c r="Y78" s="13">
        <f>'Annual Raw'!Z107</f>
        <v>648</v>
      </c>
      <c r="Z78" s="13">
        <f>'Annual Raw'!AA107</f>
        <v>1073.49</v>
      </c>
      <c r="AA78" s="13">
        <f>'Annual Raw'!AB107</f>
        <v>875</v>
      </c>
      <c r="AB78" s="37">
        <f>+MAX(CM78:CP78)</f>
        <v>520.71186749779326</v>
      </c>
      <c r="AC78" s="37">
        <f>+MAX(CQ78:CT78)</f>
        <v>340.28609664069717</v>
      </c>
      <c r="AD78" s="37">
        <f>+MAX(CU78:CX78)</f>
        <v>391.66981484503702</v>
      </c>
      <c r="AE78" s="37">
        <f>+MAX(CY78:DB78)</f>
        <v>439.94299401317244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377.92</v>
      </c>
      <c r="BR78" s="13">
        <f>'QTR Share Price'!IX19</f>
        <v>407.99</v>
      </c>
      <c r="BS78" s="13">
        <f>'QTR Share Price'!IY19</f>
        <v>588.96</v>
      </c>
      <c r="BT78" s="13">
        <f>'QTR Share Price'!IZ19</f>
        <v>812.8</v>
      </c>
      <c r="BU78" s="13">
        <f>'QTR Share Price'!JA19</f>
        <v>650</v>
      </c>
      <c r="BV78" s="13">
        <f>'QTR Share Price'!JB19</f>
        <v>597</v>
      </c>
      <c r="BW78" s="13">
        <f>'QTR Share Price'!JC19</f>
        <v>536</v>
      </c>
      <c r="BX78" s="13">
        <f>'QTR Share Price'!JD19</f>
        <v>529.99</v>
      </c>
      <c r="BY78" s="13">
        <f>'QTR Share Price'!JE19</f>
        <v>537.79999999999995</v>
      </c>
      <c r="BZ78" s="13">
        <f>'QTR Share Price'!JF19</f>
        <v>471.58</v>
      </c>
      <c r="CA78" s="13">
        <f>'QTR Share Price'!JG19</f>
        <v>452.8</v>
      </c>
      <c r="CB78" s="13">
        <f>'QTR Share Price'!JH19</f>
        <v>533.20000000000005</v>
      </c>
      <c r="CC78" s="13">
        <f>'QTR Share Price'!JI19</f>
        <v>597.86</v>
      </c>
      <c r="CD78" s="13">
        <f>'QTR Share Price'!JJ19</f>
        <v>648</v>
      </c>
      <c r="CE78" s="13">
        <f>'QTR Share Price'!JK19</f>
        <v>767.06</v>
      </c>
      <c r="CF78" s="13">
        <f>'QTR Share Price'!JL19</f>
        <v>982.23</v>
      </c>
      <c r="CG78" s="13">
        <f>'QTR Share Price'!JM19</f>
        <v>1073.49</v>
      </c>
      <c r="CH78" s="13">
        <f>'QTR Share Price'!JN19</f>
        <v>1057.5999999999999</v>
      </c>
      <c r="CI78" s="13">
        <f>'QTR Share Price'!JO19</f>
        <v>875</v>
      </c>
      <c r="CJ78" s="13">
        <f>'QTR Share Price'!JP19</f>
        <v>864.87</v>
      </c>
      <c r="CK78" s="13">
        <f>'QTR Share Price'!JQ19</f>
        <v>813</v>
      </c>
      <c r="CL78" s="13">
        <f>'QTR Share Price'!JR19</f>
        <v>765.8</v>
      </c>
      <c r="CM78" s="37">
        <f t="shared" ref="CM78:DB78" si="869">+CM69*CM86</f>
        <v>520.71186749779326</v>
      </c>
      <c r="CN78" s="37">
        <f t="shared" si="869"/>
        <v>267.567951827836</v>
      </c>
      <c r="CO78" s="37">
        <f t="shared" si="869"/>
        <v>271.98833733221579</v>
      </c>
      <c r="CP78" s="37">
        <f t="shared" si="869"/>
        <v>279.79787391988043</v>
      </c>
      <c r="CQ78" s="37">
        <f t="shared" si="869"/>
        <v>296.37772501198873</v>
      </c>
      <c r="CR78" s="37">
        <f t="shared" si="869"/>
        <v>311.8988382688882</v>
      </c>
      <c r="CS78" s="37">
        <f t="shared" si="869"/>
        <v>326.37938161044781</v>
      </c>
      <c r="CT78" s="37">
        <f t="shared" si="869"/>
        <v>340.28609664069717</v>
      </c>
      <c r="CU78" s="37">
        <f t="shared" si="869"/>
        <v>353.49758285473177</v>
      </c>
      <c r="CV78" s="37">
        <f t="shared" si="869"/>
        <v>366.43371875585973</v>
      </c>
      <c r="CW78" s="37">
        <f t="shared" si="869"/>
        <v>379.15324703563891</v>
      </c>
      <c r="CX78" s="37">
        <f t="shared" si="869"/>
        <v>391.66981484503702</v>
      </c>
      <c r="CY78" s="37">
        <f t="shared" si="869"/>
        <v>403.58926565419148</v>
      </c>
      <c r="CZ78" s="37">
        <f t="shared" si="869"/>
        <v>415.63964487629016</v>
      </c>
      <c r="DA78" s="37">
        <f t="shared" si="869"/>
        <v>427.79755123038814</v>
      </c>
      <c r="DB78" s="37">
        <f t="shared" si="869"/>
        <v>439.94299401317244</v>
      </c>
      <c r="DE78" s="134"/>
      <c r="DF78" s="13">
        <v>765.8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252</v>
      </c>
      <c r="W79" s="13">
        <f>'Annual Raw'!X108</f>
        <v>354.54</v>
      </c>
      <c r="X79" s="13">
        <f>'Annual Raw'!Y108</f>
        <v>400.42</v>
      </c>
      <c r="Y79" s="13">
        <f>'Annual Raw'!Z108</f>
        <v>401.5</v>
      </c>
      <c r="Z79" s="13">
        <f>'Annual Raw'!AA108</f>
        <v>589.01</v>
      </c>
      <c r="AA79" s="13">
        <f>'Annual Raw'!AB108</f>
        <v>611.70000000000005</v>
      </c>
      <c r="AB79" s="37">
        <f>+MIN(CM79:CP79)</f>
        <v>213.7259286146348</v>
      </c>
      <c r="AC79" s="37">
        <f>+MIN(CQ79:CT79)</f>
        <v>236.73838389897304</v>
      </c>
      <c r="AD79" s="37">
        <f>+MIN(CU79:CX79)</f>
        <v>282.36415700214087</v>
      </c>
      <c r="AE79" s="37">
        <f>+MIN(CY79:DB79)</f>
        <v>322.37601697658522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252</v>
      </c>
      <c r="BR79" s="13">
        <f>+'QTR Share Price'!IX20</f>
        <v>340.05</v>
      </c>
      <c r="BS79" s="13">
        <f>+'QTR Share Price'!IY20</f>
        <v>354.54</v>
      </c>
      <c r="BT79" s="13">
        <f>+'QTR Share Price'!IZ20</f>
        <v>552.6</v>
      </c>
      <c r="BU79" s="13">
        <f>+'QTR Share Price'!JA20</f>
        <v>512</v>
      </c>
      <c r="BV79" s="13">
        <f>+'QTR Share Price'!JB20</f>
        <v>446.21</v>
      </c>
      <c r="BW79" s="13">
        <f>+'QTR Share Price'!JC20</f>
        <v>407.8</v>
      </c>
      <c r="BX79" s="13">
        <f>+'QTR Share Price'!JD20</f>
        <v>430.8</v>
      </c>
      <c r="BY79" s="13">
        <f>+'QTR Share Price'!JE20</f>
        <v>430.57</v>
      </c>
      <c r="BZ79" s="13">
        <f>+'QTR Share Price'!JF20</f>
        <v>400.42</v>
      </c>
      <c r="CA79" s="13">
        <f>+'QTR Share Price'!JG20</f>
        <v>401.5</v>
      </c>
      <c r="CB79" s="13">
        <f>+'QTR Share Price'!JH20</f>
        <v>444.39</v>
      </c>
      <c r="CC79" s="13">
        <f>+'QTR Share Price'!JI20</f>
        <v>446.42</v>
      </c>
      <c r="CD79" s="13">
        <f>+'QTR Share Price'!JJ20</f>
        <v>528.89</v>
      </c>
      <c r="CE79" s="13">
        <f>+'QTR Share Price'!JK20</f>
        <v>589.01</v>
      </c>
      <c r="CF79" s="13">
        <f>+'QTR Share Price'!JL20</f>
        <v>719.89</v>
      </c>
      <c r="CG79" s="13">
        <f>+'QTR Share Price'!JM20</f>
        <v>809.81</v>
      </c>
      <c r="CH79" s="13">
        <f>+'QTR Share Price'!JN20</f>
        <v>606</v>
      </c>
      <c r="CI79" s="13">
        <f>+'QTR Share Price'!JO20</f>
        <v>663</v>
      </c>
      <c r="CJ79" s="13">
        <f>+'QTR Share Price'!JP20</f>
        <v>726.48</v>
      </c>
      <c r="CK79" s="13">
        <f>+'QTR Share Price'!JQ20</f>
        <v>728.25</v>
      </c>
      <c r="CL79" s="13">
        <f>+'QTR Share Price'!JR20</f>
        <v>611.70000000000005</v>
      </c>
      <c r="CM79" s="37">
        <f t="shared" ref="CM79:DB79" si="870">+CM87*CM69</f>
        <v>415.93033344006295</v>
      </c>
      <c r="CN79" s="37">
        <f t="shared" si="870"/>
        <v>213.7259286146348</v>
      </c>
      <c r="CO79" s="37">
        <f t="shared" si="870"/>
        <v>217.25681110749076</v>
      </c>
      <c r="CP79" s="37">
        <f t="shared" si="870"/>
        <v>223.49485437031979</v>
      </c>
      <c r="CQ79" s="37">
        <f t="shared" si="870"/>
        <v>236.73838389897304</v>
      </c>
      <c r="CR79" s="37">
        <f t="shared" si="870"/>
        <v>249.13622273319268</v>
      </c>
      <c r="CS79" s="37">
        <f t="shared" si="870"/>
        <v>260.70288290821486</v>
      </c>
      <c r="CT79" s="37">
        <f t="shared" si="870"/>
        <v>271.81118479382928</v>
      </c>
      <c r="CU79" s="37">
        <f t="shared" si="870"/>
        <v>282.36415700214087</v>
      </c>
      <c r="CV79" s="37">
        <f t="shared" si="870"/>
        <v>292.69718694562476</v>
      </c>
      <c r="CW79" s="37">
        <f t="shared" si="870"/>
        <v>302.85719667236924</v>
      </c>
      <c r="CX79" s="37">
        <f t="shared" si="870"/>
        <v>312.85508715161819</v>
      </c>
      <c r="CY79" s="37">
        <f t="shared" si="870"/>
        <v>322.37601697658522</v>
      </c>
      <c r="CZ79" s="37">
        <f t="shared" si="870"/>
        <v>332.00152882061474</v>
      </c>
      <c r="DA79" s="37">
        <f t="shared" si="870"/>
        <v>341.71293038342708</v>
      </c>
      <c r="DB79" s="37">
        <f t="shared" si="870"/>
        <v>351.41437638790501</v>
      </c>
      <c r="DE79" s="134"/>
      <c r="DF79" s="13">
        <v>611.70000000000005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-0.1680590070334026</v>
      </c>
      <c r="AC81" s="48">
        <f t="shared" si="871"/>
        <v>-0.45632513717734913</v>
      </c>
      <c r="AD81" s="48">
        <f t="shared" si="871"/>
        <v>-0.37422940590343978</v>
      </c>
      <c r="AE81" s="48">
        <f t="shared" ref="AE81" si="872">+AE78/AE77-1</f>
        <v>-0.29710338071070064</v>
      </c>
      <c r="CM81" s="48">
        <f t="shared" ref="CM81:DB81" si="873">+CM78/CM77-1</f>
        <v>-0.1680590070334026</v>
      </c>
      <c r="CN81" s="48">
        <f t="shared" si="873"/>
        <v>-0.57250686718671351</v>
      </c>
      <c r="CO81" s="48">
        <f t="shared" si="873"/>
        <v>-0.56544442030321806</v>
      </c>
      <c r="CP81" s="48">
        <f t="shared" si="873"/>
        <v>-0.55296712906234147</v>
      </c>
      <c r="CQ81" s="48">
        <f t="shared" si="873"/>
        <v>-0.52647751236301521</v>
      </c>
      <c r="CR81" s="48">
        <f t="shared" si="873"/>
        <v>-0.50167944037563794</v>
      </c>
      <c r="CS81" s="48">
        <f t="shared" si="873"/>
        <v>-0.47854388622711641</v>
      </c>
      <c r="CT81" s="48">
        <f t="shared" si="873"/>
        <v>-0.45632513717734913</v>
      </c>
      <c r="CU81" s="48">
        <f t="shared" si="873"/>
        <v>-0.43521715472961853</v>
      </c>
      <c r="CV81" s="48">
        <f t="shared" si="873"/>
        <v>-0.41454909928765016</v>
      </c>
      <c r="CW81" s="48">
        <f t="shared" si="873"/>
        <v>-0.39422711769349905</v>
      </c>
      <c r="CX81" s="48">
        <f t="shared" si="873"/>
        <v>-0.37422940590343978</v>
      </c>
      <c r="CY81" s="48">
        <f t="shared" si="873"/>
        <v>-0.35518570753444401</v>
      </c>
      <c r="CZ81" s="48">
        <f t="shared" si="873"/>
        <v>-0.33593282493003651</v>
      </c>
      <c r="DA81" s="48">
        <f t="shared" si="873"/>
        <v>-0.31650814630070589</v>
      </c>
      <c r="DB81" s="48">
        <f t="shared" si="873"/>
        <v>-0.29710338071070064</v>
      </c>
      <c r="DE81" s="129"/>
      <c r="DF81" s="51">
        <v>0.39798689886563343</v>
      </c>
    </row>
    <row r="82" spans="1:110" s="51" customFormat="1" x14ac:dyDescent="0.2">
      <c r="A82" s="51" t="s">
        <v>347</v>
      </c>
      <c r="AB82" s="48">
        <f t="shared" ref="AB82:AD82" si="874">+AB79/AB77-1</f>
        <v>-0.65853023068439875</v>
      </c>
      <c r="AC82" s="48">
        <f t="shared" si="874"/>
        <v>-0.62176324668641469</v>
      </c>
      <c r="AD82" s="48">
        <f t="shared" si="874"/>
        <v>-0.54886698034487802</v>
      </c>
      <c r="AE82" s="48">
        <f t="shared" ref="AE82" si="875">+AE79/AE77-1</f>
        <v>-0.48494005915228433</v>
      </c>
      <c r="CM82" s="48">
        <f t="shared" ref="CM82:DB82" si="876">+CM79/CM77-1</f>
        <v>-0.33546839201140288</v>
      </c>
      <c r="CN82" s="48">
        <f t="shared" si="876"/>
        <v>-0.65853023068439875</v>
      </c>
      <c r="CO82" s="48">
        <f t="shared" si="876"/>
        <v>-0.65288894215131688</v>
      </c>
      <c r="CP82" s="48">
        <f t="shared" si="876"/>
        <v>-0.64292242471589744</v>
      </c>
      <c r="CQ82" s="48">
        <f t="shared" si="876"/>
        <v>-0.62176324668641469</v>
      </c>
      <c r="CR82" s="48">
        <f t="shared" si="876"/>
        <v>-0.60195522809842994</v>
      </c>
      <c r="CS82" s="48">
        <f t="shared" si="876"/>
        <v>-0.58347518308321633</v>
      </c>
      <c r="CT82" s="48">
        <f t="shared" si="876"/>
        <v>-0.56572745679209246</v>
      </c>
      <c r="CU82" s="48">
        <f t="shared" si="876"/>
        <v>-0.54886698034487802</v>
      </c>
      <c r="CV82" s="48">
        <f t="shared" si="876"/>
        <v>-0.53235790550307593</v>
      </c>
      <c r="CW82" s="48">
        <f t="shared" si="876"/>
        <v>-0.51612526494269173</v>
      </c>
      <c r="CX82" s="48">
        <f t="shared" si="876"/>
        <v>-0.50015164219265351</v>
      </c>
      <c r="CY82" s="48">
        <f t="shared" si="876"/>
        <v>-0.48494005915228433</v>
      </c>
      <c r="CZ82" s="48">
        <f t="shared" si="876"/>
        <v>-0.46956138549190807</v>
      </c>
      <c r="DA82" s="48">
        <f t="shared" si="876"/>
        <v>-0.45404548588683957</v>
      </c>
      <c r="DB82" s="48">
        <f t="shared" si="876"/>
        <v>-0.43854549227048245</v>
      </c>
      <c r="DE82" s="129"/>
      <c r="DF82" s="51">
        <v>-2.2687330244447912E-2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 t="e">
        <f t="shared" si="877"/>
        <v>#DIV/0!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 t="e">
        <f t="shared" ref="AL85:BQ85" si="880">+AL77/AL69</f>
        <v>#DIV/0!</v>
      </c>
      <c r="AM85" s="13" t="e">
        <f t="shared" si="880"/>
        <v>#DIV/0!</v>
      </c>
      <c r="AN85" s="13" t="e">
        <f t="shared" si="880"/>
        <v>#DIV/0!</v>
      </c>
      <c r="AO85" s="13" t="e">
        <f t="shared" si="880"/>
        <v>#DIV/0!</v>
      </c>
      <c r="AP85" s="13" t="e">
        <f t="shared" si="880"/>
        <v>#DIV/0!</v>
      </c>
      <c r="AQ85" s="13" t="e">
        <f t="shared" si="880"/>
        <v>#DIV/0!</v>
      </c>
      <c r="AR85" s="13" t="e">
        <f t="shared" si="880"/>
        <v>#DIV/0!</v>
      </c>
      <c r="AS85" s="13" t="e">
        <f t="shared" si="880"/>
        <v>#DIV/0!</v>
      </c>
      <c r="AT85" s="13" t="e">
        <f t="shared" si="880"/>
        <v>#DIV/0!</v>
      </c>
      <c r="AU85" s="13" t="e">
        <f t="shared" si="880"/>
        <v>#DIV/0!</v>
      </c>
      <c r="AV85" s="13" t="e">
        <f t="shared" si="880"/>
        <v>#DIV/0!</v>
      </c>
      <c r="AW85" s="13" t="e">
        <f t="shared" si="880"/>
        <v>#DIV/0!</v>
      </c>
      <c r="AX85" s="13" t="e">
        <f t="shared" si="880"/>
        <v>#DIV/0!</v>
      </c>
      <c r="AY85" s="13" t="e">
        <f t="shared" si="880"/>
        <v>#DIV/0!</v>
      </c>
      <c r="AZ85" s="13" t="e">
        <f t="shared" si="880"/>
        <v>#DIV/0!</v>
      </c>
      <c r="BA85" s="13" t="e">
        <f t="shared" si="880"/>
        <v>#DIV/0!</v>
      </c>
      <c r="BB85" s="13" t="e">
        <f t="shared" si="880"/>
        <v>#DIV/0!</v>
      </c>
      <c r="BC85" s="13" t="e">
        <f t="shared" si="880"/>
        <v>#DIV/0!</v>
      </c>
      <c r="BD85" s="13" t="e">
        <f t="shared" si="880"/>
        <v>#DIV/0!</v>
      </c>
      <c r="BE85" s="13" t="e">
        <f t="shared" si="880"/>
        <v>#DIV/0!</v>
      </c>
      <c r="BF85" s="13" t="e">
        <f t="shared" si="880"/>
        <v>#DIV/0!</v>
      </c>
      <c r="BG85" s="13" t="e">
        <f t="shared" si="880"/>
        <v>#DIV/0!</v>
      </c>
      <c r="BH85" s="13" t="e">
        <f t="shared" si="880"/>
        <v>#DIV/0!</v>
      </c>
      <c r="BI85" s="13" t="e">
        <f t="shared" si="880"/>
        <v>#DIV/0!</v>
      </c>
      <c r="BJ85" s="13" t="e">
        <f t="shared" si="880"/>
        <v>#DIV/0!</v>
      </c>
      <c r="BK85" s="13" t="e">
        <f t="shared" si="880"/>
        <v>#DIV/0!</v>
      </c>
      <c r="BL85" s="13">
        <f t="shared" si="880"/>
        <v>0</v>
      </c>
      <c r="BM85" s="13">
        <f t="shared" si="880"/>
        <v>0</v>
      </c>
      <c r="BN85" s="13">
        <f t="shared" si="880"/>
        <v>0</v>
      </c>
      <c r="BO85" s="13">
        <f t="shared" si="880"/>
        <v>0</v>
      </c>
      <c r="BP85" s="13">
        <f t="shared" si="880"/>
        <v>0</v>
      </c>
      <c r="BQ85" s="13">
        <f t="shared" si="880"/>
        <v>9.4953715487884551</v>
      </c>
      <c r="BR85" s="13">
        <f t="shared" ref="BR85:DB85" si="881">+BR77/BR69</f>
        <v>8.9341852598762728</v>
      </c>
      <c r="BS85" s="13">
        <f t="shared" si="881"/>
        <v>12.073004883337632</v>
      </c>
      <c r="BT85" s="13">
        <f t="shared" si="881"/>
        <v>11.907412827676394</v>
      </c>
      <c r="BU85" s="13">
        <f t="shared" si="881"/>
        <v>9.6627237792693546</v>
      </c>
      <c r="BV85" s="13">
        <f t="shared" si="881"/>
        <v>7.9839323359366015</v>
      </c>
      <c r="BW85" s="13">
        <f t="shared" si="881"/>
        <v>7.7463358534125071</v>
      </c>
      <c r="BX85" s="13">
        <f t="shared" si="881"/>
        <v>8.6743970465204274</v>
      </c>
      <c r="BY85" s="13">
        <f t="shared" si="881"/>
        <v>7.726917693708387</v>
      </c>
      <c r="BZ85" s="13">
        <f t="shared" si="881"/>
        <v>7.0517080595968435</v>
      </c>
      <c r="CA85" s="13">
        <f t="shared" si="881"/>
        <v>7.3361808754363036</v>
      </c>
      <c r="CB85" s="13">
        <f t="shared" si="881"/>
        <v>8.0398868670271941</v>
      </c>
      <c r="CC85" s="13">
        <f t="shared" si="881"/>
        <v>8.0859190951864814</v>
      </c>
      <c r="CD85" s="13">
        <f t="shared" si="881"/>
        <v>8.1610674301549615</v>
      </c>
      <c r="CE85" s="13">
        <f t="shared" si="881"/>
        <v>9.2767021467554827</v>
      </c>
      <c r="CF85" s="13">
        <f t="shared" si="881"/>
        <v>10.305196760101069</v>
      </c>
      <c r="CG85" s="13">
        <f t="shared" si="881"/>
        <v>10.930890440730174</v>
      </c>
      <c r="CH85" s="13">
        <f t="shared" si="881"/>
        <v>7.8217179826921388</v>
      </c>
      <c r="CI85" s="13">
        <f t="shared" ref="CI85:CJ85" si="882">+CI77/CI69</f>
        <v>9.0353717226138848</v>
      </c>
      <c r="CJ85" s="13">
        <f t="shared" si="882"/>
        <v>8.029732980114165</v>
      </c>
      <c r="CK85" s="13">
        <f t="shared" ref="CK85:CL85" si="883">+CK77/CK69</f>
        <v>10.099444034254157</v>
      </c>
      <c r="CL85" s="13">
        <f t="shared" si="883"/>
        <v>11.292044830829228</v>
      </c>
      <c r="CM85" s="37">
        <f t="shared" si="881"/>
        <v>16.60697301369969</v>
      </c>
      <c r="CN85" s="37">
        <f t="shared" si="881"/>
        <v>32.318698380638416</v>
      </c>
      <c r="CO85" s="37">
        <f t="shared" si="881"/>
        <v>31.793451205544656</v>
      </c>
      <c r="CP85" s="37">
        <f t="shared" si="881"/>
        <v>30.906053038577419</v>
      </c>
      <c r="CQ85" s="37">
        <f t="shared" si="881"/>
        <v>29.177118257113371</v>
      </c>
      <c r="CR85" s="37">
        <f t="shared" si="881"/>
        <v>27.725168774094797</v>
      </c>
      <c r="CS85" s="37">
        <f t="shared" si="881"/>
        <v>26.495080322721609</v>
      </c>
      <c r="CT85" s="37">
        <f t="shared" si="881"/>
        <v>25.412286945651292</v>
      </c>
      <c r="CU85" s="37">
        <f t="shared" si="881"/>
        <v>24.462537654755767</v>
      </c>
      <c r="CV85" s="37">
        <f t="shared" si="881"/>
        <v>23.598941606163912</v>
      </c>
      <c r="CW85" s="37">
        <f t="shared" si="881"/>
        <v>22.807263287491239</v>
      </c>
      <c r="CX85" s="37">
        <f t="shared" si="881"/>
        <v>22.07841299914919</v>
      </c>
      <c r="CY85" s="37">
        <f t="shared" si="881"/>
        <v>21.426357605007365</v>
      </c>
      <c r="CZ85" s="37">
        <f t="shared" si="881"/>
        <v>20.805156673692242</v>
      </c>
      <c r="DA85" s="37">
        <f t="shared" si="881"/>
        <v>20.213878986866817</v>
      </c>
      <c r="DB85" s="37">
        <f t="shared" si="881"/>
        <v>19.655837345122279</v>
      </c>
      <c r="DE85" s="134"/>
      <c r="DF85" s="13">
        <v>11.320348855489419</v>
      </c>
    </row>
    <row r="86" spans="1:110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 t="e">
        <f t="shared" si="884"/>
        <v>#DIV/0!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 t="e">
        <f t="shared" ref="AL86:BQ86" si="887">+AL78/AL69</f>
        <v>#DIV/0!</v>
      </c>
      <c r="AM86" s="13" t="e">
        <f t="shared" si="887"/>
        <v>#DIV/0!</v>
      </c>
      <c r="AN86" s="13" t="e">
        <f t="shared" si="887"/>
        <v>#DIV/0!</v>
      </c>
      <c r="AO86" s="13" t="e">
        <f t="shared" si="887"/>
        <v>#DIV/0!</v>
      </c>
      <c r="AP86" s="13" t="e">
        <f t="shared" si="887"/>
        <v>#DIV/0!</v>
      </c>
      <c r="AQ86" s="13" t="e">
        <f t="shared" si="887"/>
        <v>#DIV/0!</v>
      </c>
      <c r="AR86" s="13" t="e">
        <f t="shared" si="887"/>
        <v>#DIV/0!</v>
      </c>
      <c r="AS86" s="13" t="e">
        <f t="shared" si="887"/>
        <v>#DIV/0!</v>
      </c>
      <c r="AT86" s="13" t="e">
        <f t="shared" si="887"/>
        <v>#DIV/0!</v>
      </c>
      <c r="AU86" s="13" t="e">
        <f t="shared" si="887"/>
        <v>#DIV/0!</v>
      </c>
      <c r="AV86" s="13" t="e">
        <f t="shared" si="887"/>
        <v>#DIV/0!</v>
      </c>
      <c r="AW86" s="13" t="e">
        <f t="shared" si="887"/>
        <v>#DIV/0!</v>
      </c>
      <c r="AX86" s="13" t="e">
        <f t="shared" si="887"/>
        <v>#DIV/0!</v>
      </c>
      <c r="AY86" s="13" t="e">
        <f t="shared" si="887"/>
        <v>#DIV/0!</v>
      </c>
      <c r="AZ86" s="13" t="e">
        <f t="shared" si="887"/>
        <v>#DIV/0!</v>
      </c>
      <c r="BA86" s="13" t="e">
        <f t="shared" si="887"/>
        <v>#DIV/0!</v>
      </c>
      <c r="BB86" s="13" t="e">
        <f t="shared" si="887"/>
        <v>#DIV/0!</v>
      </c>
      <c r="BC86" s="13" t="e">
        <f t="shared" si="887"/>
        <v>#DIV/0!</v>
      </c>
      <c r="BD86" s="13" t="e">
        <f t="shared" si="887"/>
        <v>#DIV/0!</v>
      </c>
      <c r="BE86" s="13" t="e">
        <f t="shared" si="887"/>
        <v>#DIV/0!</v>
      </c>
      <c r="BF86" s="13" t="e">
        <f t="shared" si="887"/>
        <v>#DIV/0!</v>
      </c>
      <c r="BG86" s="13" t="e">
        <f t="shared" si="887"/>
        <v>#DIV/0!</v>
      </c>
      <c r="BH86" s="13" t="e">
        <f t="shared" si="887"/>
        <v>#DIV/0!</v>
      </c>
      <c r="BI86" s="13" t="e">
        <f t="shared" si="887"/>
        <v>#DIV/0!</v>
      </c>
      <c r="BJ86" s="13" t="e">
        <f t="shared" si="887"/>
        <v>#DIV/0!</v>
      </c>
      <c r="BK86" s="13" t="e">
        <f t="shared" si="887"/>
        <v>#DIV/0!</v>
      </c>
      <c r="BL86" s="13">
        <f t="shared" si="887"/>
        <v>0</v>
      </c>
      <c r="BM86" s="13">
        <f t="shared" si="887"/>
        <v>0</v>
      </c>
      <c r="BN86" s="13">
        <f t="shared" si="887"/>
        <v>0</v>
      </c>
      <c r="BO86" s="13">
        <f t="shared" si="887"/>
        <v>0</v>
      </c>
      <c r="BP86" s="13">
        <f t="shared" si="887"/>
        <v>0</v>
      </c>
      <c r="BQ86" s="13">
        <f t="shared" si="887"/>
        <v>9.9379401692601093</v>
      </c>
      <c r="BR86" s="13">
        <f t="shared" ref="BR86:CH86" si="888">+BR78/BR69</f>
        <v>9.8371518437332544</v>
      </c>
      <c r="BS86" s="13">
        <f t="shared" si="888"/>
        <v>12.744917560342227</v>
      </c>
      <c r="BT86" s="13">
        <f t="shared" si="888"/>
        <v>15.9432421486457</v>
      </c>
      <c r="BU86" s="13">
        <f t="shared" si="888"/>
        <v>11.774972734392728</v>
      </c>
      <c r="BV86" s="13">
        <f t="shared" si="888"/>
        <v>10.298175621281979</v>
      </c>
      <c r="BW86" s="13">
        <f t="shared" si="888"/>
        <v>9.1967041385454262</v>
      </c>
      <c r="BX86" s="13">
        <f t="shared" si="888"/>
        <v>9.1067164999809087</v>
      </c>
      <c r="BY86" s="13">
        <f t="shared" si="888"/>
        <v>9.3576300118815769</v>
      </c>
      <c r="BZ86" s="13">
        <f t="shared" si="888"/>
        <v>8.1830909167396992</v>
      </c>
      <c r="CA86" s="13">
        <f t="shared" si="888"/>
        <v>7.5511415980485967</v>
      </c>
      <c r="CB86" s="13">
        <f t="shared" si="888"/>
        <v>8.5363461588221607</v>
      </c>
      <c r="CC86" s="13">
        <f t="shared" si="888"/>
        <v>9.1124532812730958</v>
      </c>
      <c r="CD86" s="13">
        <f t="shared" si="888"/>
        <v>9.0698744485917899</v>
      </c>
      <c r="CE86" s="13">
        <f t="shared" si="888"/>
        <v>9.8487040299653437</v>
      </c>
      <c r="CF86" s="13">
        <f t="shared" si="888"/>
        <v>11.480959817696649</v>
      </c>
      <c r="CG86" s="13">
        <f t="shared" si="888"/>
        <v>11.559536975519338</v>
      </c>
      <c r="CH86" s="13">
        <f t="shared" si="888"/>
        <v>11.133578652079684</v>
      </c>
      <c r="CI86" s="13">
        <f t="shared" ref="CI86:CJ86" si="889">+CI78/CI69</f>
        <v>9.1941414102817198</v>
      </c>
      <c r="CJ86" s="13">
        <f t="shared" si="889"/>
        <v>9.2351859923287023</v>
      </c>
      <c r="CK86" s="13">
        <f t="shared" ref="CK86:CL86" si="890">+CK78/CK69</f>
        <v>11.081514272013806</v>
      </c>
      <c r="CL86" s="13">
        <f t="shared" si="890"/>
        <v>13.816021619186808</v>
      </c>
      <c r="CM86" s="60">
        <f t="shared" ref="CM86:CM87" si="891">+CL86</f>
        <v>13.816021619186808</v>
      </c>
      <c r="CN86" s="60">
        <f t="shared" ref="CN86:CN87" si="892">+CM86</f>
        <v>13.816021619186808</v>
      </c>
      <c r="CO86" s="60">
        <f t="shared" ref="CO86:CO87" si="893">+CN86</f>
        <v>13.816021619186808</v>
      </c>
      <c r="CP86" s="60">
        <f t="shared" ref="CP86:CP87" si="894">+CO86</f>
        <v>13.816021619186808</v>
      </c>
      <c r="CQ86" s="60">
        <f t="shared" ref="CQ86:CQ87" si="895">+CP86</f>
        <v>13.816021619186808</v>
      </c>
      <c r="CR86" s="60">
        <f t="shared" ref="CR86:CR87" si="896">+CQ86</f>
        <v>13.816021619186808</v>
      </c>
      <c r="CS86" s="60">
        <f t="shared" ref="CS86:CS87" si="897">+CR86</f>
        <v>13.816021619186808</v>
      </c>
      <c r="CT86" s="60">
        <f t="shared" ref="CT86:CT87" si="898">+CS86</f>
        <v>13.816021619186808</v>
      </c>
      <c r="CU86" s="60">
        <f t="shared" ref="CU86:CU87" si="899">+CT86</f>
        <v>13.816021619186808</v>
      </c>
      <c r="CV86" s="60">
        <f t="shared" ref="CV86:CV87" si="900">+CU86</f>
        <v>13.816021619186808</v>
      </c>
      <c r="CW86" s="60">
        <f t="shared" ref="CW86:CW87" si="901">+CV86</f>
        <v>13.816021619186808</v>
      </c>
      <c r="CX86" s="60">
        <f t="shared" ref="CX86:CX87" si="902">+CW86</f>
        <v>13.816021619186808</v>
      </c>
      <c r="CY86" s="60">
        <f t="shared" ref="CY86:CY87" si="903">+CX86</f>
        <v>13.816021619186808</v>
      </c>
      <c r="CZ86" s="60">
        <f t="shared" ref="CZ86:CZ87" si="904">+CY86</f>
        <v>13.816021619186808</v>
      </c>
      <c r="DA86" s="60">
        <f t="shared" ref="DA86:DA87" si="905">+CZ86</f>
        <v>13.816021619186808</v>
      </c>
      <c r="DB86" s="60">
        <f t="shared" ref="DB86:DB87" si="906">+DA86</f>
        <v>13.816021619186808</v>
      </c>
      <c r="DE86" s="136"/>
      <c r="DF86" s="13">
        <v>13.850652106620542</v>
      </c>
    </row>
    <row r="87" spans="1:110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 t="e">
        <f t="shared" si="907"/>
        <v>#DIV/0!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 t="e">
        <f t="shared" ref="AL87:BQ87" si="910">+AL79/AL69</f>
        <v>#DIV/0!</v>
      </c>
      <c r="AM87" s="13" t="e">
        <f t="shared" si="910"/>
        <v>#DIV/0!</v>
      </c>
      <c r="AN87" s="13" t="e">
        <f t="shared" si="910"/>
        <v>#DIV/0!</v>
      </c>
      <c r="AO87" s="13" t="e">
        <f t="shared" si="910"/>
        <v>#DIV/0!</v>
      </c>
      <c r="AP87" s="13" t="e">
        <f t="shared" si="910"/>
        <v>#DIV/0!</v>
      </c>
      <c r="AQ87" s="13" t="e">
        <f t="shared" si="910"/>
        <v>#DIV/0!</v>
      </c>
      <c r="AR87" s="13" t="e">
        <f t="shared" si="910"/>
        <v>#DIV/0!</v>
      </c>
      <c r="AS87" s="13" t="e">
        <f t="shared" si="910"/>
        <v>#DIV/0!</v>
      </c>
      <c r="AT87" s="13" t="e">
        <f t="shared" si="910"/>
        <v>#DIV/0!</v>
      </c>
      <c r="AU87" s="13" t="e">
        <f t="shared" si="910"/>
        <v>#DIV/0!</v>
      </c>
      <c r="AV87" s="13" t="e">
        <f t="shared" si="910"/>
        <v>#DIV/0!</v>
      </c>
      <c r="AW87" s="13" t="e">
        <f t="shared" si="910"/>
        <v>#DIV/0!</v>
      </c>
      <c r="AX87" s="13" t="e">
        <f t="shared" si="910"/>
        <v>#DIV/0!</v>
      </c>
      <c r="AY87" s="13" t="e">
        <f t="shared" si="910"/>
        <v>#DIV/0!</v>
      </c>
      <c r="AZ87" s="13" t="e">
        <f t="shared" si="910"/>
        <v>#DIV/0!</v>
      </c>
      <c r="BA87" s="13" t="e">
        <f t="shared" si="910"/>
        <v>#DIV/0!</v>
      </c>
      <c r="BB87" s="13" t="e">
        <f t="shared" si="910"/>
        <v>#DIV/0!</v>
      </c>
      <c r="BC87" s="13" t="e">
        <f t="shared" si="910"/>
        <v>#DIV/0!</v>
      </c>
      <c r="BD87" s="13" t="e">
        <f t="shared" si="910"/>
        <v>#DIV/0!</v>
      </c>
      <c r="BE87" s="13" t="e">
        <f t="shared" si="910"/>
        <v>#DIV/0!</v>
      </c>
      <c r="BF87" s="13" t="e">
        <f t="shared" si="910"/>
        <v>#DIV/0!</v>
      </c>
      <c r="BG87" s="13" t="e">
        <f t="shared" si="910"/>
        <v>#DIV/0!</v>
      </c>
      <c r="BH87" s="13" t="e">
        <f t="shared" si="910"/>
        <v>#DIV/0!</v>
      </c>
      <c r="BI87" s="13" t="e">
        <f t="shared" si="910"/>
        <v>#DIV/0!</v>
      </c>
      <c r="BJ87" s="13" t="e">
        <f t="shared" si="910"/>
        <v>#DIV/0!</v>
      </c>
      <c r="BK87" s="13" t="e">
        <f t="shared" si="910"/>
        <v>#DIV/0!</v>
      </c>
      <c r="BL87" s="13">
        <f t="shared" si="910"/>
        <v>0</v>
      </c>
      <c r="BM87" s="13">
        <f t="shared" si="910"/>
        <v>0</v>
      </c>
      <c r="BN87" s="13">
        <f t="shared" si="910"/>
        <v>0</v>
      </c>
      <c r="BO87" s="13">
        <f t="shared" si="910"/>
        <v>0</v>
      </c>
      <c r="BP87" s="13">
        <f t="shared" si="910"/>
        <v>0</v>
      </c>
      <c r="BQ87" s="13">
        <f t="shared" si="910"/>
        <v>6.6266959215007084</v>
      </c>
      <c r="BR87" s="13">
        <f t="shared" ref="BR87:CH87" si="911">+BR79/BR69</f>
        <v>8.1990330264503868</v>
      </c>
      <c r="BS87" s="13">
        <f t="shared" si="911"/>
        <v>7.6721391467056055</v>
      </c>
      <c r="BT87" s="13">
        <f t="shared" si="911"/>
        <v>10.839364679308089</v>
      </c>
      <c r="BU87" s="13">
        <f t="shared" si="911"/>
        <v>9.2750554461678103</v>
      </c>
      <c r="BV87" s="13">
        <f t="shared" si="911"/>
        <v>7.6970669078261835</v>
      </c>
      <c r="BW87" s="13">
        <f t="shared" si="911"/>
        <v>6.9970446785425837</v>
      </c>
      <c r="BX87" s="13">
        <f t="shared" si="911"/>
        <v>7.402353757979915</v>
      </c>
      <c r="BY87" s="13">
        <f t="shared" si="911"/>
        <v>7.4918459542875615</v>
      </c>
      <c r="BZ87" s="13">
        <f t="shared" si="911"/>
        <v>6.9482871726555642</v>
      </c>
      <c r="CA87" s="13">
        <f t="shared" si="911"/>
        <v>6.6956346104604938</v>
      </c>
      <c r="CB87" s="13">
        <f t="shared" si="911"/>
        <v>7.1145290126012366</v>
      </c>
      <c r="CC87" s="13">
        <f t="shared" si="911"/>
        <v>6.8042374365669822</v>
      </c>
      <c r="CD87" s="13">
        <f t="shared" si="911"/>
        <v>7.4027251498699256</v>
      </c>
      <c r="CE87" s="13">
        <f t="shared" si="911"/>
        <v>7.562622429392599</v>
      </c>
      <c r="CF87" s="13">
        <f t="shared" si="911"/>
        <v>8.4145548019930558</v>
      </c>
      <c r="CG87" s="13">
        <f t="shared" si="911"/>
        <v>8.7201824312711942</v>
      </c>
      <c r="CH87" s="13">
        <f t="shared" si="911"/>
        <v>6.3794900370275043</v>
      </c>
      <c r="CI87" s="13">
        <f t="shared" ref="CI87:CJ87" si="912">+CI79/CI69</f>
        <v>6.9665322914477494</v>
      </c>
      <c r="CJ87" s="13">
        <f t="shared" si="912"/>
        <v>7.7574409098557648</v>
      </c>
      <c r="CK87" s="13">
        <f t="shared" ref="CK87:CL87" si="913">+CK79/CK69</f>
        <v>9.9263379687503743</v>
      </c>
      <c r="CL87" s="13">
        <f t="shared" si="913"/>
        <v>11.035858480617096</v>
      </c>
      <c r="CM87" s="60">
        <f t="shared" si="891"/>
        <v>11.035858480617096</v>
      </c>
      <c r="CN87" s="60">
        <f t="shared" si="892"/>
        <v>11.035858480617096</v>
      </c>
      <c r="CO87" s="60">
        <f t="shared" si="893"/>
        <v>11.035858480617096</v>
      </c>
      <c r="CP87" s="60">
        <f t="shared" si="894"/>
        <v>11.035858480617096</v>
      </c>
      <c r="CQ87" s="60">
        <f t="shared" si="895"/>
        <v>11.035858480617096</v>
      </c>
      <c r="CR87" s="60">
        <f t="shared" si="896"/>
        <v>11.035858480617096</v>
      </c>
      <c r="CS87" s="60">
        <f t="shared" si="897"/>
        <v>11.035858480617096</v>
      </c>
      <c r="CT87" s="60">
        <f t="shared" si="898"/>
        <v>11.035858480617096</v>
      </c>
      <c r="CU87" s="60">
        <f t="shared" si="899"/>
        <v>11.035858480617096</v>
      </c>
      <c r="CV87" s="60">
        <f t="shared" si="900"/>
        <v>11.035858480617096</v>
      </c>
      <c r="CW87" s="60">
        <f t="shared" si="901"/>
        <v>11.035858480617096</v>
      </c>
      <c r="CX87" s="60">
        <f t="shared" si="902"/>
        <v>11.035858480617096</v>
      </c>
      <c r="CY87" s="60">
        <f t="shared" si="903"/>
        <v>11.035858480617096</v>
      </c>
      <c r="CZ87" s="60">
        <f t="shared" si="904"/>
        <v>11.035858480617096</v>
      </c>
      <c r="DA87" s="60">
        <f t="shared" si="905"/>
        <v>11.035858480617096</v>
      </c>
      <c r="DB87" s="60">
        <f t="shared" si="906"/>
        <v>11.035858480617096</v>
      </c>
      <c r="DE87" s="136"/>
      <c r="DF87" s="13">
        <v>11.063520362522574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4">+B78/C69</f>
        <v>#DIV/0!</v>
      </c>
      <c r="C89" s="13" t="e">
        <f t="shared" si="914"/>
        <v>#DIV/0!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 t="e">
        <f t="shared" ref="AL89:BQ89" si="916">+AL78/AP69</f>
        <v>#DIV/0!</v>
      </c>
      <c r="AM89" s="13" t="e">
        <f t="shared" si="916"/>
        <v>#DIV/0!</v>
      </c>
      <c r="AN89" s="13" t="e">
        <f t="shared" si="916"/>
        <v>#DIV/0!</v>
      </c>
      <c r="AO89" s="13" t="e">
        <f t="shared" si="916"/>
        <v>#DIV/0!</v>
      </c>
      <c r="AP89" s="13" t="e">
        <f t="shared" si="916"/>
        <v>#DIV/0!</v>
      </c>
      <c r="AQ89" s="13" t="e">
        <f t="shared" si="916"/>
        <v>#DIV/0!</v>
      </c>
      <c r="AR89" s="13" t="e">
        <f t="shared" si="916"/>
        <v>#DIV/0!</v>
      </c>
      <c r="AS89" s="13" t="e">
        <f t="shared" si="916"/>
        <v>#DIV/0!</v>
      </c>
      <c r="AT89" s="13" t="e">
        <f t="shared" si="916"/>
        <v>#DIV/0!</v>
      </c>
      <c r="AU89" s="13" t="e">
        <f t="shared" si="916"/>
        <v>#DIV/0!</v>
      </c>
      <c r="AV89" s="13" t="e">
        <f t="shared" si="916"/>
        <v>#DIV/0!</v>
      </c>
      <c r="AW89" s="13" t="e">
        <f t="shared" si="916"/>
        <v>#DIV/0!</v>
      </c>
      <c r="AX89" s="13" t="e">
        <f t="shared" si="916"/>
        <v>#DIV/0!</v>
      </c>
      <c r="AY89" s="13" t="e">
        <f t="shared" si="916"/>
        <v>#DIV/0!</v>
      </c>
      <c r="AZ89" s="13" t="e">
        <f t="shared" si="916"/>
        <v>#DIV/0!</v>
      </c>
      <c r="BA89" s="13" t="e">
        <f t="shared" si="916"/>
        <v>#DIV/0!</v>
      </c>
      <c r="BB89" s="13" t="e">
        <f t="shared" si="916"/>
        <v>#DIV/0!</v>
      </c>
      <c r="BC89" s="13" t="e">
        <f t="shared" si="916"/>
        <v>#DIV/0!</v>
      </c>
      <c r="BD89" s="13" t="e">
        <f t="shared" si="916"/>
        <v>#DIV/0!</v>
      </c>
      <c r="BE89" s="13" t="e">
        <f t="shared" si="916"/>
        <v>#DIV/0!</v>
      </c>
      <c r="BF89" s="13" t="e">
        <f t="shared" si="916"/>
        <v>#DIV/0!</v>
      </c>
      <c r="BG89" s="13" t="e">
        <f t="shared" si="916"/>
        <v>#DIV/0!</v>
      </c>
      <c r="BH89" s="13">
        <f t="shared" si="916"/>
        <v>0</v>
      </c>
      <c r="BI89" s="13">
        <f t="shared" si="916"/>
        <v>0</v>
      </c>
      <c r="BJ89" s="13">
        <f t="shared" si="916"/>
        <v>0</v>
      </c>
      <c r="BK89" s="13">
        <f t="shared" si="916"/>
        <v>0</v>
      </c>
      <c r="BL89" s="13">
        <f t="shared" si="916"/>
        <v>0</v>
      </c>
      <c r="BM89" s="13">
        <f t="shared" si="916"/>
        <v>0</v>
      </c>
      <c r="BN89" s="13">
        <f t="shared" si="916"/>
        <v>0</v>
      </c>
      <c r="BO89" s="13">
        <f t="shared" si="916"/>
        <v>0</v>
      </c>
      <c r="BP89" s="13">
        <f t="shared" si="916"/>
        <v>0</v>
      </c>
      <c r="BQ89" s="13">
        <f t="shared" si="916"/>
        <v>6.8461503012026146</v>
      </c>
      <c r="BR89" s="13">
        <f t="shared" ref="BR89:CL89" si="917">+BR78/BV69</f>
        <v>7.0377766695591868</v>
      </c>
      <c r="BS89" s="13">
        <f t="shared" si="917"/>
        <v>10.105393413130065</v>
      </c>
      <c r="BT89" s="13">
        <f t="shared" si="917"/>
        <v>13.966186477451426</v>
      </c>
      <c r="BU89" s="13">
        <f t="shared" si="917"/>
        <v>11.309891237863566</v>
      </c>
      <c r="BV89" s="13">
        <f t="shared" si="917"/>
        <v>10.359441191936895</v>
      </c>
      <c r="BW89" s="13">
        <f t="shared" si="917"/>
        <v>8.9386305135910948</v>
      </c>
      <c r="BX89" s="13">
        <f t="shared" si="917"/>
        <v>8.4849551776334522</v>
      </c>
      <c r="BY89" s="13">
        <f t="shared" si="917"/>
        <v>8.1970317041927387</v>
      </c>
      <c r="BZ89" s="13">
        <f t="shared" si="917"/>
        <v>6.6005731365230185</v>
      </c>
      <c r="CA89" s="13">
        <f t="shared" si="917"/>
        <v>5.813747535744672</v>
      </c>
      <c r="CB89" s="13">
        <f t="shared" si="917"/>
        <v>6.2323974779795499</v>
      </c>
      <c r="CC89" s="13">
        <f t="shared" si="917"/>
        <v>6.4378660035808357</v>
      </c>
      <c r="CD89" s="13">
        <f t="shared" si="917"/>
        <v>6.8216329108808962</v>
      </c>
      <c r="CE89" s="13">
        <f t="shared" si="917"/>
        <v>8.0599521259093674</v>
      </c>
      <c r="CF89" s="13">
        <f t="shared" si="917"/>
        <v>10.488370202741477</v>
      </c>
      <c r="CG89" s="13">
        <f t="shared" si="917"/>
        <v>14.632096870681551</v>
      </c>
      <c r="CH89" s="13">
        <f t="shared" si="917"/>
        <v>19.080470703123488</v>
      </c>
      <c r="CI89" s="13">
        <f t="shared" si="917"/>
        <v>23.216330702967294</v>
      </c>
      <c r="CJ89" s="13">
        <f t="shared" si="917"/>
        <v>44.658048679442004</v>
      </c>
      <c r="CK89" s="13">
        <f t="shared" si="917"/>
        <v>41.297452995858457</v>
      </c>
      <c r="CL89" s="13">
        <f t="shared" si="917"/>
        <v>37.814116339579144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34.767642056320923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18">+CORREL(AL69:AO69,AL86:AO86)</f>
        <v>#DIV/0!</v>
      </c>
      <c r="AP90" s="175" t="e">
        <f t="shared" si="918"/>
        <v>#DIV/0!</v>
      </c>
      <c r="AQ90" s="175" t="e">
        <f t="shared" si="918"/>
        <v>#DIV/0!</v>
      </c>
      <c r="AR90" s="175" t="e">
        <f t="shared" si="918"/>
        <v>#DIV/0!</v>
      </c>
      <c r="AS90" s="175" t="e">
        <f t="shared" si="918"/>
        <v>#DIV/0!</v>
      </c>
      <c r="AT90" s="175" t="e">
        <f t="shared" si="918"/>
        <v>#DIV/0!</v>
      </c>
      <c r="AU90" s="175" t="e">
        <f t="shared" si="918"/>
        <v>#DIV/0!</v>
      </c>
      <c r="AV90" s="175" t="e">
        <f t="shared" si="918"/>
        <v>#DIV/0!</v>
      </c>
      <c r="AW90" s="175" t="e">
        <f t="shared" si="918"/>
        <v>#DIV/0!</v>
      </c>
      <c r="AX90" s="175" t="e">
        <f t="shared" si="918"/>
        <v>#DIV/0!</v>
      </c>
      <c r="AY90" s="175" t="e">
        <f t="shared" si="918"/>
        <v>#DIV/0!</v>
      </c>
      <c r="AZ90" s="175" t="e">
        <f t="shared" si="918"/>
        <v>#DIV/0!</v>
      </c>
      <c r="BA90" s="175" t="e">
        <f t="shared" si="918"/>
        <v>#DIV/0!</v>
      </c>
      <c r="BB90" s="175" t="e">
        <f t="shared" si="918"/>
        <v>#DIV/0!</v>
      </c>
      <c r="BC90" s="175" t="e">
        <f t="shared" si="918"/>
        <v>#DIV/0!</v>
      </c>
      <c r="BD90" s="175" t="e">
        <f t="shared" si="918"/>
        <v>#DIV/0!</v>
      </c>
      <c r="BE90" s="175" t="e">
        <f t="shared" si="918"/>
        <v>#DIV/0!</v>
      </c>
      <c r="BF90" s="175" t="e">
        <f t="shared" si="918"/>
        <v>#DIV/0!</v>
      </c>
      <c r="BG90" s="175" t="e">
        <f t="shared" si="918"/>
        <v>#DIV/0!</v>
      </c>
      <c r="BH90" s="175" t="e">
        <f t="shared" si="918"/>
        <v>#DIV/0!</v>
      </c>
      <c r="BI90" s="175" t="e">
        <f t="shared" si="918"/>
        <v>#DIV/0!</v>
      </c>
      <c r="BJ90" s="175" t="e">
        <f t="shared" si="918"/>
        <v>#DIV/0!</v>
      </c>
      <c r="BK90" s="175" t="e">
        <f t="shared" si="918"/>
        <v>#DIV/0!</v>
      </c>
      <c r="BL90" s="175" t="e">
        <f t="shared" si="918"/>
        <v>#DIV/0!</v>
      </c>
      <c r="BM90" s="175" t="e">
        <f t="shared" si="918"/>
        <v>#DIV/0!</v>
      </c>
      <c r="BN90" s="175" t="e">
        <f t="shared" si="918"/>
        <v>#DIV/0!</v>
      </c>
      <c r="BO90" s="175" t="e">
        <f t="shared" si="918"/>
        <v>#DIV/0!</v>
      </c>
      <c r="BP90" s="175" t="e">
        <f t="shared" si="918"/>
        <v>#DIV/0!</v>
      </c>
      <c r="BQ90" s="175">
        <f t="shared" si="918"/>
        <v>0.56104465687965899</v>
      </c>
      <c r="BR90" s="175">
        <f t="shared" si="918"/>
        <v>0.85857034425418632</v>
      </c>
      <c r="BS90" s="175">
        <f t="shared" si="918"/>
        <v>0.80462218178145384</v>
      </c>
      <c r="BT90" s="175">
        <f t="shared" si="918"/>
        <v>0.95940313713931258</v>
      </c>
      <c r="BU90" s="175">
        <f t="shared" si="918"/>
        <v>0.48103832053112061</v>
      </c>
      <c r="BV90" s="175">
        <f t="shared" si="918"/>
        <v>-0.56623640167455103</v>
      </c>
      <c r="BW90" s="175">
        <f t="shared" si="918"/>
        <v>-0.98963810827082477</v>
      </c>
      <c r="BX90" s="175">
        <f t="shared" si="918"/>
        <v>-0.93320491448503207</v>
      </c>
      <c r="BY90" s="175">
        <f t="shared" si="918"/>
        <v>-0.18638214131811737</v>
      </c>
      <c r="BZ90" s="175">
        <f t="shared" si="918"/>
        <v>0.27201776300885633</v>
      </c>
      <c r="CA90" s="175">
        <f t="shared" si="918"/>
        <v>-0.74786313430379148</v>
      </c>
      <c r="CB90" s="175">
        <f t="shared" si="918"/>
        <v>-0.28692622553383035</v>
      </c>
      <c r="CC90" s="175">
        <f t="shared" si="918"/>
        <v>0.77244732221423595</v>
      </c>
      <c r="CD90" s="175">
        <f t="shared" si="918"/>
        <v>0.81189043919396897</v>
      </c>
      <c r="CE90" s="175">
        <f t="shared" si="918"/>
        <v>0.92400569134888555</v>
      </c>
      <c r="CF90" s="175">
        <f t="shared" si="918"/>
        <v>0.92802094482124053</v>
      </c>
      <c r="CG90" s="175">
        <f t="shared" si="918"/>
        <v>0.95417311575816899</v>
      </c>
      <c r="CH90" s="175">
        <f t="shared" si="918"/>
        <v>0.76495967407696164</v>
      </c>
      <c r="CI90" s="175">
        <f t="shared" si="918"/>
        <v>-0.51977346830017834</v>
      </c>
      <c r="CJ90" s="175">
        <f>+CORREL(CG69:CJ69,CG86:CJ86)</f>
        <v>-0.36680011286377034</v>
      </c>
      <c r="CK90" s="175">
        <f>+CORREL(CH69:CK69,CH86:CK86)</f>
        <v>-0.53969394396025905</v>
      </c>
      <c r="CL90" s="175">
        <f>+CORREL(CI69:CL69,CI86:CL86)</f>
        <v>-0.99003914666613646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-0.98986501829526785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0</v>
      </c>
      <c r="AM92" s="162">
        <f t="shared" si="920"/>
        <v>0</v>
      </c>
      <c r="AN92" s="162">
        <f t="shared" si="920"/>
        <v>0</v>
      </c>
      <c r="AO92" s="162">
        <f t="shared" si="920"/>
        <v>0</v>
      </c>
      <c r="AP92" s="162">
        <f t="shared" si="920"/>
        <v>0</v>
      </c>
      <c r="AQ92" s="162">
        <f t="shared" si="920"/>
        <v>0</v>
      </c>
      <c r="AR92" s="162">
        <f t="shared" si="920"/>
        <v>0</v>
      </c>
      <c r="AS92" s="162">
        <f t="shared" si="920"/>
        <v>0</v>
      </c>
      <c r="AT92" s="162">
        <f t="shared" si="920"/>
        <v>0</v>
      </c>
      <c r="AU92" s="162">
        <f t="shared" si="920"/>
        <v>0</v>
      </c>
      <c r="AV92" s="162">
        <f t="shared" si="920"/>
        <v>0</v>
      </c>
      <c r="AW92" s="162">
        <f t="shared" si="920"/>
        <v>0</v>
      </c>
      <c r="AX92" s="162">
        <f t="shared" si="920"/>
        <v>0</v>
      </c>
      <c r="AY92" s="162">
        <f t="shared" si="920"/>
        <v>0</v>
      </c>
      <c r="AZ92" s="162">
        <f t="shared" si="920"/>
        <v>0</v>
      </c>
      <c r="BA92" s="162">
        <f t="shared" si="920"/>
        <v>0</v>
      </c>
      <c r="BB92" s="162">
        <f t="shared" si="920"/>
        <v>0</v>
      </c>
      <c r="BC92" s="162">
        <f t="shared" si="920"/>
        <v>0</v>
      </c>
      <c r="BD92" s="162">
        <f t="shared" si="920"/>
        <v>0</v>
      </c>
      <c r="BE92" s="162">
        <f t="shared" si="920"/>
        <v>0</v>
      </c>
      <c r="BF92" s="162">
        <f t="shared" si="920"/>
        <v>0</v>
      </c>
      <c r="BG92" s="162">
        <f t="shared" si="920"/>
        <v>0</v>
      </c>
      <c r="BH92" s="162">
        <f t="shared" si="920"/>
        <v>0</v>
      </c>
      <c r="BI92" s="162">
        <f t="shared" si="920"/>
        <v>0</v>
      </c>
      <c r="BJ92" s="162">
        <f t="shared" si="920"/>
        <v>0</v>
      </c>
      <c r="BK92" s="162">
        <f t="shared" si="920"/>
        <v>0</v>
      </c>
      <c r="BL92" s="162">
        <f t="shared" si="920"/>
        <v>0</v>
      </c>
      <c r="BM92" s="162">
        <f t="shared" si="920"/>
        <v>9.3403773889854165</v>
      </c>
      <c r="BN92" s="162">
        <f t="shared" si="920"/>
        <v>110.88448018101742</v>
      </c>
      <c r="BO92" s="162">
        <f t="shared" si="920"/>
        <v>118.92419895753363</v>
      </c>
      <c r="BP92" s="162">
        <f t="shared" si="920"/>
        <v>93.508424582811429</v>
      </c>
      <c r="BQ92" s="162">
        <f t="shared" si="920"/>
        <v>104.90646086710574</v>
      </c>
      <c r="BR92" s="162">
        <f t="shared" ref="BR92:DB92" si="921">+BR$120/BR$65</f>
        <v>104.22077659703425</v>
      </c>
      <c r="BS92" s="162">
        <f t="shared" si="921"/>
        <v>116.99745444260375</v>
      </c>
      <c r="BT92" s="162">
        <f t="shared" si="921"/>
        <v>117.23099923229222</v>
      </c>
      <c r="BU92" s="162">
        <f t="shared" si="921"/>
        <v>132.85001414198555</v>
      </c>
      <c r="BV92" s="162">
        <f t="shared" si="921"/>
        <v>130.84124611095399</v>
      </c>
      <c r="BW92" s="162">
        <f t="shared" si="921"/>
        <v>143.92823952482931</v>
      </c>
      <c r="BX92" s="162">
        <f t="shared" si="921"/>
        <v>144.80726493999759</v>
      </c>
      <c r="BY92" s="162">
        <f t="shared" si="921"/>
        <v>159.70039193502768</v>
      </c>
      <c r="BZ92" s="162">
        <f t="shared" si="921"/>
        <v>157.93062345953373</v>
      </c>
      <c r="CA92" s="162">
        <f t="shared" si="921"/>
        <v>173.35346882702331</v>
      </c>
      <c r="CB92" s="162">
        <f t="shared" si="921"/>
        <v>162.32029576952604</v>
      </c>
      <c r="CC92" s="162">
        <f t="shared" si="921"/>
        <v>180.36021657440705</v>
      </c>
      <c r="CD92" s="162">
        <f t="shared" si="921"/>
        <v>184.76160652955676</v>
      </c>
      <c r="CE92" s="162">
        <f t="shared" si="921"/>
        <v>206.62349993939151</v>
      </c>
      <c r="CF92" s="162">
        <f t="shared" si="921"/>
        <v>208.11669158349832</v>
      </c>
      <c r="CG92" s="162">
        <f t="shared" si="921"/>
        <v>233.46983716513799</v>
      </c>
      <c r="CH92" s="162">
        <f t="shared" si="921"/>
        <v>225.97959513515701</v>
      </c>
      <c r="CI92" s="162">
        <f t="shared" si="921"/>
        <v>248.01886944927071</v>
      </c>
      <c r="CJ92" s="162">
        <f t="shared" si="921"/>
        <v>245.83235686290359</v>
      </c>
      <c r="CK92" s="162">
        <f t="shared" si="921"/>
        <v>54.203836058954174</v>
      </c>
      <c r="CL92" s="162">
        <f t="shared" si="921"/>
        <v>53.265923342137626</v>
      </c>
      <c r="CM92" s="21">
        <f t="shared" si="921"/>
        <v>57.565783282301304</v>
      </c>
      <c r="CN92" s="21">
        <f t="shared" si="921"/>
        <v>62.464837752681433</v>
      </c>
      <c r="CO92" s="21">
        <f t="shared" si="921"/>
        <v>67.853913909659994</v>
      </c>
      <c r="CP92" s="21">
        <f t="shared" si="921"/>
        <v>73.517619643141884</v>
      </c>
      <c r="CQ92" s="21">
        <f t="shared" si="921"/>
        <v>79.017524831431345</v>
      </c>
      <c r="CR92" s="21">
        <f t="shared" si="921"/>
        <v>85.039993384729883</v>
      </c>
      <c r="CS92" s="21">
        <f t="shared" si="921"/>
        <v>91.477167448666691</v>
      </c>
      <c r="CT92" s="21">
        <f t="shared" si="921"/>
        <v>98.147437547315505</v>
      </c>
      <c r="CU92" s="21">
        <f t="shared" si="921"/>
        <v>104.6035866224622</v>
      </c>
      <c r="CV92" s="21">
        <f t="shared" si="921"/>
        <v>111.56236927960978</v>
      </c>
      <c r="CW92" s="21">
        <f t="shared" si="921"/>
        <v>118.92017944490556</v>
      </c>
      <c r="CX92" s="21">
        <f t="shared" si="921"/>
        <v>126.49639541961004</v>
      </c>
      <c r="CY92" s="21">
        <f t="shared" si="921"/>
        <v>133.81527119985984</v>
      </c>
      <c r="CZ92" s="21">
        <f t="shared" si="921"/>
        <v>141.6462571260993</v>
      </c>
      <c r="DA92" s="21">
        <f t="shared" si="921"/>
        <v>149.88405334593438</v>
      </c>
      <c r="DB92" s="21">
        <f t="shared" si="921"/>
        <v>158.33935326517448</v>
      </c>
      <c r="DE92" s="22"/>
      <c r="DF92" s="162">
        <v>59.163703153661629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 t="e">
        <f t="shared" ref="AL94:CI96" si="924">+AL77/AL$92</f>
        <v>#DIV/0!</v>
      </c>
      <c r="AM94" s="162" t="e">
        <f t="shared" si="924"/>
        <v>#DIV/0!</v>
      </c>
      <c r="AN94" s="162" t="e">
        <f t="shared" si="924"/>
        <v>#DIV/0!</v>
      </c>
      <c r="AO94" s="162" t="e">
        <f t="shared" si="924"/>
        <v>#DIV/0!</v>
      </c>
      <c r="AP94" s="162" t="e">
        <f t="shared" si="924"/>
        <v>#DIV/0!</v>
      </c>
      <c r="AQ94" s="162" t="e">
        <f t="shared" si="924"/>
        <v>#DIV/0!</v>
      </c>
      <c r="AR94" s="162" t="e">
        <f t="shared" si="924"/>
        <v>#DIV/0!</v>
      </c>
      <c r="AS94" s="162" t="e">
        <f t="shared" si="924"/>
        <v>#DIV/0!</v>
      </c>
      <c r="AT94" s="162" t="e">
        <f t="shared" si="924"/>
        <v>#DIV/0!</v>
      </c>
      <c r="AU94" s="162" t="e">
        <f t="shared" si="924"/>
        <v>#DIV/0!</v>
      </c>
      <c r="AV94" s="162" t="e">
        <f t="shared" si="924"/>
        <v>#DIV/0!</v>
      </c>
      <c r="AW94" s="162" t="e">
        <f t="shared" si="924"/>
        <v>#DIV/0!</v>
      </c>
      <c r="AX94" s="162" t="e">
        <f t="shared" si="924"/>
        <v>#DIV/0!</v>
      </c>
      <c r="AY94" s="162" t="e">
        <f t="shared" si="924"/>
        <v>#DIV/0!</v>
      </c>
      <c r="AZ94" s="162" t="e">
        <f t="shared" si="924"/>
        <v>#DIV/0!</v>
      </c>
      <c r="BA94" s="162" t="e">
        <f t="shared" si="924"/>
        <v>#DIV/0!</v>
      </c>
      <c r="BB94" s="162" t="e">
        <f t="shared" si="924"/>
        <v>#DIV/0!</v>
      </c>
      <c r="BC94" s="162" t="e">
        <f t="shared" si="924"/>
        <v>#DIV/0!</v>
      </c>
      <c r="BD94" s="162" t="e">
        <f t="shared" si="924"/>
        <v>#DIV/0!</v>
      </c>
      <c r="BE94" s="162" t="e">
        <f t="shared" si="924"/>
        <v>#DIV/0!</v>
      </c>
      <c r="BF94" s="162" t="e">
        <f t="shared" si="924"/>
        <v>#DIV/0!</v>
      </c>
      <c r="BG94" s="162" t="e">
        <f t="shared" si="924"/>
        <v>#DIV/0!</v>
      </c>
      <c r="BH94" s="162" t="e">
        <f t="shared" si="924"/>
        <v>#DIV/0!</v>
      </c>
      <c r="BI94" s="162" t="e">
        <f t="shared" si="924"/>
        <v>#DIV/0!</v>
      </c>
      <c r="BJ94" s="162" t="e">
        <f t="shared" si="924"/>
        <v>#DIV/0!</v>
      </c>
      <c r="BK94" s="162" t="e">
        <f t="shared" si="924"/>
        <v>#DIV/0!</v>
      </c>
      <c r="BL94" s="162" t="e">
        <f t="shared" si="924"/>
        <v>#DIV/0!</v>
      </c>
      <c r="BM94" s="162">
        <f t="shared" si="924"/>
        <v>0</v>
      </c>
      <c r="BN94" s="162">
        <f t="shared" si="924"/>
        <v>0</v>
      </c>
      <c r="BO94" s="162">
        <f t="shared" si="924"/>
        <v>0</v>
      </c>
      <c r="BP94" s="162">
        <f t="shared" si="924"/>
        <v>0</v>
      </c>
      <c r="BQ94" s="162">
        <f t="shared" si="924"/>
        <v>3.4420186994719471</v>
      </c>
      <c r="BR94" s="162">
        <f t="shared" si="924"/>
        <v>3.5553371611562552</v>
      </c>
      <c r="BS94" s="162">
        <f t="shared" si="924"/>
        <v>4.7685652876635682</v>
      </c>
      <c r="BT94" s="162">
        <f t="shared" si="924"/>
        <v>5.1782378720250914</v>
      </c>
      <c r="BU94" s="162">
        <f t="shared" si="924"/>
        <v>4.0150541454208675</v>
      </c>
      <c r="BV94" s="162">
        <f t="shared" si="924"/>
        <v>3.5374166308956543</v>
      </c>
      <c r="BW94" s="162">
        <f t="shared" si="924"/>
        <v>3.1367715014822797</v>
      </c>
      <c r="BX94" s="162">
        <f t="shared" si="924"/>
        <v>3.4862201161604811</v>
      </c>
      <c r="BY94" s="162">
        <f t="shared" si="924"/>
        <v>2.7807070140483372</v>
      </c>
      <c r="BZ94" s="162">
        <f t="shared" si="924"/>
        <v>2.5731551683776259</v>
      </c>
      <c r="CA94" s="162">
        <f t="shared" si="924"/>
        <v>2.5376475185446328</v>
      </c>
      <c r="CB94" s="162">
        <f t="shared" si="924"/>
        <v>3.0938213710073894</v>
      </c>
      <c r="CC94" s="162">
        <f t="shared" si="924"/>
        <v>2.9413914558099887</v>
      </c>
      <c r="CD94" s="162">
        <f t="shared" si="924"/>
        <v>3.1557963310235935</v>
      </c>
      <c r="CE94" s="162">
        <f t="shared" si="924"/>
        <v>3.4967464988829078</v>
      </c>
      <c r="CF94" s="162">
        <f t="shared" si="924"/>
        <v>4.2362772216484039</v>
      </c>
      <c r="CG94" s="162">
        <f t="shared" si="924"/>
        <v>4.3479278193953252</v>
      </c>
      <c r="CH94" s="162">
        <f t="shared" si="924"/>
        <v>3.2879074748125654</v>
      </c>
      <c r="CI94" s="162">
        <f t="shared" si="924"/>
        <v>3.4670345926073991</v>
      </c>
      <c r="CJ94" s="162">
        <f>+CJ77/CJ$92</f>
        <v>3.0589138451752556</v>
      </c>
      <c r="CK94" s="162">
        <f>+CK77/CK$92</f>
        <v>13.669696720248995</v>
      </c>
      <c r="CL94" s="162">
        <f>+CL77/CL$92</f>
        <v>11.750476866414569</v>
      </c>
      <c r="CM94" s="21">
        <f t="shared" ref="CM94:DB94" si="925">+CM77/CM$92</f>
        <v>10.872778312258871</v>
      </c>
      <c r="CN94" s="21">
        <f t="shared" si="925"/>
        <v>10.02003723243693</v>
      </c>
      <c r="CO94" s="21">
        <f t="shared" si="925"/>
        <v>9.2242284038812681</v>
      </c>
      <c r="CP94" s="21">
        <f t="shared" si="925"/>
        <v>8.513605351181786</v>
      </c>
      <c r="CQ94" s="21">
        <f t="shared" si="925"/>
        <v>7.9210276623475231</v>
      </c>
      <c r="CR94" s="21">
        <f t="shared" si="925"/>
        <v>7.3600664239043683</v>
      </c>
      <c r="CS94" s="21">
        <f t="shared" si="925"/>
        <v>6.8421445203933526</v>
      </c>
      <c r="CT94" s="21">
        <f t="shared" si="925"/>
        <v>6.3771405106553329</v>
      </c>
      <c r="CU94" s="21">
        <f t="shared" si="925"/>
        <v>5.9835424406527613</v>
      </c>
      <c r="CV94" s="21">
        <f t="shared" si="925"/>
        <v>5.6103146969862312</v>
      </c>
      <c r="CW94" s="21">
        <f t="shared" si="925"/>
        <v>5.2631942107855023</v>
      </c>
      <c r="CX94" s="21">
        <f t="shared" si="925"/>
        <v>4.9479670778268687</v>
      </c>
      <c r="CY94" s="21">
        <f t="shared" si="925"/>
        <v>4.6773435825959417</v>
      </c>
      <c r="CZ94" s="21">
        <f t="shared" si="925"/>
        <v>4.4187542452519457</v>
      </c>
      <c r="DA94" s="21">
        <f t="shared" si="925"/>
        <v>4.1758945399976239</v>
      </c>
      <c r="DB94" s="21">
        <f t="shared" si="925"/>
        <v>3.9529023397726726</v>
      </c>
      <c r="DE94" s="22"/>
      <c r="DF94" s="162">
        <v>10.57912143150328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 t="e">
        <f t="shared" si="924"/>
        <v>#DIV/0!</v>
      </c>
      <c r="AM95" s="162" t="e">
        <f t="shared" si="924"/>
        <v>#DIV/0!</v>
      </c>
      <c r="AN95" s="162" t="e">
        <f t="shared" si="924"/>
        <v>#DIV/0!</v>
      </c>
      <c r="AO95" s="162" t="e">
        <f t="shared" si="924"/>
        <v>#DIV/0!</v>
      </c>
      <c r="AP95" s="162" t="e">
        <f t="shared" si="924"/>
        <v>#DIV/0!</v>
      </c>
      <c r="AQ95" s="162" t="e">
        <f t="shared" si="924"/>
        <v>#DIV/0!</v>
      </c>
      <c r="AR95" s="162" t="e">
        <f t="shared" si="924"/>
        <v>#DIV/0!</v>
      </c>
      <c r="AS95" s="162" t="e">
        <f t="shared" si="924"/>
        <v>#DIV/0!</v>
      </c>
      <c r="AT95" s="162" t="e">
        <f t="shared" si="924"/>
        <v>#DIV/0!</v>
      </c>
      <c r="AU95" s="162" t="e">
        <f t="shared" si="924"/>
        <v>#DIV/0!</v>
      </c>
      <c r="AV95" s="162" t="e">
        <f t="shared" si="924"/>
        <v>#DIV/0!</v>
      </c>
      <c r="AW95" s="162" t="e">
        <f t="shared" si="924"/>
        <v>#DIV/0!</v>
      </c>
      <c r="AX95" s="162" t="e">
        <f t="shared" si="924"/>
        <v>#DIV/0!</v>
      </c>
      <c r="AY95" s="162" t="e">
        <f t="shared" si="924"/>
        <v>#DIV/0!</v>
      </c>
      <c r="AZ95" s="162" t="e">
        <f t="shared" si="924"/>
        <v>#DIV/0!</v>
      </c>
      <c r="BA95" s="162" t="e">
        <f t="shared" si="924"/>
        <v>#DIV/0!</v>
      </c>
      <c r="BB95" s="162" t="e">
        <f t="shared" si="924"/>
        <v>#DIV/0!</v>
      </c>
      <c r="BC95" s="162" t="e">
        <f t="shared" si="924"/>
        <v>#DIV/0!</v>
      </c>
      <c r="BD95" s="162" t="e">
        <f t="shared" si="924"/>
        <v>#DIV/0!</v>
      </c>
      <c r="BE95" s="162" t="e">
        <f t="shared" si="924"/>
        <v>#DIV/0!</v>
      </c>
      <c r="BF95" s="162" t="e">
        <f t="shared" si="924"/>
        <v>#DIV/0!</v>
      </c>
      <c r="BG95" s="162" t="e">
        <f t="shared" si="924"/>
        <v>#DIV/0!</v>
      </c>
      <c r="BH95" s="162" t="e">
        <f t="shared" si="924"/>
        <v>#DIV/0!</v>
      </c>
      <c r="BI95" s="162" t="e">
        <f t="shared" si="924"/>
        <v>#DIV/0!</v>
      </c>
      <c r="BJ95" s="162" t="e">
        <f t="shared" si="924"/>
        <v>#DIV/0!</v>
      </c>
      <c r="BK95" s="162" t="e">
        <f t="shared" si="924"/>
        <v>#DIV/0!</v>
      </c>
      <c r="BL95" s="162" t="e">
        <f t="shared" si="924"/>
        <v>#DIV/0!</v>
      </c>
      <c r="BM95" s="162">
        <f t="shared" si="924"/>
        <v>0</v>
      </c>
      <c r="BN95" s="162">
        <f t="shared" si="924"/>
        <v>0</v>
      </c>
      <c r="BO95" s="162">
        <f t="shared" si="924"/>
        <v>0</v>
      </c>
      <c r="BP95" s="162">
        <f t="shared" si="924"/>
        <v>0</v>
      </c>
      <c r="BQ95" s="162">
        <f t="shared" si="924"/>
        <v>3.6024473314255125</v>
      </c>
      <c r="BR95" s="162">
        <f t="shared" si="924"/>
        <v>3.9146705035357603</v>
      </c>
      <c r="BS95" s="162">
        <f t="shared" si="924"/>
        <v>5.0339556771205665</v>
      </c>
      <c r="BT95" s="162">
        <f t="shared" si="924"/>
        <v>6.9333197304702976</v>
      </c>
      <c r="BU95" s="162">
        <f t="shared" si="924"/>
        <v>4.8927356477757105</v>
      </c>
      <c r="BV95" s="162">
        <f t="shared" si="924"/>
        <v>4.5627813686040657</v>
      </c>
      <c r="BW95" s="162">
        <f t="shared" si="924"/>
        <v>3.7240780667475177</v>
      </c>
      <c r="BX95" s="162">
        <f t="shared" si="924"/>
        <v>3.6599683049024296</v>
      </c>
      <c r="BY95" s="162">
        <f t="shared" si="924"/>
        <v>3.367555918202116</v>
      </c>
      <c r="BZ95" s="162">
        <f t="shared" si="924"/>
        <v>2.9859946707601774</v>
      </c>
      <c r="CA95" s="162">
        <f t="shared" si="924"/>
        <v>2.6120042654111288</v>
      </c>
      <c r="CB95" s="162">
        <f t="shared" si="924"/>
        <v>3.2848634083138655</v>
      </c>
      <c r="CC95" s="162">
        <f t="shared" si="924"/>
        <v>3.3148108344245348</v>
      </c>
      <c r="CD95" s="162">
        <f t="shared" si="924"/>
        <v>3.5072221560074923</v>
      </c>
      <c r="CE95" s="162">
        <f t="shared" si="924"/>
        <v>3.7123560496506944</v>
      </c>
      <c r="CF95" s="162">
        <f t="shared" si="924"/>
        <v>4.7196118318357962</v>
      </c>
      <c r="CG95" s="162">
        <f t="shared" si="924"/>
        <v>4.5979815338659726</v>
      </c>
      <c r="CH95" s="162">
        <f t="shared" si="924"/>
        <v>4.6800685671087061</v>
      </c>
      <c r="CI95" s="162">
        <f t="shared" si="924"/>
        <v>3.5279573765615071</v>
      </c>
      <c r="CJ95" s="162">
        <f t="shared" ref="CJ95:CK96" si="927">+CJ78/CJ$92</f>
        <v>3.5181292285389545</v>
      </c>
      <c r="CK95" s="162">
        <f t="shared" si="927"/>
        <v>14.998938435201339</v>
      </c>
      <c r="CL95" s="162">
        <f t="shared" ref="CL95" si="928">+CL78/CL$92</f>
        <v>14.376921527880295</v>
      </c>
      <c r="CM95" s="94">
        <f t="shared" ref="CM95:DB95" si="929">+CL95</f>
        <v>14.376921527880295</v>
      </c>
      <c r="CN95" s="94">
        <f t="shared" si="929"/>
        <v>14.376921527880295</v>
      </c>
      <c r="CO95" s="94">
        <f t="shared" si="929"/>
        <v>14.376921527880295</v>
      </c>
      <c r="CP95" s="94">
        <f t="shared" si="929"/>
        <v>14.376921527880295</v>
      </c>
      <c r="CQ95" s="94">
        <f t="shared" si="929"/>
        <v>14.376921527880295</v>
      </c>
      <c r="CR95" s="94">
        <f t="shared" si="929"/>
        <v>14.376921527880295</v>
      </c>
      <c r="CS95" s="94">
        <f t="shared" si="929"/>
        <v>14.376921527880295</v>
      </c>
      <c r="CT95" s="94">
        <f t="shared" si="929"/>
        <v>14.376921527880295</v>
      </c>
      <c r="CU95" s="94">
        <f t="shared" si="929"/>
        <v>14.376921527880295</v>
      </c>
      <c r="CV95" s="94">
        <f t="shared" si="929"/>
        <v>14.376921527880295</v>
      </c>
      <c r="CW95" s="94">
        <f t="shared" si="929"/>
        <v>14.376921527880295</v>
      </c>
      <c r="CX95" s="94">
        <f t="shared" si="929"/>
        <v>14.376921527880295</v>
      </c>
      <c r="CY95" s="94">
        <f t="shared" si="929"/>
        <v>14.376921527880295</v>
      </c>
      <c r="CZ95" s="94">
        <f t="shared" si="929"/>
        <v>14.376921527880295</v>
      </c>
      <c r="DA95" s="94">
        <f t="shared" si="929"/>
        <v>14.376921527880295</v>
      </c>
      <c r="DB95" s="94">
        <f t="shared" si="929"/>
        <v>14.376921527880295</v>
      </c>
      <c r="DC95" s="94"/>
      <c r="DE95" s="22"/>
      <c r="DF95" s="162">
        <v>12.943746912039003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 t="e">
        <f t="shared" si="924"/>
        <v>#DIV/0!</v>
      </c>
      <c r="AM96" s="162" t="e">
        <f t="shared" si="924"/>
        <v>#DIV/0!</v>
      </c>
      <c r="AN96" s="162" t="e">
        <f t="shared" si="924"/>
        <v>#DIV/0!</v>
      </c>
      <c r="AO96" s="162" t="e">
        <f t="shared" si="924"/>
        <v>#DIV/0!</v>
      </c>
      <c r="AP96" s="162" t="e">
        <f t="shared" si="924"/>
        <v>#DIV/0!</v>
      </c>
      <c r="AQ96" s="162" t="e">
        <f t="shared" si="924"/>
        <v>#DIV/0!</v>
      </c>
      <c r="AR96" s="162" t="e">
        <f t="shared" si="924"/>
        <v>#DIV/0!</v>
      </c>
      <c r="AS96" s="162" t="e">
        <f t="shared" si="924"/>
        <v>#DIV/0!</v>
      </c>
      <c r="AT96" s="162" t="e">
        <f t="shared" si="924"/>
        <v>#DIV/0!</v>
      </c>
      <c r="AU96" s="162" t="e">
        <f t="shared" si="924"/>
        <v>#DIV/0!</v>
      </c>
      <c r="AV96" s="162" t="e">
        <f t="shared" si="924"/>
        <v>#DIV/0!</v>
      </c>
      <c r="AW96" s="162" t="e">
        <f t="shared" si="924"/>
        <v>#DIV/0!</v>
      </c>
      <c r="AX96" s="162" t="e">
        <f t="shared" si="924"/>
        <v>#DIV/0!</v>
      </c>
      <c r="AY96" s="162" t="e">
        <f t="shared" si="924"/>
        <v>#DIV/0!</v>
      </c>
      <c r="AZ96" s="162" t="e">
        <f t="shared" si="924"/>
        <v>#DIV/0!</v>
      </c>
      <c r="BA96" s="162" t="e">
        <f t="shared" si="924"/>
        <v>#DIV/0!</v>
      </c>
      <c r="BB96" s="162" t="e">
        <f t="shared" si="924"/>
        <v>#DIV/0!</v>
      </c>
      <c r="BC96" s="162" t="e">
        <f t="shared" si="924"/>
        <v>#DIV/0!</v>
      </c>
      <c r="BD96" s="162" t="e">
        <f t="shared" si="924"/>
        <v>#DIV/0!</v>
      </c>
      <c r="BE96" s="162" t="e">
        <f t="shared" si="924"/>
        <v>#DIV/0!</v>
      </c>
      <c r="BF96" s="162" t="e">
        <f t="shared" si="924"/>
        <v>#DIV/0!</v>
      </c>
      <c r="BG96" s="162" t="e">
        <f t="shared" si="924"/>
        <v>#DIV/0!</v>
      </c>
      <c r="BH96" s="162" t="e">
        <f t="shared" si="924"/>
        <v>#DIV/0!</v>
      </c>
      <c r="BI96" s="162" t="e">
        <f t="shared" si="924"/>
        <v>#DIV/0!</v>
      </c>
      <c r="BJ96" s="162" t="e">
        <f t="shared" si="924"/>
        <v>#DIV/0!</v>
      </c>
      <c r="BK96" s="162" t="e">
        <f t="shared" si="924"/>
        <v>#DIV/0!</v>
      </c>
      <c r="BL96" s="162" t="e">
        <f t="shared" si="924"/>
        <v>#DIV/0!</v>
      </c>
      <c r="BM96" s="162">
        <f t="shared" si="924"/>
        <v>0</v>
      </c>
      <c r="BN96" s="162">
        <f t="shared" si="924"/>
        <v>0</v>
      </c>
      <c r="BO96" s="162">
        <f t="shared" si="924"/>
        <v>0</v>
      </c>
      <c r="BP96" s="162">
        <f t="shared" si="924"/>
        <v>0</v>
      </c>
      <c r="BQ96" s="162">
        <f t="shared" si="924"/>
        <v>2.4021399436897468</v>
      </c>
      <c r="BR96" s="162">
        <f t="shared" si="924"/>
        <v>3.2627851288691763</v>
      </c>
      <c r="BS96" s="162">
        <f t="shared" si="924"/>
        <v>3.0303223406790369</v>
      </c>
      <c r="BT96" s="162">
        <f t="shared" si="924"/>
        <v>4.7137702793527154</v>
      </c>
      <c r="BU96" s="162">
        <f t="shared" si="924"/>
        <v>3.8539702333248673</v>
      </c>
      <c r="BV96" s="162">
        <f t="shared" si="924"/>
        <v>3.4103160376630148</v>
      </c>
      <c r="BW96" s="162">
        <f t="shared" si="924"/>
        <v>2.8333564097381303</v>
      </c>
      <c r="BX96" s="162">
        <f t="shared" si="924"/>
        <v>2.9749888596991765</v>
      </c>
      <c r="BY96" s="162">
        <f t="shared" si="924"/>
        <v>2.6961111039425161</v>
      </c>
      <c r="BZ96" s="162">
        <f t="shared" si="924"/>
        <v>2.5354170788960309</v>
      </c>
      <c r="CA96" s="162">
        <f t="shared" si="924"/>
        <v>2.3160771037159189</v>
      </c>
      <c r="CB96" s="162">
        <f t="shared" si="924"/>
        <v>2.7377352776080244</v>
      </c>
      <c r="CC96" s="162">
        <f t="shared" si="924"/>
        <v>2.4751578173883533</v>
      </c>
      <c r="CD96" s="162">
        <f t="shared" si="924"/>
        <v>2.8625535896463004</v>
      </c>
      <c r="CE96" s="162">
        <f t="shared" si="924"/>
        <v>2.850643804662941</v>
      </c>
      <c r="CF96" s="162">
        <f t="shared" si="924"/>
        <v>3.4590690180714003</v>
      </c>
      <c r="CG96" s="162">
        <f t="shared" si="924"/>
        <v>3.4685851064658291</v>
      </c>
      <c r="CH96" s="162">
        <f t="shared" si="924"/>
        <v>2.6816580480974626</v>
      </c>
      <c r="CI96" s="162">
        <f t="shared" si="924"/>
        <v>2.6731837036117474</v>
      </c>
      <c r="CJ96" s="162">
        <f t="shared" si="927"/>
        <v>2.9551846195948293</v>
      </c>
      <c r="CK96" s="162">
        <f t="shared" si="927"/>
        <v>13.43539595994511</v>
      </c>
      <c r="CL96" s="162">
        <f t="shared" ref="CL96" si="931">+CL79/CL$92</f>
        <v>11.483889917216477</v>
      </c>
      <c r="CM96" s="94">
        <f t="shared" ref="CM96:DB96" si="932">+CL96</f>
        <v>11.483889917216477</v>
      </c>
      <c r="CN96" s="94">
        <f t="shared" si="932"/>
        <v>11.483889917216477</v>
      </c>
      <c r="CO96" s="94">
        <f t="shared" si="932"/>
        <v>11.483889917216477</v>
      </c>
      <c r="CP96" s="94">
        <f t="shared" si="932"/>
        <v>11.483889917216477</v>
      </c>
      <c r="CQ96" s="94">
        <f t="shared" si="932"/>
        <v>11.483889917216477</v>
      </c>
      <c r="CR96" s="94">
        <f t="shared" si="932"/>
        <v>11.483889917216477</v>
      </c>
      <c r="CS96" s="94">
        <f t="shared" si="932"/>
        <v>11.483889917216477</v>
      </c>
      <c r="CT96" s="94">
        <f t="shared" si="932"/>
        <v>11.483889917216477</v>
      </c>
      <c r="CU96" s="94">
        <f t="shared" si="932"/>
        <v>11.483889917216477</v>
      </c>
      <c r="CV96" s="94">
        <f t="shared" si="932"/>
        <v>11.483889917216477</v>
      </c>
      <c r="CW96" s="94">
        <f t="shared" si="932"/>
        <v>11.483889917216477</v>
      </c>
      <c r="CX96" s="94">
        <f t="shared" si="932"/>
        <v>11.483889917216477</v>
      </c>
      <c r="CY96" s="94">
        <f t="shared" si="932"/>
        <v>11.483889917216477</v>
      </c>
      <c r="CZ96" s="94">
        <f t="shared" si="932"/>
        <v>11.483889917216477</v>
      </c>
      <c r="DA96" s="94">
        <f t="shared" si="932"/>
        <v>11.483889917216477</v>
      </c>
      <c r="DB96" s="94">
        <f t="shared" si="932"/>
        <v>11.483889917216477</v>
      </c>
      <c r="DC96" s="94"/>
      <c r="DE96" s="22"/>
      <c r="DF96" s="162">
        <v>10.33910940989065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0</v>
      </c>
      <c r="F98" s="177">
        <f t="shared" si="933"/>
        <v>91.985366600000006</v>
      </c>
      <c r="G98" s="177">
        <f t="shared" si="933"/>
        <v>158.56693999999999</v>
      </c>
      <c r="H98" s="177">
        <f t="shared" si="933"/>
        <v>218.19200000000001</v>
      </c>
      <c r="I98" s="177">
        <f t="shared" si="933"/>
        <v>284.45330000000001</v>
      </c>
      <c r="J98" s="177">
        <f t="shared" si="933"/>
        <v>246.6319</v>
      </c>
      <c r="K98" s="177">
        <f t="shared" si="933"/>
        <v>311.17829999999998</v>
      </c>
      <c r="L98" s="177">
        <f t="shared" si="933"/>
        <v>317.60000000000002</v>
      </c>
      <c r="M98" s="177">
        <f t="shared" si="933"/>
        <v>272.76</v>
      </c>
      <c r="N98" s="177">
        <f t="shared" si="933"/>
        <v>295.3</v>
      </c>
      <c r="O98" s="177">
        <f t="shared" si="933"/>
        <v>322.41179069999998</v>
      </c>
      <c r="P98" s="177">
        <f t="shared" si="933"/>
        <v>383.649</v>
      </c>
      <c r="Q98" s="177">
        <f t="shared" si="933"/>
        <v>397.9248</v>
      </c>
      <c r="R98" s="177">
        <f t="shared" si="933"/>
        <v>478.30849999999998</v>
      </c>
      <c r="S98" s="177">
        <f t="shared" si="933"/>
        <v>641.53589999999997</v>
      </c>
      <c r="T98" s="177">
        <f t="shared" si="933"/>
        <v>693.64390000000003</v>
      </c>
      <c r="U98" s="177">
        <f t="shared" si="933"/>
        <v>699.62990000000002</v>
      </c>
      <c r="V98" s="177">
        <f t="shared" si="933"/>
        <v>705.49580000000003</v>
      </c>
      <c r="W98" s="177">
        <f t="shared" si="933"/>
        <v>909.66750000000002</v>
      </c>
      <c r="X98" s="177">
        <f t="shared" si="933"/>
        <v>971.82719999999995</v>
      </c>
      <c r="Y98" s="177">
        <f t="shared" si="933"/>
        <v>1136.5181</v>
      </c>
      <c r="Z98" s="177">
        <f>+Z10</f>
        <v>1422.4833000000001</v>
      </c>
      <c r="AA98" s="177">
        <f>+AA10</f>
        <v>1516.249</v>
      </c>
      <c r="AB98" s="178">
        <f t="shared" ref="AA98:AE98" si="934">+AB10</f>
        <v>1624.6247009737413</v>
      </c>
      <c r="AC98" s="178">
        <f t="shared" si="934"/>
        <v>1743.440781984697</v>
      </c>
      <c r="AD98" s="178">
        <f t="shared" si="934"/>
        <v>1871.6200372762548</v>
      </c>
      <c r="AE98" s="178">
        <f t="shared" si="934"/>
        <v>2009.3617239573682</v>
      </c>
      <c r="AL98" s="177">
        <f t="shared" ref="AL98:BQ98" si="935">+SUM(AI8:AL8)</f>
        <v>0</v>
      </c>
      <c r="AM98" s="177">
        <f t="shared" si="935"/>
        <v>0</v>
      </c>
      <c r="AN98" s="177">
        <f t="shared" si="935"/>
        <v>0</v>
      </c>
      <c r="AO98" s="177">
        <f t="shared" si="935"/>
        <v>0</v>
      </c>
      <c r="AP98" s="177">
        <f t="shared" si="935"/>
        <v>0</v>
      </c>
      <c r="AQ98" s="177">
        <f t="shared" si="935"/>
        <v>0</v>
      </c>
      <c r="AR98" s="177">
        <f t="shared" si="935"/>
        <v>0</v>
      </c>
      <c r="AS98" s="177">
        <f t="shared" si="935"/>
        <v>0</v>
      </c>
      <c r="AT98" s="177">
        <f t="shared" si="935"/>
        <v>0</v>
      </c>
      <c r="AU98" s="177">
        <f t="shared" si="935"/>
        <v>0</v>
      </c>
      <c r="AV98" s="177">
        <f t="shared" si="935"/>
        <v>0</v>
      </c>
      <c r="AW98" s="177">
        <f t="shared" si="935"/>
        <v>0</v>
      </c>
      <c r="AX98" s="177">
        <f t="shared" si="935"/>
        <v>0</v>
      </c>
      <c r="AY98" s="177">
        <f t="shared" si="935"/>
        <v>0</v>
      </c>
      <c r="AZ98" s="177">
        <f t="shared" si="935"/>
        <v>0</v>
      </c>
      <c r="BA98" s="177">
        <f t="shared" si="935"/>
        <v>0</v>
      </c>
      <c r="BB98" s="177">
        <f t="shared" si="935"/>
        <v>0</v>
      </c>
      <c r="BC98" s="177">
        <f t="shared" si="935"/>
        <v>0</v>
      </c>
      <c r="BD98" s="177">
        <f t="shared" si="935"/>
        <v>0</v>
      </c>
      <c r="BE98" s="177">
        <f t="shared" si="935"/>
        <v>0</v>
      </c>
      <c r="BF98" s="177">
        <f t="shared" si="935"/>
        <v>0</v>
      </c>
      <c r="BG98" s="177">
        <f t="shared" si="935"/>
        <v>0</v>
      </c>
      <c r="BH98" s="177">
        <f t="shared" si="935"/>
        <v>0</v>
      </c>
      <c r="BI98" s="177">
        <f t="shared" si="935"/>
        <v>0</v>
      </c>
      <c r="BJ98" s="177">
        <f t="shared" si="935"/>
        <v>0</v>
      </c>
      <c r="BK98" s="177">
        <f t="shared" si="935"/>
        <v>0</v>
      </c>
      <c r="BL98" s="177">
        <f t="shared" si="935"/>
        <v>173.827</v>
      </c>
      <c r="BM98" s="177">
        <f t="shared" si="935"/>
        <v>349.85900000000004</v>
      </c>
      <c r="BN98" s="177">
        <f t="shared" si="935"/>
        <v>524.62400000000002</v>
      </c>
      <c r="BO98" s="177">
        <f t="shared" si="935"/>
        <v>673.24900000000002</v>
      </c>
      <c r="BP98" s="177">
        <f t="shared" si="935"/>
        <v>670.56600000000003</v>
      </c>
      <c r="BQ98" s="177">
        <f t="shared" si="935"/>
        <v>680.48699999999997</v>
      </c>
      <c r="BR98" s="177">
        <f t="shared" ref="BR98:CW98" si="936">+SUM(BO8:BR8)</f>
        <v>705.495</v>
      </c>
      <c r="BS98" s="177">
        <f t="shared" si="936"/>
        <v>758.04600000000005</v>
      </c>
      <c r="BT98" s="177">
        <f t="shared" si="936"/>
        <v>814.49800000000005</v>
      </c>
      <c r="BU98" s="177">
        <f t="shared" si="936"/>
        <v>866.25699999999995</v>
      </c>
      <c r="BV98" s="177">
        <f t="shared" si="936"/>
        <v>909.66799999999989</v>
      </c>
      <c r="BW98" s="177">
        <f t="shared" si="936"/>
        <v>945.13799999999992</v>
      </c>
      <c r="BX98" s="177">
        <f t="shared" si="936"/>
        <v>959.91199999999992</v>
      </c>
      <c r="BY98" s="177">
        <f t="shared" si="936"/>
        <v>965.77200000000005</v>
      </c>
      <c r="BZ98" s="177">
        <f t="shared" si="936"/>
        <v>971.827</v>
      </c>
      <c r="CA98" s="177">
        <f t="shared" si="936"/>
        <v>996.48</v>
      </c>
      <c r="CB98" s="177">
        <f t="shared" si="936"/>
        <v>1029.193</v>
      </c>
      <c r="CC98" s="177">
        <f t="shared" si="936"/>
        <v>1075.299</v>
      </c>
      <c r="CD98" s="177">
        <f t="shared" si="936"/>
        <v>1136.519</v>
      </c>
      <c r="CE98" s="177">
        <f t="shared" si="936"/>
        <v>1206.6220000000001</v>
      </c>
      <c r="CF98" s="177">
        <f t="shared" si="936"/>
        <v>1296.711</v>
      </c>
      <c r="CG98" s="177">
        <f t="shared" si="936"/>
        <v>1376.7760000000001</v>
      </c>
      <c r="CH98" s="177">
        <f t="shared" si="936"/>
        <v>1422.4829999999999</v>
      </c>
      <c r="CI98" s="177">
        <f t="shared" si="936"/>
        <v>1445.2329999999999</v>
      </c>
      <c r="CJ98" s="177">
        <f t="shared" si="936"/>
        <v>1456.799</v>
      </c>
      <c r="CK98" s="177">
        <f t="shared" si="936"/>
        <v>1477.1950000000002</v>
      </c>
      <c r="CL98" s="177">
        <f t="shared" si="936"/>
        <v>1516.249</v>
      </c>
      <c r="CM98" s="178">
        <f t="shared" si="936"/>
        <v>1539.7234561168477</v>
      </c>
      <c r="CN98" s="178">
        <f t="shared" si="936"/>
        <v>1564.4723233902239</v>
      </c>
      <c r="CO98" s="178">
        <f t="shared" si="936"/>
        <v>1593.4196458863116</v>
      </c>
      <c r="CP98" s="178">
        <f t="shared" si="936"/>
        <v>1624.6247009737413</v>
      </c>
      <c r="CQ98" s="178">
        <f t="shared" si="936"/>
        <v>1651.5428306654198</v>
      </c>
      <c r="CR98" s="178">
        <f t="shared" si="936"/>
        <v>1680.6635328193352</v>
      </c>
      <c r="CS98" s="178">
        <f t="shared" si="936"/>
        <v>1711.7773594394725</v>
      </c>
      <c r="CT98" s="178">
        <f t="shared" si="936"/>
        <v>1743.440781984697</v>
      </c>
      <c r="CU98" s="178">
        <f t="shared" si="936"/>
        <v>1773.00386958731</v>
      </c>
      <c r="CV98" s="178">
        <f t="shared" si="936"/>
        <v>1804.6648116503143</v>
      </c>
      <c r="CW98" s="178">
        <f t="shared" si="936"/>
        <v>1837.8782041627087</v>
      </c>
      <c r="CX98" s="178">
        <f t="shared" ref="CX98:DB98" si="937">+SUM(CU8:CX8)</f>
        <v>1871.6200372762548</v>
      </c>
      <c r="CY98" s="178">
        <f t="shared" si="937"/>
        <v>1903.5308888362215</v>
      </c>
      <c r="CZ98" s="178">
        <f t="shared" si="937"/>
        <v>1937.5616983204923</v>
      </c>
      <c r="DA98" s="178">
        <f t="shared" si="937"/>
        <v>1973.1601103710982</v>
      </c>
      <c r="DB98" s="178">
        <f t="shared" si="937"/>
        <v>2009.3617239573682</v>
      </c>
      <c r="DE98" s="179"/>
      <c r="DF98" s="177">
        <v>1504.1484924709757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0</v>
      </c>
      <c r="AM99" s="163">
        <f t="shared" si="940"/>
        <v>0</v>
      </c>
      <c r="AN99" s="163">
        <f t="shared" si="940"/>
        <v>0</v>
      </c>
      <c r="AO99" s="163">
        <f t="shared" si="940"/>
        <v>0</v>
      </c>
      <c r="AP99" s="163">
        <f t="shared" si="940"/>
        <v>0</v>
      </c>
      <c r="AQ99" s="163">
        <f t="shared" si="940"/>
        <v>0</v>
      </c>
      <c r="AR99" s="163">
        <f t="shared" si="940"/>
        <v>0</v>
      </c>
      <c r="AS99" s="163">
        <f t="shared" si="940"/>
        <v>0</v>
      </c>
      <c r="AT99" s="163">
        <f t="shared" si="940"/>
        <v>0</v>
      </c>
      <c r="AU99" s="163">
        <f t="shared" si="940"/>
        <v>0</v>
      </c>
      <c r="AV99" s="163">
        <f t="shared" si="940"/>
        <v>0</v>
      </c>
      <c r="AW99" s="163">
        <f t="shared" si="940"/>
        <v>0</v>
      </c>
      <c r="AX99" s="163">
        <f t="shared" si="940"/>
        <v>0</v>
      </c>
      <c r="AY99" s="163">
        <f t="shared" si="940"/>
        <v>0</v>
      </c>
      <c r="AZ99" s="163">
        <f t="shared" si="940"/>
        <v>0</v>
      </c>
      <c r="BA99" s="163">
        <f t="shared" si="940"/>
        <v>0</v>
      </c>
      <c r="BB99" s="163">
        <f t="shared" si="940"/>
        <v>0</v>
      </c>
      <c r="BC99" s="163">
        <f t="shared" si="940"/>
        <v>0</v>
      </c>
      <c r="BD99" s="163">
        <f t="shared" si="940"/>
        <v>0</v>
      </c>
      <c r="BE99" s="163">
        <f t="shared" si="940"/>
        <v>0</v>
      </c>
      <c r="BF99" s="163">
        <f t="shared" si="940"/>
        <v>0</v>
      </c>
      <c r="BG99" s="163">
        <f t="shared" si="940"/>
        <v>0</v>
      </c>
      <c r="BH99" s="163">
        <f t="shared" si="940"/>
        <v>0</v>
      </c>
      <c r="BI99" s="163">
        <f t="shared" si="940"/>
        <v>0</v>
      </c>
      <c r="BJ99" s="163">
        <f t="shared" si="940"/>
        <v>0</v>
      </c>
      <c r="BK99" s="163">
        <f t="shared" si="940"/>
        <v>0</v>
      </c>
      <c r="BL99" s="163">
        <f t="shared" si="940"/>
        <v>35.117984565032934</v>
      </c>
      <c r="BM99" s="163">
        <f t="shared" si="940"/>
        <v>70.681441674411104</v>
      </c>
      <c r="BN99" s="163">
        <f t="shared" si="940"/>
        <v>105.98892884560993</v>
      </c>
      <c r="BO99" s="163">
        <f t="shared" si="940"/>
        <v>136.01539456139642</v>
      </c>
      <c r="BP99" s="163">
        <f t="shared" si="940"/>
        <v>135.47335245868521</v>
      </c>
      <c r="BQ99" s="163">
        <f t="shared" si="940"/>
        <v>137.47767586569154</v>
      </c>
      <c r="BR99" s="163">
        <f t="shared" ref="BR99:CW99" si="941">+BR98/BR65</f>
        <v>142.53000121217019</v>
      </c>
      <c r="BS99" s="163">
        <f t="shared" si="941"/>
        <v>153.14679380985092</v>
      </c>
      <c r="BT99" s="163">
        <f t="shared" si="941"/>
        <v>164.55169905854783</v>
      </c>
      <c r="BU99" s="163">
        <f t="shared" si="941"/>
        <v>175.00848519132086</v>
      </c>
      <c r="BV99" s="163">
        <f t="shared" si="941"/>
        <v>183.77873853489029</v>
      </c>
      <c r="BW99" s="163">
        <f t="shared" si="941"/>
        <v>190.94468463372257</v>
      </c>
      <c r="BX99" s="163">
        <f t="shared" si="941"/>
        <v>193.92945169501797</v>
      </c>
      <c r="BY99" s="163">
        <f t="shared" si="941"/>
        <v>195.11333791264295</v>
      </c>
      <c r="BZ99" s="163">
        <f t="shared" si="941"/>
        <v>196.33661966140048</v>
      </c>
      <c r="CA99" s="163">
        <f t="shared" si="941"/>
        <v>201.31722493838137</v>
      </c>
      <c r="CB99" s="163">
        <f t="shared" si="941"/>
        <v>207.92617883550852</v>
      </c>
      <c r="CC99" s="163">
        <f t="shared" si="941"/>
        <v>217.24089862216655</v>
      </c>
      <c r="CD99" s="163">
        <f t="shared" si="941"/>
        <v>229.60907511414604</v>
      </c>
      <c r="CE99" s="163">
        <f t="shared" si="941"/>
        <v>243.77186957048772</v>
      </c>
      <c r="CF99" s="163">
        <f t="shared" si="941"/>
        <v>261.97240292537072</v>
      </c>
      <c r="CG99" s="163">
        <f t="shared" si="941"/>
        <v>278.14780395167486</v>
      </c>
      <c r="CH99" s="163">
        <f t="shared" si="941"/>
        <v>287.38191442078465</v>
      </c>
      <c r="CI99" s="163">
        <f t="shared" si="941"/>
        <v>291.97805971958462</v>
      </c>
      <c r="CJ99" s="163">
        <f t="shared" si="941"/>
        <v>294.31471978665803</v>
      </c>
      <c r="CK99" s="163">
        <f t="shared" ref="CK99:CL99" si="942">+CK98/CK65</f>
        <v>59.64849586109429</v>
      </c>
      <c r="CL99" s="163">
        <f t="shared" si="942"/>
        <v>61.142770732100729</v>
      </c>
      <c r="CM99" s="50">
        <f t="shared" si="941"/>
        <v>62.089378636483971</v>
      </c>
      <c r="CN99" s="50">
        <f t="shared" si="941"/>
        <v>63.087377195807157</v>
      </c>
      <c r="CO99" s="50">
        <f t="shared" si="941"/>
        <v>64.254678544521312</v>
      </c>
      <c r="CP99" s="50">
        <f t="shared" si="941"/>
        <v>65.513023004364825</v>
      </c>
      <c r="CQ99" s="50">
        <f t="shared" si="941"/>
        <v>66.59849711335039</v>
      </c>
      <c r="CR99" s="50">
        <f t="shared" si="941"/>
        <v>67.772790000174808</v>
      </c>
      <c r="CS99" s="50">
        <f t="shared" si="941"/>
        <v>69.02745567028137</v>
      </c>
      <c r="CT99" s="50">
        <f t="shared" si="941"/>
        <v>70.304283806871254</v>
      </c>
      <c r="CU99" s="50">
        <f t="shared" si="941"/>
        <v>71.496415895611023</v>
      </c>
      <c r="CV99" s="50">
        <f t="shared" si="941"/>
        <v>72.77314400670663</v>
      </c>
      <c r="CW99" s="50">
        <f t="shared" si="941"/>
        <v>74.112474712692645</v>
      </c>
      <c r="CX99" s="50">
        <f t="shared" ref="CX99:DB99" si="943">+CX98/CX65</f>
        <v>75.473114796308437</v>
      </c>
      <c r="CY99" s="50">
        <f t="shared" si="943"/>
        <v>76.759920512781875</v>
      </c>
      <c r="CZ99" s="50">
        <f t="shared" si="943"/>
        <v>78.132213574227961</v>
      </c>
      <c r="DA99" s="50">
        <f t="shared" si="943"/>
        <v>79.567720239978144</v>
      </c>
      <c r="DB99" s="50">
        <f t="shared" si="943"/>
        <v>81.027551019511989</v>
      </c>
      <c r="DE99" s="164"/>
      <c r="DF99" s="163">
        <v>60.736866241509212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 t="e">
        <f t="shared" ref="AL102:BQ102" si="946">+AL77/AL99</f>
        <v>#DIV/0!</v>
      </c>
      <c r="AM102" s="163" t="e">
        <f t="shared" si="946"/>
        <v>#DIV/0!</v>
      </c>
      <c r="AN102" s="163" t="e">
        <f t="shared" si="946"/>
        <v>#DIV/0!</v>
      </c>
      <c r="AO102" s="163" t="e">
        <f t="shared" si="946"/>
        <v>#DIV/0!</v>
      </c>
      <c r="AP102" s="163" t="e">
        <f t="shared" si="946"/>
        <v>#DIV/0!</v>
      </c>
      <c r="AQ102" s="163" t="e">
        <f t="shared" si="946"/>
        <v>#DIV/0!</v>
      </c>
      <c r="AR102" s="163" t="e">
        <f t="shared" si="946"/>
        <v>#DIV/0!</v>
      </c>
      <c r="AS102" s="163" t="e">
        <f t="shared" si="946"/>
        <v>#DIV/0!</v>
      </c>
      <c r="AT102" s="163" t="e">
        <f t="shared" si="946"/>
        <v>#DIV/0!</v>
      </c>
      <c r="AU102" s="163" t="e">
        <f t="shared" si="946"/>
        <v>#DIV/0!</v>
      </c>
      <c r="AV102" s="163" t="e">
        <f t="shared" si="946"/>
        <v>#DIV/0!</v>
      </c>
      <c r="AW102" s="163" t="e">
        <f t="shared" si="946"/>
        <v>#DIV/0!</v>
      </c>
      <c r="AX102" s="163" t="e">
        <f t="shared" si="946"/>
        <v>#DIV/0!</v>
      </c>
      <c r="AY102" s="163" t="e">
        <f t="shared" si="946"/>
        <v>#DIV/0!</v>
      </c>
      <c r="AZ102" s="163" t="e">
        <f t="shared" si="946"/>
        <v>#DIV/0!</v>
      </c>
      <c r="BA102" s="163" t="e">
        <f t="shared" si="946"/>
        <v>#DIV/0!</v>
      </c>
      <c r="BB102" s="163" t="e">
        <f t="shared" si="946"/>
        <v>#DIV/0!</v>
      </c>
      <c r="BC102" s="163" t="e">
        <f t="shared" si="946"/>
        <v>#DIV/0!</v>
      </c>
      <c r="BD102" s="163" t="e">
        <f t="shared" si="946"/>
        <v>#DIV/0!</v>
      </c>
      <c r="BE102" s="163" t="e">
        <f t="shared" si="946"/>
        <v>#DIV/0!</v>
      </c>
      <c r="BF102" s="163" t="e">
        <f t="shared" si="946"/>
        <v>#DIV/0!</v>
      </c>
      <c r="BG102" s="163" t="e">
        <f t="shared" si="946"/>
        <v>#DIV/0!</v>
      </c>
      <c r="BH102" s="163" t="e">
        <f t="shared" si="946"/>
        <v>#DIV/0!</v>
      </c>
      <c r="BI102" s="163" t="e">
        <f t="shared" si="946"/>
        <v>#DIV/0!</v>
      </c>
      <c r="BJ102" s="163" t="e">
        <f t="shared" si="946"/>
        <v>#DIV/0!</v>
      </c>
      <c r="BK102" s="163" t="e">
        <f t="shared" si="946"/>
        <v>#DIV/0!</v>
      </c>
      <c r="BL102" s="163">
        <f t="shared" si="946"/>
        <v>0</v>
      </c>
      <c r="BM102" s="163">
        <f t="shared" si="946"/>
        <v>0</v>
      </c>
      <c r="BN102" s="163">
        <f t="shared" si="946"/>
        <v>0</v>
      </c>
      <c r="BO102" s="163">
        <f t="shared" si="946"/>
        <v>0</v>
      </c>
      <c r="BP102" s="163">
        <f t="shared" si="946"/>
        <v>0</v>
      </c>
      <c r="BQ102" s="163">
        <f t="shared" si="946"/>
        <v>2.6265355282319867</v>
      </c>
      <c r="BR102" s="163">
        <f t="shared" ref="BR102:DB102" si="947">+BR77/BR99</f>
        <v>2.5997333673520013</v>
      </c>
      <c r="BS102" s="163">
        <f t="shared" si="947"/>
        <v>3.6429753840795933</v>
      </c>
      <c r="BT102" s="163">
        <f t="shared" si="947"/>
        <v>3.6891141414711881</v>
      </c>
      <c r="BU102" s="163">
        <f t="shared" si="947"/>
        <v>3.0478522193760051</v>
      </c>
      <c r="BV102" s="163">
        <f t="shared" si="947"/>
        <v>2.5184632547259</v>
      </c>
      <c r="BW102" s="163">
        <f t="shared" si="947"/>
        <v>2.3644020301797197</v>
      </c>
      <c r="BX102" s="163">
        <f t="shared" si="947"/>
        <v>2.6031631378709714</v>
      </c>
      <c r="BY102" s="163">
        <f t="shared" si="947"/>
        <v>2.2760104703801725</v>
      </c>
      <c r="BZ102" s="163">
        <f t="shared" si="947"/>
        <v>2.0698125530572828</v>
      </c>
      <c r="CA102" s="163">
        <f t="shared" si="947"/>
        <v>2.185158275128452</v>
      </c>
      <c r="CB102" s="163">
        <f t="shared" si="947"/>
        <v>2.4152321887148474</v>
      </c>
      <c r="CC102" s="163">
        <f t="shared" si="947"/>
        <v>2.4420355622017689</v>
      </c>
      <c r="CD102" s="163">
        <f t="shared" si="947"/>
        <v>2.5394031124864611</v>
      </c>
      <c r="CE102" s="163">
        <f t="shared" si="947"/>
        <v>2.9638776667423596</v>
      </c>
      <c r="CF102" s="163">
        <f t="shared" si="947"/>
        <v>3.3653926526419533</v>
      </c>
      <c r="CG102" s="163">
        <f t="shared" si="947"/>
        <v>3.6495344761965631</v>
      </c>
      <c r="CH102" s="163">
        <f t="shared" si="947"/>
        <v>2.5854097377613652</v>
      </c>
      <c r="CI102" s="163">
        <f t="shared" si="947"/>
        <v>2.9450500521369221</v>
      </c>
      <c r="CJ102" s="163">
        <f t="shared" si="947"/>
        <v>2.5550200158017682</v>
      </c>
      <c r="CK102" s="163">
        <f t="shared" ref="CK102:CL102" si="948">+CK77/CK99</f>
        <v>12.421939385118417</v>
      </c>
      <c r="CL102" s="163">
        <f t="shared" si="948"/>
        <v>10.236696710105003</v>
      </c>
      <c r="CM102" s="50">
        <f t="shared" si="947"/>
        <v>10.08062914696683</v>
      </c>
      <c r="CN102" s="50">
        <f t="shared" si="947"/>
        <v>9.9211605842697459</v>
      </c>
      <c r="CO102" s="50">
        <f t="shared" si="947"/>
        <v>9.7409249283897861</v>
      </c>
      <c r="CP102" s="50">
        <f t="shared" si="947"/>
        <v>9.5538256562866781</v>
      </c>
      <c r="CQ102" s="50">
        <f t="shared" si="947"/>
        <v>9.3981099743845657</v>
      </c>
      <c r="CR102" s="50">
        <f t="shared" si="947"/>
        <v>9.2352697889283526</v>
      </c>
      <c r="CS102" s="50">
        <f t="shared" si="947"/>
        <v>9.067406496766921</v>
      </c>
      <c r="CT102" s="50">
        <f t="shared" si="947"/>
        <v>8.9027291952702754</v>
      </c>
      <c r="CU102" s="50">
        <f t="shared" si="947"/>
        <v>8.7542849828143954</v>
      </c>
      <c r="CV102" s="50">
        <f t="shared" si="947"/>
        <v>8.6007002795195753</v>
      </c>
      <c r="CW102" s="50">
        <f t="shared" si="947"/>
        <v>8.4452718982383015</v>
      </c>
      <c r="CX102" s="50">
        <f t="shared" si="947"/>
        <v>8.2930193313104681</v>
      </c>
      <c r="CY102" s="50">
        <f t="shared" si="947"/>
        <v>8.1539948949761705</v>
      </c>
      <c r="CZ102" s="50">
        <f t="shared" si="947"/>
        <v>8.0107803346103346</v>
      </c>
      <c r="DA102" s="50">
        <f t="shared" si="947"/>
        <v>7.8662552868458544</v>
      </c>
      <c r="DB102" s="50">
        <f t="shared" si="947"/>
        <v>7.7245331017011605</v>
      </c>
      <c r="DE102" s="106"/>
      <c r="DF102" s="163">
        <v>10.305108556493865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 t="e">
        <f t="shared" ref="AL103:BQ103" si="950">+AL78/AL99</f>
        <v>#DIV/0!</v>
      </c>
      <c r="AM103" s="163" t="e">
        <f t="shared" si="950"/>
        <v>#DIV/0!</v>
      </c>
      <c r="AN103" s="163" t="e">
        <f t="shared" si="950"/>
        <v>#DIV/0!</v>
      </c>
      <c r="AO103" s="163" t="e">
        <f t="shared" si="950"/>
        <v>#DIV/0!</v>
      </c>
      <c r="AP103" s="163" t="e">
        <f t="shared" si="950"/>
        <v>#DIV/0!</v>
      </c>
      <c r="AQ103" s="163" t="e">
        <f t="shared" si="950"/>
        <v>#DIV/0!</v>
      </c>
      <c r="AR103" s="163" t="e">
        <f t="shared" si="950"/>
        <v>#DIV/0!</v>
      </c>
      <c r="AS103" s="163" t="e">
        <f t="shared" si="950"/>
        <v>#DIV/0!</v>
      </c>
      <c r="AT103" s="163" t="e">
        <f t="shared" si="950"/>
        <v>#DIV/0!</v>
      </c>
      <c r="AU103" s="163" t="e">
        <f t="shared" si="950"/>
        <v>#DIV/0!</v>
      </c>
      <c r="AV103" s="163" t="e">
        <f t="shared" si="950"/>
        <v>#DIV/0!</v>
      </c>
      <c r="AW103" s="163" t="e">
        <f t="shared" si="950"/>
        <v>#DIV/0!</v>
      </c>
      <c r="AX103" s="163" t="e">
        <f t="shared" si="950"/>
        <v>#DIV/0!</v>
      </c>
      <c r="AY103" s="163" t="e">
        <f t="shared" si="950"/>
        <v>#DIV/0!</v>
      </c>
      <c r="AZ103" s="163" t="e">
        <f t="shared" si="950"/>
        <v>#DIV/0!</v>
      </c>
      <c r="BA103" s="163" t="e">
        <f t="shared" si="950"/>
        <v>#DIV/0!</v>
      </c>
      <c r="BB103" s="163" t="e">
        <f t="shared" si="950"/>
        <v>#DIV/0!</v>
      </c>
      <c r="BC103" s="163" t="e">
        <f t="shared" si="950"/>
        <v>#DIV/0!</v>
      </c>
      <c r="BD103" s="163" t="e">
        <f t="shared" si="950"/>
        <v>#DIV/0!</v>
      </c>
      <c r="BE103" s="163" t="e">
        <f t="shared" si="950"/>
        <v>#DIV/0!</v>
      </c>
      <c r="BF103" s="163" t="e">
        <f t="shared" si="950"/>
        <v>#DIV/0!</v>
      </c>
      <c r="BG103" s="163" t="e">
        <f t="shared" si="950"/>
        <v>#DIV/0!</v>
      </c>
      <c r="BH103" s="163" t="e">
        <f t="shared" si="950"/>
        <v>#DIV/0!</v>
      </c>
      <c r="BI103" s="163" t="e">
        <f t="shared" si="950"/>
        <v>#DIV/0!</v>
      </c>
      <c r="BJ103" s="163" t="e">
        <f t="shared" si="950"/>
        <v>#DIV/0!</v>
      </c>
      <c r="BK103" s="163" t="e">
        <f t="shared" si="950"/>
        <v>#DIV/0!</v>
      </c>
      <c r="BL103" s="163">
        <f t="shared" si="950"/>
        <v>0</v>
      </c>
      <c r="BM103" s="163">
        <f t="shared" si="950"/>
        <v>0</v>
      </c>
      <c r="BN103" s="163">
        <f t="shared" si="950"/>
        <v>0</v>
      </c>
      <c r="BO103" s="163">
        <f t="shared" si="950"/>
        <v>0</v>
      </c>
      <c r="BP103" s="163">
        <f t="shared" si="950"/>
        <v>0</v>
      </c>
      <c r="BQ103" s="163">
        <f t="shared" si="950"/>
        <v>2.7489554039974315</v>
      </c>
      <c r="BR103" s="163">
        <f t="shared" ref="BR103:CJ103" si="951">+BR78/BR99</f>
        <v>2.8624850665135826</v>
      </c>
      <c r="BS103" s="163">
        <f t="shared" si="951"/>
        <v>3.8457220379765871</v>
      </c>
      <c r="BT103" s="163">
        <f t="shared" si="951"/>
        <v>4.9394810545882244</v>
      </c>
      <c r="BU103" s="163">
        <f t="shared" si="951"/>
        <v>3.7141056291608612</v>
      </c>
      <c r="BV103" s="163">
        <f t="shared" si="951"/>
        <v>3.2484715302725831</v>
      </c>
      <c r="BW103" s="163">
        <f t="shared" si="951"/>
        <v>2.8070956833816862</v>
      </c>
      <c r="BX103" s="163">
        <f t="shared" si="951"/>
        <v>2.7329010388452275</v>
      </c>
      <c r="BY103" s="163">
        <f t="shared" si="951"/>
        <v>2.7563466739561715</v>
      </c>
      <c r="BZ103" s="163">
        <f t="shared" si="951"/>
        <v>2.4018952797154225</v>
      </c>
      <c r="CA103" s="163">
        <f t="shared" si="951"/>
        <v>2.2491865767501604</v>
      </c>
      <c r="CB103" s="163">
        <f t="shared" si="951"/>
        <v>2.5643716581826732</v>
      </c>
      <c r="CC103" s="163">
        <f t="shared" si="951"/>
        <v>2.7520600577141798</v>
      </c>
      <c r="CD103" s="163">
        <f t="shared" si="951"/>
        <v>2.8221881024426341</v>
      </c>
      <c r="CE103" s="163">
        <f t="shared" si="951"/>
        <v>3.1466305006870416</v>
      </c>
      <c r="CF103" s="163">
        <f t="shared" si="951"/>
        <v>3.7493643949962636</v>
      </c>
      <c r="CG103" s="163">
        <f t="shared" si="951"/>
        <v>3.8594228850590069</v>
      </c>
      <c r="CH103" s="163">
        <f t="shared" si="951"/>
        <v>3.6801202404527857</v>
      </c>
      <c r="CI103" s="163">
        <f t="shared" si="951"/>
        <v>2.9968005159029723</v>
      </c>
      <c r="CJ103" s="163">
        <f t="shared" si="951"/>
        <v>2.9385890064449525</v>
      </c>
      <c r="CK103" s="163">
        <f t="shared" ref="CK103:CL103" si="952">+CK78/CK99</f>
        <v>13.629849139754738</v>
      </c>
      <c r="CL103" s="163">
        <f t="shared" si="952"/>
        <v>12.524784055916937</v>
      </c>
      <c r="CM103" s="94">
        <f t="shared" ref="CM103:DB103" si="953">+CL103</f>
        <v>12.524784055916937</v>
      </c>
      <c r="CN103" s="94">
        <f t="shared" si="953"/>
        <v>12.524784055916937</v>
      </c>
      <c r="CO103" s="94">
        <f t="shared" si="953"/>
        <v>12.524784055916937</v>
      </c>
      <c r="CP103" s="94">
        <f t="shared" si="953"/>
        <v>12.524784055916937</v>
      </c>
      <c r="CQ103" s="94">
        <f t="shared" si="953"/>
        <v>12.524784055916937</v>
      </c>
      <c r="CR103" s="94">
        <f t="shared" si="953"/>
        <v>12.524784055916937</v>
      </c>
      <c r="CS103" s="94">
        <f t="shared" si="953"/>
        <v>12.524784055916937</v>
      </c>
      <c r="CT103" s="94">
        <f t="shared" si="953"/>
        <v>12.524784055916937</v>
      </c>
      <c r="CU103" s="94">
        <f t="shared" si="953"/>
        <v>12.524784055916937</v>
      </c>
      <c r="CV103" s="94">
        <f t="shared" si="953"/>
        <v>12.524784055916937</v>
      </c>
      <c r="CW103" s="94">
        <f t="shared" si="953"/>
        <v>12.524784055916937</v>
      </c>
      <c r="CX103" s="94">
        <f t="shared" si="953"/>
        <v>12.524784055916937</v>
      </c>
      <c r="CY103" s="94">
        <f t="shared" si="953"/>
        <v>12.524784055916937</v>
      </c>
      <c r="CZ103" s="94">
        <f t="shared" si="953"/>
        <v>12.524784055916937</v>
      </c>
      <c r="DA103" s="94">
        <f t="shared" si="953"/>
        <v>12.524784055916937</v>
      </c>
      <c r="DB103" s="94">
        <f t="shared" si="953"/>
        <v>12.524784055916937</v>
      </c>
      <c r="DE103" s="164"/>
      <c r="DF103" s="163">
        <v>12.608487190546416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 t="e">
        <f t="shared" ref="AL104:BQ104" si="954">+AL79/AL99</f>
        <v>#DIV/0!</v>
      </c>
      <c r="AM104" s="163" t="e">
        <f t="shared" si="954"/>
        <v>#DIV/0!</v>
      </c>
      <c r="AN104" s="163" t="e">
        <f t="shared" si="954"/>
        <v>#DIV/0!</v>
      </c>
      <c r="AO104" s="163" t="e">
        <f t="shared" si="954"/>
        <v>#DIV/0!</v>
      </c>
      <c r="AP104" s="163" t="e">
        <f t="shared" si="954"/>
        <v>#DIV/0!</v>
      </c>
      <c r="AQ104" s="163" t="e">
        <f t="shared" si="954"/>
        <v>#DIV/0!</v>
      </c>
      <c r="AR104" s="163" t="e">
        <f t="shared" si="954"/>
        <v>#DIV/0!</v>
      </c>
      <c r="AS104" s="163" t="e">
        <f t="shared" si="954"/>
        <v>#DIV/0!</v>
      </c>
      <c r="AT104" s="163" t="e">
        <f t="shared" si="954"/>
        <v>#DIV/0!</v>
      </c>
      <c r="AU104" s="163" t="e">
        <f t="shared" si="954"/>
        <v>#DIV/0!</v>
      </c>
      <c r="AV104" s="163" t="e">
        <f t="shared" si="954"/>
        <v>#DIV/0!</v>
      </c>
      <c r="AW104" s="163" t="e">
        <f t="shared" si="954"/>
        <v>#DIV/0!</v>
      </c>
      <c r="AX104" s="163" t="e">
        <f t="shared" si="954"/>
        <v>#DIV/0!</v>
      </c>
      <c r="AY104" s="163" t="e">
        <f t="shared" si="954"/>
        <v>#DIV/0!</v>
      </c>
      <c r="AZ104" s="163" t="e">
        <f t="shared" si="954"/>
        <v>#DIV/0!</v>
      </c>
      <c r="BA104" s="163" t="e">
        <f t="shared" si="954"/>
        <v>#DIV/0!</v>
      </c>
      <c r="BB104" s="163" t="e">
        <f t="shared" si="954"/>
        <v>#DIV/0!</v>
      </c>
      <c r="BC104" s="163" t="e">
        <f t="shared" si="954"/>
        <v>#DIV/0!</v>
      </c>
      <c r="BD104" s="163" t="e">
        <f t="shared" si="954"/>
        <v>#DIV/0!</v>
      </c>
      <c r="BE104" s="163" t="e">
        <f t="shared" si="954"/>
        <v>#DIV/0!</v>
      </c>
      <c r="BF104" s="163" t="e">
        <f t="shared" si="954"/>
        <v>#DIV/0!</v>
      </c>
      <c r="BG104" s="163" t="e">
        <f t="shared" si="954"/>
        <v>#DIV/0!</v>
      </c>
      <c r="BH104" s="163" t="e">
        <f t="shared" si="954"/>
        <v>#DIV/0!</v>
      </c>
      <c r="BI104" s="163" t="e">
        <f t="shared" si="954"/>
        <v>#DIV/0!</v>
      </c>
      <c r="BJ104" s="163" t="e">
        <f t="shared" si="954"/>
        <v>#DIV/0!</v>
      </c>
      <c r="BK104" s="163" t="e">
        <f t="shared" si="954"/>
        <v>#DIV/0!</v>
      </c>
      <c r="BL104" s="163">
        <f t="shared" si="954"/>
        <v>0</v>
      </c>
      <c r="BM104" s="163">
        <f t="shared" si="954"/>
        <v>0</v>
      </c>
      <c r="BN104" s="163">
        <f t="shared" si="954"/>
        <v>0</v>
      </c>
      <c r="BO104" s="163">
        <f t="shared" si="954"/>
        <v>0</v>
      </c>
      <c r="BP104" s="163">
        <f t="shared" si="954"/>
        <v>0</v>
      </c>
      <c r="BQ104" s="163">
        <f t="shared" si="954"/>
        <v>1.8330248777713609</v>
      </c>
      <c r="BR104" s="163">
        <f t="shared" ref="BR104:CJ104" si="955">+BR79/BR99</f>
        <v>2.3858134926540941</v>
      </c>
      <c r="BS104" s="163">
        <f t="shared" si="955"/>
        <v>2.3150337736760038</v>
      </c>
      <c r="BT104" s="163">
        <f t="shared" si="955"/>
        <v>3.3582150969063154</v>
      </c>
      <c r="BU104" s="163">
        <f t="shared" si="955"/>
        <v>2.9255724340467091</v>
      </c>
      <c r="BV104" s="163">
        <f t="shared" si="955"/>
        <v>2.4279740059010542</v>
      </c>
      <c r="BW104" s="163">
        <f t="shared" si="955"/>
        <v>2.1356970516474845</v>
      </c>
      <c r="BX104" s="163">
        <f t="shared" si="955"/>
        <v>2.2214263807515691</v>
      </c>
      <c r="BY104" s="163">
        <f t="shared" si="955"/>
        <v>2.2067686638254163</v>
      </c>
      <c r="BZ104" s="163">
        <f t="shared" si="955"/>
        <v>2.039456524669514</v>
      </c>
      <c r="CA104" s="163">
        <f t="shared" si="955"/>
        <v>1.9943648643224148</v>
      </c>
      <c r="CB104" s="163">
        <f t="shared" si="955"/>
        <v>2.1372489144407316</v>
      </c>
      <c r="CC104" s="163">
        <f t="shared" si="955"/>
        <v>2.0549537533281441</v>
      </c>
      <c r="CD104" s="163">
        <f t="shared" si="955"/>
        <v>2.3034368294766736</v>
      </c>
      <c r="CE104" s="163">
        <f t="shared" si="955"/>
        <v>2.4162344943155349</v>
      </c>
      <c r="CF104" s="163">
        <f t="shared" si="955"/>
        <v>2.7479612049253843</v>
      </c>
      <c r="CG104" s="163">
        <f t="shared" si="955"/>
        <v>2.9114376906628232</v>
      </c>
      <c r="CH104" s="163">
        <f t="shared" si="955"/>
        <v>2.1086921952670088</v>
      </c>
      <c r="CI104" s="163">
        <f t="shared" si="955"/>
        <v>2.2707185623356234</v>
      </c>
      <c r="CJ104" s="163">
        <f t="shared" si="955"/>
        <v>2.4683780700014211</v>
      </c>
      <c r="CK104" s="163">
        <f t="shared" ref="CK104:CL104" si="956">+CK79/CK99</f>
        <v>12.209025382566281</v>
      </c>
      <c r="CL104" s="163">
        <f t="shared" si="956"/>
        <v>10.004453391230598</v>
      </c>
      <c r="CM104" s="94">
        <f t="shared" ref="CM104:DB104" si="957">+CL104</f>
        <v>10.004453391230598</v>
      </c>
      <c r="CN104" s="94">
        <f t="shared" si="957"/>
        <v>10.004453391230598</v>
      </c>
      <c r="CO104" s="94">
        <f t="shared" si="957"/>
        <v>10.004453391230598</v>
      </c>
      <c r="CP104" s="94">
        <f t="shared" si="957"/>
        <v>10.004453391230598</v>
      </c>
      <c r="CQ104" s="94">
        <f t="shared" si="957"/>
        <v>10.004453391230598</v>
      </c>
      <c r="CR104" s="94">
        <f t="shared" si="957"/>
        <v>10.004453391230598</v>
      </c>
      <c r="CS104" s="94">
        <f t="shared" si="957"/>
        <v>10.004453391230598</v>
      </c>
      <c r="CT104" s="94">
        <f t="shared" si="957"/>
        <v>10.004453391230598</v>
      </c>
      <c r="CU104" s="94">
        <f t="shared" si="957"/>
        <v>10.004453391230598</v>
      </c>
      <c r="CV104" s="94">
        <f t="shared" si="957"/>
        <v>10.004453391230598</v>
      </c>
      <c r="CW104" s="94">
        <f t="shared" si="957"/>
        <v>10.004453391230598</v>
      </c>
      <c r="CX104" s="94">
        <f t="shared" si="957"/>
        <v>10.004453391230598</v>
      </c>
      <c r="CY104" s="94">
        <f t="shared" si="957"/>
        <v>10.004453391230598</v>
      </c>
      <c r="CZ104" s="94">
        <f t="shared" si="957"/>
        <v>10.004453391230598</v>
      </c>
      <c r="DA104" s="94">
        <f t="shared" si="957"/>
        <v>10.004453391230598</v>
      </c>
      <c r="DB104" s="94">
        <f t="shared" si="957"/>
        <v>10.004453391230598</v>
      </c>
      <c r="DE104" s="164"/>
      <c r="DF104" s="163">
        <v>10.071313155467804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 t="e">
        <f t="shared" si="958"/>
        <v>#DIV/0!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0</v>
      </c>
      <c r="AM107" s="162">
        <f t="shared" si="960"/>
        <v>0</v>
      </c>
      <c r="AN107" s="162">
        <f t="shared" si="960"/>
        <v>0</v>
      </c>
      <c r="AO107" s="162">
        <f t="shared" si="960"/>
        <v>0</v>
      </c>
      <c r="AP107" s="162">
        <f t="shared" si="960"/>
        <v>0</v>
      </c>
      <c r="AQ107" s="162">
        <f t="shared" si="960"/>
        <v>0</v>
      </c>
      <c r="AR107" s="162">
        <f t="shared" si="960"/>
        <v>0</v>
      </c>
      <c r="AS107" s="162">
        <f t="shared" si="960"/>
        <v>0</v>
      </c>
      <c r="AT107" s="162">
        <f t="shared" si="960"/>
        <v>0</v>
      </c>
      <c r="AU107" s="162">
        <f t="shared" si="960"/>
        <v>0</v>
      </c>
      <c r="AV107" s="162">
        <f t="shared" si="960"/>
        <v>0</v>
      </c>
      <c r="AW107" s="162">
        <f t="shared" si="960"/>
        <v>0</v>
      </c>
      <c r="AX107" s="162">
        <f t="shared" si="960"/>
        <v>0</v>
      </c>
      <c r="AY107" s="162">
        <f t="shared" si="960"/>
        <v>0</v>
      </c>
      <c r="AZ107" s="162">
        <f t="shared" si="960"/>
        <v>0</v>
      </c>
      <c r="BA107" s="162">
        <f t="shared" si="960"/>
        <v>0</v>
      </c>
      <c r="BB107" s="162">
        <f t="shared" si="960"/>
        <v>0</v>
      </c>
      <c r="BC107" s="162">
        <f t="shared" si="960"/>
        <v>0</v>
      </c>
      <c r="BD107" s="162">
        <f t="shared" si="960"/>
        <v>0</v>
      </c>
      <c r="BE107" s="162">
        <f t="shared" si="960"/>
        <v>0</v>
      </c>
      <c r="BF107" s="162">
        <f t="shared" si="960"/>
        <v>0</v>
      </c>
      <c r="BG107" s="162">
        <f t="shared" si="960"/>
        <v>0</v>
      </c>
      <c r="BH107" s="162">
        <f t="shared" si="960"/>
        <v>0</v>
      </c>
      <c r="BI107" s="162">
        <f t="shared" si="960"/>
        <v>0</v>
      </c>
      <c r="BJ107" s="162">
        <f t="shared" si="960"/>
        <v>0</v>
      </c>
      <c r="BK107" s="162">
        <f t="shared" si="960"/>
        <v>0</v>
      </c>
      <c r="BL107" s="162">
        <f t="shared" si="960"/>
        <v>0</v>
      </c>
      <c r="BM107" s="162">
        <f t="shared" si="960"/>
        <v>0</v>
      </c>
      <c r="BN107" s="162">
        <f t="shared" si="960"/>
        <v>0</v>
      </c>
      <c r="BO107" s="162">
        <f t="shared" si="960"/>
        <v>0</v>
      </c>
      <c r="BP107" s="162">
        <f t="shared" si="960"/>
        <v>0</v>
      </c>
      <c r="BQ107" s="162">
        <f t="shared" si="960"/>
        <v>1870.628416</v>
      </c>
      <c r="BR107" s="162">
        <f t="shared" ref="BR107:CJ107" si="961">+BR78*BR65</f>
        <v>2019.4689019999998</v>
      </c>
      <c r="BS107" s="162">
        <f t="shared" si="961"/>
        <v>2915.2342079999999</v>
      </c>
      <c r="BT107" s="162">
        <f t="shared" si="961"/>
        <v>4023.1974399999995</v>
      </c>
      <c r="BU107" s="162">
        <f t="shared" si="961"/>
        <v>3217.37</v>
      </c>
      <c r="BV107" s="162">
        <f t="shared" si="961"/>
        <v>2955.0306</v>
      </c>
      <c r="BW107" s="162">
        <f t="shared" si="961"/>
        <v>2653.0927999999999</v>
      </c>
      <c r="BX107" s="162">
        <f t="shared" si="961"/>
        <v>2623.3445019999999</v>
      </c>
      <c r="BY107" s="162">
        <f t="shared" si="961"/>
        <v>2662.0024399999998</v>
      </c>
      <c r="BZ107" s="162">
        <f t="shared" si="961"/>
        <v>2334.2266839999998</v>
      </c>
      <c r="CA107" s="162">
        <f t="shared" si="961"/>
        <v>2241.26944</v>
      </c>
      <c r="CB107" s="162">
        <f t="shared" si="961"/>
        <v>2639.2333600000002</v>
      </c>
      <c r="CC107" s="162">
        <f t="shared" si="961"/>
        <v>2959.2874280000001</v>
      </c>
      <c r="CD107" s="162">
        <f t="shared" si="961"/>
        <v>3207.4703999999997</v>
      </c>
      <c r="CE107" s="162">
        <f t="shared" si="961"/>
        <v>3796.7935879999995</v>
      </c>
      <c r="CF107" s="162">
        <f t="shared" si="961"/>
        <v>4861.8420539999997</v>
      </c>
      <c r="CG107" s="162">
        <f t="shared" si="961"/>
        <v>5313.560802</v>
      </c>
      <c r="CH107" s="162">
        <f t="shared" si="961"/>
        <v>5234.9084799999991</v>
      </c>
      <c r="CI107" s="162">
        <f t="shared" si="961"/>
        <v>4331.0749999999998</v>
      </c>
      <c r="CJ107" s="162">
        <f t="shared" si="961"/>
        <v>4280.9335259999998</v>
      </c>
      <c r="CK107" s="162">
        <f t="shared" ref="CK107:CL107" si="962">+CK78*CK65</f>
        <v>20133.945</v>
      </c>
      <c r="CL107" s="162">
        <f t="shared" si="962"/>
        <v>18990.691299999999</v>
      </c>
      <c r="CM107" s="21">
        <f t="shared" ref="CM107:DB107" si="963">+CM78*CM65</f>
        <v>12912.873246144027</v>
      </c>
      <c r="CN107" s="21">
        <f t="shared" si="963"/>
        <v>6635.2838534025914</v>
      </c>
      <c r="CO107" s="21">
        <f t="shared" si="963"/>
        <v>6744.9027833329537</v>
      </c>
      <c r="CP107" s="21">
        <f t="shared" si="963"/>
        <v>6938.5675764021553</v>
      </c>
      <c r="CQ107" s="21">
        <f t="shared" si="963"/>
        <v>7349.7230137098031</v>
      </c>
      <c r="CR107" s="21">
        <f t="shared" si="963"/>
        <v>7734.6233408110238</v>
      </c>
      <c r="CS107" s="21">
        <f t="shared" si="963"/>
        <v>8093.7190948666903</v>
      </c>
      <c r="CT107" s="21">
        <f t="shared" si="963"/>
        <v>8438.5847675443292</v>
      </c>
      <c r="CU107" s="21">
        <f t="shared" si="963"/>
        <v>8766.2098084230656</v>
      </c>
      <c r="CV107" s="21">
        <f t="shared" si="963"/>
        <v>9087.0065745671873</v>
      </c>
      <c r="CW107" s="21">
        <f t="shared" si="963"/>
        <v>9402.4317966132912</v>
      </c>
      <c r="CX107" s="21">
        <f t="shared" si="963"/>
        <v>9712.8239034346516</v>
      </c>
      <c r="CY107" s="21">
        <f t="shared" si="963"/>
        <v>10008.408404325468</v>
      </c>
      <c r="CZ107" s="21">
        <f t="shared" si="963"/>
        <v>10307.239733464681</v>
      </c>
      <c r="DA107" s="21">
        <f t="shared" si="963"/>
        <v>10608.73757418678</v>
      </c>
      <c r="DB107" s="21">
        <f t="shared" si="963"/>
        <v>10909.926337035657</v>
      </c>
      <c r="DE107" s="22"/>
      <c r="DF107" s="162">
        <v>18965.037</v>
      </c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 t="e">
        <f t="shared" si="964"/>
        <v>#DIV/0!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0</v>
      </c>
      <c r="AM108" s="162">
        <f t="shared" si="966"/>
        <v>0</v>
      </c>
      <c r="AN108" s="162">
        <f t="shared" si="966"/>
        <v>0</v>
      </c>
      <c r="AO108" s="162">
        <f t="shared" si="966"/>
        <v>0</v>
      </c>
      <c r="AP108" s="162">
        <f t="shared" si="966"/>
        <v>0</v>
      </c>
      <c r="AQ108" s="162">
        <f t="shared" si="966"/>
        <v>0</v>
      </c>
      <c r="AR108" s="162">
        <f t="shared" si="966"/>
        <v>0</v>
      </c>
      <c r="AS108" s="162">
        <f t="shared" si="966"/>
        <v>0</v>
      </c>
      <c r="AT108" s="162">
        <f t="shared" si="966"/>
        <v>0</v>
      </c>
      <c r="AU108" s="162">
        <f t="shared" si="966"/>
        <v>0</v>
      </c>
      <c r="AV108" s="162">
        <f t="shared" si="966"/>
        <v>0</v>
      </c>
      <c r="AW108" s="162">
        <f t="shared" si="966"/>
        <v>0</v>
      </c>
      <c r="AX108" s="162">
        <f t="shared" si="966"/>
        <v>0</v>
      </c>
      <c r="AY108" s="162">
        <f t="shared" si="966"/>
        <v>0</v>
      </c>
      <c r="AZ108" s="162">
        <f t="shared" si="966"/>
        <v>0</v>
      </c>
      <c r="BA108" s="162">
        <f t="shared" si="966"/>
        <v>0</v>
      </c>
      <c r="BB108" s="162">
        <f t="shared" si="966"/>
        <v>0</v>
      </c>
      <c r="BC108" s="162">
        <f t="shared" si="966"/>
        <v>0</v>
      </c>
      <c r="BD108" s="162">
        <f t="shared" si="966"/>
        <v>0</v>
      </c>
      <c r="BE108" s="162">
        <f t="shared" si="966"/>
        <v>0</v>
      </c>
      <c r="BF108" s="162">
        <f t="shared" si="966"/>
        <v>0</v>
      </c>
      <c r="BG108" s="162">
        <f t="shared" si="966"/>
        <v>0</v>
      </c>
      <c r="BH108" s="162">
        <f t="shared" si="966"/>
        <v>0</v>
      </c>
      <c r="BI108" s="162">
        <f t="shared" si="966"/>
        <v>0</v>
      </c>
      <c r="BJ108" s="162">
        <f t="shared" si="966"/>
        <v>0</v>
      </c>
      <c r="BK108" s="162">
        <f t="shared" si="966"/>
        <v>0</v>
      </c>
      <c r="BL108" s="162">
        <f t="shared" si="966"/>
        <v>0</v>
      </c>
      <c r="BM108" s="162">
        <f t="shared" si="966"/>
        <v>0</v>
      </c>
      <c r="BN108" s="162">
        <f t="shared" si="966"/>
        <v>0</v>
      </c>
      <c r="BO108" s="162">
        <f t="shared" si="966"/>
        <v>0</v>
      </c>
      <c r="BP108" s="162">
        <f t="shared" si="966"/>
        <v>0</v>
      </c>
      <c r="BQ108" s="162">
        <f t="shared" si="966"/>
        <v>1247.3496</v>
      </c>
      <c r="BR108" s="162">
        <f t="shared" ref="BR108:CJ108" si="967">+BR79*BR65</f>
        <v>1683.17949</v>
      </c>
      <c r="BS108" s="162">
        <f t="shared" si="967"/>
        <v>1754.902092</v>
      </c>
      <c r="BT108" s="162">
        <f t="shared" si="967"/>
        <v>2735.2594800000002</v>
      </c>
      <c r="BU108" s="162">
        <f t="shared" si="967"/>
        <v>2534.2975999999999</v>
      </c>
      <c r="BV108" s="162">
        <f t="shared" si="967"/>
        <v>2208.6502579999997</v>
      </c>
      <c r="BW108" s="162">
        <f t="shared" si="967"/>
        <v>2018.52844</v>
      </c>
      <c r="BX108" s="162">
        <f t="shared" si="967"/>
        <v>2132.3738399999997</v>
      </c>
      <c r="BY108" s="162">
        <f t="shared" si="967"/>
        <v>2131.2353859999998</v>
      </c>
      <c r="BZ108" s="162">
        <f t="shared" si="967"/>
        <v>1981.998916</v>
      </c>
      <c r="CA108" s="162">
        <f t="shared" si="967"/>
        <v>1987.3446999999999</v>
      </c>
      <c r="CB108" s="162">
        <f t="shared" si="967"/>
        <v>2199.6416219999996</v>
      </c>
      <c r="CC108" s="162">
        <f t="shared" si="967"/>
        <v>2209.6897159999999</v>
      </c>
      <c r="CD108" s="162">
        <f t="shared" si="967"/>
        <v>2617.8997219999997</v>
      </c>
      <c r="CE108" s="162">
        <f t="shared" si="967"/>
        <v>2915.4816979999996</v>
      </c>
      <c r="CF108" s="162">
        <f t="shared" si="967"/>
        <v>3563.311522</v>
      </c>
      <c r="CG108" s="162">
        <f t="shared" si="967"/>
        <v>4008.3975379999997</v>
      </c>
      <c r="CH108" s="162">
        <f t="shared" si="967"/>
        <v>2999.5787999999998</v>
      </c>
      <c r="CI108" s="162">
        <f t="shared" si="967"/>
        <v>3281.7174</v>
      </c>
      <c r="CJ108" s="162">
        <f t="shared" si="967"/>
        <v>3595.9307039999999</v>
      </c>
      <c r="CK108" s="162">
        <f t="shared" ref="CK108:CL108" si="968">+CK79*CK65</f>
        <v>18035.111250000002</v>
      </c>
      <c r="CL108" s="162">
        <f t="shared" si="968"/>
        <v>15169.242450000002</v>
      </c>
      <c r="CM108" s="21">
        <f t="shared" ref="CM108:DB108" si="969">+CM79*CM65</f>
        <v>10314.448373813402</v>
      </c>
      <c r="CN108" s="21">
        <f t="shared" si="969"/>
        <v>5300.0824407500213</v>
      </c>
      <c r="CO108" s="21">
        <f t="shared" si="969"/>
        <v>5387.6430302491099</v>
      </c>
      <c r="CP108" s="21">
        <f t="shared" si="969"/>
        <v>5542.3371461023753</v>
      </c>
      <c r="CQ108" s="21">
        <f t="shared" si="969"/>
        <v>5870.7568131186827</v>
      </c>
      <c r="CR108" s="21">
        <f t="shared" si="969"/>
        <v>6178.2046194490786</v>
      </c>
      <c r="CS108" s="21">
        <f t="shared" si="969"/>
        <v>6465.0404417993668</v>
      </c>
      <c r="CT108" s="21">
        <f t="shared" si="969"/>
        <v>6740.5096661097759</v>
      </c>
      <c r="CU108" s="21">
        <f t="shared" si="969"/>
        <v>7002.2075474175908</v>
      </c>
      <c r="CV108" s="21">
        <f t="shared" si="969"/>
        <v>7258.4511904710762</v>
      </c>
      <c r="CW108" s="21">
        <f t="shared" si="969"/>
        <v>7510.4041916797487</v>
      </c>
      <c r="CX108" s="21">
        <f t="shared" si="969"/>
        <v>7758.3368787294039</v>
      </c>
      <c r="CY108" s="21">
        <f t="shared" si="969"/>
        <v>7994.4416569938485</v>
      </c>
      <c r="CZ108" s="21">
        <f t="shared" si="969"/>
        <v>8233.1399124580148</v>
      </c>
      <c r="DA108" s="21">
        <f t="shared" si="969"/>
        <v>8473.9681041134172</v>
      </c>
      <c r="DB108" s="21">
        <f t="shared" si="969"/>
        <v>8714.5494128554619</v>
      </c>
      <c r="DE108" s="22"/>
      <c r="DF108" s="162">
        <v>15148.750500000002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0</v>
      </c>
      <c r="E109" s="162">
        <f t="shared" si="970"/>
        <v>0</v>
      </c>
      <c r="F109" s="162">
        <f t="shared" si="970"/>
        <v>-25.137981</v>
      </c>
      <c r="G109" s="162">
        <f t="shared" si="970"/>
        <v>-50.776351499999997</v>
      </c>
      <c r="H109" s="162">
        <f t="shared" si="970"/>
        <v>-73.470132700000008</v>
      </c>
      <c r="I109" s="162">
        <f t="shared" si="970"/>
        <v>-147.40187829999999</v>
      </c>
      <c r="J109" s="162">
        <f t="shared" si="970"/>
        <v>-156.69141569999999</v>
      </c>
      <c r="K109" s="162">
        <f t="shared" si="970"/>
        <v>-156.56553389999999</v>
      </c>
      <c r="L109" s="162">
        <f t="shared" si="970"/>
        <v>-167.59358939999998</v>
      </c>
      <c r="M109" s="162">
        <f t="shared" si="970"/>
        <v>-169.3976136</v>
      </c>
      <c r="N109" s="162">
        <f t="shared" si="970"/>
        <v>-185.43326920000001</v>
      </c>
      <c r="O109" s="162">
        <f t="shared" si="970"/>
        <v>-131.80647740000001</v>
      </c>
      <c r="P109" s="162">
        <f t="shared" si="970"/>
        <v>-123.47319999999999</v>
      </c>
      <c r="Q109" s="162">
        <f t="shared" si="970"/>
        <v>-189.8272</v>
      </c>
      <c r="R109" s="162">
        <f t="shared" si="970"/>
        <v>-235.4605</v>
      </c>
      <c r="S109" s="162">
        <f t="shared" si="970"/>
        <v>-243.78659999999999</v>
      </c>
      <c r="T109" s="162">
        <f t="shared" si="970"/>
        <v>-274.00110000000001</v>
      </c>
      <c r="U109" s="162">
        <f t="shared" si="970"/>
        <v>-356.0641</v>
      </c>
      <c r="V109" s="162">
        <f t="shared" si="970"/>
        <v>-415.79160000000002</v>
      </c>
      <c r="W109" s="162">
        <f t="shared" si="970"/>
        <v>-467.76030000000003</v>
      </c>
      <c r="X109" s="162">
        <f t="shared" ref="X109:Y109" si="971">+X168</f>
        <v>-482.19180000000006</v>
      </c>
      <c r="Y109" s="162">
        <f t="shared" si="971"/>
        <v>-617.67790000000002</v>
      </c>
      <c r="Z109" s="162">
        <f t="shared" ref="Z109:AA109" si="972">+Z168</f>
        <v>-680.06910000000005</v>
      </c>
      <c r="AA109" s="162">
        <f t="shared" si="972"/>
        <v>-853.96799999999996</v>
      </c>
      <c r="AB109" s="21">
        <f t="shared" ref="AA109:AD109" si="973">+AB168</f>
        <v>-1480.5859052076019</v>
      </c>
      <c r="AC109" s="21">
        <f t="shared" si="973"/>
        <v>-2157.2457612570934</v>
      </c>
      <c r="AD109" s="21">
        <f t="shared" si="973"/>
        <v>-2894.9976268692285</v>
      </c>
      <c r="AE109" s="21">
        <f t="shared" ref="AE109" si="974">+AE168</f>
        <v>-3702.824562568529</v>
      </c>
      <c r="AL109" s="162">
        <f t="shared" ref="AL109:AM109" si="975">+AL168</f>
        <v>0</v>
      </c>
      <c r="AM109" s="162" t="e">
        <f t="shared" si="975"/>
        <v>#DIV/0!</v>
      </c>
      <c r="AN109" s="162">
        <f t="shared" ref="AN109:AO109" si="976">+AN168</f>
        <v>0</v>
      </c>
      <c r="AO109" s="162" t="e">
        <f t="shared" si="976"/>
        <v>#DIV/0!</v>
      </c>
      <c r="AP109" s="162">
        <f t="shared" ref="AP109:CD109" si="977">+AP168</f>
        <v>0</v>
      </c>
      <c r="AQ109" s="162" t="e">
        <f t="shared" si="977"/>
        <v>#DIV/0!</v>
      </c>
      <c r="AR109" s="162">
        <f t="shared" si="977"/>
        <v>0</v>
      </c>
      <c r="AS109" s="162" t="e">
        <f t="shared" si="977"/>
        <v>#DIV/0!</v>
      </c>
      <c r="AT109" s="162">
        <f t="shared" si="977"/>
        <v>0</v>
      </c>
      <c r="AU109" s="162" t="e">
        <f t="shared" si="977"/>
        <v>#DIV/0!</v>
      </c>
      <c r="AV109" s="162">
        <f t="shared" si="977"/>
        <v>0</v>
      </c>
      <c r="AW109" s="162" t="e">
        <f t="shared" si="977"/>
        <v>#DIV/0!</v>
      </c>
      <c r="AX109" s="162">
        <f t="shared" si="977"/>
        <v>0</v>
      </c>
      <c r="AY109" s="162" t="e">
        <f t="shared" si="977"/>
        <v>#DIV/0!</v>
      </c>
      <c r="AZ109" s="162">
        <f t="shared" si="977"/>
        <v>0</v>
      </c>
      <c r="BA109" s="162" t="e">
        <f t="shared" si="977"/>
        <v>#DIV/0!</v>
      </c>
      <c r="BB109" s="162">
        <f t="shared" si="977"/>
        <v>0</v>
      </c>
      <c r="BC109" s="162" t="e">
        <f t="shared" si="977"/>
        <v>#DIV/0!</v>
      </c>
      <c r="BD109" s="162">
        <f t="shared" si="977"/>
        <v>0</v>
      </c>
      <c r="BE109" s="162" t="e">
        <f t="shared" si="977"/>
        <v>#DIV/0!</v>
      </c>
      <c r="BF109" s="162">
        <f t="shared" si="977"/>
        <v>0</v>
      </c>
      <c r="BG109" s="162" t="e">
        <f t="shared" si="977"/>
        <v>#DIV/0!</v>
      </c>
      <c r="BH109" s="162">
        <f t="shared" si="977"/>
        <v>0</v>
      </c>
      <c r="BI109" s="162" t="e">
        <f t="shared" si="977"/>
        <v>#DIV/0!</v>
      </c>
      <c r="BJ109" s="162">
        <f t="shared" si="977"/>
        <v>0</v>
      </c>
      <c r="BK109" s="162" t="e">
        <f t="shared" si="977"/>
        <v>#DIV/0!</v>
      </c>
      <c r="BL109" s="162">
        <f t="shared" si="977"/>
        <v>0</v>
      </c>
      <c r="BM109" s="162">
        <f t="shared" si="977"/>
        <v>-46.233000000000018</v>
      </c>
      <c r="BN109" s="162">
        <f t="shared" si="977"/>
        <v>-356.06400000000002</v>
      </c>
      <c r="BO109" s="162">
        <f t="shared" si="977"/>
        <v>-395.25308268245931</v>
      </c>
      <c r="BP109" s="162">
        <f t="shared" si="977"/>
        <v>-373.33699999999999</v>
      </c>
      <c r="BQ109" s="162">
        <f t="shared" si="977"/>
        <v>-430.56811745080165</v>
      </c>
      <c r="BR109" s="162">
        <f t="shared" si="977"/>
        <v>-415.791</v>
      </c>
      <c r="BS109" s="162">
        <f t="shared" si="977"/>
        <v>-479.20097542210397</v>
      </c>
      <c r="BT109" s="162">
        <f t="shared" si="977"/>
        <v>-462.18099999999998</v>
      </c>
      <c r="BU109" s="162">
        <f t="shared" si="977"/>
        <v>-540.10328204362122</v>
      </c>
      <c r="BV109" s="162">
        <f t="shared" si="977"/>
        <v>-467.76099999999997</v>
      </c>
      <c r="BW109" s="162">
        <f t="shared" si="977"/>
        <v>-531.90978363708143</v>
      </c>
      <c r="BX109" s="162">
        <f t="shared" si="977"/>
        <v>-529.12300000000005</v>
      </c>
      <c r="BY109" s="162">
        <f t="shared" si="977"/>
        <v>-602.81991280273962</v>
      </c>
      <c r="BZ109" s="162">
        <f t="shared" si="977"/>
        <v>-482.19200000000001</v>
      </c>
      <c r="CA109" s="162">
        <f t="shared" si="977"/>
        <v>-559.03126006764592</v>
      </c>
      <c r="CB109" s="162">
        <f t="shared" si="977"/>
        <v>-624.66800000000001</v>
      </c>
      <c r="CC109" s="162">
        <f t="shared" si="977"/>
        <v>-714.1805936608223</v>
      </c>
      <c r="CD109" s="162">
        <f t="shared" si="977"/>
        <v>-617.678</v>
      </c>
      <c r="CE109" s="162">
        <f t="shared" ref="CE109:CF109" si="978">+CE168</f>
        <v>-725.87192120698705</v>
      </c>
      <c r="CF109" s="162">
        <f t="shared" si="978"/>
        <v>-732.33399999999995</v>
      </c>
      <c r="CG109" s="162">
        <f t="shared" ref="CG109:CH109" si="979">+CG168</f>
        <v>-857.7928400452389</v>
      </c>
      <c r="CH109" s="162">
        <f t="shared" si="979"/>
        <v>-680.06910000000005</v>
      </c>
      <c r="CI109" s="162">
        <f t="shared" ref="CI109:CJ109" si="980">+CI168</f>
        <v>-809.84794725661584</v>
      </c>
      <c r="CJ109" s="162">
        <f t="shared" si="980"/>
        <v>-821.51400000000001</v>
      </c>
      <c r="CK109" s="162">
        <f t="shared" ref="CK109:CL109" si="981">+CK168</f>
        <v>-973.16606306770223</v>
      </c>
      <c r="CL109" s="162">
        <f t="shared" si="981"/>
        <v>-853.96799999999996</v>
      </c>
      <c r="CM109" s="21">
        <f t="shared" ref="CM109:DB109" si="982">+CM168</f>
        <v>-999.85112945357832</v>
      </c>
      <c r="CN109" s="21">
        <f t="shared" si="982"/>
        <v>-1154.2286558997862</v>
      </c>
      <c r="CO109" s="21">
        <f t="shared" si="982"/>
        <v>-1315.9955847791844</v>
      </c>
      <c r="CP109" s="21">
        <f t="shared" si="982"/>
        <v>-1480.5859052076019</v>
      </c>
      <c r="CQ109" s="21">
        <f t="shared" si="982"/>
        <v>-1638.0400201526688</v>
      </c>
      <c r="CR109" s="21">
        <f t="shared" si="982"/>
        <v>-1804.652119037878</v>
      </c>
      <c r="CS109" s="21">
        <f t="shared" si="982"/>
        <v>-1979.0678294012246</v>
      </c>
      <c r="CT109" s="21">
        <f t="shared" si="982"/>
        <v>-2157.2457612570934</v>
      </c>
      <c r="CU109" s="21">
        <f t="shared" si="982"/>
        <v>-2328.7435104595988</v>
      </c>
      <c r="CV109" s="21">
        <f t="shared" si="982"/>
        <v>-2510.255628593909</v>
      </c>
      <c r="CW109" s="21">
        <f t="shared" si="982"/>
        <v>-2700.402395469222</v>
      </c>
      <c r="CX109" s="21">
        <f t="shared" si="982"/>
        <v>-2894.9976268692285</v>
      </c>
      <c r="CY109" s="21">
        <f t="shared" si="982"/>
        <v>-3082.7618495482229</v>
      </c>
      <c r="CZ109" s="21">
        <f t="shared" si="982"/>
        <v>-3281.4655397685756</v>
      </c>
      <c r="DA109" s="21">
        <f t="shared" si="982"/>
        <v>-3489.6494402864391</v>
      </c>
      <c r="DB109" s="21">
        <f t="shared" si="982"/>
        <v>-3702.824562568529</v>
      </c>
      <c r="DE109" s="22"/>
      <c r="DF109" s="162">
        <v>-1117.9642060515396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 t="e">
        <f t="shared" si="983"/>
        <v>#DIV/0!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0</v>
      </c>
      <c r="AM110" s="162" t="e">
        <f t="shared" ref="AM110:AO110" si="989">+AM107+AM109</f>
        <v>#DIV/0!</v>
      </c>
      <c r="AN110" s="162">
        <f t="shared" si="989"/>
        <v>0</v>
      </c>
      <c r="AO110" s="162" t="e">
        <f t="shared" si="989"/>
        <v>#DIV/0!</v>
      </c>
      <c r="AP110" s="162">
        <f t="shared" ref="AP110:CD110" si="990">+AP107+AP109</f>
        <v>0</v>
      </c>
      <c r="AQ110" s="162" t="e">
        <f t="shared" si="990"/>
        <v>#DIV/0!</v>
      </c>
      <c r="AR110" s="162">
        <f t="shared" si="990"/>
        <v>0</v>
      </c>
      <c r="AS110" s="162" t="e">
        <f t="shared" si="990"/>
        <v>#DIV/0!</v>
      </c>
      <c r="AT110" s="162">
        <f t="shared" si="990"/>
        <v>0</v>
      </c>
      <c r="AU110" s="162" t="e">
        <f t="shared" si="990"/>
        <v>#DIV/0!</v>
      </c>
      <c r="AV110" s="162">
        <f t="shared" si="990"/>
        <v>0</v>
      </c>
      <c r="AW110" s="162" t="e">
        <f t="shared" si="990"/>
        <v>#DIV/0!</v>
      </c>
      <c r="AX110" s="162">
        <f t="shared" si="990"/>
        <v>0</v>
      </c>
      <c r="AY110" s="162" t="e">
        <f t="shared" si="990"/>
        <v>#DIV/0!</v>
      </c>
      <c r="AZ110" s="162">
        <f t="shared" si="990"/>
        <v>0</v>
      </c>
      <c r="BA110" s="162" t="e">
        <f t="shared" si="990"/>
        <v>#DIV/0!</v>
      </c>
      <c r="BB110" s="162">
        <f t="shared" si="990"/>
        <v>0</v>
      </c>
      <c r="BC110" s="162" t="e">
        <f t="shared" si="990"/>
        <v>#DIV/0!</v>
      </c>
      <c r="BD110" s="162">
        <f t="shared" si="990"/>
        <v>0</v>
      </c>
      <c r="BE110" s="162" t="e">
        <f t="shared" si="990"/>
        <v>#DIV/0!</v>
      </c>
      <c r="BF110" s="162">
        <f t="shared" si="990"/>
        <v>0</v>
      </c>
      <c r="BG110" s="162" t="e">
        <f t="shared" si="990"/>
        <v>#DIV/0!</v>
      </c>
      <c r="BH110" s="162">
        <f t="shared" si="990"/>
        <v>0</v>
      </c>
      <c r="BI110" s="162" t="e">
        <f t="shared" si="990"/>
        <v>#DIV/0!</v>
      </c>
      <c r="BJ110" s="162">
        <f t="shared" si="990"/>
        <v>0</v>
      </c>
      <c r="BK110" s="162" t="e">
        <f t="shared" si="990"/>
        <v>#DIV/0!</v>
      </c>
      <c r="BL110" s="162">
        <f t="shared" si="990"/>
        <v>0</v>
      </c>
      <c r="BM110" s="162">
        <f t="shared" si="990"/>
        <v>-46.233000000000018</v>
      </c>
      <c r="BN110" s="162">
        <f t="shared" si="990"/>
        <v>-356.06400000000002</v>
      </c>
      <c r="BO110" s="162">
        <f t="shared" si="990"/>
        <v>-395.25308268245931</v>
      </c>
      <c r="BP110" s="162">
        <f t="shared" si="990"/>
        <v>-373.33699999999999</v>
      </c>
      <c r="BQ110" s="162">
        <f t="shared" si="990"/>
        <v>1440.0602985491983</v>
      </c>
      <c r="BR110" s="162">
        <f t="shared" si="990"/>
        <v>1603.6779019999999</v>
      </c>
      <c r="BS110" s="162">
        <f t="shared" si="990"/>
        <v>2436.0332325778959</v>
      </c>
      <c r="BT110" s="162">
        <f t="shared" si="990"/>
        <v>3561.0164399999994</v>
      </c>
      <c r="BU110" s="162">
        <f t="shared" si="990"/>
        <v>2677.2667179563787</v>
      </c>
      <c r="BV110" s="162">
        <f t="shared" si="990"/>
        <v>2487.2696000000001</v>
      </c>
      <c r="BW110" s="162">
        <f t="shared" si="990"/>
        <v>2121.1830163629184</v>
      </c>
      <c r="BX110" s="162">
        <f t="shared" si="990"/>
        <v>2094.2215019999999</v>
      </c>
      <c r="BY110" s="162">
        <f t="shared" si="990"/>
        <v>2059.1825271972602</v>
      </c>
      <c r="BZ110" s="162">
        <f t="shared" si="990"/>
        <v>1852.0346839999997</v>
      </c>
      <c r="CA110" s="162">
        <f t="shared" si="990"/>
        <v>1682.2381799323541</v>
      </c>
      <c r="CB110" s="162">
        <f t="shared" si="990"/>
        <v>2014.5653600000001</v>
      </c>
      <c r="CC110" s="162">
        <f t="shared" si="990"/>
        <v>2245.106834339178</v>
      </c>
      <c r="CD110" s="162">
        <f t="shared" si="990"/>
        <v>2589.7923999999998</v>
      </c>
      <c r="CE110" s="162">
        <f t="shared" ref="CE110:CF110" si="991">+CE107+CE109</f>
        <v>3070.9216667930123</v>
      </c>
      <c r="CF110" s="162">
        <f t="shared" si="991"/>
        <v>4129.5080539999999</v>
      </c>
      <c r="CG110" s="162">
        <f t="shared" ref="CG110:CH110" si="992">+CG107+CG109</f>
        <v>4455.7679619547607</v>
      </c>
      <c r="CH110" s="162">
        <f t="shared" si="992"/>
        <v>4554.8393799999994</v>
      </c>
      <c r="CI110" s="162">
        <f t="shared" ref="CI110:CJ110" si="993">+CI107+CI109</f>
        <v>3521.2270527433839</v>
      </c>
      <c r="CJ110" s="162">
        <f t="shared" si="993"/>
        <v>3459.4195259999997</v>
      </c>
      <c r="CK110" s="162">
        <f t="shared" ref="CK110:CL110" si="994">+CK107+CK109</f>
        <v>19160.778936932296</v>
      </c>
      <c r="CL110" s="162">
        <f t="shared" si="994"/>
        <v>18136.723299999998</v>
      </c>
      <c r="CM110" s="21">
        <f t="shared" ref="CM110:DB110" si="995">+CM107+CM109</f>
        <v>11913.022116690448</v>
      </c>
      <c r="CN110" s="21">
        <f t="shared" si="995"/>
        <v>5481.0551975028047</v>
      </c>
      <c r="CO110" s="21">
        <f t="shared" si="995"/>
        <v>5428.9071985537694</v>
      </c>
      <c r="CP110" s="21">
        <f t="shared" si="995"/>
        <v>5457.9816711945532</v>
      </c>
      <c r="CQ110" s="21">
        <f t="shared" si="995"/>
        <v>5711.6829935571341</v>
      </c>
      <c r="CR110" s="21">
        <f t="shared" si="995"/>
        <v>5929.9712217731458</v>
      </c>
      <c r="CS110" s="21">
        <f t="shared" si="995"/>
        <v>6114.6512654654653</v>
      </c>
      <c r="CT110" s="21">
        <f t="shared" si="995"/>
        <v>6281.3390062872359</v>
      </c>
      <c r="CU110" s="21">
        <f t="shared" si="995"/>
        <v>6437.4662979634668</v>
      </c>
      <c r="CV110" s="21">
        <f t="shared" si="995"/>
        <v>6576.7509459732782</v>
      </c>
      <c r="CW110" s="21">
        <f t="shared" si="995"/>
        <v>6702.0294011440692</v>
      </c>
      <c r="CX110" s="21">
        <f t="shared" si="995"/>
        <v>6817.8262765654235</v>
      </c>
      <c r="CY110" s="21">
        <f t="shared" si="995"/>
        <v>6925.646554777245</v>
      </c>
      <c r="CZ110" s="21">
        <f t="shared" si="995"/>
        <v>7025.7741936961056</v>
      </c>
      <c r="DA110" s="21">
        <f t="shared" si="995"/>
        <v>7119.0881339003408</v>
      </c>
      <c r="DB110" s="21">
        <f t="shared" si="995"/>
        <v>7207.1017744671281</v>
      </c>
      <c r="DE110" s="22"/>
      <c r="DF110" s="162">
        <v>17847.07279394846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 t="e">
        <f t="shared" si="996"/>
        <v>#DIV/0!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0</v>
      </c>
      <c r="AM111" s="162" t="e">
        <f t="shared" si="1001"/>
        <v>#DIV/0!</v>
      </c>
      <c r="AN111" s="162">
        <f t="shared" ref="AN111:AO111" si="1002">+AN108+AN109</f>
        <v>0</v>
      </c>
      <c r="AO111" s="162" t="e">
        <f t="shared" si="1002"/>
        <v>#DIV/0!</v>
      </c>
      <c r="AP111" s="162">
        <f t="shared" ref="AP111:CD111" si="1003">+AP108+AP109</f>
        <v>0</v>
      </c>
      <c r="AQ111" s="162" t="e">
        <f t="shared" si="1003"/>
        <v>#DIV/0!</v>
      </c>
      <c r="AR111" s="162">
        <f t="shared" si="1003"/>
        <v>0</v>
      </c>
      <c r="AS111" s="162" t="e">
        <f t="shared" si="1003"/>
        <v>#DIV/0!</v>
      </c>
      <c r="AT111" s="162">
        <f t="shared" si="1003"/>
        <v>0</v>
      </c>
      <c r="AU111" s="162" t="e">
        <f t="shared" si="1003"/>
        <v>#DIV/0!</v>
      </c>
      <c r="AV111" s="162">
        <f t="shared" si="1003"/>
        <v>0</v>
      </c>
      <c r="AW111" s="162" t="e">
        <f t="shared" si="1003"/>
        <v>#DIV/0!</v>
      </c>
      <c r="AX111" s="162">
        <f t="shared" si="1003"/>
        <v>0</v>
      </c>
      <c r="AY111" s="162" t="e">
        <f t="shared" si="1003"/>
        <v>#DIV/0!</v>
      </c>
      <c r="AZ111" s="162">
        <f t="shared" si="1003"/>
        <v>0</v>
      </c>
      <c r="BA111" s="162" t="e">
        <f t="shared" si="1003"/>
        <v>#DIV/0!</v>
      </c>
      <c r="BB111" s="162">
        <f t="shared" si="1003"/>
        <v>0</v>
      </c>
      <c r="BC111" s="162" t="e">
        <f t="shared" si="1003"/>
        <v>#DIV/0!</v>
      </c>
      <c r="BD111" s="162">
        <f t="shared" si="1003"/>
        <v>0</v>
      </c>
      <c r="BE111" s="162" t="e">
        <f t="shared" si="1003"/>
        <v>#DIV/0!</v>
      </c>
      <c r="BF111" s="162">
        <f t="shared" si="1003"/>
        <v>0</v>
      </c>
      <c r="BG111" s="162" t="e">
        <f t="shared" si="1003"/>
        <v>#DIV/0!</v>
      </c>
      <c r="BH111" s="162">
        <f t="shared" si="1003"/>
        <v>0</v>
      </c>
      <c r="BI111" s="162" t="e">
        <f t="shared" si="1003"/>
        <v>#DIV/0!</v>
      </c>
      <c r="BJ111" s="162">
        <f t="shared" si="1003"/>
        <v>0</v>
      </c>
      <c r="BK111" s="162" t="e">
        <f t="shared" si="1003"/>
        <v>#DIV/0!</v>
      </c>
      <c r="BL111" s="162">
        <f t="shared" si="1003"/>
        <v>0</v>
      </c>
      <c r="BM111" s="162">
        <f t="shared" si="1003"/>
        <v>-46.233000000000018</v>
      </c>
      <c r="BN111" s="162">
        <f t="shared" si="1003"/>
        <v>-356.06400000000002</v>
      </c>
      <c r="BO111" s="162">
        <f t="shared" si="1003"/>
        <v>-395.25308268245931</v>
      </c>
      <c r="BP111" s="162">
        <f t="shared" si="1003"/>
        <v>-373.33699999999999</v>
      </c>
      <c r="BQ111" s="162">
        <f t="shared" si="1003"/>
        <v>816.78148254919836</v>
      </c>
      <c r="BR111" s="162">
        <f t="shared" si="1003"/>
        <v>1267.38849</v>
      </c>
      <c r="BS111" s="162">
        <f t="shared" si="1003"/>
        <v>1275.7011165778961</v>
      </c>
      <c r="BT111" s="162">
        <f t="shared" si="1003"/>
        <v>2273.0784800000001</v>
      </c>
      <c r="BU111" s="162">
        <f t="shared" si="1003"/>
        <v>1994.1943179563787</v>
      </c>
      <c r="BV111" s="162">
        <f t="shared" si="1003"/>
        <v>1740.8892579999997</v>
      </c>
      <c r="BW111" s="162">
        <f t="shared" si="1003"/>
        <v>1486.6186563629185</v>
      </c>
      <c r="BX111" s="162">
        <f t="shared" si="1003"/>
        <v>1603.2508399999997</v>
      </c>
      <c r="BY111" s="162">
        <f t="shared" si="1003"/>
        <v>1528.4154731972603</v>
      </c>
      <c r="BZ111" s="162">
        <f t="shared" si="1003"/>
        <v>1499.806916</v>
      </c>
      <c r="CA111" s="162">
        <f t="shared" si="1003"/>
        <v>1428.313439932354</v>
      </c>
      <c r="CB111" s="162">
        <f t="shared" si="1003"/>
        <v>1574.9736219999995</v>
      </c>
      <c r="CC111" s="162">
        <f t="shared" si="1003"/>
        <v>1495.5091223391776</v>
      </c>
      <c r="CD111" s="162">
        <f t="shared" si="1003"/>
        <v>2000.2217219999998</v>
      </c>
      <c r="CE111" s="162">
        <f t="shared" ref="CE111:CF111" si="1004">+CE108+CE109</f>
        <v>2189.6097767930123</v>
      </c>
      <c r="CF111" s="162">
        <f t="shared" si="1004"/>
        <v>2830.9775220000001</v>
      </c>
      <c r="CG111" s="162">
        <f t="shared" ref="CG111:CH111" si="1005">+CG108+CG109</f>
        <v>3150.6046979547609</v>
      </c>
      <c r="CH111" s="162">
        <f t="shared" si="1005"/>
        <v>2319.5096999999996</v>
      </c>
      <c r="CI111" s="162">
        <f t="shared" ref="CI111:CJ111" si="1006">+CI108+CI109</f>
        <v>2471.869452743384</v>
      </c>
      <c r="CJ111" s="162">
        <f t="shared" si="1006"/>
        <v>2774.4167039999998</v>
      </c>
      <c r="CK111" s="162">
        <f t="shared" ref="CK111:CL111" si="1007">+CK108+CK109</f>
        <v>17061.945186932298</v>
      </c>
      <c r="CL111" s="162">
        <f t="shared" si="1007"/>
        <v>14315.274450000001</v>
      </c>
      <c r="CM111" s="21">
        <f t="shared" ref="CM111:DB111" si="1008">+CM108+CM109</f>
        <v>9314.5972443598239</v>
      </c>
      <c r="CN111" s="21">
        <f t="shared" si="1008"/>
        <v>4145.8537848502347</v>
      </c>
      <c r="CO111" s="21">
        <f t="shared" si="1008"/>
        <v>4071.6474454699255</v>
      </c>
      <c r="CP111" s="21">
        <f t="shared" si="1008"/>
        <v>4061.7512408947732</v>
      </c>
      <c r="CQ111" s="21">
        <f t="shared" si="1008"/>
        <v>4232.7167929660136</v>
      </c>
      <c r="CR111" s="21">
        <f t="shared" si="1008"/>
        <v>4373.5525004112005</v>
      </c>
      <c r="CS111" s="21">
        <f t="shared" si="1008"/>
        <v>4485.9726123981418</v>
      </c>
      <c r="CT111" s="21">
        <f t="shared" si="1008"/>
        <v>4583.2639048526826</v>
      </c>
      <c r="CU111" s="21">
        <f t="shared" si="1008"/>
        <v>4673.464036957992</v>
      </c>
      <c r="CV111" s="21">
        <f t="shared" si="1008"/>
        <v>4748.1955618771672</v>
      </c>
      <c r="CW111" s="21">
        <f t="shared" si="1008"/>
        <v>4810.0017962105267</v>
      </c>
      <c r="CX111" s="21">
        <f t="shared" si="1008"/>
        <v>4863.3392518601759</v>
      </c>
      <c r="CY111" s="21">
        <f t="shared" si="1008"/>
        <v>4911.6798074456256</v>
      </c>
      <c r="CZ111" s="21">
        <f t="shared" si="1008"/>
        <v>4951.6743726894392</v>
      </c>
      <c r="DA111" s="21">
        <f t="shared" si="1008"/>
        <v>4984.3186638269781</v>
      </c>
      <c r="DB111" s="21">
        <f t="shared" si="1008"/>
        <v>5011.7248502869334</v>
      </c>
      <c r="DE111" s="22"/>
      <c r="DF111" s="162">
        <v>14030.786293948462</v>
      </c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0</v>
      </c>
      <c r="E112" s="162">
        <f t="shared" si="1009"/>
        <v>0</v>
      </c>
      <c r="F112" s="162">
        <f t="shared" si="1009"/>
        <v>38.140095199999998</v>
      </c>
      <c r="G112" s="162">
        <f t="shared" si="1009"/>
        <v>54.128704499999984</v>
      </c>
      <c r="H112" s="162">
        <f t="shared" si="1009"/>
        <v>89.227200000000011</v>
      </c>
      <c r="I112" s="162">
        <f t="shared" si="1009"/>
        <v>118.66430000000003</v>
      </c>
      <c r="J112" s="162">
        <f t="shared" si="1009"/>
        <v>74.360199999999992</v>
      </c>
      <c r="K112" s="162">
        <f t="shared" si="1009"/>
        <v>116.42059999999998</v>
      </c>
      <c r="L112" s="162">
        <f t="shared" si="1009"/>
        <v>85.137000000000029</v>
      </c>
      <c r="M112" s="162">
        <f t="shared" si="1009"/>
        <v>72.169999999999987</v>
      </c>
      <c r="N112" s="162">
        <f t="shared" si="1009"/>
        <v>90.97</v>
      </c>
      <c r="O112" s="162">
        <f t="shared" si="1009"/>
        <v>89.03459799999996</v>
      </c>
      <c r="P112" s="162">
        <f t="shared" si="1009"/>
        <v>136.00670000000002</v>
      </c>
      <c r="Q112" s="162">
        <f t="shared" si="1009"/>
        <v>152.77140000000003</v>
      </c>
      <c r="R112" s="162">
        <f t="shared" si="1009"/>
        <v>186.09179999999998</v>
      </c>
      <c r="S112" s="162">
        <f t="shared" si="1009"/>
        <v>232.61180000000002</v>
      </c>
      <c r="T112" s="162">
        <f t="shared" si="1009"/>
        <v>217.90949999999998</v>
      </c>
      <c r="U112" s="162">
        <f t="shared" si="1009"/>
        <v>286.39240000000007</v>
      </c>
      <c r="V112" s="162">
        <f t="shared" si="1009"/>
        <v>274.89670000000001</v>
      </c>
      <c r="W112" s="162">
        <f t="shared" si="1009"/>
        <v>416.46409999999997</v>
      </c>
      <c r="X112" s="162">
        <f t="shared" si="1009"/>
        <v>421.23179999999991</v>
      </c>
      <c r="Y112" s="162">
        <f t="shared" si="1009"/>
        <v>504.88830000000007</v>
      </c>
      <c r="Z112" s="162">
        <f t="shared" si="1009"/>
        <v>652.2193000000002</v>
      </c>
      <c r="AA112" s="162">
        <f t="shared" ref="AA112" si="1010">+AA28</f>
        <v>683.89960000000008</v>
      </c>
      <c r="AB112" s="21">
        <f t="shared" si="1009"/>
        <v>738.52406321117405</v>
      </c>
      <c r="AC112" s="21">
        <f t="shared" si="1009"/>
        <v>793.77909571806674</v>
      </c>
      <c r="AD112" s="21">
        <f t="shared" si="1009"/>
        <v>852.36868941228113</v>
      </c>
      <c r="AE112" s="21">
        <f t="shared" si="1009"/>
        <v>915.13459588358728</v>
      </c>
      <c r="AL112" s="162">
        <f t="shared" ref="AL112:BQ112" si="1011">+SUM(AI28:AL28)</f>
        <v>0</v>
      </c>
      <c r="AM112" s="162">
        <f t="shared" si="1011"/>
        <v>0</v>
      </c>
      <c r="AN112" s="162">
        <f t="shared" si="1011"/>
        <v>0</v>
      </c>
      <c r="AO112" s="162">
        <f t="shared" si="1011"/>
        <v>0</v>
      </c>
      <c r="AP112" s="162">
        <f t="shared" si="1011"/>
        <v>0</v>
      </c>
      <c r="AQ112" s="162">
        <f t="shared" si="1011"/>
        <v>0</v>
      </c>
      <c r="AR112" s="162">
        <f t="shared" si="1011"/>
        <v>0</v>
      </c>
      <c r="AS112" s="162">
        <f t="shared" si="1011"/>
        <v>0</v>
      </c>
      <c r="AT112" s="162">
        <f t="shared" si="1011"/>
        <v>0</v>
      </c>
      <c r="AU112" s="162">
        <f t="shared" si="1011"/>
        <v>0</v>
      </c>
      <c r="AV112" s="162">
        <f t="shared" si="1011"/>
        <v>0</v>
      </c>
      <c r="AW112" s="162">
        <f t="shared" si="1011"/>
        <v>0</v>
      </c>
      <c r="AX112" s="162">
        <f t="shared" si="1011"/>
        <v>0</v>
      </c>
      <c r="AY112" s="162">
        <f t="shared" si="1011"/>
        <v>0</v>
      </c>
      <c r="AZ112" s="162">
        <f t="shared" si="1011"/>
        <v>0</v>
      </c>
      <c r="BA112" s="162">
        <f t="shared" si="1011"/>
        <v>0</v>
      </c>
      <c r="BB112" s="162">
        <f t="shared" si="1011"/>
        <v>0</v>
      </c>
      <c r="BC112" s="162">
        <f t="shared" si="1011"/>
        <v>0</v>
      </c>
      <c r="BD112" s="162">
        <f t="shared" si="1011"/>
        <v>0</v>
      </c>
      <c r="BE112" s="162">
        <f t="shared" si="1011"/>
        <v>0</v>
      </c>
      <c r="BF112" s="162">
        <f t="shared" si="1011"/>
        <v>0</v>
      </c>
      <c r="BG112" s="162">
        <f t="shared" si="1011"/>
        <v>0</v>
      </c>
      <c r="BH112" s="162">
        <f t="shared" si="1011"/>
        <v>0</v>
      </c>
      <c r="BI112" s="162">
        <f t="shared" si="1011"/>
        <v>0</v>
      </c>
      <c r="BJ112" s="162">
        <f t="shared" si="1011"/>
        <v>0</v>
      </c>
      <c r="BK112" s="162">
        <f t="shared" si="1011"/>
        <v>0</v>
      </c>
      <c r="BL112" s="162">
        <f t="shared" si="1011"/>
        <v>69.503999999999991</v>
      </c>
      <c r="BM112" s="162">
        <f t="shared" si="1011"/>
        <v>139.214</v>
      </c>
      <c r="BN112" s="162">
        <f t="shared" si="1011"/>
        <v>218.62699999999998</v>
      </c>
      <c r="BO112" s="162">
        <f t="shared" si="1011"/>
        <v>269.995</v>
      </c>
      <c r="BP112" s="162">
        <f t="shared" si="1011"/>
        <v>274.27099999999996</v>
      </c>
      <c r="BQ112" s="162">
        <f t="shared" si="1011"/>
        <v>286.37900000000002</v>
      </c>
      <c r="BR112" s="162">
        <f t="shared" ref="BR112:CW112" si="1012">+SUM(BO28:BR28)</f>
        <v>296.012</v>
      </c>
      <c r="BS112" s="162">
        <f t="shared" si="1012"/>
        <v>337.53699999999998</v>
      </c>
      <c r="BT112" s="162">
        <f t="shared" si="1012"/>
        <v>369.50400000000002</v>
      </c>
      <c r="BU112" s="162">
        <f t="shared" si="1012"/>
        <v>401.01</v>
      </c>
      <c r="BV112" s="162">
        <f t="shared" si="1012"/>
        <v>424.12999999999994</v>
      </c>
      <c r="BW112" s="162">
        <f t="shared" si="1012"/>
        <v>429.10999999999996</v>
      </c>
      <c r="BX112" s="162">
        <f t="shared" si="1012"/>
        <v>429.42699999999996</v>
      </c>
      <c r="BY112" s="162">
        <f t="shared" si="1012"/>
        <v>424.30900000000003</v>
      </c>
      <c r="BZ112" s="162">
        <f t="shared" si="1012"/>
        <v>421.23200000000003</v>
      </c>
      <c r="CA112" s="162">
        <f t="shared" si="1012"/>
        <v>433.41300000000001</v>
      </c>
      <c r="CB112" s="162">
        <f t="shared" si="1012"/>
        <v>449.46600000000001</v>
      </c>
      <c r="CC112" s="162">
        <f t="shared" si="1012"/>
        <v>470.63799999999998</v>
      </c>
      <c r="CD112" s="162">
        <f t="shared" si="1012"/>
        <v>504.89</v>
      </c>
      <c r="CE112" s="162">
        <f t="shared" si="1012"/>
        <v>544.63900000000001</v>
      </c>
      <c r="CF112" s="162">
        <f t="shared" si="1012"/>
        <v>592.726</v>
      </c>
      <c r="CG112" s="162">
        <f t="shared" si="1012"/>
        <v>636.17500000000007</v>
      </c>
      <c r="CH112" s="162">
        <f t="shared" si="1012"/>
        <v>652.2170000000001</v>
      </c>
      <c r="CI112" s="162">
        <f t="shared" si="1012"/>
        <v>656.69399999999996</v>
      </c>
      <c r="CJ112" s="162">
        <f t="shared" si="1012"/>
        <v>654.09899999999993</v>
      </c>
      <c r="CK112" s="162">
        <f t="shared" si="1012"/>
        <v>660.17099999999994</v>
      </c>
      <c r="CL112" s="162">
        <f t="shared" si="1012"/>
        <v>683.90300000000002</v>
      </c>
      <c r="CM112" s="21">
        <f t="shared" si="1012"/>
        <v>699.78183287725915</v>
      </c>
      <c r="CN112" s="21">
        <f t="shared" si="1012"/>
        <v>714.58563074551193</v>
      </c>
      <c r="CO112" s="21">
        <f t="shared" si="1012"/>
        <v>727.08547405405</v>
      </c>
      <c r="CP112" s="21">
        <f t="shared" si="1012"/>
        <v>738.52406321117383</v>
      </c>
      <c r="CQ112" s="21">
        <f t="shared" si="1012"/>
        <v>752.21986732090568</v>
      </c>
      <c r="CR112" s="21">
        <f t="shared" si="1012"/>
        <v>765.92347931710901</v>
      </c>
      <c r="CS112" s="21">
        <f t="shared" si="1012"/>
        <v>779.68789666422754</v>
      </c>
      <c r="CT112" s="21">
        <f t="shared" si="1012"/>
        <v>793.77909571806674</v>
      </c>
      <c r="CU112" s="21">
        <f t="shared" si="1012"/>
        <v>807.56264016328953</v>
      </c>
      <c r="CV112" s="21">
        <f t="shared" si="1012"/>
        <v>821.99794637517618</v>
      </c>
      <c r="CW112" s="21">
        <f t="shared" si="1012"/>
        <v>837.02151387041931</v>
      </c>
      <c r="CX112" s="21">
        <f t="shared" ref="CX112:DB112" si="1013">+SUM(CU28:CX28)</f>
        <v>852.36868941228113</v>
      </c>
      <c r="CY112" s="21">
        <f t="shared" si="1013"/>
        <v>866.96211913951902</v>
      </c>
      <c r="CZ112" s="21">
        <f t="shared" si="1013"/>
        <v>882.44969625373676</v>
      </c>
      <c r="DA112" s="21">
        <f t="shared" si="1013"/>
        <v>898.64332419235916</v>
      </c>
      <c r="DB112" s="21">
        <f t="shared" si="1013"/>
        <v>915.13459588358751</v>
      </c>
      <c r="DE112" s="22"/>
      <c r="DF112" s="162">
        <v>671.90601240078627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 t="e">
        <f t="shared" si="1014"/>
        <v>#DIV/0!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 t="e">
        <f t="shared" ref="AL113" si="1019">+AL110/AL112</f>
        <v>#DIV/0!</v>
      </c>
      <c r="AM113" s="162" t="e">
        <f t="shared" ref="AM113:AO113" si="1020">+AM110/AM112</f>
        <v>#DIV/0!</v>
      </c>
      <c r="AN113" s="162" t="e">
        <f t="shared" si="1020"/>
        <v>#DIV/0!</v>
      </c>
      <c r="AO113" s="162" t="e">
        <f t="shared" si="1020"/>
        <v>#DIV/0!</v>
      </c>
      <c r="AP113" s="162" t="e">
        <f t="shared" ref="AP113:CD113" si="1021">+AP110/AP112</f>
        <v>#DIV/0!</v>
      </c>
      <c r="AQ113" s="162" t="e">
        <f t="shared" si="1021"/>
        <v>#DIV/0!</v>
      </c>
      <c r="AR113" s="162" t="e">
        <f t="shared" si="1021"/>
        <v>#DIV/0!</v>
      </c>
      <c r="AS113" s="162" t="e">
        <f t="shared" si="1021"/>
        <v>#DIV/0!</v>
      </c>
      <c r="AT113" s="162" t="e">
        <f t="shared" si="1021"/>
        <v>#DIV/0!</v>
      </c>
      <c r="AU113" s="162" t="e">
        <f t="shared" si="1021"/>
        <v>#DIV/0!</v>
      </c>
      <c r="AV113" s="162" t="e">
        <f t="shared" si="1021"/>
        <v>#DIV/0!</v>
      </c>
      <c r="AW113" s="162" t="e">
        <f t="shared" si="1021"/>
        <v>#DIV/0!</v>
      </c>
      <c r="AX113" s="162" t="e">
        <f t="shared" si="1021"/>
        <v>#DIV/0!</v>
      </c>
      <c r="AY113" s="162" t="e">
        <f t="shared" si="1021"/>
        <v>#DIV/0!</v>
      </c>
      <c r="AZ113" s="162" t="e">
        <f t="shared" si="1021"/>
        <v>#DIV/0!</v>
      </c>
      <c r="BA113" s="162" t="e">
        <f t="shared" si="1021"/>
        <v>#DIV/0!</v>
      </c>
      <c r="BB113" s="162" t="e">
        <f t="shared" si="1021"/>
        <v>#DIV/0!</v>
      </c>
      <c r="BC113" s="162" t="e">
        <f t="shared" si="1021"/>
        <v>#DIV/0!</v>
      </c>
      <c r="BD113" s="162" t="e">
        <f t="shared" si="1021"/>
        <v>#DIV/0!</v>
      </c>
      <c r="BE113" s="162" t="e">
        <f t="shared" si="1021"/>
        <v>#DIV/0!</v>
      </c>
      <c r="BF113" s="162" t="e">
        <f t="shared" si="1021"/>
        <v>#DIV/0!</v>
      </c>
      <c r="BG113" s="162" t="e">
        <f t="shared" si="1021"/>
        <v>#DIV/0!</v>
      </c>
      <c r="BH113" s="162" t="e">
        <f t="shared" si="1021"/>
        <v>#DIV/0!</v>
      </c>
      <c r="BI113" s="162" t="e">
        <f t="shared" si="1021"/>
        <v>#DIV/0!</v>
      </c>
      <c r="BJ113" s="162" t="e">
        <f t="shared" si="1021"/>
        <v>#DIV/0!</v>
      </c>
      <c r="BK113" s="162" t="e">
        <f t="shared" si="1021"/>
        <v>#DIV/0!</v>
      </c>
      <c r="BL113" s="162">
        <f t="shared" si="1021"/>
        <v>0</v>
      </c>
      <c r="BM113" s="162">
        <f t="shared" si="1021"/>
        <v>-0.33210021980547949</v>
      </c>
      <c r="BN113" s="162">
        <f t="shared" si="1021"/>
        <v>-1.6286369021209643</v>
      </c>
      <c r="BO113" s="162">
        <f t="shared" si="1021"/>
        <v>-1.4639274159982936</v>
      </c>
      <c r="BP113" s="162">
        <f t="shared" si="1021"/>
        <v>-1.361197501740979</v>
      </c>
      <c r="BQ113" s="162">
        <f t="shared" si="1021"/>
        <v>5.028512211262691</v>
      </c>
      <c r="BR113" s="162">
        <f t="shared" si="1021"/>
        <v>5.4176111171168735</v>
      </c>
      <c r="BS113" s="162">
        <f t="shared" si="1021"/>
        <v>7.2170850383154912</v>
      </c>
      <c r="BT113" s="162">
        <f t="shared" si="1021"/>
        <v>9.6372879319303699</v>
      </c>
      <c r="BU113" s="162">
        <f t="shared" si="1021"/>
        <v>6.6763091143771449</v>
      </c>
      <c r="BV113" s="162">
        <f t="shared" si="1021"/>
        <v>5.8644038384457602</v>
      </c>
      <c r="BW113" s="162">
        <f t="shared" si="1021"/>
        <v>4.9432150645823185</v>
      </c>
      <c r="BX113" s="162">
        <f t="shared" si="1021"/>
        <v>4.8767811572164765</v>
      </c>
      <c r="BY113" s="162">
        <f t="shared" si="1021"/>
        <v>4.8530258071293799</v>
      </c>
      <c r="BZ113" s="162">
        <f t="shared" si="1021"/>
        <v>4.3967093763056928</v>
      </c>
      <c r="CA113" s="162">
        <f t="shared" si="1021"/>
        <v>3.8813745317569017</v>
      </c>
      <c r="CB113" s="162">
        <f t="shared" si="1021"/>
        <v>4.4821307062158207</v>
      </c>
      <c r="CC113" s="162">
        <f t="shared" si="1021"/>
        <v>4.770347558716419</v>
      </c>
      <c r="CD113" s="162">
        <f t="shared" si="1021"/>
        <v>5.1294190813840634</v>
      </c>
      <c r="CE113" s="162">
        <f t="shared" ref="CE113:CF113" si="1022">+CE110/CE112</f>
        <v>5.6384534834872495</v>
      </c>
      <c r="CF113" s="162">
        <f t="shared" si="1022"/>
        <v>6.9669764005628227</v>
      </c>
      <c r="CG113" s="162">
        <f t="shared" ref="CG113:CH113" si="1023">+CG110/CG112</f>
        <v>7.0039972679762021</v>
      </c>
      <c r="CH113" s="162">
        <f t="shared" si="1023"/>
        <v>6.9836256644644328</v>
      </c>
      <c r="CI113" s="162">
        <f t="shared" ref="CI113:CJ113" si="1024">+CI110/CI112</f>
        <v>5.3620515076175268</v>
      </c>
      <c r="CJ113" s="162">
        <f t="shared" si="1024"/>
        <v>5.288831699788564</v>
      </c>
      <c r="CK113" s="162">
        <f t="shared" ref="CK113:CL113" si="1025">+CK110/CK112</f>
        <v>29.02396339271537</v>
      </c>
      <c r="CL113" s="162">
        <f t="shared" si="1025"/>
        <v>26.51943813669482</v>
      </c>
      <c r="CM113" s="21">
        <f t="shared" ref="CM113:DB113" si="1026">+CM110/CM112</f>
        <v>17.023908819850682</v>
      </c>
      <c r="CN113" s="21">
        <f t="shared" si="1026"/>
        <v>7.6702566657890063</v>
      </c>
      <c r="CO113" s="21">
        <f t="shared" si="1026"/>
        <v>7.4666698652133929</v>
      </c>
      <c r="CP113" s="21">
        <f t="shared" si="1026"/>
        <v>7.3903911098884478</v>
      </c>
      <c r="CQ113" s="21">
        <f t="shared" si="1026"/>
        <v>7.593103082878911</v>
      </c>
      <c r="CR113" s="21">
        <f t="shared" si="1026"/>
        <v>7.7422502141601122</v>
      </c>
      <c r="CS113" s="21">
        <f t="shared" si="1026"/>
        <v>7.8424345069688046</v>
      </c>
      <c r="CT113" s="21">
        <f t="shared" si="1026"/>
        <v>7.9132078939481572</v>
      </c>
      <c r="CU113" s="21">
        <f t="shared" si="1026"/>
        <v>7.9714761156630622</v>
      </c>
      <c r="CV113" s="21">
        <f t="shared" si="1026"/>
        <v>8.0009335485267972</v>
      </c>
      <c r="CW113" s="21">
        <f t="shared" si="1026"/>
        <v>8.0069977773374426</v>
      </c>
      <c r="CX113" s="21">
        <f t="shared" si="1026"/>
        <v>7.9986822149302554</v>
      </c>
      <c r="CY113" s="21">
        <f t="shared" si="1026"/>
        <v>7.9884073385479839</v>
      </c>
      <c r="CZ113" s="21">
        <f t="shared" si="1026"/>
        <v>7.9616710431457127</v>
      </c>
      <c r="DA113" s="21">
        <f t="shared" si="1026"/>
        <v>7.9220397484157621</v>
      </c>
      <c r="DB113" s="21">
        <f t="shared" si="1026"/>
        <v>7.8754554869696234</v>
      </c>
      <c r="DE113" s="22"/>
      <c r="DF113" s="162">
        <v>26.561859046593607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 t="e">
        <f t="shared" si="1027"/>
        <v>#DIV/0!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 t="e">
        <f t="shared" ref="AL114:AM114" si="1032">+AL111/AL112</f>
        <v>#DIV/0!</v>
      </c>
      <c r="AM114" s="162" t="e">
        <f t="shared" si="1032"/>
        <v>#DIV/0!</v>
      </c>
      <c r="AN114" s="162" t="e">
        <f t="shared" ref="AN114:AO114" si="1033">+AN111/AN112</f>
        <v>#DIV/0!</v>
      </c>
      <c r="AO114" s="162" t="e">
        <f t="shared" si="1033"/>
        <v>#DIV/0!</v>
      </c>
      <c r="AP114" s="162" t="e">
        <f t="shared" ref="AP114:CD114" si="1034">+AP111/AP112</f>
        <v>#DIV/0!</v>
      </c>
      <c r="AQ114" s="162" t="e">
        <f t="shared" si="1034"/>
        <v>#DIV/0!</v>
      </c>
      <c r="AR114" s="162" t="e">
        <f t="shared" si="1034"/>
        <v>#DIV/0!</v>
      </c>
      <c r="AS114" s="162" t="e">
        <f t="shared" si="1034"/>
        <v>#DIV/0!</v>
      </c>
      <c r="AT114" s="162" t="e">
        <f t="shared" si="1034"/>
        <v>#DIV/0!</v>
      </c>
      <c r="AU114" s="162" t="e">
        <f t="shared" si="1034"/>
        <v>#DIV/0!</v>
      </c>
      <c r="AV114" s="162" t="e">
        <f t="shared" si="1034"/>
        <v>#DIV/0!</v>
      </c>
      <c r="AW114" s="162" t="e">
        <f t="shared" si="1034"/>
        <v>#DIV/0!</v>
      </c>
      <c r="AX114" s="162" t="e">
        <f t="shared" si="1034"/>
        <v>#DIV/0!</v>
      </c>
      <c r="AY114" s="162" t="e">
        <f t="shared" si="1034"/>
        <v>#DIV/0!</v>
      </c>
      <c r="AZ114" s="162" t="e">
        <f t="shared" si="1034"/>
        <v>#DIV/0!</v>
      </c>
      <c r="BA114" s="162" t="e">
        <f t="shared" si="1034"/>
        <v>#DIV/0!</v>
      </c>
      <c r="BB114" s="162" t="e">
        <f t="shared" si="1034"/>
        <v>#DIV/0!</v>
      </c>
      <c r="BC114" s="162" t="e">
        <f t="shared" si="1034"/>
        <v>#DIV/0!</v>
      </c>
      <c r="BD114" s="162" t="e">
        <f t="shared" si="1034"/>
        <v>#DIV/0!</v>
      </c>
      <c r="BE114" s="162" t="e">
        <f t="shared" si="1034"/>
        <v>#DIV/0!</v>
      </c>
      <c r="BF114" s="162" t="e">
        <f t="shared" si="1034"/>
        <v>#DIV/0!</v>
      </c>
      <c r="BG114" s="162" t="e">
        <f t="shared" si="1034"/>
        <v>#DIV/0!</v>
      </c>
      <c r="BH114" s="162" t="e">
        <f t="shared" si="1034"/>
        <v>#DIV/0!</v>
      </c>
      <c r="BI114" s="162" t="e">
        <f t="shared" si="1034"/>
        <v>#DIV/0!</v>
      </c>
      <c r="BJ114" s="162" t="e">
        <f t="shared" si="1034"/>
        <v>#DIV/0!</v>
      </c>
      <c r="BK114" s="162" t="e">
        <f t="shared" si="1034"/>
        <v>#DIV/0!</v>
      </c>
      <c r="BL114" s="162">
        <f t="shared" si="1034"/>
        <v>0</v>
      </c>
      <c r="BM114" s="162">
        <f t="shared" si="1034"/>
        <v>-0.33210021980547949</v>
      </c>
      <c r="BN114" s="162">
        <f t="shared" si="1034"/>
        <v>-1.6286369021209643</v>
      </c>
      <c r="BO114" s="162">
        <f t="shared" si="1034"/>
        <v>-1.4639274159982936</v>
      </c>
      <c r="BP114" s="162">
        <f t="shared" si="1034"/>
        <v>-1.361197501740979</v>
      </c>
      <c r="BQ114" s="162">
        <f t="shared" si="1034"/>
        <v>2.8520997787868465</v>
      </c>
      <c r="BR114" s="162">
        <f t="shared" si="1034"/>
        <v>4.2815442955015337</v>
      </c>
      <c r="BS114" s="162">
        <f t="shared" si="1034"/>
        <v>3.7794408215333317</v>
      </c>
      <c r="BT114" s="162">
        <f t="shared" si="1034"/>
        <v>6.1517019572183251</v>
      </c>
      <c r="BU114" s="162">
        <f t="shared" si="1034"/>
        <v>4.9729291487902509</v>
      </c>
      <c r="BV114" s="162">
        <f t="shared" si="1034"/>
        <v>4.1046124018579206</v>
      </c>
      <c r="BW114" s="162">
        <f t="shared" si="1034"/>
        <v>3.4644232396423265</v>
      </c>
      <c r="BX114" s="162">
        <f t="shared" si="1034"/>
        <v>3.733465385269207</v>
      </c>
      <c r="BY114" s="162">
        <f t="shared" si="1034"/>
        <v>3.6021283385392726</v>
      </c>
      <c r="BZ114" s="162">
        <f t="shared" si="1034"/>
        <v>3.5605246420025067</v>
      </c>
      <c r="CA114" s="162">
        <f t="shared" si="1034"/>
        <v>3.2955020729243332</v>
      </c>
      <c r="CB114" s="162">
        <f t="shared" si="1034"/>
        <v>3.5040995803909518</v>
      </c>
      <c r="CC114" s="162">
        <f t="shared" si="1034"/>
        <v>3.1776208515656994</v>
      </c>
      <c r="CD114" s="162">
        <f t="shared" si="1034"/>
        <v>3.9616980371962205</v>
      </c>
      <c r="CE114" s="162">
        <f t="shared" ref="CE114:CF114" si="1035">+CE111/CE112</f>
        <v>4.0202956027625865</v>
      </c>
      <c r="CF114" s="162">
        <f t="shared" si="1035"/>
        <v>4.7761993265016214</v>
      </c>
      <c r="CG114" s="162">
        <f t="shared" ref="CG114:CH114" si="1036">+CG111/CG112</f>
        <v>4.9524182779184356</v>
      </c>
      <c r="CH114" s="162">
        <f t="shared" si="1036"/>
        <v>3.5563465840356803</v>
      </c>
      <c r="CI114" s="162">
        <f t="shared" ref="CI114:CJ114" si="1037">+CI111/CI112</f>
        <v>3.7641115233935198</v>
      </c>
      <c r="CJ114" s="162">
        <f t="shared" si="1037"/>
        <v>4.2415853013075999</v>
      </c>
      <c r="CK114" s="162">
        <f t="shared" ref="CK114:CL114" si="1038">+CK111/CK112</f>
        <v>25.844735965276119</v>
      </c>
      <c r="CL114" s="162">
        <f t="shared" si="1038"/>
        <v>20.931732204713242</v>
      </c>
      <c r="CM114" s="21">
        <f t="shared" ref="CM114:DB114" si="1039">+CM111/CM112</f>
        <v>13.310716007103878</v>
      </c>
      <c r="CN114" s="21">
        <f t="shared" si="1039"/>
        <v>5.8017592384623713</v>
      </c>
      <c r="CO114" s="21">
        <f t="shared" si="1039"/>
        <v>5.5999570762532489</v>
      </c>
      <c r="CP114" s="21">
        <f t="shared" si="1039"/>
        <v>5.4998224746176678</v>
      </c>
      <c r="CQ114" s="21">
        <f t="shared" si="1039"/>
        <v>5.6269675620788782</v>
      </c>
      <c r="CR114" s="21">
        <f t="shared" si="1039"/>
        <v>5.7101689901328312</v>
      </c>
      <c r="CS114" s="21">
        <f t="shared" si="1039"/>
        <v>5.7535491208606322</v>
      </c>
      <c r="CT114" s="21">
        <f t="shared" si="1039"/>
        <v>5.7739790951619607</v>
      </c>
      <c r="CU114" s="21">
        <f t="shared" si="1039"/>
        <v>5.7871226385770091</v>
      </c>
      <c r="CV114" s="21">
        <f t="shared" si="1039"/>
        <v>5.776408058944221</v>
      </c>
      <c r="CW114" s="21">
        <f t="shared" si="1039"/>
        <v>5.7465688951875267</v>
      </c>
      <c r="CX114" s="21">
        <f t="shared" si="1039"/>
        <v>5.7056756216767059</v>
      </c>
      <c r="CY114" s="21">
        <f t="shared" si="1039"/>
        <v>5.665391484832794</v>
      </c>
      <c r="CZ114" s="21">
        <f t="shared" si="1039"/>
        <v>5.6112823129871083</v>
      </c>
      <c r="DA114" s="21">
        <f t="shared" si="1039"/>
        <v>5.5464927292555721</v>
      </c>
      <c r="DB114" s="21">
        <f t="shared" si="1039"/>
        <v>5.4764893304552382</v>
      </c>
      <c r="DE114" s="22"/>
      <c r="DF114" s="162">
        <v>20.882066888812442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12</v>
      </c>
      <c r="G117" s="23">
        <f>'Annual Raw'!H41</f>
        <v>12.002000000000001</v>
      </c>
      <c r="H117" s="23">
        <f>'Annual Raw'!I41</f>
        <v>12.007</v>
      </c>
      <c r="I117" s="23">
        <f>'Annual Raw'!J41</f>
        <v>12.186999999999999</v>
      </c>
      <c r="J117" s="23">
        <f>'Annual Raw'!K41</f>
        <v>12.19</v>
      </c>
      <c r="K117" s="23">
        <f>'Annual Raw'!L41</f>
        <v>12.19</v>
      </c>
      <c r="L117" s="23">
        <f>'Annual Raw'!M41</f>
        <v>48.76</v>
      </c>
      <c r="M117" s="23">
        <f>'Annual Raw'!N41</f>
        <v>48.76</v>
      </c>
      <c r="N117" s="23">
        <f>'Annual Raw'!O41</f>
        <v>48.76</v>
      </c>
      <c r="O117" s="23">
        <f>'Annual Raw'!P41</f>
        <v>48.76</v>
      </c>
      <c r="P117" s="23">
        <f>'Annual Raw'!Q41</f>
        <v>48.76</v>
      </c>
      <c r="Q117" s="23">
        <f>'Annual Raw'!R41</f>
        <v>48.76</v>
      </c>
      <c r="R117" s="23">
        <f>'Annual Raw'!S41</f>
        <v>48.76</v>
      </c>
      <c r="S117" s="23">
        <f>'Annual Raw'!T41</f>
        <v>48.76</v>
      </c>
      <c r="T117" s="23">
        <f>'Annual Raw'!U41</f>
        <v>48.76</v>
      </c>
      <c r="U117" s="23">
        <f>'Annual Raw'!V41</f>
        <v>48.76</v>
      </c>
      <c r="V117" s="23">
        <f>'Annual Raw'!W41</f>
        <v>48.790999999999997</v>
      </c>
      <c r="W117" s="23">
        <f>'Annual Raw'!X41</f>
        <v>48.903500000000001</v>
      </c>
      <c r="X117" s="23">
        <f>'Annual Raw'!Y41</f>
        <v>48.993600000000001</v>
      </c>
      <c r="Y117" s="23">
        <f>'Annual Raw'!Z41</f>
        <v>49.143099999999997</v>
      </c>
      <c r="Z117" s="23">
        <f>'Annual Raw'!AA41</f>
        <v>49.429900000000004</v>
      </c>
      <c r="AA117" s="23">
        <f>'Annual Raw'!AB41</f>
        <v>49.596899999999998</v>
      </c>
      <c r="AB117" s="24">
        <f>+CP117</f>
        <v>49.597000000000001</v>
      </c>
      <c r="AC117" s="24">
        <f>+CT117</f>
        <v>49.597000000000001</v>
      </c>
      <c r="AD117" s="24">
        <f>+CX117</f>
        <v>49.597000000000001</v>
      </c>
      <c r="AE117" s="24">
        <f>+DB117</f>
        <v>49.597000000000001</v>
      </c>
      <c r="AJ117" s="23">
        <f>+'QTR Raw'!D56</f>
        <v>0</v>
      </c>
      <c r="AK117" s="23">
        <f t="shared" ref="AK117:CE117" si="1040">+AJ117</f>
        <v>0</v>
      </c>
      <c r="AL117" s="23">
        <f>+'QTR Raw'!F56</f>
        <v>0</v>
      </c>
      <c r="AM117" s="23">
        <f t="shared" si="1040"/>
        <v>0</v>
      </c>
      <c r="AN117" s="23">
        <f>+'QTR Raw'!H56</f>
        <v>0</v>
      </c>
      <c r="AO117" s="23">
        <f t="shared" si="1040"/>
        <v>0</v>
      </c>
      <c r="AP117" s="23">
        <f>+'QTR Raw'!J56</f>
        <v>0</v>
      </c>
      <c r="AQ117" s="23">
        <f t="shared" si="1040"/>
        <v>0</v>
      </c>
      <c r="AR117" s="23">
        <f>+'QTR Raw'!L56</f>
        <v>0</v>
      </c>
      <c r="AS117" s="23">
        <f t="shared" si="1040"/>
        <v>0</v>
      </c>
      <c r="AT117" s="23">
        <f>+'QTR Raw'!N56</f>
        <v>0</v>
      </c>
      <c r="AU117" s="23">
        <f t="shared" si="1040"/>
        <v>0</v>
      </c>
      <c r="AV117" s="23">
        <f>+'QTR Raw'!P56</f>
        <v>0</v>
      </c>
      <c r="AW117" s="23">
        <f t="shared" si="1040"/>
        <v>0</v>
      </c>
      <c r="AX117" s="23">
        <f>+'QTR Raw'!R56</f>
        <v>0</v>
      </c>
      <c r="AY117" s="23">
        <f t="shared" si="1040"/>
        <v>0</v>
      </c>
      <c r="AZ117" s="23">
        <f>+'QTR Raw'!T56</f>
        <v>0</v>
      </c>
      <c r="BA117" s="23">
        <f t="shared" si="1040"/>
        <v>0</v>
      </c>
      <c r="BB117" s="23">
        <f>+'QTR Raw'!V56</f>
        <v>0</v>
      </c>
      <c r="BC117" s="23">
        <f t="shared" si="1040"/>
        <v>0</v>
      </c>
      <c r="BD117" s="23">
        <f>+'QTR Raw'!X56</f>
        <v>0</v>
      </c>
      <c r="BE117" s="23">
        <f t="shared" si="1040"/>
        <v>0</v>
      </c>
      <c r="BF117" s="23">
        <f>+'QTR Raw'!Z56</f>
        <v>0</v>
      </c>
      <c r="BG117" s="23">
        <f t="shared" si="1040"/>
        <v>0</v>
      </c>
      <c r="BH117" s="23">
        <f>+'QTR Raw'!AB56</f>
        <v>0</v>
      </c>
      <c r="BI117" s="23">
        <f t="shared" si="1040"/>
        <v>0</v>
      </c>
      <c r="BJ117" s="23">
        <f>+'QTR Raw'!AD56</f>
        <v>0</v>
      </c>
      <c r="BK117" s="23">
        <f t="shared" si="1040"/>
        <v>0</v>
      </c>
      <c r="BL117" s="23">
        <f>+'QTR Raw'!AF56</f>
        <v>0</v>
      </c>
      <c r="BM117" s="23">
        <f t="shared" si="1040"/>
        <v>0</v>
      </c>
      <c r="BN117" s="23">
        <f>+'QTR Raw'!AH56</f>
        <v>48.76</v>
      </c>
      <c r="BO117" s="23">
        <f t="shared" si="1040"/>
        <v>48.76</v>
      </c>
      <c r="BP117" s="23">
        <f>+'QTR Raw'!AJ56</f>
        <v>48.786999999999999</v>
      </c>
      <c r="BQ117" s="23">
        <f t="shared" si="1040"/>
        <v>48.786999999999999</v>
      </c>
      <c r="BR117" s="23">
        <f>+'QTR Raw'!AL56</f>
        <v>48.790999999999997</v>
      </c>
      <c r="BS117" s="23">
        <f t="shared" si="1040"/>
        <v>48.790999999999997</v>
      </c>
      <c r="BT117" s="23">
        <f>+'QTR Raw'!AN56</f>
        <v>48.825000000000003</v>
      </c>
      <c r="BU117" s="23">
        <f t="shared" si="1040"/>
        <v>48.825000000000003</v>
      </c>
      <c r="BV117" s="23">
        <f>+'QTR Raw'!AP56</f>
        <v>48.904000000000003</v>
      </c>
      <c r="BW117" s="23">
        <f t="shared" si="1040"/>
        <v>48.904000000000003</v>
      </c>
      <c r="BX117" s="23">
        <f>+'QTR Raw'!AR56</f>
        <v>48.994</v>
      </c>
      <c r="BY117" s="23">
        <f t="shared" si="1040"/>
        <v>48.994</v>
      </c>
      <c r="BZ117" s="23">
        <f>+'QTR Raw'!AT56</f>
        <v>48.994</v>
      </c>
      <c r="CA117" s="23">
        <f t="shared" si="1040"/>
        <v>48.994</v>
      </c>
      <c r="CB117" s="23">
        <f>+'QTR Raw'!AV56</f>
        <v>49.122</v>
      </c>
      <c r="CC117" s="23">
        <f t="shared" si="1040"/>
        <v>49.122</v>
      </c>
      <c r="CD117" s="23">
        <f>+'QTR Raw'!AX56</f>
        <v>49.143000000000001</v>
      </c>
      <c r="CE117" s="23">
        <f t="shared" si="1040"/>
        <v>49.143000000000001</v>
      </c>
      <c r="CF117" s="23">
        <f>+'QTR Raw'!AZ56</f>
        <v>49.283000000000001</v>
      </c>
      <c r="CG117" s="23">
        <f t="shared" ref="CG117:CG118" si="1041">+CF117</f>
        <v>49.283000000000001</v>
      </c>
      <c r="CH117" s="23">
        <f>Z117</f>
        <v>49.429900000000004</v>
      </c>
      <c r="CI117" s="23">
        <f>CH117</f>
        <v>49.429900000000004</v>
      </c>
      <c r="CJ117" s="23">
        <f>+'QTR Raw'!BD56</f>
        <v>49.496000000000002</v>
      </c>
      <c r="CK117" s="24">
        <f t="shared" ref="CK117:DB117" si="1042">CJ117</f>
        <v>49.496000000000002</v>
      </c>
      <c r="CL117" s="23">
        <f>+'QTR Raw'!BF56</f>
        <v>49.597000000000001</v>
      </c>
      <c r="CM117" s="24">
        <f t="shared" si="1042"/>
        <v>49.597000000000001</v>
      </c>
      <c r="CN117" s="24">
        <f t="shared" si="1042"/>
        <v>49.597000000000001</v>
      </c>
      <c r="CO117" s="24">
        <f t="shared" si="1042"/>
        <v>49.597000000000001</v>
      </c>
      <c r="CP117" s="24">
        <f t="shared" si="1042"/>
        <v>49.597000000000001</v>
      </c>
      <c r="CQ117" s="24">
        <f t="shared" si="1042"/>
        <v>49.597000000000001</v>
      </c>
      <c r="CR117" s="24">
        <f t="shared" si="1042"/>
        <v>49.597000000000001</v>
      </c>
      <c r="CS117" s="24">
        <f t="shared" si="1042"/>
        <v>49.597000000000001</v>
      </c>
      <c r="CT117" s="24">
        <f t="shared" si="1042"/>
        <v>49.597000000000001</v>
      </c>
      <c r="CU117" s="24">
        <f t="shared" si="1042"/>
        <v>49.597000000000001</v>
      </c>
      <c r="CV117" s="24">
        <f t="shared" si="1042"/>
        <v>49.597000000000001</v>
      </c>
      <c r="CW117" s="24">
        <f t="shared" si="1042"/>
        <v>49.597000000000001</v>
      </c>
      <c r="CX117" s="24">
        <f t="shared" si="1042"/>
        <v>49.597000000000001</v>
      </c>
      <c r="CY117" s="24">
        <f t="shared" si="1042"/>
        <v>49.597000000000001</v>
      </c>
      <c r="CZ117" s="24">
        <f t="shared" si="1042"/>
        <v>49.597000000000001</v>
      </c>
      <c r="DA117" s="24">
        <f t="shared" si="1042"/>
        <v>49.597000000000001</v>
      </c>
      <c r="DB117" s="24">
        <f t="shared" si="1042"/>
        <v>49.597000000000001</v>
      </c>
      <c r="DE117" s="123"/>
      <c r="DF117" s="23">
        <v>49.496000000000002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3.621</v>
      </c>
      <c r="V118" s="23">
        <f>'Annual Raw'!W42</f>
        <v>11.226900000000001</v>
      </c>
      <c r="W118" s="23">
        <f>'Annual Raw'!X42</f>
        <v>31.083500000000001</v>
      </c>
      <c r="X118" s="23">
        <f>'Annual Raw'!Y42</f>
        <v>52.430599999999998</v>
      </c>
      <c r="Y118" s="23">
        <f>'Annual Raw'!Z42</f>
        <v>53.850099999999998</v>
      </c>
      <c r="Z118" s="23">
        <f>'Annual Raw'!AA42</f>
        <v>47.290700000000001</v>
      </c>
      <c r="AA118" s="23">
        <f>'Annual Raw'!AB42</f>
        <v>44.5289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5.5149999999999997</v>
      </c>
      <c r="BU118" s="23">
        <f t="shared" si="1047"/>
        <v>5.5149999999999997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47.290700000000001</v>
      </c>
      <c r="CI118" s="23">
        <f>CH118</f>
        <v>47.290700000000001</v>
      </c>
      <c r="CJ118" s="23">
        <f>+'QTR Raw'!BD57</f>
        <v>5.1559999999999997</v>
      </c>
      <c r="CK118" s="24">
        <f t="shared" ref="CK118:DB118" si="1049">CJ118</f>
        <v>5.1559999999999997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5.1559999999999997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35.850740399999999</v>
      </c>
      <c r="G119" s="23">
        <f>'Annual Raw'!H43</f>
        <v>55.020296199999997</v>
      </c>
      <c r="H119" s="23">
        <f>'Annual Raw'!I43</f>
        <v>89.894462899999994</v>
      </c>
      <c r="I119" s="23">
        <f>'Annual Raw'!J43</f>
        <v>148.8858453</v>
      </c>
      <c r="J119" s="23">
        <f>'Annual Raw'!K43</f>
        <v>165.34601470000001</v>
      </c>
      <c r="K119" s="23">
        <f>'Annual Raw'!L43</f>
        <v>178.92588019999999</v>
      </c>
      <c r="L119" s="23">
        <f>'Annual Raw'!M43</f>
        <v>150.09739450000001</v>
      </c>
      <c r="M119" s="23">
        <f>'Annual Raw'!N43</f>
        <v>168.64025570000001</v>
      </c>
      <c r="N119" s="23">
        <f>'Annual Raw'!O43</f>
        <v>189.94576710000001</v>
      </c>
      <c r="O119" s="23">
        <f>'Annual Raw'!P43</f>
        <v>218.88010489999999</v>
      </c>
      <c r="P119" s="23">
        <f>'Annual Raw'!Q43</f>
        <v>246.19489999999999</v>
      </c>
      <c r="Q119" s="23">
        <f>'Annual Raw'!R43</f>
        <v>315.29629999999997</v>
      </c>
      <c r="R119" s="23">
        <f>'Annual Raw'!S43</f>
        <v>366.78059999999999</v>
      </c>
      <c r="S119" s="23">
        <f>'Annual Raw'!T43</f>
        <v>401.02170000000001</v>
      </c>
      <c r="T119" s="23">
        <f>'Annual Raw'!U43</f>
        <v>402.98770000000002</v>
      </c>
      <c r="U119" s="23">
        <f>'Annual Raw'!V43</f>
        <v>496.47539999999998</v>
      </c>
      <c r="V119" s="23">
        <f>'Annual Raw'!W43</f>
        <v>455.85379999999998</v>
      </c>
      <c r="W119" s="23">
        <f>'Annual Raw'!X43</f>
        <v>567.6508</v>
      </c>
      <c r="X119" s="23">
        <f>'Annual Raw'!Y43</f>
        <v>680.30039999999997</v>
      </c>
      <c r="Y119" s="23">
        <f>'Annual Raw'!Z43</f>
        <v>811.53970000000004</v>
      </c>
      <c r="Z119" s="23">
        <f>'Annual Raw'!AA43</f>
        <v>1021.8332</v>
      </c>
      <c r="AA119" s="23">
        <f>'Annual Raw'!AB43</f>
        <v>1226.7889</v>
      </c>
      <c r="AB119" s="24">
        <f t="shared" si="1043"/>
        <v>1773.529690720454</v>
      </c>
      <c r="AC119" s="24">
        <f t="shared" si="1044"/>
        <v>2384.3122300171035</v>
      </c>
      <c r="AD119" s="24">
        <f t="shared" si="1045"/>
        <v>3087.3238618131995</v>
      </c>
      <c r="AE119" s="24">
        <f t="shared" si="1046"/>
        <v>3876.9814519464294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46.233000000000011</v>
      </c>
      <c r="BN119" s="23">
        <f>+'QTR Raw'!AH58</f>
        <v>500.096</v>
      </c>
      <c r="BO119" s="23">
        <f>+BN119+BO48</f>
        <v>539.89099999999996</v>
      </c>
      <c r="BP119" s="23">
        <f>+'QTR Raw'!AJ58</f>
        <v>414.06099999999998</v>
      </c>
      <c r="BQ119" s="23">
        <f>+BP119+BQ48</f>
        <v>470.47899999999998</v>
      </c>
      <c r="BR119" s="23">
        <f>+'QTR Raw'!AL58</f>
        <v>467.08100000000002</v>
      </c>
      <c r="BS119" s="23">
        <f>+BR119+BS48</f>
        <v>530.32299999999998</v>
      </c>
      <c r="BT119" s="23">
        <f>+'QTR Raw'!AN58</f>
        <v>525.92999999999995</v>
      </c>
      <c r="BU119" s="23">
        <f>+BT119+BU48</f>
        <v>603.24099999999999</v>
      </c>
      <c r="BV119" s="23">
        <f>+'QTR Raw'!AP58</f>
        <v>598.73400000000004</v>
      </c>
      <c r="BW119" s="23">
        <f>+BV119+BW48</f>
        <v>663.51200000000006</v>
      </c>
      <c r="BX119" s="23">
        <f>+'QTR Raw'!AR58</f>
        <v>667.77300000000002</v>
      </c>
      <c r="BY119" s="23">
        <f>+BX119+BY48</f>
        <v>741.49099999999999</v>
      </c>
      <c r="BZ119" s="23">
        <f>+'QTR Raw'!AT58</f>
        <v>732.73099999999999</v>
      </c>
      <c r="CA119" s="23">
        <f>+BZ119+CA48</f>
        <v>809.07099999999991</v>
      </c>
      <c r="CB119" s="23">
        <f>+'QTR Raw'!AV58</f>
        <v>754.33100000000002</v>
      </c>
      <c r="CC119" s="23">
        <f>+CB119+CC48</f>
        <v>843.625</v>
      </c>
      <c r="CD119" s="23">
        <f>+'QTR Raw'!AX58</f>
        <v>865.39</v>
      </c>
      <c r="CE119" s="23">
        <f>+CD119+CE48</f>
        <v>973.60199999999998</v>
      </c>
      <c r="CF119" s="23">
        <f>+'QTR Raw'!AZ58</f>
        <v>980.85299999999995</v>
      </c>
      <c r="CG119" s="23">
        <f>+CF119+CG48</f>
        <v>1106.346</v>
      </c>
      <c r="CH119" s="23">
        <f t="shared" si="1048"/>
        <v>1021.8332</v>
      </c>
      <c r="CI119" s="23">
        <f>CH119+CI48</f>
        <v>1130.9232</v>
      </c>
      <c r="CJ119" s="23">
        <f>+'QTR Raw'!BD58</f>
        <v>1162.1690000000001</v>
      </c>
      <c r="CK119" s="24">
        <f t="shared" ref="CK119:DB119" si="1050">CJ119+CK48</f>
        <v>1287.7060000000001</v>
      </c>
      <c r="CL119" s="23">
        <f>+'QTR Raw'!BF58</f>
        <v>1271.318</v>
      </c>
      <c r="CM119" s="24">
        <f t="shared" si="1050"/>
        <v>1377.9480767261489</v>
      </c>
      <c r="CN119" s="24">
        <f t="shared" si="1050"/>
        <v>1499.4372790098705</v>
      </c>
      <c r="CO119" s="24">
        <f t="shared" si="1050"/>
        <v>1633.0782840887034</v>
      </c>
      <c r="CP119" s="24">
        <f t="shared" si="1050"/>
        <v>1773.529690720454</v>
      </c>
      <c r="CQ119" s="24">
        <f t="shared" si="1050"/>
        <v>1909.9190895322504</v>
      </c>
      <c r="CR119" s="24">
        <f t="shared" si="1050"/>
        <v>2059.2672759512238</v>
      </c>
      <c r="CS119" s="24">
        <f t="shared" si="1050"/>
        <v>2218.8995369757608</v>
      </c>
      <c r="CT119" s="24">
        <f t="shared" si="1050"/>
        <v>2384.3122300171035</v>
      </c>
      <c r="CU119" s="24">
        <f t="shared" si="1050"/>
        <v>2544.4150428571288</v>
      </c>
      <c r="CV119" s="24">
        <f t="shared" si="1050"/>
        <v>2716.9824145804032</v>
      </c>
      <c r="CW119" s="24">
        <f t="shared" si="1050"/>
        <v>2899.4450699644904</v>
      </c>
      <c r="CX119" s="24">
        <f t="shared" si="1050"/>
        <v>3087.3238618131995</v>
      </c>
      <c r="CY119" s="24">
        <f t="shared" si="1050"/>
        <v>3268.8210028497242</v>
      </c>
      <c r="CZ119" s="24">
        <f t="shared" si="1050"/>
        <v>3463.0177073415734</v>
      </c>
      <c r="DA119" s="24">
        <f t="shared" si="1050"/>
        <v>3667.3026968991535</v>
      </c>
      <c r="DB119" s="24">
        <f t="shared" si="1050"/>
        <v>3876.9814519464294</v>
      </c>
      <c r="DE119" s="123"/>
      <c r="DF119" s="23">
        <v>1410.5371086004302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0</v>
      </c>
      <c r="E120" s="22">
        <f t="shared" si="1051"/>
        <v>0</v>
      </c>
      <c r="F120" s="22">
        <f t="shared" si="1051"/>
        <v>47.850740399999999</v>
      </c>
      <c r="G120" s="22">
        <f t="shared" si="1051"/>
        <v>67.0222962</v>
      </c>
      <c r="H120" s="22">
        <f t="shared" si="1051"/>
        <v>101.9014629</v>
      </c>
      <c r="I120" s="22">
        <f t="shared" si="1051"/>
        <v>161.07284530000001</v>
      </c>
      <c r="J120" s="22">
        <f t="shared" si="1051"/>
        <v>177.53601470000001</v>
      </c>
      <c r="K120" s="22">
        <f t="shared" si="1051"/>
        <v>191.11588019999999</v>
      </c>
      <c r="L120" s="22">
        <f t="shared" si="1051"/>
        <v>198.8573945</v>
      </c>
      <c r="M120" s="22">
        <f>M117+M118+M119</f>
        <v>217.4002557</v>
      </c>
      <c r="N120" s="22">
        <f t="shared" si="1051"/>
        <v>238.7057671</v>
      </c>
      <c r="O120" s="22">
        <f t="shared" si="1051"/>
        <v>267.64010489999998</v>
      </c>
      <c r="P120" s="22">
        <f t="shared" si="1051"/>
        <v>294.95490000000001</v>
      </c>
      <c r="Q120" s="22">
        <f t="shared" si="1051"/>
        <v>364.05629999999996</v>
      </c>
      <c r="R120" s="22">
        <f t="shared" si="1051"/>
        <v>415.54059999999998</v>
      </c>
      <c r="S120" s="22">
        <f t="shared" si="1051"/>
        <v>449.7817</v>
      </c>
      <c r="T120" s="22">
        <f t="shared" si="1051"/>
        <v>451.74770000000001</v>
      </c>
      <c r="U120" s="22">
        <f t="shared" si="1051"/>
        <v>548.85640000000001</v>
      </c>
      <c r="V120" s="22">
        <f t="shared" si="1051"/>
        <v>515.87169999999992</v>
      </c>
      <c r="W120" s="22">
        <f t="shared" ref="W120" si="1052">W117+W118+W119</f>
        <v>647.63779999999997</v>
      </c>
      <c r="X120" s="22">
        <f t="shared" ref="X120:Y120" si="1053">X117+X118+X119</f>
        <v>781.72460000000001</v>
      </c>
      <c r="Y120" s="22">
        <f t="shared" si="1053"/>
        <v>914.53290000000004</v>
      </c>
      <c r="Z120" s="22">
        <f t="shared" ref="Z120:AA120" si="1054">Z117+Z118+Z119</f>
        <v>1118.5538000000001</v>
      </c>
      <c r="AA120" s="22">
        <f t="shared" si="1054"/>
        <v>1320.9147</v>
      </c>
      <c r="AB120" s="21">
        <f t="shared" ref="AA120:AD120" si="1055">AB117+AB118+AB119</f>
        <v>1823.126690720454</v>
      </c>
      <c r="AC120" s="21">
        <f t="shared" si="1055"/>
        <v>2433.9092300171037</v>
      </c>
      <c r="AD120" s="21">
        <f t="shared" si="1055"/>
        <v>3136.9208618131997</v>
      </c>
      <c r="AE120" s="21">
        <f t="shared" ref="AE120" si="1056">AE117+AE118+AE119</f>
        <v>3926.5784519464296</v>
      </c>
      <c r="AJ120" s="22">
        <f t="shared" ref="AJ120" si="1057">AJ117+AJ118+AJ119</f>
        <v>0</v>
      </c>
      <c r="AK120" s="22">
        <f t="shared" ref="AK120" si="1058">AK117+AK118+AK119</f>
        <v>0</v>
      </c>
      <c r="AL120" s="22">
        <f t="shared" ref="AL120:AM120" si="1059">AL117+AL118+AL119</f>
        <v>0</v>
      </c>
      <c r="AM120" s="22">
        <f t="shared" si="1059"/>
        <v>0</v>
      </c>
      <c r="AN120" s="22">
        <f t="shared" ref="AN120:AO120" si="1060">AN117+AN118+AN119</f>
        <v>0</v>
      </c>
      <c r="AO120" s="22">
        <f t="shared" si="1060"/>
        <v>0</v>
      </c>
      <c r="AP120" s="22">
        <f t="shared" ref="AP120:CE120" si="1061">AP117+AP118+AP119</f>
        <v>0</v>
      </c>
      <c r="AQ120" s="22">
        <f t="shared" si="1061"/>
        <v>0</v>
      </c>
      <c r="AR120" s="22">
        <f t="shared" si="1061"/>
        <v>0</v>
      </c>
      <c r="AS120" s="22">
        <f t="shared" si="1061"/>
        <v>0</v>
      </c>
      <c r="AT120" s="22">
        <f t="shared" si="1061"/>
        <v>0</v>
      </c>
      <c r="AU120" s="22">
        <f t="shared" si="1061"/>
        <v>0</v>
      </c>
      <c r="AV120" s="22">
        <f t="shared" si="1061"/>
        <v>0</v>
      </c>
      <c r="AW120" s="22">
        <f t="shared" si="1061"/>
        <v>0</v>
      </c>
      <c r="AX120" s="22">
        <f t="shared" si="1061"/>
        <v>0</v>
      </c>
      <c r="AY120" s="22">
        <f t="shared" si="1061"/>
        <v>0</v>
      </c>
      <c r="AZ120" s="22">
        <f t="shared" si="1061"/>
        <v>0</v>
      </c>
      <c r="BA120" s="22">
        <f t="shared" si="1061"/>
        <v>0</v>
      </c>
      <c r="BB120" s="22">
        <f t="shared" si="1061"/>
        <v>0</v>
      </c>
      <c r="BC120" s="22">
        <f t="shared" si="1061"/>
        <v>0</v>
      </c>
      <c r="BD120" s="22">
        <f t="shared" si="1061"/>
        <v>0</v>
      </c>
      <c r="BE120" s="22">
        <f t="shared" si="1061"/>
        <v>0</v>
      </c>
      <c r="BF120" s="22">
        <f t="shared" si="1061"/>
        <v>0</v>
      </c>
      <c r="BG120" s="22">
        <f t="shared" si="1061"/>
        <v>0</v>
      </c>
      <c r="BH120" s="22">
        <f t="shared" si="1061"/>
        <v>0</v>
      </c>
      <c r="BI120" s="22">
        <f t="shared" si="1061"/>
        <v>0</v>
      </c>
      <c r="BJ120" s="22">
        <f t="shared" si="1061"/>
        <v>0</v>
      </c>
      <c r="BK120" s="22">
        <f t="shared" si="1061"/>
        <v>0</v>
      </c>
      <c r="BL120" s="22">
        <f t="shared" si="1061"/>
        <v>0</v>
      </c>
      <c r="BM120" s="22">
        <f t="shared" si="1061"/>
        <v>46.233000000000011</v>
      </c>
      <c r="BN120" s="22">
        <f t="shared" si="1061"/>
        <v>548.85599999999999</v>
      </c>
      <c r="BO120" s="22">
        <f t="shared" si="1061"/>
        <v>588.65099999999995</v>
      </c>
      <c r="BP120" s="22">
        <f t="shared" si="1061"/>
        <v>462.84799999999996</v>
      </c>
      <c r="BQ120" s="22">
        <f t="shared" si="1061"/>
        <v>519.26599999999996</v>
      </c>
      <c r="BR120" s="22">
        <f t="shared" si="1061"/>
        <v>515.87200000000007</v>
      </c>
      <c r="BS120" s="22">
        <f t="shared" si="1061"/>
        <v>579.11400000000003</v>
      </c>
      <c r="BT120" s="22">
        <f t="shared" si="1061"/>
        <v>580.27</v>
      </c>
      <c r="BU120" s="22">
        <f t="shared" si="1061"/>
        <v>657.58100000000002</v>
      </c>
      <c r="BV120" s="22">
        <f t="shared" si="1061"/>
        <v>647.63800000000003</v>
      </c>
      <c r="BW120" s="22">
        <f t="shared" si="1061"/>
        <v>712.41600000000005</v>
      </c>
      <c r="BX120" s="22">
        <f t="shared" si="1061"/>
        <v>716.76700000000005</v>
      </c>
      <c r="BY120" s="22">
        <f t="shared" si="1061"/>
        <v>790.48500000000001</v>
      </c>
      <c r="BZ120" s="22">
        <f t="shared" si="1061"/>
        <v>781.72500000000002</v>
      </c>
      <c r="CA120" s="22">
        <f t="shared" si="1061"/>
        <v>858.06499999999994</v>
      </c>
      <c r="CB120" s="22">
        <f t="shared" si="1061"/>
        <v>803.45299999999997</v>
      </c>
      <c r="CC120" s="22">
        <f t="shared" si="1061"/>
        <v>892.74699999999996</v>
      </c>
      <c r="CD120" s="22">
        <f t="shared" si="1061"/>
        <v>914.53300000000002</v>
      </c>
      <c r="CE120" s="22">
        <f t="shared" si="1061"/>
        <v>1022.745</v>
      </c>
      <c r="CF120" s="22">
        <f t="shared" ref="CF120:CG120" si="1062">CF117+CF118+CF119</f>
        <v>1030.136</v>
      </c>
      <c r="CG120" s="22">
        <f t="shared" si="1062"/>
        <v>1155.6289999999999</v>
      </c>
      <c r="CH120" s="22">
        <f t="shared" ref="CH120:CI120" si="1063">CH117+CH118+CH119</f>
        <v>1118.5538000000001</v>
      </c>
      <c r="CI120" s="22">
        <f t="shared" si="1063"/>
        <v>1227.6438000000001</v>
      </c>
      <c r="CJ120" s="22">
        <f t="shared" ref="CJ120:DB120" si="1064">CJ117+CJ118+CJ119</f>
        <v>1216.8210000000001</v>
      </c>
      <c r="CK120" s="21">
        <f t="shared" si="1064"/>
        <v>1342.3580000000002</v>
      </c>
      <c r="CL120" s="22">
        <f t="shared" ref="CL120" si="1065">CL117+CL118+CL119</f>
        <v>1320.915</v>
      </c>
      <c r="CM120" s="21">
        <f t="shared" si="1064"/>
        <v>1427.5450767261489</v>
      </c>
      <c r="CN120" s="21">
        <f t="shared" si="1064"/>
        <v>1549.0342790098705</v>
      </c>
      <c r="CO120" s="21">
        <f t="shared" si="1064"/>
        <v>1682.6752840887034</v>
      </c>
      <c r="CP120" s="21">
        <f t="shared" si="1064"/>
        <v>1823.126690720454</v>
      </c>
      <c r="CQ120" s="21">
        <f t="shared" si="1064"/>
        <v>1959.5160895322504</v>
      </c>
      <c r="CR120" s="21">
        <f t="shared" si="1064"/>
        <v>2108.864275951224</v>
      </c>
      <c r="CS120" s="21">
        <f t="shared" si="1064"/>
        <v>2268.496536975761</v>
      </c>
      <c r="CT120" s="21">
        <f t="shared" si="1064"/>
        <v>2433.9092300171037</v>
      </c>
      <c r="CU120" s="21">
        <f t="shared" si="1064"/>
        <v>2594.012042857129</v>
      </c>
      <c r="CV120" s="21">
        <f t="shared" si="1064"/>
        <v>2766.5794145804034</v>
      </c>
      <c r="CW120" s="21">
        <f t="shared" si="1064"/>
        <v>2949.0420699644906</v>
      </c>
      <c r="CX120" s="21">
        <f t="shared" si="1064"/>
        <v>3136.9208618131997</v>
      </c>
      <c r="CY120" s="21">
        <f t="shared" si="1064"/>
        <v>3318.4180028497244</v>
      </c>
      <c r="CZ120" s="21">
        <f t="shared" si="1064"/>
        <v>3512.6147073415736</v>
      </c>
      <c r="DA120" s="21">
        <f t="shared" si="1064"/>
        <v>3716.8996968991537</v>
      </c>
      <c r="DB120" s="21">
        <f t="shared" si="1064"/>
        <v>3926.5784519464296</v>
      </c>
      <c r="DE120" s="126"/>
      <c r="DF120" s="22">
        <v>1465.1891086004302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13.1871738</v>
      </c>
      <c r="P122" s="23">
        <f>'Annual Raw'!Q45</f>
        <v>6.4555999999999996</v>
      </c>
      <c r="Q122" s="23">
        <f>'Annual Raw'!R45</f>
        <v>7.4109999999999996</v>
      </c>
      <c r="R122" s="23">
        <f>'Annual Raw'!S45</f>
        <v>8.1936</v>
      </c>
      <c r="S122" s="23">
        <f>'Annual Raw'!T45</f>
        <v>7.7515999999999998</v>
      </c>
      <c r="T122" s="23">
        <f>'Annual Raw'!U45</f>
        <v>8.2944999999999993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0.74739999999999995</v>
      </c>
      <c r="Y122" s="23">
        <f>'Annual Raw'!Z45</f>
        <v>1.1149</v>
      </c>
      <c r="Z122" s="23">
        <f>'Annual Raw'!AA45</f>
        <v>0.35349999999999998</v>
      </c>
      <c r="AA122" s="23">
        <f>'Annual Raw'!AB45</f>
        <v>-4.58E-2</v>
      </c>
      <c r="AB122" s="24">
        <f>+CP122</f>
        <v>-4.5999999999999999E-2</v>
      </c>
      <c r="AC122" s="24">
        <f>+CT122</f>
        <v>-4.5999999999999999E-2</v>
      </c>
      <c r="AD122" s="24">
        <f>+CX122</f>
        <v>-4.5999999999999999E-2</v>
      </c>
      <c r="AE122" s="24">
        <f>+DB122</f>
        <v>-4.5999999999999999E-2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1.1459999999999999</v>
      </c>
      <c r="BY122" s="23">
        <f t="shared" si="1066"/>
        <v>1.1459999999999999</v>
      </c>
      <c r="BZ122" s="23">
        <f>+'QTR Raw'!AT60</f>
        <v>0.747</v>
      </c>
      <c r="CA122" s="23">
        <f t="shared" si="1066"/>
        <v>0.747</v>
      </c>
      <c r="CB122" s="23">
        <f>+'QTR Raw'!AV60</f>
        <v>0.81200000000000006</v>
      </c>
      <c r="CC122" s="23">
        <f t="shared" si="1066"/>
        <v>0.81200000000000006</v>
      </c>
      <c r="CD122" s="23">
        <f>+'QTR Raw'!AX60</f>
        <v>1.115</v>
      </c>
      <c r="CE122" s="23">
        <f t="shared" si="1066"/>
        <v>1.115</v>
      </c>
      <c r="CF122" s="23">
        <f>+'QTR Raw'!AZ60</f>
        <v>0.876</v>
      </c>
      <c r="CG122" s="23">
        <f t="shared" ref="CG122:CI122" si="1067">+CF122</f>
        <v>0.876</v>
      </c>
      <c r="CH122" s="23">
        <f t="shared" ref="CH122:CH127" si="1068">Z122</f>
        <v>0.35349999999999998</v>
      </c>
      <c r="CI122" s="23">
        <f t="shared" si="1067"/>
        <v>0.35349999999999998</v>
      </c>
      <c r="CJ122" s="23">
        <f>+'QTR Raw'!BD60</f>
        <v>0.26</v>
      </c>
      <c r="CK122" s="24">
        <f t="shared" ref="CK122" si="1069">+CJ122</f>
        <v>0.26</v>
      </c>
      <c r="CL122" s="23">
        <f>+'QTR Raw'!BF60</f>
        <v>-4.5999999999999999E-2</v>
      </c>
      <c r="CM122" s="24">
        <f t="shared" ref="CM122" si="1070">+CL122</f>
        <v>-4.5999999999999999E-2</v>
      </c>
      <c r="CN122" s="24">
        <f t="shared" ref="CN122" si="1071">+CM122</f>
        <v>-4.5999999999999999E-2</v>
      </c>
      <c r="CO122" s="24">
        <f t="shared" ref="CO122" si="1072">+CN122</f>
        <v>-4.5999999999999999E-2</v>
      </c>
      <c r="CP122" s="24">
        <f t="shared" ref="CP122" si="1073">+CO122</f>
        <v>-4.5999999999999999E-2</v>
      </c>
      <c r="CQ122" s="24">
        <f t="shared" ref="CQ122" si="1074">+CP122</f>
        <v>-4.5999999999999999E-2</v>
      </c>
      <c r="CR122" s="24">
        <f t="shared" ref="CR122" si="1075">+CQ122</f>
        <v>-4.5999999999999999E-2</v>
      </c>
      <c r="CS122" s="24">
        <f t="shared" ref="CS122" si="1076">+CR122</f>
        <v>-4.5999999999999999E-2</v>
      </c>
      <c r="CT122" s="24">
        <f t="shared" ref="CT122" si="1077">+CS122</f>
        <v>-4.5999999999999999E-2</v>
      </c>
      <c r="CU122" s="24">
        <f t="shared" ref="CU122" si="1078">+CT122</f>
        <v>-4.5999999999999999E-2</v>
      </c>
      <c r="CV122" s="24">
        <f t="shared" ref="CV122" si="1079">+CU122</f>
        <v>-4.5999999999999999E-2</v>
      </c>
      <c r="CW122" s="24">
        <f t="shared" ref="CW122" si="1080">+CV122</f>
        <v>-4.5999999999999999E-2</v>
      </c>
      <c r="CX122" s="24">
        <f t="shared" ref="CX122" si="1081">+CW122</f>
        <v>-4.5999999999999999E-2</v>
      </c>
      <c r="CY122" s="24">
        <f t="shared" ref="CY122" si="1082">+CX122</f>
        <v>-4.5999999999999999E-2</v>
      </c>
      <c r="CZ122" s="24">
        <f t="shared" ref="CZ122" si="1083">+CY122</f>
        <v>-4.5999999999999999E-2</v>
      </c>
      <c r="DA122" s="24">
        <f t="shared" ref="DA122" si="1084">+CZ122</f>
        <v>-4.5999999999999999E-2</v>
      </c>
      <c r="DB122" s="24">
        <f t="shared" ref="DB122" si="1085">+DA122</f>
        <v>-4.5999999999999999E-2</v>
      </c>
      <c r="DE122" s="123"/>
      <c r="DF122" s="23">
        <v>0.26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3">
        <f>'Annual Raw'!AB47</f>
        <v>0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0</v>
      </c>
      <c r="CI124" s="23">
        <f t="shared" si="1092"/>
        <v>0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0</v>
      </c>
      <c r="AC125" s="24">
        <f t="shared" si="1087"/>
        <v>0</v>
      </c>
      <c r="AD125" s="24">
        <f t="shared" si="1088"/>
        <v>0</v>
      </c>
      <c r="AE125" s="24">
        <f t="shared" si="1089"/>
        <v>0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0</v>
      </c>
      <c r="AO125" s="23">
        <f t="shared" si="1090"/>
        <v>0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0</v>
      </c>
      <c r="AY125" s="23">
        <f t="shared" si="1090"/>
        <v>0</v>
      </c>
      <c r="AZ125" s="23">
        <f>+'QTR Raw'!T63</f>
        <v>0</v>
      </c>
      <c r="BA125" s="23">
        <f t="shared" si="1090"/>
        <v>0</v>
      </c>
      <c r="BB125" s="23">
        <f>+'QTR Raw'!V63</f>
        <v>0</v>
      </c>
      <c r="BC125" s="23">
        <f t="shared" si="1090"/>
        <v>0</v>
      </c>
      <c r="BD125" s="23">
        <f>+'QTR Raw'!X63</f>
        <v>0</v>
      </c>
      <c r="BE125" s="23">
        <f t="shared" si="1090"/>
        <v>0</v>
      </c>
      <c r="BF125" s="23">
        <f>+'QTR Raw'!Z63</f>
        <v>0</v>
      </c>
      <c r="BG125" s="23">
        <f t="shared" si="1090"/>
        <v>0</v>
      </c>
      <c r="BH125" s="23">
        <f>+'QTR Raw'!AB63</f>
        <v>0</v>
      </c>
      <c r="BI125" s="23">
        <f t="shared" si="1090"/>
        <v>0</v>
      </c>
      <c r="BJ125" s="23">
        <f>+'QTR Raw'!AD63</f>
        <v>0</v>
      </c>
      <c r="BK125" s="23">
        <f t="shared" si="1090"/>
        <v>0</v>
      </c>
      <c r="BL125" s="23">
        <f>+'QTR Raw'!AF63</f>
        <v>0</v>
      </c>
      <c r="BM125" s="23">
        <f t="shared" si="1090"/>
        <v>0</v>
      </c>
      <c r="BN125" s="23">
        <f>+'QTR Raw'!AH63</f>
        <v>0</v>
      </c>
      <c r="BO125" s="23">
        <f t="shared" si="1090"/>
        <v>0</v>
      </c>
      <c r="BP125" s="23">
        <f>+'QTR Raw'!AJ63</f>
        <v>0</v>
      </c>
      <c r="BQ125" s="23">
        <f t="shared" si="1090"/>
        <v>0</v>
      </c>
      <c r="BR125" s="23">
        <f>+'QTR Raw'!AL63</f>
        <v>0</v>
      </c>
      <c r="BS125" s="23">
        <f t="shared" si="1090"/>
        <v>0</v>
      </c>
      <c r="BT125" s="23">
        <f>+'QTR Raw'!AN63</f>
        <v>0</v>
      </c>
      <c r="BU125" s="23">
        <f t="shared" si="1090"/>
        <v>0</v>
      </c>
      <c r="BV125" s="23">
        <f>+'QTR Raw'!AP63</f>
        <v>0</v>
      </c>
      <c r="BW125" s="23">
        <f t="shared" si="1090"/>
        <v>0</v>
      </c>
      <c r="BX125" s="23">
        <f>+'QTR Raw'!AR63</f>
        <v>0</v>
      </c>
      <c r="BY125" s="23">
        <f t="shared" si="1090"/>
        <v>0</v>
      </c>
      <c r="BZ125" s="23">
        <f>+'QTR Raw'!AT63</f>
        <v>0</v>
      </c>
      <c r="CA125" s="23">
        <f t="shared" si="1090"/>
        <v>0</v>
      </c>
      <c r="CB125" s="23">
        <f>+'QTR Raw'!AV63</f>
        <v>0</v>
      </c>
      <c r="CC125" s="23">
        <f t="shared" si="1090"/>
        <v>0</v>
      </c>
      <c r="CD125" s="23">
        <f>+'QTR Raw'!AX63</f>
        <v>0</v>
      </c>
      <c r="CE125" s="23">
        <f t="shared" si="1091"/>
        <v>0</v>
      </c>
      <c r="CF125" s="23">
        <f>+'QTR Raw'!AZ63</f>
        <v>0</v>
      </c>
      <c r="CG125" s="23">
        <f t="shared" si="1092"/>
        <v>0</v>
      </c>
      <c r="CH125" s="23">
        <f t="shared" si="1068"/>
        <v>0</v>
      </c>
      <c r="CI125" s="23">
        <f t="shared" si="1092"/>
        <v>0</v>
      </c>
      <c r="CJ125" s="23">
        <f>+'QTR Raw'!BD63</f>
        <v>0.24399999999999999</v>
      </c>
      <c r="CK125" s="24">
        <f t="shared" si="1093"/>
        <v>0.24399999999999999</v>
      </c>
      <c r="CL125" s="23">
        <f>+'QTR Raw'!BF63</f>
        <v>0</v>
      </c>
      <c r="CM125" s="24">
        <f t="shared" si="1094"/>
        <v>0</v>
      </c>
      <c r="CN125" s="24">
        <f t="shared" si="1095"/>
        <v>0</v>
      </c>
      <c r="CO125" s="24">
        <f t="shared" si="1096"/>
        <v>0</v>
      </c>
      <c r="CP125" s="24">
        <f t="shared" si="1097"/>
        <v>0</v>
      </c>
      <c r="CQ125" s="24">
        <f t="shared" si="1098"/>
        <v>0</v>
      </c>
      <c r="CR125" s="24">
        <f t="shared" si="1099"/>
        <v>0</v>
      </c>
      <c r="CS125" s="24">
        <f t="shared" si="1100"/>
        <v>0</v>
      </c>
      <c r="CT125" s="24">
        <f t="shared" si="1101"/>
        <v>0</v>
      </c>
      <c r="CU125" s="24">
        <f t="shared" si="1102"/>
        <v>0</v>
      </c>
      <c r="CV125" s="24">
        <f t="shared" si="1103"/>
        <v>0</v>
      </c>
      <c r="CW125" s="24">
        <f t="shared" si="1104"/>
        <v>0</v>
      </c>
      <c r="CX125" s="24">
        <f t="shared" si="1105"/>
        <v>0</v>
      </c>
      <c r="CY125" s="24">
        <f t="shared" si="1106"/>
        <v>0</v>
      </c>
      <c r="CZ125" s="24">
        <f t="shared" si="1107"/>
        <v>0</v>
      </c>
      <c r="DA125" s="24">
        <f t="shared" si="1108"/>
        <v>0</v>
      </c>
      <c r="DB125" s="24">
        <f t="shared" si="1109"/>
        <v>0</v>
      </c>
      <c r="DE125" s="123"/>
      <c r="DF125" s="23">
        <v>0.24399999999999999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0</v>
      </c>
      <c r="CI126" s="23">
        <f t="shared" si="1092"/>
        <v>0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0.66</v>
      </c>
      <c r="AA127" s="23">
        <f>'Annual Raw'!AB56</f>
        <v>0.47889999999999999</v>
      </c>
      <c r="AB127" s="24">
        <f t="shared" si="1086"/>
        <v>0.47899999999999998</v>
      </c>
      <c r="AC127" s="24">
        <f t="shared" si="1087"/>
        <v>0.47899999999999998</v>
      </c>
      <c r="AD127" s="24">
        <f t="shared" si="1088"/>
        <v>0.47899999999999998</v>
      </c>
      <c r="AE127" s="24">
        <f t="shared" si="1089"/>
        <v>0.47899999999999998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0</v>
      </c>
      <c r="AO127" s="23">
        <f t="shared" si="1090"/>
        <v>0</v>
      </c>
      <c r="AP127" s="23">
        <f>+'QTR Raw'!J88</f>
        <v>0</v>
      </c>
      <c r="AQ127" s="23">
        <f t="shared" si="1090"/>
        <v>0</v>
      </c>
      <c r="AR127" s="23">
        <f>+'QTR Raw'!L88</f>
        <v>0</v>
      </c>
      <c r="AS127" s="23">
        <f t="shared" si="1090"/>
        <v>0</v>
      </c>
      <c r="AT127" s="23">
        <f>+'QTR Raw'!N88</f>
        <v>0</v>
      </c>
      <c r="AU127" s="23">
        <f t="shared" si="1090"/>
        <v>0</v>
      </c>
      <c r="AV127" s="23">
        <f>+'QTR Raw'!P88</f>
        <v>0</v>
      </c>
      <c r="AW127" s="23">
        <f t="shared" si="1090"/>
        <v>0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0</v>
      </c>
      <c r="BC127" s="23">
        <f t="shared" si="1090"/>
        <v>0</v>
      </c>
      <c r="BD127" s="23">
        <f>+'QTR Raw'!X88</f>
        <v>0</v>
      </c>
      <c r="BE127" s="23">
        <f t="shared" si="1090"/>
        <v>0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0</v>
      </c>
      <c r="BO127" s="23">
        <f t="shared" si="1090"/>
        <v>0</v>
      </c>
      <c r="BP127" s="23">
        <f>+'QTR Raw'!AJ88</f>
        <v>0</v>
      </c>
      <c r="BQ127" s="23">
        <f t="shared" si="1090"/>
        <v>0</v>
      </c>
      <c r="BR127" s="23">
        <f>+'QTR Raw'!AL88</f>
        <v>0</v>
      </c>
      <c r="BS127" s="23">
        <f t="shared" si="1090"/>
        <v>0</v>
      </c>
      <c r="BT127" s="23">
        <f>+'QTR Raw'!AN88</f>
        <v>0</v>
      </c>
      <c r="BU127" s="23">
        <f t="shared" si="1090"/>
        <v>0</v>
      </c>
      <c r="BV127" s="23">
        <f>+'QTR Raw'!AP88</f>
        <v>0</v>
      </c>
      <c r="BW127" s="23">
        <f t="shared" si="1090"/>
        <v>0</v>
      </c>
      <c r="BX127" s="23">
        <f>+'QTR Raw'!AR88</f>
        <v>0</v>
      </c>
      <c r="BY127" s="23">
        <f t="shared" si="1090"/>
        <v>0</v>
      </c>
      <c r="BZ127" s="23">
        <f>+'QTR Raw'!AT88</f>
        <v>0</v>
      </c>
      <c r="CA127" s="23">
        <f t="shared" si="1090"/>
        <v>0</v>
      </c>
      <c r="CB127" s="23">
        <f>+'QTR Raw'!AV88</f>
        <v>0</v>
      </c>
      <c r="CC127" s="23">
        <f t="shared" si="1090"/>
        <v>0</v>
      </c>
      <c r="CD127" s="23">
        <f>+'QTR Raw'!AX88</f>
        <v>0</v>
      </c>
      <c r="CE127" s="23">
        <f t="shared" si="1091"/>
        <v>0</v>
      </c>
      <c r="CF127" s="23">
        <f>+'QTR Raw'!AZ88</f>
        <v>0.5</v>
      </c>
      <c r="CG127" s="23">
        <f t="shared" si="1092"/>
        <v>0.5</v>
      </c>
      <c r="CH127" s="23">
        <f t="shared" si="1068"/>
        <v>0.66</v>
      </c>
      <c r="CI127" s="23">
        <f t="shared" si="1092"/>
        <v>0.66</v>
      </c>
      <c r="CJ127" s="23">
        <f>+'QTR Raw'!BD88</f>
        <v>0.46200000000000002</v>
      </c>
      <c r="CK127" s="24">
        <f t="shared" si="1093"/>
        <v>0.46200000000000002</v>
      </c>
      <c r="CL127" s="23">
        <f>+'QTR Raw'!BF88</f>
        <v>0.47899999999999998</v>
      </c>
      <c r="CM127" s="24">
        <f t="shared" si="1094"/>
        <v>0.47899999999999998</v>
      </c>
      <c r="CN127" s="24">
        <f t="shared" si="1095"/>
        <v>0.47899999999999998</v>
      </c>
      <c r="CO127" s="24">
        <f t="shared" si="1096"/>
        <v>0.47899999999999998</v>
      </c>
      <c r="CP127" s="24">
        <f t="shared" si="1097"/>
        <v>0.47899999999999998</v>
      </c>
      <c r="CQ127" s="24">
        <f t="shared" si="1098"/>
        <v>0.47899999999999998</v>
      </c>
      <c r="CR127" s="24">
        <f t="shared" si="1099"/>
        <v>0.47899999999999998</v>
      </c>
      <c r="CS127" s="24">
        <f t="shared" si="1100"/>
        <v>0.47899999999999998</v>
      </c>
      <c r="CT127" s="24">
        <f t="shared" si="1101"/>
        <v>0.47899999999999998</v>
      </c>
      <c r="CU127" s="24">
        <f t="shared" si="1102"/>
        <v>0.47899999999999998</v>
      </c>
      <c r="CV127" s="24">
        <f t="shared" si="1103"/>
        <v>0.47899999999999998</v>
      </c>
      <c r="CW127" s="24">
        <f t="shared" si="1104"/>
        <v>0.47899999999999998</v>
      </c>
      <c r="CX127" s="24">
        <f t="shared" si="1105"/>
        <v>0.47899999999999998</v>
      </c>
      <c r="CY127" s="24">
        <f t="shared" si="1106"/>
        <v>0.47899999999999998</v>
      </c>
      <c r="CZ127" s="24">
        <f t="shared" si="1107"/>
        <v>0.47899999999999998</v>
      </c>
      <c r="DA127" s="24">
        <f t="shared" si="1108"/>
        <v>0.47899999999999998</v>
      </c>
      <c r="DB127" s="24">
        <f t="shared" si="1109"/>
        <v>0.47899999999999998</v>
      </c>
      <c r="DE127" s="123"/>
      <c r="DF127" s="23">
        <v>0.46200000000000002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0</v>
      </c>
      <c r="F128" s="22">
        <f t="shared" si="1110"/>
        <v>0</v>
      </c>
      <c r="G128" s="22">
        <f t="shared" si="1110"/>
        <v>0</v>
      </c>
      <c r="H128" s="22">
        <f t="shared" si="1110"/>
        <v>0</v>
      </c>
      <c r="I128" s="22">
        <f t="shared" si="1110"/>
        <v>0</v>
      </c>
      <c r="J128" s="22">
        <f t="shared" si="1110"/>
        <v>0</v>
      </c>
      <c r="K128" s="22">
        <f t="shared" si="1110"/>
        <v>0</v>
      </c>
      <c r="L128" s="22">
        <f t="shared" si="1110"/>
        <v>0</v>
      </c>
      <c r="M128" s="22">
        <f t="shared" si="1110"/>
        <v>0</v>
      </c>
      <c r="N128" s="22">
        <f t="shared" si="1110"/>
        <v>0</v>
      </c>
      <c r="O128" s="22">
        <f t="shared" si="1110"/>
        <v>0</v>
      </c>
      <c r="P128" s="22">
        <f t="shared" si="1110"/>
        <v>0</v>
      </c>
      <c r="Q128" s="22">
        <f t="shared" si="1110"/>
        <v>0</v>
      </c>
      <c r="R128" s="22">
        <f t="shared" si="1110"/>
        <v>0</v>
      </c>
      <c r="S128" s="22">
        <f t="shared" si="1110"/>
        <v>0</v>
      </c>
      <c r="T128" s="22">
        <f t="shared" si="1110"/>
        <v>0</v>
      </c>
      <c r="U128" s="22">
        <f t="shared" si="1110"/>
        <v>0</v>
      </c>
      <c r="V128" s="22">
        <f t="shared" si="1110"/>
        <v>0</v>
      </c>
      <c r="W128" s="22">
        <f t="shared" ref="W128" si="1111">SUM(W124:W127)</f>
        <v>0</v>
      </c>
      <c r="X128" s="22">
        <f t="shared" ref="X128:Y128" si="1112">SUM(X124:X127)</f>
        <v>0</v>
      </c>
      <c r="Y128" s="22">
        <f t="shared" si="1112"/>
        <v>0</v>
      </c>
      <c r="Z128" s="22">
        <f t="shared" ref="Z128:AA128" si="1113">SUM(Z124:Z127)</f>
        <v>0.66</v>
      </c>
      <c r="AA128" s="22">
        <f t="shared" si="1113"/>
        <v>0.47889999999999999</v>
      </c>
      <c r="AB128" s="21">
        <f t="shared" ref="AA128:AD128" si="1114">SUM(AB124:AB127)</f>
        <v>0.47899999999999998</v>
      </c>
      <c r="AC128" s="21">
        <f t="shared" si="1114"/>
        <v>0.47899999999999998</v>
      </c>
      <c r="AD128" s="21">
        <f t="shared" si="1114"/>
        <v>0.47899999999999998</v>
      </c>
      <c r="AE128" s="21">
        <f t="shared" ref="AE128" si="1115">SUM(AE124:AE127)</f>
        <v>0.47899999999999998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0</v>
      </c>
      <c r="AM128" s="22">
        <f t="shared" si="1118"/>
        <v>0</v>
      </c>
      <c r="AN128" s="22">
        <f t="shared" ref="AN128:AO128" si="1119">SUM(AN124:AN127)</f>
        <v>0</v>
      </c>
      <c r="AO128" s="22">
        <f t="shared" si="1119"/>
        <v>0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0</v>
      </c>
      <c r="AS128" s="22">
        <f t="shared" si="1120"/>
        <v>0</v>
      </c>
      <c r="AT128" s="22">
        <f t="shared" si="1120"/>
        <v>0</v>
      </c>
      <c r="AU128" s="22">
        <f t="shared" si="1120"/>
        <v>0</v>
      </c>
      <c r="AV128" s="22">
        <f t="shared" si="1120"/>
        <v>0</v>
      </c>
      <c r="AW128" s="22">
        <f t="shared" si="1120"/>
        <v>0</v>
      </c>
      <c r="AX128" s="22">
        <f t="shared" si="1120"/>
        <v>0</v>
      </c>
      <c r="AY128" s="22">
        <f t="shared" si="1120"/>
        <v>0</v>
      </c>
      <c r="AZ128" s="22">
        <f t="shared" si="1120"/>
        <v>0</v>
      </c>
      <c r="BA128" s="22">
        <f t="shared" si="1120"/>
        <v>0</v>
      </c>
      <c r="BB128" s="22">
        <f t="shared" si="1120"/>
        <v>0</v>
      </c>
      <c r="BC128" s="22">
        <f t="shared" si="1120"/>
        <v>0</v>
      </c>
      <c r="BD128" s="22">
        <f t="shared" si="1120"/>
        <v>0</v>
      </c>
      <c r="BE128" s="22">
        <f t="shared" si="1120"/>
        <v>0</v>
      </c>
      <c r="BF128" s="22">
        <f t="shared" si="1120"/>
        <v>0</v>
      </c>
      <c r="BG128" s="22">
        <f t="shared" si="1120"/>
        <v>0</v>
      </c>
      <c r="BH128" s="22">
        <f t="shared" ref="BH128" si="1121">SUM(BH124:BH127)</f>
        <v>0</v>
      </c>
      <c r="BI128" s="22">
        <f t="shared" si="1120"/>
        <v>0</v>
      </c>
      <c r="BJ128" s="22">
        <f t="shared" si="1120"/>
        <v>0</v>
      </c>
      <c r="BK128" s="22">
        <f t="shared" si="1120"/>
        <v>0</v>
      </c>
      <c r="BL128" s="22">
        <f t="shared" si="1120"/>
        <v>0</v>
      </c>
      <c r="BM128" s="22">
        <f t="shared" si="1120"/>
        <v>0</v>
      </c>
      <c r="BN128" s="22">
        <f t="shared" si="1120"/>
        <v>0</v>
      </c>
      <c r="BO128" s="22">
        <f t="shared" si="1120"/>
        <v>0</v>
      </c>
      <c r="BP128" s="22">
        <f t="shared" si="1120"/>
        <v>0</v>
      </c>
      <c r="BQ128" s="22">
        <f t="shared" si="1120"/>
        <v>0</v>
      </c>
      <c r="BR128" s="22">
        <f t="shared" si="1120"/>
        <v>0</v>
      </c>
      <c r="BS128" s="22">
        <f t="shared" si="1120"/>
        <v>0</v>
      </c>
      <c r="BT128" s="22">
        <f t="shared" si="1120"/>
        <v>0</v>
      </c>
      <c r="BU128" s="22">
        <f t="shared" si="1120"/>
        <v>0</v>
      </c>
      <c r="BV128" s="22">
        <f t="shared" si="1120"/>
        <v>0</v>
      </c>
      <c r="BW128" s="22">
        <f t="shared" si="1120"/>
        <v>0</v>
      </c>
      <c r="BX128" s="22">
        <f t="shared" si="1120"/>
        <v>0</v>
      </c>
      <c r="BY128" s="22">
        <f t="shared" si="1120"/>
        <v>0</v>
      </c>
      <c r="BZ128" s="22">
        <f t="shared" si="1120"/>
        <v>0</v>
      </c>
      <c r="CA128" s="22">
        <f t="shared" si="1120"/>
        <v>0</v>
      </c>
      <c r="CB128" s="22">
        <f t="shared" si="1120"/>
        <v>0</v>
      </c>
      <c r="CC128" s="22">
        <f t="shared" si="1120"/>
        <v>0</v>
      </c>
      <c r="CD128" s="22">
        <f t="shared" si="1120"/>
        <v>0</v>
      </c>
      <c r="CE128" s="22">
        <f t="shared" si="1120"/>
        <v>0</v>
      </c>
      <c r="CF128" s="22">
        <f t="shared" ref="CF128:CG128" si="1122">SUM(CF124:CF127)</f>
        <v>0.5</v>
      </c>
      <c r="CG128" s="22">
        <f t="shared" si="1122"/>
        <v>0.5</v>
      </c>
      <c r="CH128" s="22">
        <f t="shared" ref="CH128:CI128" si="1123">SUM(CH124:CH127)</f>
        <v>0.66</v>
      </c>
      <c r="CI128" s="22">
        <f t="shared" si="1123"/>
        <v>0.66</v>
      </c>
      <c r="CJ128" s="22">
        <f t="shared" ref="CJ128:DB128" si="1124">SUM(CJ124:CJ127)</f>
        <v>0.70599999999999996</v>
      </c>
      <c r="CK128" s="21">
        <f t="shared" si="1124"/>
        <v>0.70599999999999996</v>
      </c>
      <c r="CL128" s="22">
        <f t="shared" ref="CL128" si="1125">SUM(CL124:CL127)</f>
        <v>0.47899999999999998</v>
      </c>
      <c r="CM128" s="21">
        <f t="shared" si="1124"/>
        <v>0.47899999999999998</v>
      </c>
      <c r="CN128" s="21">
        <f t="shared" si="1124"/>
        <v>0.47899999999999998</v>
      </c>
      <c r="CO128" s="21">
        <f t="shared" si="1124"/>
        <v>0.47899999999999998</v>
      </c>
      <c r="CP128" s="21">
        <f t="shared" si="1124"/>
        <v>0.47899999999999998</v>
      </c>
      <c r="CQ128" s="21">
        <f t="shared" si="1124"/>
        <v>0.47899999999999998</v>
      </c>
      <c r="CR128" s="21">
        <f t="shared" si="1124"/>
        <v>0.47899999999999998</v>
      </c>
      <c r="CS128" s="21">
        <f t="shared" si="1124"/>
        <v>0.47899999999999998</v>
      </c>
      <c r="CT128" s="21">
        <f t="shared" si="1124"/>
        <v>0.47899999999999998</v>
      </c>
      <c r="CU128" s="21">
        <f t="shared" si="1124"/>
        <v>0.47899999999999998</v>
      </c>
      <c r="CV128" s="21">
        <f t="shared" si="1124"/>
        <v>0.47899999999999998</v>
      </c>
      <c r="CW128" s="21">
        <f t="shared" si="1124"/>
        <v>0.47899999999999998</v>
      </c>
      <c r="CX128" s="21">
        <f t="shared" si="1124"/>
        <v>0.47899999999999998</v>
      </c>
      <c r="CY128" s="21">
        <f t="shared" si="1124"/>
        <v>0.47899999999999998</v>
      </c>
      <c r="CZ128" s="21">
        <f t="shared" si="1124"/>
        <v>0.47899999999999998</v>
      </c>
      <c r="DA128" s="21">
        <f t="shared" si="1124"/>
        <v>0.47899999999999998</v>
      </c>
      <c r="DB128" s="21">
        <f t="shared" si="1124"/>
        <v>0.47899999999999998</v>
      </c>
      <c r="DE128" s="126"/>
      <c r="DF128" s="22">
        <v>0.70599999999999996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0</v>
      </c>
      <c r="E129" s="26">
        <f t="shared" si="1126"/>
        <v>0</v>
      </c>
      <c r="F129" s="26">
        <f t="shared" si="1126"/>
        <v>47.850740399999999</v>
      </c>
      <c r="G129" s="26">
        <f t="shared" si="1126"/>
        <v>67.0222962</v>
      </c>
      <c r="H129" s="26">
        <f t="shared" si="1126"/>
        <v>101.9014629</v>
      </c>
      <c r="I129" s="26">
        <f t="shared" si="1126"/>
        <v>161.07284530000001</v>
      </c>
      <c r="J129" s="26">
        <f t="shared" si="1126"/>
        <v>177.53601470000001</v>
      </c>
      <c r="K129" s="26">
        <f t="shared" si="1126"/>
        <v>191.11588019999999</v>
      </c>
      <c r="L129" s="26">
        <f t="shared" si="1126"/>
        <v>198.8573945</v>
      </c>
      <c r="M129" s="26">
        <f t="shared" si="1126"/>
        <v>217.4002557</v>
      </c>
      <c r="N129" s="26">
        <f t="shared" si="1126"/>
        <v>238.7057671</v>
      </c>
      <c r="O129" s="26">
        <f t="shared" si="1126"/>
        <v>280.82727869999997</v>
      </c>
      <c r="P129" s="26">
        <f t="shared" si="1126"/>
        <v>301.41050000000001</v>
      </c>
      <c r="Q129" s="26">
        <f t="shared" si="1126"/>
        <v>371.46729999999997</v>
      </c>
      <c r="R129" s="26">
        <f t="shared" si="1126"/>
        <v>423.73419999999999</v>
      </c>
      <c r="S129" s="26">
        <f t="shared" si="1126"/>
        <v>457.5333</v>
      </c>
      <c r="T129" s="26">
        <f t="shared" si="1126"/>
        <v>460.04219999999998</v>
      </c>
      <c r="U129" s="26">
        <f t="shared" si="1126"/>
        <v>548.85640000000001</v>
      </c>
      <c r="V129" s="26">
        <f t="shared" si="1126"/>
        <v>515.87169999999992</v>
      </c>
      <c r="W129" s="26">
        <f t="shared" ref="W129" si="1127">W128+W120+W122</f>
        <v>647.63779999999997</v>
      </c>
      <c r="X129" s="26">
        <f t="shared" ref="X129:Y129" si="1128">X128+X120+X122</f>
        <v>782.47199999999998</v>
      </c>
      <c r="Y129" s="26">
        <f t="shared" si="1128"/>
        <v>915.64780000000007</v>
      </c>
      <c r="Z129" s="26">
        <f t="shared" ref="Z129:AA129" si="1129">Z128+Z120+Z122</f>
        <v>1119.5673000000002</v>
      </c>
      <c r="AA129" s="26">
        <f t="shared" si="1129"/>
        <v>1321.3478</v>
      </c>
      <c r="AB129" s="27">
        <f t="shared" ref="AA129:AD129" si="1130">AB128+AB120+AB122</f>
        <v>1823.559690720454</v>
      </c>
      <c r="AC129" s="27">
        <f t="shared" si="1130"/>
        <v>2434.3422300171037</v>
      </c>
      <c r="AD129" s="27">
        <f t="shared" si="1130"/>
        <v>3137.3538618131997</v>
      </c>
      <c r="AE129" s="27">
        <f t="shared" ref="AE129" si="1131">AE128+AE120+AE122</f>
        <v>3927.0114519464296</v>
      </c>
      <c r="AJ129" s="26">
        <f t="shared" ref="AJ129" si="1132">AJ128+AJ120+AJ122</f>
        <v>0</v>
      </c>
      <c r="AK129" s="26">
        <f t="shared" ref="AK129" si="1133">AK128+AK120+AK122</f>
        <v>0</v>
      </c>
      <c r="AL129" s="26">
        <f t="shared" ref="AL129" si="1134">AL128+AL120+AL122</f>
        <v>0</v>
      </c>
      <c r="AM129" s="26">
        <f t="shared" ref="AM129:AO129" si="1135">AM128+AM120+AM122</f>
        <v>0</v>
      </c>
      <c r="AN129" s="26">
        <f t="shared" si="1135"/>
        <v>0</v>
      </c>
      <c r="AO129" s="26">
        <f t="shared" si="1135"/>
        <v>0</v>
      </c>
      <c r="AP129" s="26">
        <f t="shared" ref="AP129:CE129" si="1136">AP128+AP120+AP122</f>
        <v>0</v>
      </c>
      <c r="AQ129" s="26">
        <f t="shared" si="1136"/>
        <v>0</v>
      </c>
      <c r="AR129" s="26">
        <f t="shared" si="1136"/>
        <v>0</v>
      </c>
      <c r="AS129" s="26">
        <f t="shared" si="1136"/>
        <v>0</v>
      </c>
      <c r="AT129" s="26">
        <f t="shared" si="1136"/>
        <v>0</v>
      </c>
      <c r="AU129" s="26">
        <f t="shared" si="1136"/>
        <v>0</v>
      </c>
      <c r="AV129" s="26">
        <f t="shared" si="1136"/>
        <v>0</v>
      </c>
      <c r="AW129" s="26">
        <f t="shared" si="1136"/>
        <v>0</v>
      </c>
      <c r="AX129" s="26">
        <f t="shared" si="1136"/>
        <v>0</v>
      </c>
      <c r="AY129" s="26">
        <f t="shared" si="1136"/>
        <v>0</v>
      </c>
      <c r="AZ129" s="26">
        <f t="shared" si="1136"/>
        <v>0</v>
      </c>
      <c r="BA129" s="26">
        <f t="shared" si="1136"/>
        <v>0</v>
      </c>
      <c r="BB129" s="26">
        <f t="shared" si="1136"/>
        <v>0</v>
      </c>
      <c r="BC129" s="26">
        <f t="shared" si="1136"/>
        <v>0</v>
      </c>
      <c r="BD129" s="26">
        <f t="shared" si="1136"/>
        <v>0</v>
      </c>
      <c r="BE129" s="26">
        <f t="shared" si="1136"/>
        <v>0</v>
      </c>
      <c r="BF129" s="26">
        <f t="shared" si="1136"/>
        <v>0</v>
      </c>
      <c r="BG129" s="26">
        <f t="shared" si="1136"/>
        <v>0</v>
      </c>
      <c r="BH129" s="26">
        <f t="shared" ref="BH129" si="1137">BH128+BH120+BH122</f>
        <v>0</v>
      </c>
      <c r="BI129" s="26">
        <f t="shared" si="1136"/>
        <v>0</v>
      </c>
      <c r="BJ129" s="26">
        <f t="shared" si="1136"/>
        <v>0</v>
      </c>
      <c r="BK129" s="26">
        <f t="shared" si="1136"/>
        <v>0</v>
      </c>
      <c r="BL129" s="26">
        <f t="shared" si="1136"/>
        <v>0</v>
      </c>
      <c r="BM129" s="26">
        <f t="shared" si="1136"/>
        <v>46.233000000000011</v>
      </c>
      <c r="BN129" s="26">
        <f t="shared" si="1136"/>
        <v>548.85599999999999</v>
      </c>
      <c r="BO129" s="26">
        <f t="shared" si="1136"/>
        <v>588.65099999999995</v>
      </c>
      <c r="BP129" s="26">
        <f t="shared" si="1136"/>
        <v>462.84799999999996</v>
      </c>
      <c r="BQ129" s="26">
        <f t="shared" si="1136"/>
        <v>519.26599999999996</v>
      </c>
      <c r="BR129" s="26">
        <f t="shared" si="1136"/>
        <v>515.87200000000007</v>
      </c>
      <c r="BS129" s="26">
        <f t="shared" si="1136"/>
        <v>579.11400000000003</v>
      </c>
      <c r="BT129" s="26">
        <f t="shared" si="1136"/>
        <v>580.27</v>
      </c>
      <c r="BU129" s="26">
        <f t="shared" si="1136"/>
        <v>657.58100000000002</v>
      </c>
      <c r="BV129" s="26">
        <f t="shared" si="1136"/>
        <v>647.63800000000003</v>
      </c>
      <c r="BW129" s="26">
        <f t="shared" si="1136"/>
        <v>712.41600000000005</v>
      </c>
      <c r="BX129" s="26">
        <f t="shared" si="1136"/>
        <v>717.91300000000001</v>
      </c>
      <c r="BY129" s="26">
        <f t="shared" si="1136"/>
        <v>791.63099999999997</v>
      </c>
      <c r="BZ129" s="26">
        <f t="shared" si="1136"/>
        <v>782.47199999999998</v>
      </c>
      <c r="CA129" s="26">
        <f t="shared" si="1136"/>
        <v>858.8119999999999</v>
      </c>
      <c r="CB129" s="26">
        <f t="shared" si="1136"/>
        <v>804.26499999999999</v>
      </c>
      <c r="CC129" s="26">
        <f t="shared" si="1136"/>
        <v>893.55899999999997</v>
      </c>
      <c r="CD129" s="26">
        <f t="shared" si="1136"/>
        <v>915.64800000000002</v>
      </c>
      <c r="CE129" s="26">
        <f t="shared" si="1136"/>
        <v>1023.86</v>
      </c>
      <c r="CF129" s="26">
        <f t="shared" ref="CF129:CG129" si="1138">CF128+CF120+CF122</f>
        <v>1031.5119999999999</v>
      </c>
      <c r="CG129" s="26">
        <f t="shared" si="1138"/>
        <v>1157.0049999999999</v>
      </c>
      <c r="CH129" s="26">
        <f t="shared" ref="CH129:CI129" si="1139">CH128+CH120+CH122</f>
        <v>1119.5673000000002</v>
      </c>
      <c r="CI129" s="26">
        <f t="shared" si="1139"/>
        <v>1228.6573000000001</v>
      </c>
      <c r="CJ129" s="26">
        <f t="shared" ref="CJ129:DB129" si="1140">CJ128+CJ120+CJ122</f>
        <v>1217.787</v>
      </c>
      <c r="CK129" s="27">
        <f t="shared" si="1140"/>
        <v>1343.3240000000001</v>
      </c>
      <c r="CL129" s="26">
        <f t="shared" ref="CL129" si="1141">CL128+CL120+CL122</f>
        <v>1321.348</v>
      </c>
      <c r="CM129" s="27">
        <f t="shared" si="1140"/>
        <v>1427.9780767261489</v>
      </c>
      <c r="CN129" s="27">
        <f t="shared" si="1140"/>
        <v>1549.4672790098705</v>
      </c>
      <c r="CO129" s="27">
        <f t="shared" si="1140"/>
        <v>1683.1082840887034</v>
      </c>
      <c r="CP129" s="27">
        <f t="shared" si="1140"/>
        <v>1823.559690720454</v>
      </c>
      <c r="CQ129" s="27">
        <f t="shared" si="1140"/>
        <v>1959.9490895322504</v>
      </c>
      <c r="CR129" s="27">
        <f t="shared" si="1140"/>
        <v>2109.297275951224</v>
      </c>
      <c r="CS129" s="27">
        <f t="shared" si="1140"/>
        <v>2268.929536975761</v>
      </c>
      <c r="CT129" s="27">
        <f t="shared" si="1140"/>
        <v>2434.3422300171037</v>
      </c>
      <c r="CU129" s="27">
        <f t="shared" si="1140"/>
        <v>2594.445042857129</v>
      </c>
      <c r="CV129" s="27">
        <f t="shared" si="1140"/>
        <v>2767.0124145804034</v>
      </c>
      <c r="CW129" s="27">
        <f t="shared" si="1140"/>
        <v>2949.4750699644906</v>
      </c>
      <c r="CX129" s="27">
        <f t="shared" si="1140"/>
        <v>3137.3538618131997</v>
      </c>
      <c r="CY129" s="27">
        <f t="shared" si="1140"/>
        <v>3318.8510028497244</v>
      </c>
      <c r="CZ129" s="27">
        <f t="shared" si="1140"/>
        <v>3513.0477073415736</v>
      </c>
      <c r="DA129" s="27">
        <f t="shared" si="1140"/>
        <v>3717.3326968991537</v>
      </c>
      <c r="DB129" s="27">
        <f t="shared" si="1140"/>
        <v>3927.0114519464296</v>
      </c>
      <c r="DE129" s="121"/>
      <c r="DF129" s="26">
        <v>1466.1551086004301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30.315043899999999</v>
      </c>
      <c r="G131" s="23">
        <f>'Annual Raw'!H62-G135</f>
        <v>42.564519900000001</v>
      </c>
      <c r="H131" s="23">
        <f>'Annual Raw'!I62-H135</f>
        <v>54.9279352</v>
      </c>
      <c r="I131" s="23">
        <f>'Annual Raw'!J62-I135</f>
        <v>60.748136299999999</v>
      </c>
      <c r="J131" s="23">
        <f>'Annual Raw'!K62-J135</f>
        <v>67.176483599999997</v>
      </c>
      <c r="K131" s="23">
        <f>'Annual Raw'!L62-K135</f>
        <v>68.658255199999999</v>
      </c>
      <c r="L131" s="23">
        <f>'Annual Raw'!M62-L135</f>
        <v>69.782442000000003</v>
      </c>
      <c r="M131" s="23">
        <f>'Annual Raw'!N62-M135</f>
        <v>77.176731000000004</v>
      </c>
      <c r="N131" s="23">
        <f>'Annual Raw'!O62-N135</f>
        <v>79.796287699999993</v>
      </c>
      <c r="O131" s="23">
        <f>'Annual Raw'!P62-O135</f>
        <v>82.496046500000006</v>
      </c>
      <c r="P131" s="23">
        <f>'Annual Raw'!Q62-P135</f>
        <v>125.0351</v>
      </c>
      <c r="Q131" s="23">
        <f>'Annual Raw'!R62-Q135</f>
        <v>127.11149999999998</v>
      </c>
      <c r="R131" s="23">
        <f>'Annual Raw'!S62-R135</f>
        <v>145.06009999999998</v>
      </c>
      <c r="S131" s="23">
        <f>'Annual Raw'!T62-S135</f>
        <v>185.05270000000002</v>
      </c>
      <c r="T131" s="23">
        <f>'Annual Raw'!U62-T135</f>
        <v>214.94549999999998</v>
      </c>
      <c r="U131" s="23">
        <f>'Annual Raw'!V62-U135</f>
        <v>347.93619999999999</v>
      </c>
      <c r="V131" s="23">
        <f>'Annual Raw'!W62-V135</f>
        <v>354.28250000000003</v>
      </c>
      <c r="W131" s="23">
        <f>'Annual Raw'!X62-W135</f>
        <v>433.33360000000005</v>
      </c>
      <c r="X131" s="23">
        <f>'Annual Raw'!Y62-X135</f>
        <v>483.28639999999996</v>
      </c>
      <c r="Y131" s="23">
        <f>'Annual Raw'!Z62-Y135</f>
        <v>555.41560000000004</v>
      </c>
      <c r="Z131" s="23">
        <f>'Annual Raw'!AA62-Z135</f>
        <v>658.49609999999996</v>
      </c>
      <c r="AA131" s="23">
        <f>'Annual Raw'!AB62-AA135</f>
        <v>759.59360000000004</v>
      </c>
      <c r="AB131" s="24">
        <f t="shared" ref="AB131:AB137" si="1142">+CP131</f>
        <v>797.38970000000006</v>
      </c>
      <c r="AC131" s="24">
        <f t="shared" ref="AC131:AC137" si="1143">+CT131</f>
        <v>797.38970000000006</v>
      </c>
      <c r="AD131" s="24">
        <f t="shared" ref="AD131:AD137" si="1144">+CX131</f>
        <v>797.38970000000006</v>
      </c>
      <c r="AE131" s="24">
        <f t="shared" ref="AE131:AE137" si="1145">+DB131</f>
        <v>797.38970000000006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76.331999999999994</v>
      </c>
      <c r="BP131" s="23">
        <f>+'QTR Raw'!AJ68</f>
        <v>67.36</v>
      </c>
      <c r="BR131" s="23">
        <f>+'QTR Raw'!AL68</f>
        <v>76.680999999999997</v>
      </c>
      <c r="BT131" s="23">
        <f>+'QTR Raw'!AN68</f>
        <v>79.126000000000005</v>
      </c>
      <c r="BV131" s="23">
        <f>+'QTR Raw'!AP68</f>
        <v>108.045</v>
      </c>
      <c r="BX131" s="23">
        <f>+'QTR Raw'!AR68</f>
        <v>99.402000000000001</v>
      </c>
      <c r="BZ131" s="23">
        <f>+'QTR Raw'!AT68</f>
        <v>114.369</v>
      </c>
      <c r="CB131" s="23">
        <f>+'QTR Raw'!AV68</f>
        <v>118.36499999999999</v>
      </c>
      <c r="CD131" s="23">
        <f>+'QTR Raw'!AX68</f>
        <v>123.506</v>
      </c>
      <c r="CF131" s="23">
        <f>+'QTR Raw'!AZ68</f>
        <v>119.303</v>
      </c>
      <c r="CH131" s="23">
        <f t="shared" ref="CH131:CH137" si="1146">Z131</f>
        <v>658.49609999999996</v>
      </c>
      <c r="CI131" s="23">
        <f>CH131</f>
        <v>658.49609999999996</v>
      </c>
      <c r="CJ131" s="23">
        <f>+CJ132+CJ134</f>
        <v>694.58269999999993</v>
      </c>
      <c r="CK131" s="24">
        <f>+CJ131</f>
        <v>694.58269999999993</v>
      </c>
      <c r="CL131" s="23">
        <f>+CL132+CL134</f>
        <v>797.38970000000006</v>
      </c>
      <c r="CM131" s="24">
        <f t="shared" ref="CM131:DB131" si="1147">+CL131</f>
        <v>797.38970000000006</v>
      </c>
      <c r="CN131" s="24">
        <f t="shared" si="1147"/>
        <v>797.38970000000006</v>
      </c>
      <c r="CO131" s="24">
        <f t="shared" si="1147"/>
        <v>797.38970000000006</v>
      </c>
      <c r="CP131" s="24">
        <f t="shared" si="1147"/>
        <v>797.38970000000006</v>
      </c>
      <c r="CQ131" s="24">
        <f t="shared" si="1147"/>
        <v>797.38970000000006</v>
      </c>
      <c r="CR131" s="24">
        <f t="shared" si="1147"/>
        <v>797.38970000000006</v>
      </c>
      <c r="CS131" s="24">
        <f t="shared" si="1147"/>
        <v>797.38970000000006</v>
      </c>
      <c r="CT131" s="24">
        <f t="shared" si="1147"/>
        <v>797.38970000000006</v>
      </c>
      <c r="CU131" s="24">
        <f t="shared" si="1147"/>
        <v>797.38970000000006</v>
      </c>
      <c r="CV131" s="24">
        <f t="shared" si="1147"/>
        <v>797.38970000000006</v>
      </c>
      <c r="CW131" s="24">
        <f t="shared" si="1147"/>
        <v>797.38970000000006</v>
      </c>
      <c r="CX131" s="24">
        <f t="shared" si="1147"/>
        <v>797.38970000000006</v>
      </c>
      <c r="CY131" s="24">
        <f t="shared" si="1147"/>
        <v>797.38970000000006</v>
      </c>
      <c r="CZ131" s="24">
        <f t="shared" si="1147"/>
        <v>797.38970000000006</v>
      </c>
      <c r="DA131" s="24">
        <f t="shared" si="1147"/>
        <v>797.38970000000006</v>
      </c>
      <c r="DB131" s="24">
        <f t="shared" si="1147"/>
        <v>797.38970000000006</v>
      </c>
      <c r="DE131" s="123"/>
      <c r="DF131" s="23">
        <v>694.58269999999993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12.6144769</v>
      </c>
      <c r="G132" s="23">
        <f>'Annual Raw'!H63</f>
        <v>18.211509400000001</v>
      </c>
      <c r="H132" s="23">
        <f>'Annual Raw'!I63</f>
        <v>26.573333600000002</v>
      </c>
      <c r="I132" s="23">
        <f>'Annual Raw'!J63</f>
        <v>30.654421899999999</v>
      </c>
      <c r="J132" s="23">
        <f>'Annual Raw'!K63</f>
        <v>40.389719599999999</v>
      </c>
      <c r="K132" s="23">
        <f>'Annual Raw'!L63</f>
        <v>37.433155300000003</v>
      </c>
      <c r="L132" s="23">
        <f>'Annual Raw'!M63</f>
        <v>42.2175978</v>
      </c>
      <c r="M132" s="23">
        <f>'Annual Raw'!N63</f>
        <v>49.004358799999999</v>
      </c>
      <c r="N132" s="23">
        <f>'Annual Raw'!O63</f>
        <v>52.182895600000002</v>
      </c>
      <c r="O132" s="23">
        <f>'Annual Raw'!P63</f>
        <v>47.910107199999999</v>
      </c>
      <c r="P132" s="23">
        <f>'Annual Raw'!Q63</f>
        <v>61.012599999999999</v>
      </c>
      <c r="Q132" s="23">
        <f>'Annual Raw'!R63</f>
        <v>68.859300000000005</v>
      </c>
      <c r="R132" s="23">
        <f>'Annual Raw'!S63</f>
        <v>81.876000000000005</v>
      </c>
      <c r="S132" s="23">
        <f>'Annual Raw'!T63</f>
        <v>102.0373</v>
      </c>
      <c r="T132" s="23">
        <f>'Annual Raw'!U63</f>
        <v>125.6832</v>
      </c>
      <c r="U132" s="23">
        <f>'Annual Raw'!V63</f>
        <v>172.5412</v>
      </c>
      <c r="V132" s="23">
        <f>'Annual Raw'!W63</f>
        <v>203.86519999999999</v>
      </c>
      <c r="W132" s="23">
        <f>'Annual Raw'!X63</f>
        <v>252.8409</v>
      </c>
      <c r="X132" s="23">
        <f>'Annual Raw'!Y63</f>
        <v>293.99439999999998</v>
      </c>
      <c r="Y132" s="23">
        <f>'Annual Raw'!Z63</f>
        <v>359.18130000000002</v>
      </c>
      <c r="Z132" s="23">
        <f>'Annual Raw'!AA63</f>
        <v>432.00470000000001</v>
      </c>
      <c r="AA132" s="23">
        <f>'Annual Raw'!AB63</f>
        <v>528.00969999999995</v>
      </c>
      <c r="AB132" s="24">
        <f t="shared" si="1142"/>
        <v>655.68933898802675</v>
      </c>
      <c r="AC132" s="24">
        <f t="shared" si="1143"/>
        <v>722.07747498622132</v>
      </c>
      <c r="AD132" s="24">
        <f t="shared" si="1144"/>
        <v>757.36205860220025</v>
      </c>
      <c r="AE132" s="24">
        <f t="shared" si="1145"/>
        <v>776.11543708215731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432.00470000000001</v>
      </c>
      <c r="CI132" s="23">
        <f t="shared" ref="CI132:DB132" si="1148">CH132+CI32</f>
        <v>452.84870000000001</v>
      </c>
      <c r="CJ132" s="23">
        <f t="shared" si="1148"/>
        <v>477.4067</v>
      </c>
      <c r="CK132" s="24">
        <f t="shared" si="1148"/>
        <v>502.73869999999999</v>
      </c>
      <c r="CL132" s="23">
        <f t="shared" si="1148"/>
        <v>530.77970000000005</v>
      </c>
      <c r="CM132" s="24">
        <f t="shared" si="1148"/>
        <v>569.74891983486589</v>
      </c>
      <c r="CN132" s="24">
        <f t="shared" si="1148"/>
        <v>603.02217892355532</v>
      </c>
      <c r="CO132" s="24">
        <f t="shared" si="1148"/>
        <v>631.43203098306503</v>
      </c>
      <c r="CP132" s="24">
        <f t="shared" si="1148"/>
        <v>655.68933898802675</v>
      </c>
      <c r="CQ132" s="24">
        <f t="shared" si="1148"/>
        <v>676.40106217528694</v>
      </c>
      <c r="CR132" s="24">
        <f t="shared" si="1148"/>
        <v>694.08544319967541</v>
      </c>
      <c r="CS132" s="24">
        <f t="shared" si="1148"/>
        <v>709.18497544951333</v>
      </c>
      <c r="CT132" s="24">
        <f t="shared" si="1148"/>
        <v>722.07747498622132</v>
      </c>
      <c r="CU132" s="24">
        <f t="shared" si="1148"/>
        <v>733.08553414684854</v>
      </c>
      <c r="CV132" s="24">
        <f t="shared" si="1148"/>
        <v>742.48459335478947</v>
      </c>
      <c r="CW132" s="24">
        <f t="shared" si="1148"/>
        <v>750.50983310916467</v>
      </c>
      <c r="CX132" s="24">
        <f t="shared" si="1148"/>
        <v>757.36205860220025</v>
      </c>
      <c r="CY132" s="24">
        <f t="shared" si="1148"/>
        <v>763.21272420777404</v>
      </c>
      <c r="CZ132" s="24">
        <f t="shared" si="1148"/>
        <v>768.2082235624049</v>
      </c>
      <c r="DA132" s="24">
        <f t="shared" si="1148"/>
        <v>772.47355258383175</v>
      </c>
      <c r="DB132" s="24">
        <f t="shared" si="1148"/>
        <v>776.11543708215731</v>
      </c>
      <c r="DE132" s="123"/>
      <c r="DF132" s="23">
        <v>525.11590654215934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0</v>
      </c>
      <c r="E134" s="22">
        <f t="shared" si="1150"/>
        <v>0</v>
      </c>
      <c r="F134" s="22">
        <f t="shared" si="1150"/>
        <v>17.700566999999999</v>
      </c>
      <c r="G134" s="22">
        <f t="shared" si="1150"/>
        <v>24.3530105</v>
      </c>
      <c r="H134" s="22">
        <f t="shared" si="1150"/>
        <v>28.354601599999999</v>
      </c>
      <c r="I134" s="22">
        <f t="shared" si="1150"/>
        <v>30.0937144</v>
      </c>
      <c r="J134" s="22">
        <f t="shared" si="1150"/>
        <v>26.786763999999998</v>
      </c>
      <c r="K134" s="22">
        <f t="shared" si="1150"/>
        <v>31.225099899999996</v>
      </c>
      <c r="L134" s="22">
        <f t="shared" si="1150"/>
        <v>27.564844200000003</v>
      </c>
      <c r="M134" s="22">
        <f t="shared" si="1150"/>
        <v>28.172372200000005</v>
      </c>
      <c r="N134" s="22">
        <f t="shared" si="1150"/>
        <v>27.613392099999992</v>
      </c>
      <c r="O134" s="22">
        <f t="shared" si="1150"/>
        <v>34.585939300000007</v>
      </c>
      <c r="P134" s="22">
        <f t="shared" si="1150"/>
        <v>64.022500000000008</v>
      </c>
      <c r="Q134" s="22">
        <f t="shared" si="1150"/>
        <v>58.252199999999974</v>
      </c>
      <c r="R134" s="22">
        <f t="shared" si="1150"/>
        <v>63.184099999999972</v>
      </c>
      <c r="S134" s="22">
        <f t="shared" si="1150"/>
        <v>83.015400000000014</v>
      </c>
      <c r="T134" s="22">
        <f t="shared" si="1150"/>
        <v>89.262299999999982</v>
      </c>
      <c r="U134" s="22">
        <f t="shared" si="1150"/>
        <v>175.39499999999998</v>
      </c>
      <c r="V134" s="22">
        <f t="shared" si="1150"/>
        <v>150.41730000000004</v>
      </c>
      <c r="W134" s="22">
        <f t="shared" si="1150"/>
        <v>180.49270000000004</v>
      </c>
      <c r="X134" s="22">
        <f t="shared" ref="X134:Y134" si="1151">+X131-X132-X133</f>
        <v>189.29199999999997</v>
      </c>
      <c r="Y134" s="22">
        <f t="shared" si="1151"/>
        <v>196.23430000000002</v>
      </c>
      <c r="Z134" s="22">
        <f t="shared" ref="Z134:AE134" si="1152">+Z131-Z132-Z133</f>
        <v>226.49139999999994</v>
      </c>
      <c r="AA134" s="22">
        <f t="shared" ref="AA134" si="1153">+AA131-AA132-AA133</f>
        <v>231.58390000000009</v>
      </c>
      <c r="AB134" s="21">
        <f t="shared" si="1152"/>
        <v>141.70036101197331</v>
      </c>
      <c r="AC134" s="21">
        <f t="shared" si="1152"/>
        <v>75.312225013778743</v>
      </c>
      <c r="AD134" s="21">
        <f t="shared" si="1152"/>
        <v>40.027641397799812</v>
      </c>
      <c r="AE134" s="21">
        <f t="shared" si="1152"/>
        <v>21.274262917842748</v>
      </c>
      <c r="AJ134" s="22">
        <f t="shared" ref="AJ134:AL134" si="1154">+AJ131-AJ132-AJ133</f>
        <v>0</v>
      </c>
      <c r="AK134" s="22">
        <f t="shared" ref="AK134:CE134" si="1155">+AJ134</f>
        <v>0</v>
      </c>
      <c r="AL134" s="22">
        <f t="shared" si="1154"/>
        <v>0</v>
      </c>
      <c r="AM134" s="22">
        <f t="shared" si="1155"/>
        <v>0</v>
      </c>
      <c r="AN134" s="22">
        <f t="shared" ref="AN134" si="1156">+AN131-AN132-AN133</f>
        <v>0</v>
      </c>
      <c r="AO134" s="22">
        <f t="shared" si="1155"/>
        <v>0</v>
      </c>
      <c r="AP134" s="22">
        <f t="shared" ref="AP134:CD134" si="1157">+AP131-AP132-AP133</f>
        <v>0</v>
      </c>
      <c r="AQ134" s="22">
        <f t="shared" si="1155"/>
        <v>0</v>
      </c>
      <c r="AR134" s="22">
        <f t="shared" si="1157"/>
        <v>0</v>
      </c>
      <c r="AS134" s="22">
        <f t="shared" si="1155"/>
        <v>0</v>
      </c>
      <c r="AT134" s="22">
        <f t="shared" si="1157"/>
        <v>0</v>
      </c>
      <c r="AU134" s="22">
        <f t="shared" si="1155"/>
        <v>0</v>
      </c>
      <c r="AV134" s="22">
        <f t="shared" si="1157"/>
        <v>0</v>
      </c>
      <c r="AW134" s="22">
        <f t="shared" si="1155"/>
        <v>0</v>
      </c>
      <c r="AX134" s="22">
        <f t="shared" si="1157"/>
        <v>0</v>
      </c>
      <c r="AY134" s="22">
        <f t="shared" si="1155"/>
        <v>0</v>
      </c>
      <c r="AZ134" s="22">
        <f t="shared" si="1157"/>
        <v>0</v>
      </c>
      <c r="BA134" s="22">
        <f t="shared" si="1155"/>
        <v>0</v>
      </c>
      <c r="BB134" s="22">
        <f t="shared" si="1157"/>
        <v>0</v>
      </c>
      <c r="BC134" s="22">
        <f t="shared" si="1155"/>
        <v>0</v>
      </c>
      <c r="BD134" s="22">
        <f t="shared" si="1157"/>
        <v>0</v>
      </c>
      <c r="BE134" s="22">
        <f t="shared" si="1155"/>
        <v>0</v>
      </c>
      <c r="BF134" s="22">
        <f t="shared" si="1157"/>
        <v>0</v>
      </c>
      <c r="BG134" s="22">
        <f t="shared" si="1155"/>
        <v>0</v>
      </c>
      <c r="BH134" s="22">
        <f t="shared" si="1157"/>
        <v>0</v>
      </c>
      <c r="BI134" s="22">
        <f t="shared" si="1155"/>
        <v>0</v>
      </c>
      <c r="BJ134" s="22">
        <f t="shared" si="1157"/>
        <v>0</v>
      </c>
      <c r="BK134" s="22">
        <f t="shared" si="1155"/>
        <v>0</v>
      </c>
      <c r="BL134" s="22">
        <f t="shared" si="1157"/>
        <v>0</v>
      </c>
      <c r="BM134" s="22">
        <f t="shared" si="1155"/>
        <v>0</v>
      </c>
      <c r="BN134" s="22">
        <f t="shared" si="1157"/>
        <v>76.331999999999994</v>
      </c>
      <c r="BO134" s="22">
        <f t="shared" si="1155"/>
        <v>76.331999999999994</v>
      </c>
      <c r="BP134" s="22">
        <f t="shared" si="1157"/>
        <v>67.36</v>
      </c>
      <c r="BQ134" s="22">
        <f t="shared" si="1155"/>
        <v>67.36</v>
      </c>
      <c r="BR134" s="22">
        <f t="shared" si="1157"/>
        <v>76.680999999999997</v>
      </c>
      <c r="BS134" s="22">
        <f t="shared" si="1155"/>
        <v>76.680999999999997</v>
      </c>
      <c r="BT134" s="22">
        <f t="shared" si="1157"/>
        <v>79.126000000000005</v>
      </c>
      <c r="BU134" s="22">
        <f t="shared" si="1155"/>
        <v>79.126000000000005</v>
      </c>
      <c r="BV134" s="22">
        <f t="shared" si="1157"/>
        <v>108.045</v>
      </c>
      <c r="BW134" s="22">
        <f t="shared" si="1155"/>
        <v>108.045</v>
      </c>
      <c r="BX134" s="22">
        <f t="shared" si="1157"/>
        <v>99.402000000000001</v>
      </c>
      <c r="BY134" s="22">
        <f t="shared" si="1155"/>
        <v>99.402000000000001</v>
      </c>
      <c r="BZ134" s="22">
        <f t="shared" si="1157"/>
        <v>114.369</v>
      </c>
      <c r="CA134" s="22">
        <f t="shared" si="1155"/>
        <v>114.369</v>
      </c>
      <c r="CB134" s="22">
        <f t="shared" si="1157"/>
        <v>118.36499999999999</v>
      </c>
      <c r="CC134" s="22">
        <f t="shared" si="1155"/>
        <v>118.36499999999999</v>
      </c>
      <c r="CD134" s="22">
        <f t="shared" si="1157"/>
        <v>123.506</v>
      </c>
      <c r="CE134" s="22">
        <f t="shared" si="1155"/>
        <v>123.506</v>
      </c>
      <c r="CF134" s="22">
        <f t="shared" ref="CF134:CI134" si="1158">+CF131-CF132-CF133</f>
        <v>119.303</v>
      </c>
      <c r="CG134" s="22">
        <f t="shared" ref="CG134:CI137" si="1159">+CF134</f>
        <v>119.303</v>
      </c>
      <c r="CH134" s="22">
        <f t="shared" si="1158"/>
        <v>226.49139999999994</v>
      </c>
      <c r="CI134" s="22">
        <f t="shared" si="1158"/>
        <v>205.64739999999995</v>
      </c>
      <c r="CJ134" s="23">
        <f>+'QTR Raw'!BD68</f>
        <v>217.17599999999999</v>
      </c>
      <c r="CK134" s="21">
        <f t="shared" ref="CK134:DB134" si="1160">+CK131-CK132-CK133</f>
        <v>191.84399999999994</v>
      </c>
      <c r="CL134" s="23">
        <f>+'QTR Raw'!BF68</f>
        <v>266.61</v>
      </c>
      <c r="CM134" s="21">
        <f t="shared" si="1160"/>
        <v>227.64078016513417</v>
      </c>
      <c r="CN134" s="21">
        <f t="shared" si="1160"/>
        <v>194.36752107644475</v>
      </c>
      <c r="CO134" s="21">
        <f t="shared" si="1160"/>
        <v>165.95766901693503</v>
      </c>
      <c r="CP134" s="21">
        <f t="shared" si="1160"/>
        <v>141.70036101197331</v>
      </c>
      <c r="CQ134" s="21">
        <f t="shared" si="1160"/>
        <v>120.98863782471312</v>
      </c>
      <c r="CR134" s="21">
        <f t="shared" si="1160"/>
        <v>103.30425680032465</v>
      </c>
      <c r="CS134" s="21">
        <f t="shared" si="1160"/>
        <v>88.204724550486731</v>
      </c>
      <c r="CT134" s="21">
        <f t="shared" si="1160"/>
        <v>75.312225013778743</v>
      </c>
      <c r="CU134" s="21">
        <f t="shared" si="1160"/>
        <v>64.304165853151517</v>
      </c>
      <c r="CV134" s="21">
        <f t="shared" si="1160"/>
        <v>54.905106645210594</v>
      </c>
      <c r="CW134" s="21">
        <f t="shared" si="1160"/>
        <v>46.879866890835387</v>
      </c>
      <c r="CX134" s="21">
        <f t="shared" si="1160"/>
        <v>40.027641397799812</v>
      </c>
      <c r="CY134" s="21">
        <f t="shared" si="1160"/>
        <v>34.176975792226017</v>
      </c>
      <c r="CZ134" s="21">
        <f t="shared" si="1160"/>
        <v>29.181476437595165</v>
      </c>
      <c r="DA134" s="21">
        <f t="shared" si="1160"/>
        <v>24.916147416168315</v>
      </c>
      <c r="DB134" s="21">
        <f t="shared" si="1160"/>
        <v>21.274262917842748</v>
      </c>
      <c r="DE134" s="126"/>
      <c r="DF134" s="22">
        <v>169.46679345784059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133.45024129999999</v>
      </c>
      <c r="P135" s="23">
        <f>'Annual Raw'!Q86</f>
        <v>133.59829999999999</v>
      </c>
      <c r="Q135" s="23">
        <f>'Annual Raw'!R86</f>
        <v>133.5985</v>
      </c>
      <c r="R135" s="23">
        <f>'Annual Raw'!S86</f>
        <v>133.59829999999999</v>
      </c>
      <c r="S135" s="23">
        <f>'Annual Raw'!T86</f>
        <v>133.59829999999999</v>
      </c>
      <c r="T135" s="23">
        <f>'Annual Raw'!U86</f>
        <v>133.59829999999999</v>
      </c>
      <c r="U135" s="23">
        <f>'Annual Raw'!V86</f>
        <v>133.59829999999999</v>
      </c>
      <c r="V135" s="23">
        <f>'Annual Raw'!W86</f>
        <v>133.59829999999999</v>
      </c>
      <c r="W135" s="23">
        <f>'Annual Raw'!X86</f>
        <v>133.59829999999999</v>
      </c>
      <c r="X135" s="23">
        <f>'Annual Raw'!Y86</f>
        <v>143.23330000000001</v>
      </c>
      <c r="Y135" s="23">
        <f>'Annual Raw'!Z86</f>
        <v>179.58969999999999</v>
      </c>
      <c r="Z135" s="23">
        <f>'Annual Raw'!AA86</f>
        <v>179.58969999999999</v>
      </c>
      <c r="AA135" s="23">
        <f>'Annual Raw'!AB86</f>
        <v>173.85550000000001</v>
      </c>
      <c r="AB135" s="24">
        <f t="shared" si="1142"/>
        <v>173.85599999999999</v>
      </c>
      <c r="AC135" s="24">
        <f t="shared" si="1143"/>
        <v>173.85599999999999</v>
      </c>
      <c r="AD135" s="24">
        <f t="shared" si="1144"/>
        <v>173.85599999999999</v>
      </c>
      <c r="AE135" s="24">
        <f t="shared" si="1145"/>
        <v>173.85599999999999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133.59800000000001</v>
      </c>
      <c r="BO135" s="23">
        <f t="shared" si="1161"/>
        <v>133.59800000000001</v>
      </c>
      <c r="BP135" s="23">
        <f>+'QTR Raw'!AJ72</f>
        <v>133.59800000000001</v>
      </c>
      <c r="BQ135" s="23">
        <f t="shared" si="1161"/>
        <v>133.59800000000001</v>
      </c>
      <c r="BR135" s="23">
        <f>+'QTR Raw'!AL72</f>
        <v>133.59800000000001</v>
      </c>
      <c r="BS135" s="23">
        <f t="shared" si="1161"/>
        <v>133.59800000000001</v>
      </c>
      <c r="BT135" s="23">
        <f>+'QTR Raw'!AN72</f>
        <v>133.59800000000001</v>
      </c>
      <c r="BU135" s="23">
        <f t="shared" si="1161"/>
        <v>133.59800000000001</v>
      </c>
      <c r="BV135" s="23">
        <f>+'QTR Raw'!AP72</f>
        <v>133.59800000000001</v>
      </c>
      <c r="BW135" s="23">
        <f t="shared" si="1161"/>
        <v>133.59800000000001</v>
      </c>
      <c r="BX135" s="23">
        <f>+'QTR Raw'!AR72</f>
        <v>143.233</v>
      </c>
      <c r="BY135" s="23">
        <f t="shared" si="1161"/>
        <v>143.233</v>
      </c>
      <c r="BZ135" s="23">
        <f>+'QTR Raw'!AT72</f>
        <v>143.233</v>
      </c>
      <c r="CA135" s="23">
        <f t="shared" si="1161"/>
        <v>143.233</v>
      </c>
      <c r="CB135" s="23">
        <f>+'QTR Raw'!AV72</f>
        <v>179.59</v>
      </c>
      <c r="CC135" s="23">
        <f t="shared" si="1161"/>
        <v>179.59</v>
      </c>
      <c r="CD135" s="23">
        <f>+'QTR Raw'!AX72</f>
        <v>179.59</v>
      </c>
      <c r="CE135" s="23">
        <f t="shared" si="1161"/>
        <v>179.59</v>
      </c>
      <c r="CF135" s="23">
        <f>+'QTR Raw'!AZ72</f>
        <v>179.59</v>
      </c>
      <c r="CG135" s="23">
        <f t="shared" si="1159"/>
        <v>179.59</v>
      </c>
      <c r="CH135" s="23">
        <f t="shared" si="1146"/>
        <v>179.58969999999999</v>
      </c>
      <c r="CI135" s="23">
        <f t="shared" si="1159"/>
        <v>179.58969999999999</v>
      </c>
      <c r="CJ135" s="23">
        <f>+'QTR Raw'!BD72</f>
        <v>179.59</v>
      </c>
      <c r="CK135" s="24">
        <f t="shared" ref="CK135:CK137" si="1162">+CJ135</f>
        <v>179.59</v>
      </c>
      <c r="CL135" s="23">
        <f>+'QTR Raw'!BF72</f>
        <v>173.85599999999999</v>
      </c>
      <c r="CM135" s="24">
        <f t="shared" ref="CM135:CM137" si="1163">+CL135</f>
        <v>173.85599999999999</v>
      </c>
      <c r="CN135" s="24">
        <f t="shared" ref="CN135:CN137" si="1164">+CM135</f>
        <v>173.85599999999999</v>
      </c>
      <c r="CO135" s="24">
        <f t="shared" ref="CO135:CO137" si="1165">+CN135</f>
        <v>173.85599999999999</v>
      </c>
      <c r="CP135" s="24">
        <f t="shared" ref="CP135:CP137" si="1166">+CO135</f>
        <v>173.85599999999999</v>
      </c>
      <c r="CQ135" s="24">
        <f t="shared" ref="CQ135:CQ137" si="1167">+CP135</f>
        <v>173.85599999999999</v>
      </c>
      <c r="CR135" s="24">
        <f t="shared" ref="CR135:CR137" si="1168">+CQ135</f>
        <v>173.85599999999999</v>
      </c>
      <c r="CS135" s="24">
        <f t="shared" ref="CS135:CS137" si="1169">+CR135</f>
        <v>173.85599999999999</v>
      </c>
      <c r="CT135" s="24">
        <f t="shared" ref="CT135:CT137" si="1170">+CS135</f>
        <v>173.85599999999999</v>
      </c>
      <c r="CU135" s="24">
        <f t="shared" ref="CU135:CU137" si="1171">+CT135</f>
        <v>173.85599999999999</v>
      </c>
      <c r="CV135" s="24">
        <f t="shared" ref="CV135:CV137" si="1172">+CU135</f>
        <v>173.85599999999999</v>
      </c>
      <c r="CW135" s="24">
        <f t="shared" ref="CW135:CW137" si="1173">+CV135</f>
        <v>173.85599999999999</v>
      </c>
      <c r="CX135" s="24">
        <f t="shared" ref="CX135:CX137" si="1174">+CW135</f>
        <v>173.85599999999999</v>
      </c>
      <c r="CY135" s="24">
        <f t="shared" ref="CY135:CY137" si="1175">+CX135</f>
        <v>173.85599999999999</v>
      </c>
      <c r="CZ135" s="24">
        <f t="shared" ref="CZ135:CZ137" si="1176">+CY135</f>
        <v>173.85599999999999</v>
      </c>
      <c r="DA135" s="24">
        <f t="shared" ref="DA135:DA137" si="1177">+CZ135</f>
        <v>173.85599999999999</v>
      </c>
      <c r="DB135" s="24">
        <f t="shared" ref="DB135:DB137" si="1178">+DA135</f>
        <v>173.85599999999999</v>
      </c>
      <c r="DE135" s="123"/>
      <c r="DF135" s="23">
        <v>179.59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8.0536999999999992</v>
      </c>
      <c r="Y136" s="23">
        <f>'Annual Raw'!Z68</f>
        <v>10.893800000000001</v>
      </c>
      <c r="Z136" s="23">
        <f>'Annual Raw'!AA68</f>
        <v>38.449800000000003</v>
      </c>
      <c r="AA136" s="23">
        <f>'Annual Raw'!AB68</f>
        <v>87.854100000000003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38.449800000000003</v>
      </c>
      <c r="CI136" s="23">
        <f t="shared" si="1159"/>
        <v>38.449800000000003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6.59E-2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0.16339999999999999</v>
      </c>
      <c r="X137" s="23">
        <f>'Annual Raw'!Y67+'Annual Raw'!Y66+'Annual Raw'!Y69+'Annual Raw'!Y70</f>
        <v>0.75600000000000001</v>
      </c>
      <c r="Y137" s="23">
        <f>'Annual Raw'!Z67+'Annual Raw'!Z66+'Annual Raw'!Z69+'Annual Raw'!Z70</f>
        <v>2.1764000000000001</v>
      </c>
      <c r="Z137" s="23">
        <f>'Annual Raw'!AA67+'Annual Raw'!AA66+'Annual Raw'!AA69+'Annual Raw'!AA70</f>
        <v>5.2064000000000004</v>
      </c>
      <c r="AA137" s="23">
        <f>'Annual Raw'!AB67+'Annual Raw'!AB66+'Annual Raw'!AB69+'Annual Raw'!AB70</f>
        <v>0.87690000000000001</v>
      </c>
      <c r="AB137" s="24">
        <f t="shared" si="1142"/>
        <v>0.877</v>
      </c>
      <c r="AC137" s="24">
        <f t="shared" si="1143"/>
        <v>0.877</v>
      </c>
      <c r="AD137" s="24">
        <f t="shared" si="1144"/>
        <v>0.877</v>
      </c>
      <c r="AE137" s="24">
        <f t="shared" si="1145"/>
        <v>0.877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</v>
      </c>
      <c r="BC137" s="23">
        <f t="shared" si="1161"/>
        <v>0</v>
      </c>
      <c r="BD137" s="23">
        <f>+'QTR Raw'!X74+'QTR Raw'!X75</f>
        <v>0</v>
      </c>
      <c r="BE137" s="23">
        <f t="shared" si="1161"/>
        <v>0</v>
      </c>
      <c r="BF137" s="23">
        <f>+'QTR Raw'!Z74+'QTR Raw'!Z75</f>
        <v>0</v>
      </c>
      <c r="BG137" s="23">
        <f t="shared" si="1161"/>
        <v>0</v>
      </c>
      <c r="BH137" s="23">
        <f>+'QTR Raw'!AB74+'QTR Raw'!AB75</f>
        <v>0</v>
      </c>
      <c r="BI137" s="23">
        <f t="shared" si="1161"/>
        <v>0</v>
      </c>
      <c r="BJ137" s="23">
        <f>+'QTR Raw'!AD74+'QTR Raw'!AD75</f>
        <v>0</v>
      </c>
      <c r="BK137" s="23">
        <f t="shared" si="1161"/>
        <v>0</v>
      </c>
      <c r="BL137" s="23">
        <f>+'QTR Raw'!AF74+'QTR Raw'!AF75</f>
        <v>0</v>
      </c>
      <c r="BM137" s="23">
        <f t="shared" si="1161"/>
        <v>0</v>
      </c>
      <c r="BN137" s="23">
        <f>+'QTR Raw'!AH74+'QTR Raw'!AH75</f>
        <v>0</v>
      </c>
      <c r="BO137" s="23">
        <f t="shared" si="1161"/>
        <v>0</v>
      </c>
      <c r="BP137" s="23">
        <f>+'QTR Raw'!AJ74+'QTR Raw'!AJ75</f>
        <v>0</v>
      </c>
      <c r="BQ137" s="23">
        <f t="shared" si="1161"/>
        <v>0</v>
      </c>
      <c r="BR137" s="23">
        <f>+'QTR Raw'!AL74+'QTR Raw'!AL75</f>
        <v>0</v>
      </c>
      <c r="BS137" s="23">
        <f t="shared" si="1161"/>
        <v>0</v>
      </c>
      <c r="BT137" s="23">
        <f>+'QTR Raw'!AN74+'QTR Raw'!AN75</f>
        <v>0</v>
      </c>
      <c r="BU137" s="23">
        <f t="shared" si="1161"/>
        <v>0</v>
      </c>
      <c r="BV137" s="23">
        <f>+'QTR Raw'!AP74+'QTR Raw'!AP75</f>
        <v>0.16300000000000001</v>
      </c>
      <c r="BW137" s="23">
        <f t="shared" si="1161"/>
        <v>0.16300000000000001</v>
      </c>
      <c r="BX137" s="23">
        <f>+'QTR Raw'!AR74+'QTR Raw'!AR75</f>
        <v>5.7119999999999997</v>
      </c>
      <c r="BY137" s="23">
        <f t="shared" si="1161"/>
        <v>5.7119999999999997</v>
      </c>
      <c r="BZ137" s="23">
        <f>+'QTR Raw'!AT74+'QTR Raw'!AT75</f>
        <v>0.75600000000000001</v>
      </c>
      <c r="CA137" s="23">
        <f t="shared" si="1161"/>
        <v>0.75600000000000001</v>
      </c>
      <c r="CB137" s="23">
        <f>+'QTR Raw'!AV74+'QTR Raw'!AV75</f>
        <v>8.0139999999999993</v>
      </c>
      <c r="CC137" s="23">
        <f t="shared" si="1161"/>
        <v>8.0139999999999993</v>
      </c>
      <c r="CD137" s="23">
        <f>+'QTR Raw'!AX74+'QTR Raw'!AX75</f>
        <v>2.1760000000000002</v>
      </c>
      <c r="CE137" s="23">
        <f t="shared" si="1161"/>
        <v>2.1760000000000002</v>
      </c>
      <c r="CF137" s="23">
        <f>+'QTR Raw'!AZ74+'QTR Raw'!AZ75</f>
        <v>4.3999999999999997E-2</v>
      </c>
      <c r="CG137" s="23">
        <f t="shared" si="1159"/>
        <v>4.3999999999999997E-2</v>
      </c>
      <c r="CH137" s="23">
        <f t="shared" si="1146"/>
        <v>5.2064000000000004</v>
      </c>
      <c r="CI137" s="23">
        <f t="shared" si="1159"/>
        <v>5.2064000000000004</v>
      </c>
      <c r="CJ137" s="23">
        <f>+'QTR Raw'!BD74+'QTR Raw'!BD75</f>
        <v>1.65</v>
      </c>
      <c r="CK137" s="24">
        <f t="shared" si="1162"/>
        <v>1.65</v>
      </c>
      <c r="CL137" s="23">
        <f>+'QTR Raw'!BF74+'QTR Raw'!BF75</f>
        <v>0.877</v>
      </c>
      <c r="CM137" s="24">
        <f t="shared" si="1163"/>
        <v>0.877</v>
      </c>
      <c r="CN137" s="24">
        <f t="shared" si="1164"/>
        <v>0.877</v>
      </c>
      <c r="CO137" s="24">
        <f t="shared" si="1165"/>
        <v>0.877</v>
      </c>
      <c r="CP137" s="24">
        <f t="shared" si="1166"/>
        <v>0.877</v>
      </c>
      <c r="CQ137" s="24">
        <f t="shared" si="1167"/>
        <v>0.877</v>
      </c>
      <c r="CR137" s="24">
        <f t="shared" si="1168"/>
        <v>0.877</v>
      </c>
      <c r="CS137" s="24">
        <f t="shared" si="1169"/>
        <v>0.877</v>
      </c>
      <c r="CT137" s="24">
        <f t="shared" si="1170"/>
        <v>0.877</v>
      </c>
      <c r="CU137" s="24">
        <f t="shared" si="1171"/>
        <v>0.877</v>
      </c>
      <c r="CV137" s="24">
        <f t="shared" si="1172"/>
        <v>0.877</v>
      </c>
      <c r="CW137" s="24">
        <f t="shared" si="1173"/>
        <v>0.877</v>
      </c>
      <c r="CX137" s="24">
        <f t="shared" si="1174"/>
        <v>0.877</v>
      </c>
      <c r="CY137" s="24">
        <f t="shared" si="1175"/>
        <v>0.877</v>
      </c>
      <c r="CZ137" s="24">
        <f t="shared" si="1176"/>
        <v>0.877</v>
      </c>
      <c r="DA137" s="24">
        <f t="shared" si="1177"/>
        <v>0.877</v>
      </c>
      <c r="DB137" s="24">
        <f t="shared" si="1178"/>
        <v>0.877</v>
      </c>
      <c r="DE137" s="123"/>
      <c r="DF137" s="23">
        <v>1.65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0</v>
      </c>
      <c r="E138" s="22">
        <f t="shared" ref="E138:Y138" si="1180">E134+E137+E136+E135</f>
        <v>0</v>
      </c>
      <c r="F138" s="22">
        <f t="shared" si="1180"/>
        <v>17.700566999999999</v>
      </c>
      <c r="G138" s="22">
        <f t="shared" si="1180"/>
        <v>24.3530105</v>
      </c>
      <c r="H138" s="22">
        <f t="shared" si="1180"/>
        <v>28.354601599999999</v>
      </c>
      <c r="I138" s="22">
        <f t="shared" si="1180"/>
        <v>30.0937144</v>
      </c>
      <c r="J138" s="22">
        <f t="shared" si="1180"/>
        <v>26.786763999999998</v>
      </c>
      <c r="K138" s="22">
        <f t="shared" si="1180"/>
        <v>31.225099899999996</v>
      </c>
      <c r="L138" s="22">
        <f t="shared" si="1180"/>
        <v>27.564844200000003</v>
      </c>
      <c r="M138" s="22">
        <f t="shared" si="1180"/>
        <v>28.172372200000005</v>
      </c>
      <c r="N138" s="22">
        <f t="shared" si="1180"/>
        <v>27.613392099999992</v>
      </c>
      <c r="O138" s="22">
        <f t="shared" si="1180"/>
        <v>168.03618059999999</v>
      </c>
      <c r="P138" s="22">
        <f t="shared" si="1180"/>
        <v>197.6208</v>
      </c>
      <c r="Q138" s="22">
        <f t="shared" si="1180"/>
        <v>191.85069999999996</v>
      </c>
      <c r="R138" s="22">
        <f t="shared" si="1180"/>
        <v>196.84829999999997</v>
      </c>
      <c r="S138" s="22">
        <f t="shared" si="1180"/>
        <v>216.61369999999999</v>
      </c>
      <c r="T138" s="22">
        <f t="shared" si="1180"/>
        <v>222.86059999999998</v>
      </c>
      <c r="U138" s="22">
        <f t="shared" si="1180"/>
        <v>308.99329999999998</v>
      </c>
      <c r="V138" s="22">
        <f t="shared" si="1180"/>
        <v>284.01560000000006</v>
      </c>
      <c r="W138" s="22">
        <f t="shared" si="1180"/>
        <v>314.25440000000003</v>
      </c>
      <c r="X138" s="22">
        <f t="shared" si="1180"/>
        <v>341.33499999999998</v>
      </c>
      <c r="Y138" s="22">
        <f t="shared" si="1180"/>
        <v>388.89420000000001</v>
      </c>
      <c r="Z138" s="22">
        <f>Z134+Z137+Z136+Z135</f>
        <v>449.73729999999995</v>
      </c>
      <c r="AA138" s="22">
        <f>AA134+AA137+AA136+AA135</f>
        <v>494.17040000000009</v>
      </c>
      <c r="AB138" s="161">
        <f t="shared" ref="AB138:AE138" si="1181">AB134+AB137+AB136+AB135</f>
        <v>316.43336101197332</v>
      </c>
      <c r="AC138" s="161">
        <f t="shared" si="1181"/>
        <v>250.04522501377875</v>
      </c>
      <c r="AD138" s="161">
        <f t="shared" si="1181"/>
        <v>214.76064139779982</v>
      </c>
      <c r="AE138" s="161">
        <f t="shared" si="1181"/>
        <v>196.00726291784275</v>
      </c>
      <c r="AJ138" s="22">
        <f t="shared" ref="AJ138" si="1182">AJ134+AJ137+AJ135+AJ136</f>
        <v>0</v>
      </c>
      <c r="AK138" s="22">
        <f t="shared" ref="AK138" si="1183">AK134+AK137+AK135+AK136</f>
        <v>0</v>
      </c>
      <c r="AL138" s="22">
        <f t="shared" ref="AL138:AM138" si="1184">AL134+AL137+AL135+AL136</f>
        <v>0</v>
      </c>
      <c r="AM138" s="22">
        <f t="shared" si="1184"/>
        <v>0</v>
      </c>
      <c r="AN138" s="22">
        <f t="shared" ref="AN138:AO138" si="1185">AN134+AN137+AN135+AN136</f>
        <v>0</v>
      </c>
      <c r="AO138" s="22">
        <f t="shared" si="1185"/>
        <v>0</v>
      </c>
      <c r="AP138" s="22">
        <f t="shared" ref="AP138:CE138" si="1186">AP134+AP137+AP135+AP136</f>
        <v>0</v>
      </c>
      <c r="AQ138" s="22">
        <f t="shared" si="1186"/>
        <v>0</v>
      </c>
      <c r="AR138" s="22">
        <f t="shared" si="1186"/>
        <v>0</v>
      </c>
      <c r="AS138" s="22">
        <f t="shared" si="1186"/>
        <v>0</v>
      </c>
      <c r="AT138" s="22">
        <f t="shared" si="1186"/>
        <v>0</v>
      </c>
      <c r="AU138" s="22">
        <f t="shared" si="1186"/>
        <v>0</v>
      </c>
      <c r="AV138" s="22">
        <f t="shared" si="1186"/>
        <v>0</v>
      </c>
      <c r="AW138" s="22">
        <f t="shared" si="1186"/>
        <v>0</v>
      </c>
      <c r="AX138" s="22">
        <f t="shared" si="1186"/>
        <v>0</v>
      </c>
      <c r="AY138" s="22">
        <f t="shared" si="1186"/>
        <v>0</v>
      </c>
      <c r="AZ138" s="22">
        <f t="shared" si="1186"/>
        <v>0</v>
      </c>
      <c r="BA138" s="22">
        <f t="shared" si="1186"/>
        <v>0</v>
      </c>
      <c r="BB138" s="22">
        <f t="shared" si="1186"/>
        <v>0</v>
      </c>
      <c r="BC138" s="22">
        <f t="shared" si="1186"/>
        <v>0</v>
      </c>
      <c r="BD138" s="22">
        <f t="shared" si="1186"/>
        <v>0</v>
      </c>
      <c r="BE138" s="22">
        <f t="shared" si="1186"/>
        <v>0</v>
      </c>
      <c r="BF138" s="22">
        <f t="shared" si="1186"/>
        <v>0</v>
      </c>
      <c r="BG138" s="22">
        <f t="shared" si="1186"/>
        <v>0</v>
      </c>
      <c r="BH138" s="22">
        <f t="shared" si="1186"/>
        <v>0</v>
      </c>
      <c r="BI138" s="22">
        <f t="shared" si="1186"/>
        <v>0</v>
      </c>
      <c r="BJ138" s="22">
        <f t="shared" si="1186"/>
        <v>0</v>
      </c>
      <c r="BK138" s="22">
        <f t="shared" si="1186"/>
        <v>0</v>
      </c>
      <c r="BL138" s="22">
        <f t="shared" si="1186"/>
        <v>0</v>
      </c>
      <c r="BM138" s="22">
        <f t="shared" si="1186"/>
        <v>0</v>
      </c>
      <c r="BN138" s="22">
        <f t="shared" si="1186"/>
        <v>209.93</v>
      </c>
      <c r="BO138" s="22">
        <f t="shared" si="1186"/>
        <v>209.93</v>
      </c>
      <c r="BP138" s="22">
        <f t="shared" si="1186"/>
        <v>200.95800000000003</v>
      </c>
      <c r="BQ138" s="22">
        <f t="shared" si="1186"/>
        <v>200.95800000000003</v>
      </c>
      <c r="BR138" s="22">
        <f t="shared" si="1186"/>
        <v>210.279</v>
      </c>
      <c r="BS138" s="22">
        <f t="shared" si="1186"/>
        <v>210.279</v>
      </c>
      <c r="BT138" s="22">
        <f t="shared" si="1186"/>
        <v>212.72400000000002</v>
      </c>
      <c r="BU138" s="22">
        <f t="shared" si="1186"/>
        <v>212.72400000000002</v>
      </c>
      <c r="BV138" s="22">
        <f t="shared" si="1186"/>
        <v>241.80600000000001</v>
      </c>
      <c r="BW138" s="22">
        <f t="shared" si="1186"/>
        <v>241.80600000000001</v>
      </c>
      <c r="BX138" s="22">
        <f t="shared" si="1186"/>
        <v>248.34700000000001</v>
      </c>
      <c r="BY138" s="22">
        <f t="shared" si="1186"/>
        <v>248.34700000000001</v>
      </c>
      <c r="BZ138" s="22">
        <f t="shared" si="1186"/>
        <v>258.358</v>
      </c>
      <c r="CA138" s="22">
        <f t="shared" si="1186"/>
        <v>258.358</v>
      </c>
      <c r="CB138" s="22">
        <f t="shared" si="1186"/>
        <v>305.96899999999999</v>
      </c>
      <c r="CC138" s="22">
        <f t="shared" si="1186"/>
        <v>305.96899999999999</v>
      </c>
      <c r="CD138" s="22">
        <f t="shared" si="1186"/>
        <v>305.27199999999999</v>
      </c>
      <c r="CE138" s="22">
        <f t="shared" si="1186"/>
        <v>305.27199999999999</v>
      </c>
      <c r="CF138" s="22">
        <f t="shared" ref="CF138:CG138" si="1187">CF134+CF137+CF135+CF136</f>
        <v>298.93700000000001</v>
      </c>
      <c r="CG138" s="22">
        <f t="shared" si="1187"/>
        <v>298.93700000000001</v>
      </c>
      <c r="CH138" s="22">
        <f t="shared" ref="CH138:CJ138" si="1188">CH134+CH137+CH135+CH136</f>
        <v>449.73729999999989</v>
      </c>
      <c r="CI138" s="22">
        <f t="shared" si="1188"/>
        <v>428.89329999999995</v>
      </c>
      <c r="CJ138" s="22">
        <f t="shared" si="1188"/>
        <v>398.416</v>
      </c>
      <c r="CK138" s="21">
        <f t="shared" ref="CK138:DB138" si="1189">CK134+CK137+CK135+CK136</f>
        <v>373.08399999999995</v>
      </c>
      <c r="CL138" s="22">
        <f t="shared" si="1189"/>
        <v>441.34300000000002</v>
      </c>
      <c r="CM138" s="21">
        <f t="shared" si="1189"/>
        <v>402.37378016513418</v>
      </c>
      <c r="CN138" s="21">
        <f t="shared" si="1189"/>
        <v>369.10052107644475</v>
      </c>
      <c r="CO138" s="21">
        <f t="shared" si="1189"/>
        <v>340.69066901693503</v>
      </c>
      <c r="CP138" s="21">
        <f t="shared" si="1189"/>
        <v>316.43336101197332</v>
      </c>
      <c r="CQ138" s="21">
        <f t="shared" si="1189"/>
        <v>295.72163782471313</v>
      </c>
      <c r="CR138" s="21">
        <f t="shared" si="1189"/>
        <v>278.03725680032466</v>
      </c>
      <c r="CS138" s="21">
        <f t="shared" si="1189"/>
        <v>262.93772455048673</v>
      </c>
      <c r="CT138" s="21">
        <f t="shared" si="1189"/>
        <v>250.04522501377875</v>
      </c>
      <c r="CU138" s="21">
        <f t="shared" si="1189"/>
        <v>239.03716585315152</v>
      </c>
      <c r="CV138" s="21">
        <f t="shared" si="1189"/>
        <v>229.6381066452106</v>
      </c>
      <c r="CW138" s="21">
        <f t="shared" si="1189"/>
        <v>221.61286689083539</v>
      </c>
      <c r="CX138" s="21">
        <f t="shared" si="1189"/>
        <v>214.76064139779982</v>
      </c>
      <c r="CY138" s="21">
        <f t="shared" si="1189"/>
        <v>208.90997579222602</v>
      </c>
      <c r="CZ138" s="21">
        <f t="shared" si="1189"/>
        <v>203.91447643759517</v>
      </c>
      <c r="DA138" s="21">
        <f t="shared" si="1189"/>
        <v>199.64914741616832</v>
      </c>
      <c r="DB138" s="21">
        <f t="shared" si="1189"/>
        <v>196.00726291784275</v>
      </c>
      <c r="DE138" s="126"/>
      <c r="DF138" s="22">
        <v>350.7067934578406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4.9259999999999998E-3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40.936608700000001</v>
      </c>
      <c r="N140" s="23">
        <f>'Annual Raw'!O71</f>
        <v>40.932123300000001</v>
      </c>
      <c r="O140" s="23">
        <f>'Annual Raw'!P71</f>
        <v>1.5753621</v>
      </c>
      <c r="P140" s="23">
        <f>'Annual Raw'!Q71</f>
        <v>1.5713999999999999</v>
      </c>
      <c r="Q140" s="23">
        <f>'Annual Raw'!R71</f>
        <v>1.6547000000000001</v>
      </c>
      <c r="R140" s="23">
        <f>'Annual Raw'!S71</f>
        <v>2.0590000000000002</v>
      </c>
      <c r="S140" s="23">
        <f>'Annual Raw'!T71</f>
        <v>2.0327000000000002</v>
      </c>
      <c r="T140" s="23">
        <f>'Annual Raw'!U71</f>
        <v>2.0407999999999999</v>
      </c>
      <c r="U140" s="23">
        <f>'Annual Raw'!V71</f>
        <v>0.53300000000000003</v>
      </c>
      <c r="V140" s="23">
        <f>'Annual Raw'!W71</f>
        <v>0.53069999999999995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5.0000000000000001E-3</v>
      </c>
      <c r="AA140" s="23">
        <f>'Annual Raw'!AB71</f>
        <v>8.7999999999999995E-2</v>
      </c>
      <c r="AB140" s="24">
        <f>+CP140</f>
        <v>8.7999999999999995E-2</v>
      </c>
      <c r="AC140" s="24">
        <f>+CT140</f>
        <v>8.7999999999999995E-2</v>
      </c>
      <c r="AD140" s="24">
        <f>+CX140</f>
        <v>8.7999999999999995E-2</v>
      </c>
      <c r="AE140" s="24">
        <f>+DB140</f>
        <v>8.7999999999999995E-2</v>
      </c>
      <c r="AJ140" s="23">
        <f>+'QTR Raw'!D77</f>
        <v>0</v>
      </c>
      <c r="AK140" s="23">
        <f t="shared" ref="AK140:CE140" si="1190">+AJ140</f>
        <v>0</v>
      </c>
      <c r="AL140" s="23">
        <f>+'QTR Raw'!F77</f>
        <v>0</v>
      </c>
      <c r="AM140" s="23">
        <f t="shared" si="1190"/>
        <v>0</v>
      </c>
      <c r="AN140" s="23">
        <f>+'QTR Raw'!H77</f>
        <v>0</v>
      </c>
      <c r="AO140" s="23">
        <f t="shared" si="1190"/>
        <v>0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</v>
      </c>
      <c r="AY140" s="23">
        <f t="shared" si="1190"/>
        <v>0</v>
      </c>
      <c r="AZ140" s="23">
        <f>+'QTR Raw'!T77</f>
        <v>0</v>
      </c>
      <c r="BA140" s="23">
        <f t="shared" si="1190"/>
        <v>0</v>
      </c>
      <c r="BB140" s="23">
        <f>+'QTR Raw'!V77</f>
        <v>0</v>
      </c>
      <c r="BC140" s="23">
        <f t="shared" si="1190"/>
        <v>0</v>
      </c>
      <c r="BD140" s="23">
        <f>+'QTR Raw'!X77</f>
        <v>0</v>
      </c>
      <c r="BE140" s="23">
        <f t="shared" si="1190"/>
        <v>0</v>
      </c>
      <c r="BF140" s="23">
        <f>+'QTR Raw'!Z77</f>
        <v>0</v>
      </c>
      <c r="BG140" s="23">
        <f t="shared" si="1190"/>
        <v>0</v>
      </c>
      <c r="BH140" s="23">
        <f>+'QTR Raw'!AB77</f>
        <v>0</v>
      </c>
      <c r="BI140" s="23">
        <f t="shared" si="1190"/>
        <v>0</v>
      </c>
      <c r="BJ140" s="23">
        <f>+'QTR Raw'!AD77</f>
        <v>0</v>
      </c>
      <c r="BK140" s="23">
        <f t="shared" si="1190"/>
        <v>0</v>
      </c>
      <c r="BL140" s="23">
        <f>+'QTR Raw'!AF77</f>
        <v>0</v>
      </c>
      <c r="BM140" s="23">
        <f t="shared" si="1190"/>
        <v>0</v>
      </c>
      <c r="BN140" s="23">
        <f>+'QTR Raw'!AH77</f>
        <v>0.53300000000000003</v>
      </c>
      <c r="BO140" s="23">
        <f t="shared" si="1190"/>
        <v>0.53300000000000003</v>
      </c>
      <c r="BP140" s="23">
        <f>+'QTR Raw'!AJ77</f>
        <v>0.51900000000000002</v>
      </c>
      <c r="BQ140" s="23">
        <f t="shared" si="1190"/>
        <v>0.51900000000000002</v>
      </c>
      <c r="BR140" s="23">
        <f>+'QTR Raw'!AL77</f>
        <v>0.53100000000000003</v>
      </c>
      <c r="BS140" s="23">
        <f t="shared" si="1190"/>
        <v>0.53100000000000003</v>
      </c>
      <c r="BT140" s="23">
        <f>+'QTR Raw'!AN77</f>
        <v>0.5</v>
      </c>
      <c r="BU140" s="23">
        <f t="shared" si="1190"/>
        <v>0.5</v>
      </c>
      <c r="BV140" s="23">
        <f>+'QTR Raw'!AP77</f>
        <v>0</v>
      </c>
      <c r="BW140" s="23">
        <f t="shared" si="1190"/>
        <v>0</v>
      </c>
      <c r="BX140" s="23">
        <f>+'QTR Raw'!AR77</f>
        <v>0</v>
      </c>
      <c r="BY140" s="23">
        <f t="shared" si="1190"/>
        <v>0</v>
      </c>
      <c r="BZ140" s="23">
        <f>+'QTR Raw'!AT77</f>
        <v>0</v>
      </c>
      <c r="CA140" s="23">
        <f t="shared" si="1190"/>
        <v>0</v>
      </c>
      <c r="CB140" s="23">
        <f>+'QTR Raw'!AV77</f>
        <v>0.1</v>
      </c>
      <c r="CC140" s="23">
        <f t="shared" si="1190"/>
        <v>0.1</v>
      </c>
      <c r="CD140" s="23">
        <f>+'QTR Raw'!AX77</f>
        <v>0</v>
      </c>
      <c r="CE140" s="23">
        <f t="shared" si="1190"/>
        <v>0</v>
      </c>
      <c r="CF140" s="23">
        <f>+'QTR Raw'!AZ77</f>
        <v>0</v>
      </c>
      <c r="CG140" s="23">
        <f t="shared" ref="CG140:CI143" si="1191">+CF140</f>
        <v>0</v>
      </c>
      <c r="CH140" s="23">
        <f t="shared" ref="CH140:CH155" si="1192">Z140</f>
        <v>5.0000000000000001E-3</v>
      </c>
      <c r="CI140" s="23">
        <f t="shared" si="1191"/>
        <v>5.0000000000000001E-3</v>
      </c>
      <c r="CJ140" s="23">
        <f>+'QTR Raw'!BD77</f>
        <v>0.55000000000000004</v>
      </c>
      <c r="CK140" s="24">
        <f t="shared" ref="CK140" si="1193">+CJ140</f>
        <v>0.55000000000000004</v>
      </c>
      <c r="CL140" s="23">
        <f>+'QTR Raw'!BF77</f>
        <v>8.7999999999999995E-2</v>
      </c>
      <c r="CM140" s="24">
        <f t="shared" ref="CM140" si="1194">+CL140</f>
        <v>8.7999999999999995E-2</v>
      </c>
      <c r="CN140" s="24">
        <f t="shared" ref="CN140" si="1195">+CM140</f>
        <v>8.7999999999999995E-2</v>
      </c>
      <c r="CO140" s="24">
        <f t="shared" ref="CO140" si="1196">+CN140</f>
        <v>8.7999999999999995E-2</v>
      </c>
      <c r="CP140" s="24">
        <f t="shared" ref="CP140" si="1197">+CO140</f>
        <v>8.7999999999999995E-2</v>
      </c>
      <c r="CQ140" s="24">
        <f t="shared" ref="CQ140" si="1198">+CP140</f>
        <v>8.7999999999999995E-2</v>
      </c>
      <c r="CR140" s="24">
        <f t="shared" ref="CR140" si="1199">+CQ140</f>
        <v>8.7999999999999995E-2</v>
      </c>
      <c r="CS140" s="24">
        <f t="shared" ref="CS140" si="1200">+CR140</f>
        <v>8.7999999999999995E-2</v>
      </c>
      <c r="CT140" s="24">
        <f t="shared" ref="CT140" si="1201">+CS140</f>
        <v>8.7999999999999995E-2</v>
      </c>
      <c r="CU140" s="24">
        <f t="shared" ref="CU140" si="1202">+CT140</f>
        <v>8.7999999999999995E-2</v>
      </c>
      <c r="CV140" s="24">
        <f t="shared" ref="CV140" si="1203">+CU140</f>
        <v>8.7999999999999995E-2</v>
      </c>
      <c r="CW140" s="24">
        <f t="shared" ref="CW140" si="1204">+CV140</f>
        <v>8.7999999999999995E-2</v>
      </c>
      <c r="CX140" s="24">
        <f t="shared" ref="CX140" si="1205">+CW140</f>
        <v>8.7999999999999995E-2</v>
      </c>
      <c r="CY140" s="24">
        <f t="shared" ref="CY140" si="1206">+CX140</f>
        <v>8.7999999999999995E-2</v>
      </c>
      <c r="CZ140" s="24">
        <f t="shared" ref="CZ140" si="1207">+CY140</f>
        <v>8.7999999999999995E-2</v>
      </c>
      <c r="DA140" s="24">
        <f t="shared" ref="DA140" si="1208">+CZ140</f>
        <v>8.7999999999999995E-2</v>
      </c>
      <c r="DB140" s="24">
        <f t="shared" ref="DB140" si="1209">+DA140</f>
        <v>8.7999999999999995E-2</v>
      </c>
      <c r="DE140" s="123"/>
      <c r="DF140" s="23">
        <v>0.55000000000000004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8.6325670999999993</v>
      </c>
      <c r="N142" s="23">
        <f>'Annual Raw'!O72+'Annual Raw'!O61</f>
        <v>6.0960467999999999</v>
      </c>
      <c r="O142" s="23">
        <f>'Annual Raw'!P72+'Annual Raw'!P61</f>
        <v>11.6594213</v>
      </c>
      <c r="P142" s="23">
        <f>'Annual Raw'!Q72+'Annual Raw'!Q61</f>
        <v>9.3963000000000001</v>
      </c>
      <c r="Q142" s="23">
        <f>'Annual Raw'!R72+'Annual Raw'!R61</f>
        <v>10.8919</v>
      </c>
      <c r="R142" s="23">
        <f>'Annual Raw'!S72+'Annual Raw'!S61</f>
        <v>10.0724</v>
      </c>
      <c r="S142" s="23">
        <f>'Annual Raw'!T72+'Annual Raw'!T61</f>
        <v>15.7197</v>
      </c>
      <c r="T142" s="23">
        <f>'Annual Raw'!U72+'Annual Raw'!U61</f>
        <v>12.738300000000001</v>
      </c>
      <c r="U142" s="23">
        <f>'Annual Raw'!V72+'Annual Raw'!V61</f>
        <v>12.8108</v>
      </c>
      <c r="V142" s="23">
        <f>'Annual Raw'!W72+'Annual Raw'!W61</f>
        <v>13.429600000000001</v>
      </c>
      <c r="W142" s="23">
        <f>'Annual Raw'!X72+'Annual Raw'!X61</f>
        <v>13.487299999999999</v>
      </c>
      <c r="X142" s="23">
        <f>'Annual Raw'!Y72+'Annual Raw'!Y61</f>
        <v>14.391500000000001</v>
      </c>
      <c r="Y142" s="23">
        <f>'Annual Raw'!Z72+'Annual Raw'!Z61</f>
        <v>16.821200000000001</v>
      </c>
      <c r="Z142" s="23">
        <f>'Annual Raw'!AA72+'Annual Raw'!AA61</f>
        <v>17.6723</v>
      </c>
      <c r="AA142" s="23">
        <f>'Annual Raw'!AB72+'Annual Raw'!AB61</f>
        <v>18.046299999999999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0</v>
      </c>
      <c r="AK142" s="23">
        <f t="shared" ref="AK142:CE147" si="1214">+AJ142</f>
        <v>0</v>
      </c>
      <c r="AL142" s="23">
        <f>+'QTR Raw'!F78</f>
        <v>0</v>
      </c>
      <c r="AM142" s="23">
        <f t="shared" si="1214"/>
        <v>0</v>
      </c>
      <c r="AN142" s="23">
        <f>+'QTR Raw'!H78</f>
        <v>0</v>
      </c>
      <c r="AO142" s="23">
        <f t="shared" si="1214"/>
        <v>0</v>
      </c>
      <c r="AP142" s="23">
        <f>+'QTR Raw'!J78</f>
        <v>0</v>
      </c>
      <c r="AQ142" s="23">
        <f t="shared" si="1214"/>
        <v>0</v>
      </c>
      <c r="AR142" s="23">
        <f>+'QTR Raw'!L78</f>
        <v>0</v>
      </c>
      <c r="AS142" s="23">
        <f t="shared" si="1214"/>
        <v>0</v>
      </c>
      <c r="AT142" s="23">
        <f>+'QTR Raw'!N78</f>
        <v>0</v>
      </c>
      <c r="AU142" s="23">
        <f t="shared" si="1214"/>
        <v>0</v>
      </c>
      <c r="AV142" s="23">
        <f>+'QTR Raw'!P78</f>
        <v>0</v>
      </c>
      <c r="AW142" s="23">
        <f t="shared" si="1214"/>
        <v>0</v>
      </c>
      <c r="AX142" s="23">
        <f>+'QTR Raw'!R78</f>
        <v>0</v>
      </c>
      <c r="AY142" s="23">
        <f t="shared" si="1214"/>
        <v>0</v>
      </c>
      <c r="AZ142" s="23">
        <f>+'QTR Raw'!T78</f>
        <v>0</v>
      </c>
      <c r="BA142" s="23">
        <f t="shared" si="1214"/>
        <v>0</v>
      </c>
      <c r="BB142" s="23">
        <f>+'QTR Raw'!V78</f>
        <v>0</v>
      </c>
      <c r="BC142" s="23">
        <f t="shared" si="1214"/>
        <v>0</v>
      </c>
      <c r="BD142" s="23">
        <f>+'QTR Raw'!X78</f>
        <v>0</v>
      </c>
      <c r="BE142" s="23">
        <f t="shared" si="1214"/>
        <v>0</v>
      </c>
      <c r="BF142" s="23">
        <f>+'QTR Raw'!Z78</f>
        <v>0</v>
      </c>
      <c r="BG142" s="23">
        <f t="shared" si="1214"/>
        <v>0</v>
      </c>
      <c r="BH142" s="23">
        <f>+'QTR Raw'!AB78</f>
        <v>0</v>
      </c>
      <c r="BI142" s="23">
        <f t="shared" si="1214"/>
        <v>0</v>
      </c>
      <c r="BJ142" s="23">
        <f>+'QTR Raw'!AD78</f>
        <v>0</v>
      </c>
      <c r="BK142" s="23">
        <f t="shared" si="1214"/>
        <v>0</v>
      </c>
      <c r="BL142" s="23">
        <f>+'QTR Raw'!AF78</f>
        <v>0</v>
      </c>
      <c r="BM142" s="23">
        <f t="shared" si="1214"/>
        <v>0</v>
      </c>
      <c r="BN142" s="23">
        <f>+'QTR Raw'!AH78</f>
        <v>12.808999999999999</v>
      </c>
      <c r="BO142" s="23">
        <f t="shared" si="1214"/>
        <v>12.808999999999999</v>
      </c>
      <c r="BP142" s="23">
        <f>+'QTR Raw'!AJ78</f>
        <v>11.114000000000001</v>
      </c>
      <c r="BQ142" s="23">
        <f t="shared" si="1214"/>
        <v>11.114000000000001</v>
      </c>
      <c r="BR142" s="23">
        <f>+'QTR Raw'!AL78</f>
        <v>0.17299999999999999</v>
      </c>
      <c r="BS142" s="23">
        <f t="shared" si="1214"/>
        <v>0.17299999999999999</v>
      </c>
      <c r="BT142" s="23">
        <f>+'QTR Raw'!AN78</f>
        <v>0.252</v>
      </c>
      <c r="BU142" s="23">
        <f t="shared" si="1214"/>
        <v>0.252</v>
      </c>
      <c r="BV142" s="23">
        <f>+'QTR Raw'!AP78</f>
        <v>0.21299999999999999</v>
      </c>
      <c r="BW142" s="23">
        <f t="shared" si="1214"/>
        <v>0.21299999999999999</v>
      </c>
      <c r="BX142" s="23">
        <f>+'QTR Raw'!AR78</f>
        <v>0.311</v>
      </c>
      <c r="BY142" s="23">
        <f t="shared" si="1214"/>
        <v>0.311</v>
      </c>
      <c r="BZ142" s="23">
        <f>+'QTR Raw'!AT78</f>
        <v>0.23300000000000001</v>
      </c>
      <c r="CA142" s="23">
        <f t="shared" si="1214"/>
        <v>0.23300000000000001</v>
      </c>
      <c r="CB142" s="23">
        <f>+'QTR Raw'!AV78</f>
        <v>0.27400000000000002</v>
      </c>
      <c r="CC142" s="23">
        <f t="shared" si="1214"/>
        <v>0.27400000000000002</v>
      </c>
      <c r="CD142" s="23">
        <f>+'QTR Raw'!AX78</f>
        <v>0.16400000000000001</v>
      </c>
      <c r="CE142" s="23">
        <f t="shared" si="1214"/>
        <v>0.16400000000000001</v>
      </c>
      <c r="CF142" s="23">
        <f>+'QTR Raw'!AZ78</f>
        <v>0.214</v>
      </c>
      <c r="CG142" s="23">
        <f t="shared" si="1191"/>
        <v>0.214</v>
      </c>
      <c r="CH142" s="23">
        <f t="shared" si="1192"/>
        <v>17.6723</v>
      </c>
      <c r="CJ142" s="23">
        <f>+'QTR Raw'!BD78</f>
        <v>0.26500000000000001</v>
      </c>
      <c r="CK142" s="24"/>
      <c r="CL142" s="23">
        <f>+'QTR Raw'!BF78</f>
        <v>0.23200000000000001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0.23200000000000001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0.16159190000000001</v>
      </c>
      <c r="O143" s="23">
        <f>'Annual Raw'!P73+'Annual Raw'!P81</f>
        <v>1.9995961</v>
      </c>
      <c r="P143" s="23">
        <f>'Annual Raw'!Q73+'Annual Raw'!Q81</f>
        <v>1.0237000000000001</v>
      </c>
      <c r="Q143" s="23">
        <f>'Annual Raw'!R73+'Annual Raw'!R81</f>
        <v>0.49490000000000001</v>
      </c>
      <c r="R143" s="23">
        <f>'Annual Raw'!S73+'Annual Raw'!S81</f>
        <v>3.2281</v>
      </c>
      <c r="S143" s="23">
        <f>'Annual Raw'!T73+'Annual Raw'!T81</f>
        <v>8.3361999999999998</v>
      </c>
      <c r="T143" s="23">
        <f>'Annual Raw'!U73+'Annual Raw'!U81</f>
        <v>4.2817999999999996</v>
      </c>
      <c r="U143" s="23">
        <f>'Annual Raw'!V73+'Annual Raw'!V81</f>
        <v>0.48770000000000002</v>
      </c>
      <c r="V143" s="23">
        <f>'Annual Raw'!W73+'Annual Raw'!W81</f>
        <v>0.53010000000000002</v>
      </c>
      <c r="W143" s="23">
        <f>'Annual Raw'!X73+'Annual Raw'!X81</f>
        <v>0.51939999999999997</v>
      </c>
      <c r="X143" s="23">
        <f>'Annual Raw'!Y73+'Annual Raw'!Y81</f>
        <v>1.2558</v>
      </c>
      <c r="Y143" s="23">
        <f>'Annual Raw'!Z73+'Annual Raw'!Z81</f>
        <v>0.62870000000000004</v>
      </c>
      <c r="Z143" s="23">
        <f>'Annual Raw'!AA73+'Annual Raw'!AA81</f>
        <v>0.58760000000000001</v>
      </c>
      <c r="AA143" s="23">
        <f>'Annual Raw'!AB73+'Annual Raw'!AB81</f>
        <v>0.53680000000000005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0</v>
      </c>
      <c r="BC143" s="23">
        <f t="shared" si="1214"/>
        <v>0</v>
      </c>
      <c r="BD143" s="23">
        <f>+'QTR Raw'!X79+'QTR Raw'!X76</f>
        <v>0</v>
      </c>
      <c r="BE143" s="23">
        <f t="shared" si="1214"/>
        <v>0</v>
      </c>
      <c r="BF143" s="23">
        <f>+'QTR Raw'!Z79+'QTR Raw'!Z76</f>
        <v>0</v>
      </c>
      <c r="BG143" s="23">
        <f t="shared" si="1214"/>
        <v>0</v>
      </c>
      <c r="BH143" s="23">
        <f>+'QTR Raw'!AB79+'QTR Raw'!AB76</f>
        <v>0</v>
      </c>
      <c r="BI143" s="23">
        <f t="shared" si="1214"/>
        <v>0</v>
      </c>
      <c r="BJ143" s="23">
        <f>+'QTR Raw'!AD79+'QTR Raw'!AD76</f>
        <v>0</v>
      </c>
      <c r="BK143" s="23">
        <f t="shared" si="1214"/>
        <v>0</v>
      </c>
      <c r="BL143" s="23">
        <f>+'QTR Raw'!AF79+'QTR Raw'!AF76</f>
        <v>0</v>
      </c>
      <c r="BM143" s="23">
        <f t="shared" si="1214"/>
        <v>0</v>
      </c>
      <c r="BN143" s="23">
        <f>+'QTR Raw'!AH79+'QTR Raw'!AH76</f>
        <v>99.552000000000007</v>
      </c>
      <c r="BO143" s="23">
        <f t="shared" si="1214"/>
        <v>99.552000000000007</v>
      </c>
      <c r="BP143" s="23">
        <f>+'QTR Raw'!AJ79+'QTR Raw'!AJ76</f>
        <v>73.578000000000003</v>
      </c>
      <c r="BQ143" s="23">
        <f t="shared" si="1214"/>
        <v>73.578000000000003</v>
      </c>
      <c r="BR143" s="23">
        <f>+'QTR Raw'!AL79+'QTR Raw'!AL76</f>
        <v>87.522999999999996</v>
      </c>
      <c r="BS143" s="23">
        <f t="shared" si="1214"/>
        <v>87.522999999999996</v>
      </c>
      <c r="BT143" s="23">
        <f>+'QTR Raw'!AN79+'QTR Raw'!AN76</f>
        <v>85.061000000000007</v>
      </c>
      <c r="BU143" s="23">
        <f t="shared" si="1214"/>
        <v>85.061000000000007</v>
      </c>
      <c r="BV143" s="23">
        <f>+'QTR Raw'!AP79+'QTR Raw'!AP76</f>
        <v>86.242000000000004</v>
      </c>
      <c r="BW143" s="23">
        <f t="shared" si="1214"/>
        <v>86.242000000000004</v>
      </c>
      <c r="BX143" s="23">
        <f>+'QTR Raw'!AR79+'QTR Raw'!AR76</f>
        <v>92.605000000000004</v>
      </c>
      <c r="BY143" s="23">
        <f t="shared" si="1214"/>
        <v>92.605000000000004</v>
      </c>
      <c r="BZ143" s="23">
        <f>+'QTR Raw'!AT79+'QTR Raw'!AT76</f>
        <v>98.391999999999996</v>
      </c>
      <c r="CA143" s="23">
        <f t="shared" si="1214"/>
        <v>98.391999999999996</v>
      </c>
      <c r="CB143" s="23">
        <f>+'QTR Raw'!AV79+'QTR Raw'!AV76</f>
        <v>101.976</v>
      </c>
      <c r="CC143" s="23">
        <f t="shared" si="1214"/>
        <v>101.976</v>
      </c>
      <c r="CD143" s="23">
        <f>+'QTR Raw'!AX79+'QTR Raw'!AX76</f>
        <v>100.908</v>
      </c>
      <c r="CE143" s="23">
        <f t="shared" si="1214"/>
        <v>100.908</v>
      </c>
      <c r="CF143" s="23">
        <f>+'QTR Raw'!AZ79+'QTR Raw'!AZ76</f>
        <v>104.688</v>
      </c>
      <c r="CG143" s="23">
        <f t="shared" si="1191"/>
        <v>104.688</v>
      </c>
      <c r="CH143" s="23">
        <f t="shared" si="1192"/>
        <v>0.58760000000000001</v>
      </c>
      <c r="CJ143" s="23">
        <f>+'QTR Raw'!BD79+'QTR Raw'!BD76</f>
        <v>83.046000000000006</v>
      </c>
      <c r="CK143" s="24"/>
      <c r="CL143" s="23">
        <f>+'QTR Raw'!BF79+'QTR Raw'!BF76</f>
        <v>71.180999999999997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71.180999999999997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3">
        <f>'Annual Raw'!AB76</f>
        <v>0</v>
      </c>
      <c r="AB144" s="24">
        <f t="shared" si="1210"/>
        <v>0</v>
      </c>
      <c r="AC144" s="24">
        <f t="shared" si="1211"/>
        <v>0</v>
      </c>
      <c r="AD144" s="24">
        <f t="shared" si="1212"/>
        <v>0</v>
      </c>
      <c r="AE144" s="24">
        <f t="shared" si="1213"/>
        <v>0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192"/>
        <v>0</v>
      </c>
      <c r="CI144" s="23">
        <f>+CI179*CI10/90</f>
        <v>0</v>
      </c>
      <c r="CJ144" s="23">
        <f>+'QTR Raw'!BD81</f>
        <v>0</v>
      </c>
      <c r="CK144" s="24">
        <f t="shared" ref="CK144:DB144" si="1215">+CK179*CK10/90</f>
        <v>0</v>
      </c>
      <c r="CL144" s="23">
        <f>+'QTR Raw'!BF81</f>
        <v>0</v>
      </c>
      <c r="CM144" s="24">
        <f t="shared" si="1215"/>
        <v>0</v>
      </c>
      <c r="CN144" s="24">
        <f t="shared" si="1215"/>
        <v>0</v>
      </c>
      <c r="CO144" s="24">
        <f t="shared" si="1215"/>
        <v>0</v>
      </c>
      <c r="CP144" s="24">
        <f t="shared" si="1215"/>
        <v>0</v>
      </c>
      <c r="CQ144" s="24">
        <f t="shared" si="1215"/>
        <v>0</v>
      </c>
      <c r="CR144" s="24">
        <f t="shared" si="1215"/>
        <v>0</v>
      </c>
      <c r="CS144" s="24">
        <f t="shared" si="1215"/>
        <v>0</v>
      </c>
      <c r="CT144" s="24">
        <f t="shared" si="1215"/>
        <v>0</v>
      </c>
      <c r="CU144" s="24">
        <f t="shared" si="1215"/>
        <v>0</v>
      </c>
      <c r="CV144" s="24">
        <f t="shared" si="1215"/>
        <v>0</v>
      </c>
      <c r="CW144" s="24">
        <f t="shared" si="1215"/>
        <v>0</v>
      </c>
      <c r="CX144" s="24">
        <f t="shared" si="1215"/>
        <v>0</v>
      </c>
      <c r="CY144" s="24">
        <f t="shared" si="1215"/>
        <v>0</v>
      </c>
      <c r="CZ144" s="24">
        <f t="shared" si="1215"/>
        <v>0</v>
      </c>
      <c r="DA144" s="24">
        <f t="shared" si="1215"/>
        <v>0</v>
      </c>
      <c r="DB144" s="24">
        <f t="shared" si="1215"/>
        <v>0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9.3887178000000002</v>
      </c>
      <c r="G145" s="23">
        <f>'Annual Raw'!H77</f>
        <v>18.467924199999999</v>
      </c>
      <c r="H145" s="23">
        <f>'Annual Raw'!I77</f>
        <v>21.262044199999998</v>
      </c>
      <c r="I145" s="23">
        <f>'Annual Raw'!J77</f>
        <v>35.7290803</v>
      </c>
      <c r="J145" s="23">
        <f>'Annual Raw'!K77</f>
        <v>22.965274999999998</v>
      </c>
      <c r="K145" s="23">
        <f>'Annual Raw'!L77</f>
        <v>36.847988700000002</v>
      </c>
      <c r="L145" s="23">
        <f>'Annual Raw'!M77</f>
        <v>27.800193100000001</v>
      </c>
      <c r="M145" s="23">
        <f>'Annual Raw'!N77</f>
        <v>3.8949676000000002</v>
      </c>
      <c r="N145" s="23">
        <f>'Annual Raw'!O77</f>
        <v>3.2665061999999998</v>
      </c>
      <c r="O145" s="23">
        <f>'Annual Raw'!P77</f>
        <v>3.5938127</v>
      </c>
      <c r="P145" s="23">
        <f>'Annual Raw'!Q77</f>
        <v>3.2606000000000002</v>
      </c>
      <c r="Q145" s="23">
        <f>'Annual Raw'!R77</f>
        <v>10.0518</v>
      </c>
      <c r="R145" s="23">
        <f>'Annual Raw'!S77</f>
        <v>11.895</v>
      </c>
      <c r="S145" s="23">
        <f>'Annual Raw'!T77</f>
        <v>22.505500000000001</v>
      </c>
      <c r="T145" s="23">
        <f>'Annual Raw'!U77</f>
        <v>26.9696</v>
      </c>
      <c r="U145" s="23">
        <f>'Annual Raw'!V77</f>
        <v>32.030700000000003</v>
      </c>
      <c r="V145" s="23">
        <f>'Annual Raw'!W77</f>
        <v>28.990400000000001</v>
      </c>
      <c r="W145" s="23">
        <f>'Annual Raw'!X77</f>
        <v>25.5472</v>
      </c>
      <c r="X145" s="23">
        <f>'Annual Raw'!Y77</f>
        <v>33.0229</v>
      </c>
      <c r="Y145" s="23">
        <f>'Annual Raw'!Z77</f>
        <v>64.8643</v>
      </c>
      <c r="Z145" s="23">
        <f>'Annual Raw'!AA77</f>
        <v>110.2651</v>
      </c>
      <c r="AA145" s="23">
        <f>'Annual Raw'!AB77</f>
        <v>56.654499999999999</v>
      </c>
      <c r="AB145" s="24">
        <f t="shared" si="1210"/>
        <v>61.127182508282033</v>
      </c>
      <c r="AC145" s="24">
        <f t="shared" si="1211"/>
        <v>65.666071078893694</v>
      </c>
      <c r="AD145" s="24">
        <f t="shared" si="1212"/>
        <v>70.502895665743651</v>
      </c>
      <c r="AE145" s="24">
        <f t="shared" si="1213"/>
        <v>75.692324885207597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>
        <f>+BM180*BM10/90</f>
        <v>0</v>
      </c>
      <c r="BN145" s="23">
        <f>+'QTR Raw'!AH82</f>
        <v>32.030999999999999</v>
      </c>
      <c r="BO145" s="23">
        <f>+BO180*BO10/90</f>
        <v>27.24005021028238</v>
      </c>
      <c r="BP145" s="23">
        <f>+'QTR Raw'!AJ82</f>
        <v>42.523000000000003</v>
      </c>
      <c r="BQ145" s="23">
        <f>+BQ180*BQ10/90</f>
        <v>46.202492748796338</v>
      </c>
      <c r="BR145" s="23">
        <f>+'QTR Raw'!AL82</f>
        <v>28.99</v>
      </c>
      <c r="BS145" s="23">
        <f>+BS180*BS10/90</f>
        <v>29.193595931382117</v>
      </c>
      <c r="BT145" s="23">
        <f>+'QTR Raw'!AN82</f>
        <v>37.192999999999998</v>
      </c>
      <c r="BU145" s="23">
        <f>+BU180*BU10/90</f>
        <v>38.846123903759292</v>
      </c>
      <c r="BV145" s="23">
        <f>+'QTR Raw'!AP82</f>
        <v>25.547000000000001</v>
      </c>
      <c r="BW145" s="23">
        <f>+BW180*BW10/90</f>
        <v>24.860169098295934</v>
      </c>
      <c r="BX145" s="23">
        <f>+'QTR Raw'!AR82</f>
        <v>57.085000000000001</v>
      </c>
      <c r="BY145" s="23">
        <f>+BY180*BY10/90</f>
        <v>57.368105046004047</v>
      </c>
      <c r="BZ145" s="23">
        <f>+'QTR Raw'!AT82</f>
        <v>33.023000000000003</v>
      </c>
      <c r="CA145" s="23">
        <f>+CA180*CA10/90</f>
        <v>34.620893507837863</v>
      </c>
      <c r="CB145" s="23">
        <f>+'QTR Raw'!AV82</f>
        <v>53.917999999999999</v>
      </c>
      <c r="CC145" s="23">
        <f>+CC180*CC10/90</f>
        <v>56.778711894228287</v>
      </c>
      <c r="CD145" s="23">
        <f>+'QTR Raw'!AX82</f>
        <v>64.864000000000004</v>
      </c>
      <c r="CE145" s="23">
        <f>+CE180*CE10/90</f>
        <v>69.239607574591176</v>
      </c>
      <c r="CF145" s="23">
        <f>+'QTR Raw'!AZ82</f>
        <v>71.718000000000004</v>
      </c>
      <c r="CG145" s="23">
        <f>+CG180*CG10/90</f>
        <v>72.615722109033555</v>
      </c>
      <c r="CH145" s="23">
        <f t="shared" si="1192"/>
        <v>110.2651</v>
      </c>
      <c r="CI145" s="23">
        <f>+CI180*CI10/90</f>
        <v>109.64158761701005</v>
      </c>
      <c r="CJ145" s="23">
        <f>+'QTR Raw'!BD82</f>
        <v>68.712000000000003</v>
      </c>
      <c r="CK145" s="24">
        <f t="shared" ref="CK145:DB145" si="1216">+CK180*CK10/90</f>
        <v>71.156164145905109</v>
      </c>
      <c r="CL145" s="23">
        <f>+'QTR Raw'!BF82</f>
        <v>56.654000000000003</v>
      </c>
      <c r="CM145" s="24">
        <f t="shared" si="1216"/>
        <v>54.132000518303471</v>
      </c>
      <c r="CN145" s="24">
        <f t="shared" si="1216"/>
        <v>57.5523429444508</v>
      </c>
      <c r="CO145" s="24">
        <f t="shared" si="1216"/>
        <v>60.075189804901989</v>
      </c>
      <c r="CP145" s="24">
        <f t="shared" si="1216"/>
        <v>61.127182508282033</v>
      </c>
      <c r="CQ145" s="24">
        <f t="shared" si="1216"/>
        <v>57.99066080764198</v>
      </c>
      <c r="CR145" s="24">
        <f t="shared" si="1216"/>
        <v>61.726737610277198</v>
      </c>
      <c r="CS145" s="24">
        <f t="shared" si="1216"/>
        <v>64.535294894060627</v>
      </c>
      <c r="CT145" s="24">
        <f t="shared" si="1216"/>
        <v>65.666071078893694</v>
      </c>
      <c r="CU145" s="24">
        <f t="shared" si="1216"/>
        <v>62.228470546618802</v>
      </c>
      <c r="CV145" s="24">
        <f t="shared" si="1216"/>
        <v>66.265270608702011</v>
      </c>
      <c r="CW145" s="24">
        <f t="shared" si="1216"/>
        <v>69.29636857301719</v>
      </c>
      <c r="CX145" s="24">
        <f t="shared" si="1216"/>
        <v>70.502895665743651</v>
      </c>
      <c r="CY145" s="24">
        <f t="shared" si="1216"/>
        <v>66.80282757378933</v>
      </c>
      <c r="CZ145" s="24">
        <f t="shared" si="1216"/>
        <v>71.143519382857846</v>
      </c>
      <c r="DA145" s="24">
        <f t="shared" si="1216"/>
        <v>74.399330053496513</v>
      </c>
      <c r="DB145" s="24">
        <f t="shared" si="1216"/>
        <v>75.692324885207597</v>
      </c>
      <c r="DE145" s="123"/>
      <c r="DF145" s="23">
        <v>69.875899342953673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1.3737495</v>
      </c>
      <c r="G146" s="23">
        <f>'Annual Raw'!H79</f>
        <v>3.8440728000000002</v>
      </c>
      <c r="H146" s="23">
        <f>'Annual Raw'!I79</f>
        <v>2.4670421</v>
      </c>
      <c r="I146" s="23">
        <f>'Annual Raw'!J79</f>
        <v>2.5438657999999998</v>
      </c>
      <c r="J146" s="23">
        <f>'Annual Raw'!K79</f>
        <v>3.1911909000000001</v>
      </c>
      <c r="K146" s="23">
        <f>'Annual Raw'!L79</f>
        <v>5.0534355</v>
      </c>
      <c r="L146" s="23">
        <f>'Annual Raw'!M79</f>
        <v>7.0374737999999999</v>
      </c>
      <c r="M146" s="23">
        <f>'Annual Raw'!N79</f>
        <v>25.630794099999999</v>
      </c>
      <c r="N146" s="23">
        <f>'Annual Raw'!O79</f>
        <v>29.138792500000001</v>
      </c>
      <c r="O146" s="23">
        <f>'Annual Raw'!P79</f>
        <v>40.460316400000004</v>
      </c>
      <c r="P146" s="23">
        <f>'Annual Raw'!Q79</f>
        <v>39.441299999999998</v>
      </c>
      <c r="Q146" s="23">
        <f>'Annual Raw'!R79</f>
        <v>29.528400000000001</v>
      </c>
      <c r="R146" s="23">
        <f>'Annual Raw'!S79</f>
        <v>49.215299999999999</v>
      </c>
      <c r="S146" s="23">
        <f>'Annual Raw'!T79</f>
        <v>62.298999999999999</v>
      </c>
      <c r="T146" s="23">
        <f>'Annual Raw'!U79</f>
        <v>68.683400000000006</v>
      </c>
      <c r="U146" s="23">
        <f>'Annual Raw'!V79</f>
        <v>65.445300000000003</v>
      </c>
      <c r="V146" s="23">
        <f>'Annual Raw'!W79</f>
        <v>72.656599999999997</v>
      </c>
      <c r="W146" s="23">
        <f>'Annual Raw'!X79</f>
        <v>90.006500000000003</v>
      </c>
      <c r="X146" s="23">
        <f>'Annual Raw'!Y79</f>
        <v>179.44319999999999</v>
      </c>
      <c r="Y146" s="23">
        <f>'Annual Raw'!Z79</f>
        <v>293.5813</v>
      </c>
      <c r="Z146" s="23">
        <f>'Annual Raw'!AA79</f>
        <v>298.37740000000002</v>
      </c>
      <c r="AA146" s="23">
        <f>'Annual Raw'!AB79</f>
        <v>341.49430000000001</v>
      </c>
      <c r="AB146" s="24">
        <f t="shared" si="1210"/>
        <v>471.86529392910501</v>
      </c>
      <c r="AC146" s="24">
        <f t="shared" si="1211"/>
        <v>506.90279936611654</v>
      </c>
      <c r="AD146" s="24">
        <f t="shared" si="1212"/>
        <v>544.24019267797496</v>
      </c>
      <c r="AE146" s="24">
        <f t="shared" si="1213"/>
        <v>584.2994828903918</v>
      </c>
      <c r="AJ146" s="23">
        <f>+'QTR Raw'!D84</f>
        <v>0</v>
      </c>
      <c r="AK146" s="23">
        <f t="shared" si="1214"/>
        <v>0</v>
      </c>
      <c r="AL146" s="23">
        <f>+'QTR Raw'!F84</f>
        <v>0</v>
      </c>
      <c r="AM146" s="23">
        <f t="shared" si="1214"/>
        <v>0</v>
      </c>
      <c r="AN146" s="23">
        <f>+'QTR Raw'!H84</f>
        <v>0</v>
      </c>
      <c r="AO146" s="23">
        <f t="shared" si="1214"/>
        <v>0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0</v>
      </c>
      <c r="AY146" s="23">
        <f t="shared" si="1214"/>
        <v>0</v>
      </c>
      <c r="AZ146" s="23">
        <f>+'QTR Raw'!T84</f>
        <v>0</v>
      </c>
      <c r="BA146" s="23">
        <f t="shared" si="1214"/>
        <v>0</v>
      </c>
      <c r="BB146" s="23">
        <f>+'QTR Raw'!V84</f>
        <v>0</v>
      </c>
      <c r="BC146" s="23">
        <f t="shared" si="1214"/>
        <v>0</v>
      </c>
      <c r="BD146" s="23">
        <f>+'QTR Raw'!X84</f>
        <v>0</v>
      </c>
      <c r="BE146" s="23">
        <f t="shared" si="1214"/>
        <v>0</v>
      </c>
      <c r="BF146" s="23">
        <f>+'QTR Raw'!Z84</f>
        <v>0</v>
      </c>
      <c r="BG146" s="23">
        <f t="shared" si="1214"/>
        <v>0</v>
      </c>
      <c r="BH146" s="23">
        <f>+'QTR Raw'!AB84</f>
        <v>0</v>
      </c>
      <c r="BI146" s="23">
        <f t="shared" si="1214"/>
        <v>0</v>
      </c>
      <c r="BJ146" s="23">
        <f>+'QTR Raw'!AD84</f>
        <v>0</v>
      </c>
      <c r="BK146" s="23">
        <f t="shared" si="1214"/>
        <v>0</v>
      </c>
      <c r="BL146" s="23">
        <f>+'QTR Raw'!AF84</f>
        <v>0</v>
      </c>
      <c r="BM146" s="23">
        <f t="shared" si="1214"/>
        <v>0</v>
      </c>
      <c r="BN146" s="23">
        <f>+'QTR Raw'!AH84</f>
        <v>84.001999999999995</v>
      </c>
      <c r="BO146" s="23">
        <f t="shared" si="1214"/>
        <v>84.001999999999995</v>
      </c>
      <c r="BP146" s="23">
        <f>+'QTR Raw'!AJ84</f>
        <v>89.850999999999999</v>
      </c>
      <c r="BQ146" s="23">
        <f t="shared" si="1214"/>
        <v>89.850999999999999</v>
      </c>
      <c r="BR146" s="23">
        <f>+'QTR Raw'!AL84</f>
        <v>87.915000000000006</v>
      </c>
      <c r="BS146" s="23">
        <f t="shared" si="1214"/>
        <v>87.915000000000006</v>
      </c>
      <c r="BT146" s="23">
        <f>+'QTR Raw'!AN84</f>
        <v>100.849</v>
      </c>
      <c r="BU146" s="23">
        <f t="shared" si="1214"/>
        <v>100.849</v>
      </c>
      <c r="BV146" s="23">
        <f>+'QTR Raw'!AP84</f>
        <v>124.41500000000001</v>
      </c>
      <c r="BW146" s="23">
        <f t="shared" si="1214"/>
        <v>124.41500000000001</v>
      </c>
      <c r="BX146" s="23">
        <f>+'QTR Raw'!AR84</f>
        <v>118.309</v>
      </c>
      <c r="BY146" s="23">
        <f t="shared" si="1214"/>
        <v>118.309</v>
      </c>
      <c r="BZ146" s="23">
        <f>+'QTR Raw'!AT84</f>
        <v>214.261</v>
      </c>
      <c r="CA146" s="23">
        <f t="shared" si="1214"/>
        <v>214.261</v>
      </c>
      <c r="CB146" s="23">
        <f>+'QTR Raw'!AV84</f>
        <v>147.06700000000001</v>
      </c>
      <c r="CC146" s="23">
        <f t="shared" si="1214"/>
        <v>147.06700000000001</v>
      </c>
      <c r="CD146" s="23">
        <f>+'QTR Raw'!AX84</f>
        <v>310.58300000000003</v>
      </c>
      <c r="CE146" s="23">
        <f t="shared" si="1214"/>
        <v>310.58300000000003</v>
      </c>
      <c r="CF146" s="23">
        <f>+'QTR Raw'!AZ84</f>
        <v>285.62200000000001</v>
      </c>
      <c r="CG146" s="23">
        <f t="shared" ref="CG146:CG147" si="1217">+CF146</f>
        <v>285.62200000000001</v>
      </c>
      <c r="CH146" s="23">
        <f t="shared" si="1192"/>
        <v>298.37740000000002</v>
      </c>
      <c r="CI146" s="23">
        <f>CI10/90*CI181</f>
        <v>1031.7427607778395</v>
      </c>
      <c r="CJ146" s="23">
        <f>+'QTR Raw'!BD84</f>
        <v>331.327</v>
      </c>
      <c r="CK146" s="24">
        <f t="shared" ref="CK146:DB146" si="1218">CK10/90*CK181</f>
        <v>431.57427243867096</v>
      </c>
      <c r="CL146" s="23">
        <f>+'QTR Raw'!BF84</f>
        <v>363.28399999999999</v>
      </c>
      <c r="CM146" s="24">
        <f t="shared" si="1218"/>
        <v>417.86667219741304</v>
      </c>
      <c r="CN146" s="24">
        <f t="shared" si="1218"/>
        <v>444.26967030768151</v>
      </c>
      <c r="CO146" s="24">
        <f t="shared" si="1218"/>
        <v>463.74453936750808</v>
      </c>
      <c r="CP146" s="24">
        <f t="shared" si="1218"/>
        <v>471.86529392910501</v>
      </c>
      <c r="CQ146" s="24">
        <f t="shared" si="1218"/>
        <v>447.65322209041017</v>
      </c>
      <c r="CR146" s="24">
        <f t="shared" si="1218"/>
        <v>476.49350077294758</v>
      </c>
      <c r="CS146" s="24">
        <f t="shared" si="1218"/>
        <v>498.17388344148691</v>
      </c>
      <c r="CT146" s="24">
        <f t="shared" si="1218"/>
        <v>506.90279936611654</v>
      </c>
      <c r="CU146" s="24">
        <f t="shared" si="1218"/>
        <v>480.36657899716744</v>
      </c>
      <c r="CV146" s="24">
        <f t="shared" si="1218"/>
        <v>511.52826140531442</v>
      </c>
      <c r="CW146" s="24">
        <f t="shared" si="1218"/>
        <v>534.92652504466514</v>
      </c>
      <c r="CX146" s="24">
        <f t="shared" si="1218"/>
        <v>544.24019267797496</v>
      </c>
      <c r="CY146" s="24">
        <f t="shared" si="1218"/>
        <v>515.67787970810798</v>
      </c>
      <c r="CZ146" s="24">
        <f t="shared" si="1218"/>
        <v>549.18542467084637</v>
      </c>
      <c r="DA146" s="24">
        <f t="shared" si="1218"/>
        <v>574.31833602121458</v>
      </c>
      <c r="DB146" s="24">
        <f t="shared" si="1218"/>
        <v>584.2994828903918</v>
      </c>
      <c r="DE146" s="123"/>
      <c r="DF146" s="23">
        <v>423.80924803783842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16.6010153</v>
      </c>
      <c r="G147" s="23">
        <f>'Annual Raw'!H80</f>
        <v>23.916460300000001</v>
      </c>
      <c r="H147" s="23">
        <f>'Annual Raw'!I80</f>
        <v>33.348515900000002</v>
      </c>
      <c r="I147" s="23">
        <f>'Annual Raw'!J80</f>
        <v>45.539317699999998</v>
      </c>
      <c r="J147" s="23">
        <f>'Annual Raw'!K80</f>
        <v>76.773337900000001</v>
      </c>
      <c r="K147" s="23">
        <f>'Annual Raw'!L80</f>
        <v>23.966676</v>
      </c>
      <c r="L147" s="23">
        <f>'Annual Raw'!M80</f>
        <v>146.92984279999999</v>
      </c>
      <c r="M147" s="23">
        <f>'Annual Raw'!N80</f>
        <v>2.1366163999999999</v>
      </c>
      <c r="N147" s="23">
        <f>'Annual Raw'!O80</f>
        <v>5.0929729000000004</v>
      </c>
      <c r="O147" s="23">
        <f>'Annual Raw'!P80</f>
        <v>5.5439109000000002</v>
      </c>
      <c r="P147" s="23">
        <f>'Annual Raw'!Q80</f>
        <v>5.9440999999999997</v>
      </c>
      <c r="Q147" s="23">
        <f>'Annual Raw'!R80</f>
        <v>5.4181999999999997</v>
      </c>
      <c r="R147" s="23">
        <f>'Annual Raw'!S80</f>
        <v>222.68799999999999</v>
      </c>
      <c r="S147" s="23">
        <f>'Annual Raw'!T80</f>
        <v>318.18029999999999</v>
      </c>
      <c r="T147" s="23">
        <f>'Annual Raw'!U80</f>
        <v>395.73860000000002</v>
      </c>
      <c r="U147" s="23">
        <f>'Annual Raw'!V80</f>
        <v>468.56540000000001</v>
      </c>
      <c r="V147" s="23">
        <f>'Annual Raw'!W80</f>
        <v>521.23540000000003</v>
      </c>
      <c r="W147" s="23">
        <f>'Annual Raw'!X80</f>
        <v>638.0729</v>
      </c>
      <c r="X147" s="23">
        <f>'Annual Raw'!Y80</f>
        <v>35.720599999999997</v>
      </c>
      <c r="Y147" s="23">
        <f>'Annual Raw'!Z80</f>
        <v>18.0474</v>
      </c>
      <c r="Z147" s="23">
        <f>'Annual Raw'!AA80</f>
        <v>720.97280000000001</v>
      </c>
      <c r="AA147" s="23">
        <f>'Annual Raw'!AB80</f>
        <v>722.40060000000005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0</v>
      </c>
      <c r="AK147" s="23">
        <f t="shared" si="1214"/>
        <v>0</v>
      </c>
      <c r="AL147" s="23">
        <f>+'QTR Raw'!F85</f>
        <v>0</v>
      </c>
      <c r="AM147" s="23">
        <f t="shared" si="1214"/>
        <v>0</v>
      </c>
      <c r="AN147" s="23">
        <f>+'QTR Raw'!H85</f>
        <v>0</v>
      </c>
      <c r="AO147" s="23">
        <f t="shared" si="1214"/>
        <v>0</v>
      </c>
      <c r="AP147" s="23">
        <f>+'QTR Raw'!J85</f>
        <v>0</v>
      </c>
      <c r="AQ147" s="23">
        <f t="shared" si="1214"/>
        <v>0</v>
      </c>
      <c r="AR147" s="23">
        <f>+'QTR Raw'!L85</f>
        <v>0</v>
      </c>
      <c r="AS147" s="23">
        <f t="shared" si="1214"/>
        <v>0</v>
      </c>
      <c r="AT147" s="23">
        <f>+'QTR Raw'!N85</f>
        <v>0</v>
      </c>
      <c r="AU147" s="23">
        <f t="shared" si="1214"/>
        <v>0</v>
      </c>
      <c r="AV147" s="23">
        <f>+'QTR Raw'!P85</f>
        <v>0</v>
      </c>
      <c r="AW147" s="23">
        <f t="shared" si="1214"/>
        <v>0</v>
      </c>
      <c r="AX147" s="23">
        <f>+'QTR Raw'!R85</f>
        <v>0</v>
      </c>
      <c r="AY147" s="23">
        <f t="shared" si="1214"/>
        <v>0</v>
      </c>
      <c r="AZ147" s="23">
        <f>+'QTR Raw'!T85</f>
        <v>0</v>
      </c>
      <c r="BA147" s="23">
        <f t="shared" si="1214"/>
        <v>0</v>
      </c>
      <c r="BB147" s="23">
        <f>+'QTR Raw'!V85</f>
        <v>0</v>
      </c>
      <c r="BC147" s="23">
        <f t="shared" si="1214"/>
        <v>0</v>
      </c>
      <c r="BD147" s="23">
        <f>+'QTR Raw'!X85</f>
        <v>0</v>
      </c>
      <c r="BE147" s="23">
        <f t="shared" si="1214"/>
        <v>0</v>
      </c>
      <c r="BF147" s="23">
        <f>+'QTR Raw'!Z85</f>
        <v>0</v>
      </c>
      <c r="BG147" s="23">
        <f t="shared" si="1214"/>
        <v>0</v>
      </c>
      <c r="BH147" s="23">
        <f>+'QTR Raw'!AB85</f>
        <v>0</v>
      </c>
      <c r="BI147" s="23">
        <f t="shared" si="1214"/>
        <v>0</v>
      </c>
      <c r="BJ147" s="23">
        <f>+'QTR Raw'!AD85</f>
        <v>0</v>
      </c>
      <c r="BK147" s="23">
        <f t="shared" si="1214"/>
        <v>0</v>
      </c>
      <c r="BL147" s="23">
        <f>+'QTR Raw'!AF85</f>
        <v>0</v>
      </c>
      <c r="BM147" s="23">
        <f t="shared" si="1214"/>
        <v>0</v>
      </c>
      <c r="BN147" s="23">
        <f>+'QTR Raw'!AH85</f>
        <v>0.64700000000000002</v>
      </c>
      <c r="BO147" s="23">
        <f t="shared" si="1214"/>
        <v>0.64700000000000002</v>
      </c>
      <c r="BP147" s="23">
        <f>+'QTR Raw'!AJ85</f>
        <v>5.351</v>
      </c>
      <c r="BQ147" s="23">
        <f t="shared" si="1214"/>
        <v>5.351</v>
      </c>
      <c r="BR147" s="23">
        <f>+'QTR Raw'!AL85</f>
        <v>0.55900000000000005</v>
      </c>
      <c r="BS147" s="23">
        <f t="shared" si="1214"/>
        <v>0.55900000000000005</v>
      </c>
      <c r="BT147" s="23">
        <f>+'QTR Raw'!AN85</f>
        <v>0.76800000000000002</v>
      </c>
      <c r="BU147" s="23">
        <f t="shared" si="1214"/>
        <v>0.76800000000000002</v>
      </c>
      <c r="BV147" s="23">
        <f>+'QTR Raw'!AP85</f>
        <v>0.66400000000000003</v>
      </c>
      <c r="BW147" s="23">
        <f t="shared" si="1214"/>
        <v>0.66400000000000003</v>
      </c>
      <c r="BX147" s="23">
        <f>+'QTR Raw'!AR85</f>
        <v>0.98399999999999999</v>
      </c>
      <c r="BY147" s="23">
        <f t="shared" si="1214"/>
        <v>0.98399999999999999</v>
      </c>
      <c r="BZ147" s="23">
        <f>+'QTR Raw'!AT85</f>
        <v>0.90300000000000002</v>
      </c>
      <c r="CA147" s="23">
        <f t="shared" si="1214"/>
        <v>0.90300000000000002</v>
      </c>
      <c r="CB147" s="23">
        <f>+'QTR Raw'!AV85</f>
        <v>1.222</v>
      </c>
      <c r="CC147" s="23">
        <f t="shared" si="1214"/>
        <v>1.222</v>
      </c>
      <c r="CD147" s="23">
        <f>+'QTR Raw'!AX85</f>
        <v>1.046</v>
      </c>
      <c r="CE147" s="23">
        <f t="shared" si="1214"/>
        <v>1.046</v>
      </c>
      <c r="CF147" s="23">
        <f>+'QTR Raw'!AZ85</f>
        <v>1.4790000000000001</v>
      </c>
      <c r="CG147" s="23">
        <f t="shared" si="1217"/>
        <v>1.4790000000000001</v>
      </c>
      <c r="CH147" s="23">
        <f t="shared" si="1192"/>
        <v>720.97280000000001</v>
      </c>
      <c r="CJ147" s="23">
        <f>+'QTR Raw'!BD85</f>
        <v>2.1120000000000001</v>
      </c>
      <c r="CK147" s="24"/>
      <c r="CL147" s="23">
        <f>+'QTR Raw'!BF85</f>
        <v>2.6379999999999999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2.6379999999999999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0</v>
      </c>
      <c r="E148" s="22">
        <f t="shared" si="1219"/>
        <v>0</v>
      </c>
      <c r="F148" s="22">
        <f t="shared" si="1219"/>
        <v>27.363482600000001</v>
      </c>
      <c r="G148" s="22">
        <f t="shared" si="1219"/>
        <v>46.228457300000002</v>
      </c>
      <c r="H148" s="22">
        <f t="shared" si="1219"/>
        <v>57.077602200000001</v>
      </c>
      <c r="I148" s="22">
        <f t="shared" si="1219"/>
        <v>83.812263799999997</v>
      </c>
      <c r="J148" s="22">
        <f t="shared" si="1219"/>
        <v>102.9298038</v>
      </c>
      <c r="K148" s="22">
        <f t="shared" si="1219"/>
        <v>65.868100200000001</v>
      </c>
      <c r="L148" s="22">
        <f>SUM(L142:L147)</f>
        <v>181.76750970000001</v>
      </c>
      <c r="M148" s="22">
        <f>SUM(M142:M147)</f>
        <v>40.294945200000001</v>
      </c>
      <c r="N148" s="22">
        <f t="shared" si="1219"/>
        <v>43.755910300000004</v>
      </c>
      <c r="O148" s="22">
        <f t="shared" si="1219"/>
        <v>63.257057400000008</v>
      </c>
      <c r="P148" s="22">
        <f t="shared" si="1219"/>
        <v>59.065999999999995</v>
      </c>
      <c r="Q148" s="22">
        <f t="shared" si="1219"/>
        <v>56.385199999999998</v>
      </c>
      <c r="R148" s="22">
        <f t="shared" si="1219"/>
        <v>297.09879999999998</v>
      </c>
      <c r="S148" s="22">
        <f t="shared" si="1219"/>
        <v>427.04070000000002</v>
      </c>
      <c r="T148" s="22">
        <f t="shared" si="1219"/>
        <v>508.4117</v>
      </c>
      <c r="U148" s="22">
        <f t="shared" si="1219"/>
        <v>579.33990000000006</v>
      </c>
      <c r="V148" s="22">
        <f t="shared" si="1219"/>
        <v>636.84210000000007</v>
      </c>
      <c r="W148" s="22">
        <f t="shared" ref="W148" si="1220">SUM(W142:W147)</f>
        <v>767.63329999999996</v>
      </c>
      <c r="X148" s="22">
        <f t="shared" ref="X148:Y148" si="1221">SUM(X142:X147)</f>
        <v>263.834</v>
      </c>
      <c r="Y148" s="22">
        <f t="shared" si="1221"/>
        <v>393.94289999999995</v>
      </c>
      <c r="Z148" s="22">
        <f t="shared" ref="Z148:AA148" si="1222">SUM(Z142:Z147)</f>
        <v>1147.8751999999999</v>
      </c>
      <c r="AA148" s="22">
        <f t="shared" si="1222"/>
        <v>1139.1325000000002</v>
      </c>
      <c r="AB148" s="21">
        <f t="shared" ref="AA148:AD148" si="1223">SUM(AB142:AB147)</f>
        <v>532.99247643738704</v>
      </c>
      <c r="AC148" s="21">
        <f t="shared" si="1223"/>
        <v>572.56887044501025</v>
      </c>
      <c r="AD148" s="21">
        <f t="shared" si="1223"/>
        <v>614.74308834371857</v>
      </c>
      <c r="AE148" s="21">
        <f t="shared" ref="AE148" si="1224">SUM(AE142:AE147)</f>
        <v>659.99180777559945</v>
      </c>
      <c r="AJ148" s="22">
        <f t="shared" ref="AJ148" si="1225">SUM(AJ142:AJ147)</f>
        <v>0</v>
      </c>
      <c r="AK148" s="22" t="e">
        <f t="shared" ref="AK148" si="1226">SUM(AK142:AK147)</f>
        <v>#DIV/0!</v>
      </c>
      <c r="AL148" s="22">
        <f t="shared" ref="AL148:AM148" si="1227">SUM(AL142:AL147)</f>
        <v>0</v>
      </c>
      <c r="AM148" s="22" t="e">
        <f t="shared" si="1227"/>
        <v>#DIV/0!</v>
      </c>
      <c r="AN148" s="22">
        <f t="shared" ref="AN148:AO148" si="1228">SUM(AN142:AN147)</f>
        <v>0</v>
      </c>
      <c r="AO148" s="22" t="e">
        <f t="shared" si="1228"/>
        <v>#DIV/0!</v>
      </c>
      <c r="AP148" s="22">
        <f t="shared" ref="AP148:CE148" si="1229">SUM(AP142:AP147)</f>
        <v>0</v>
      </c>
      <c r="AQ148" s="22" t="e">
        <f t="shared" si="1229"/>
        <v>#DIV/0!</v>
      </c>
      <c r="AR148" s="22">
        <f t="shared" si="1229"/>
        <v>0</v>
      </c>
      <c r="AS148" s="22" t="e">
        <f t="shared" si="1229"/>
        <v>#DIV/0!</v>
      </c>
      <c r="AT148" s="22">
        <f t="shared" si="1229"/>
        <v>0</v>
      </c>
      <c r="AU148" s="22" t="e">
        <f t="shared" si="1229"/>
        <v>#DIV/0!</v>
      </c>
      <c r="AV148" s="22">
        <f t="shared" si="1229"/>
        <v>0</v>
      </c>
      <c r="AW148" s="22" t="e">
        <f t="shared" si="1229"/>
        <v>#DIV/0!</v>
      </c>
      <c r="AX148" s="22">
        <f t="shared" si="1229"/>
        <v>0</v>
      </c>
      <c r="AY148" s="22" t="e">
        <f t="shared" si="1229"/>
        <v>#DIV/0!</v>
      </c>
      <c r="AZ148" s="22">
        <f t="shared" si="1229"/>
        <v>0</v>
      </c>
      <c r="BA148" s="22" t="e">
        <f t="shared" si="1229"/>
        <v>#DIV/0!</v>
      </c>
      <c r="BB148" s="22">
        <f t="shared" si="1229"/>
        <v>0</v>
      </c>
      <c r="BC148" s="22" t="e">
        <f t="shared" si="1229"/>
        <v>#DIV/0!</v>
      </c>
      <c r="BD148" s="22">
        <f t="shared" si="1229"/>
        <v>0</v>
      </c>
      <c r="BE148" s="22" t="e">
        <f t="shared" si="1229"/>
        <v>#DIV/0!</v>
      </c>
      <c r="BF148" s="22">
        <f t="shared" si="1229"/>
        <v>0</v>
      </c>
      <c r="BG148" s="22" t="e">
        <f t="shared" si="1229"/>
        <v>#DIV/0!</v>
      </c>
      <c r="BH148" s="22">
        <f t="shared" si="1229"/>
        <v>0</v>
      </c>
      <c r="BI148" s="22" t="e">
        <f t="shared" si="1229"/>
        <v>#DIV/0!</v>
      </c>
      <c r="BJ148" s="22">
        <f t="shared" si="1229"/>
        <v>0</v>
      </c>
      <c r="BK148" s="22" t="e">
        <f t="shared" si="1229"/>
        <v>#DIV/0!</v>
      </c>
      <c r="BL148" s="22">
        <f t="shared" si="1229"/>
        <v>0</v>
      </c>
      <c r="BM148" s="22">
        <f t="shared" si="1229"/>
        <v>0</v>
      </c>
      <c r="BN148" s="22">
        <f t="shared" si="1229"/>
        <v>229.041</v>
      </c>
      <c r="BO148" s="22">
        <f t="shared" si="1229"/>
        <v>224.25005021028238</v>
      </c>
      <c r="BP148" s="22">
        <f t="shared" si="1229"/>
        <v>222.417</v>
      </c>
      <c r="BQ148" s="22">
        <f t="shared" si="1229"/>
        <v>226.09649274879635</v>
      </c>
      <c r="BR148" s="22">
        <f t="shared" si="1229"/>
        <v>205.16</v>
      </c>
      <c r="BS148" s="22">
        <f t="shared" si="1229"/>
        <v>205.36359593138212</v>
      </c>
      <c r="BT148" s="22">
        <f t="shared" si="1229"/>
        <v>224.12300000000002</v>
      </c>
      <c r="BU148" s="22">
        <f t="shared" si="1229"/>
        <v>225.7761239037593</v>
      </c>
      <c r="BV148" s="22">
        <f t="shared" si="1229"/>
        <v>237.08099999999999</v>
      </c>
      <c r="BW148" s="22">
        <f t="shared" si="1229"/>
        <v>236.39416909829595</v>
      </c>
      <c r="BX148" s="22">
        <f t="shared" si="1229"/>
        <v>269.29399999999998</v>
      </c>
      <c r="BY148" s="22">
        <f t="shared" si="1229"/>
        <v>269.57710504600408</v>
      </c>
      <c r="BZ148" s="22">
        <f t="shared" si="1229"/>
        <v>346.81200000000001</v>
      </c>
      <c r="CA148" s="22">
        <f t="shared" si="1229"/>
        <v>348.40989350783786</v>
      </c>
      <c r="CB148" s="22">
        <f t="shared" si="1229"/>
        <v>304.45699999999999</v>
      </c>
      <c r="CC148" s="22">
        <f t="shared" si="1229"/>
        <v>307.3177118942283</v>
      </c>
      <c r="CD148" s="22">
        <f t="shared" si="1229"/>
        <v>477.565</v>
      </c>
      <c r="CE148" s="22">
        <f t="shared" si="1229"/>
        <v>481.94060757459118</v>
      </c>
      <c r="CF148" s="22">
        <f t="shared" ref="CF148:CG148" si="1230">SUM(CF142:CF147)</f>
        <v>463.721</v>
      </c>
      <c r="CG148" s="22">
        <f t="shared" si="1230"/>
        <v>464.61872210903357</v>
      </c>
      <c r="CH148" s="22">
        <f t="shared" ref="CH148:CI148" si="1231">SUM(CH142:CH147)</f>
        <v>1147.8751999999999</v>
      </c>
      <c r="CI148" s="22">
        <f t="shared" si="1231"/>
        <v>1141.3843483948497</v>
      </c>
      <c r="CJ148" s="22">
        <f t="shared" ref="CJ148:DB148" si="1232">SUM(CJ142:CJ147)</f>
        <v>485.46200000000005</v>
      </c>
      <c r="CK148" s="21">
        <f t="shared" si="1232"/>
        <v>502.73043658457607</v>
      </c>
      <c r="CL148" s="22">
        <f t="shared" ref="CL148" si="1233">SUM(CL142:CL147)</f>
        <v>493.98899999999998</v>
      </c>
      <c r="CM148" s="21">
        <f t="shared" si="1232"/>
        <v>471.99867271571651</v>
      </c>
      <c r="CN148" s="21">
        <f t="shared" si="1232"/>
        <v>501.82201325213231</v>
      </c>
      <c r="CO148" s="21">
        <f t="shared" si="1232"/>
        <v>523.81972917241012</v>
      </c>
      <c r="CP148" s="21">
        <f t="shared" si="1232"/>
        <v>532.99247643738704</v>
      </c>
      <c r="CQ148" s="21">
        <f t="shared" si="1232"/>
        <v>505.64388289805214</v>
      </c>
      <c r="CR148" s="21">
        <f t="shared" si="1232"/>
        <v>538.2202383832248</v>
      </c>
      <c r="CS148" s="21">
        <f t="shared" si="1232"/>
        <v>562.70917833554756</v>
      </c>
      <c r="CT148" s="21">
        <f t="shared" si="1232"/>
        <v>572.56887044501025</v>
      </c>
      <c r="CU148" s="21">
        <f t="shared" si="1232"/>
        <v>542.59504954378622</v>
      </c>
      <c r="CV148" s="21">
        <f t="shared" si="1232"/>
        <v>577.79353201401648</v>
      </c>
      <c r="CW148" s="21">
        <f t="shared" si="1232"/>
        <v>604.2228936176823</v>
      </c>
      <c r="CX148" s="21">
        <f t="shared" si="1232"/>
        <v>614.74308834371857</v>
      </c>
      <c r="CY148" s="21">
        <f t="shared" si="1232"/>
        <v>582.48070728189737</v>
      </c>
      <c r="CZ148" s="21">
        <f t="shared" si="1232"/>
        <v>620.32894405370416</v>
      </c>
      <c r="DA148" s="21">
        <f t="shared" si="1232"/>
        <v>648.71766607471113</v>
      </c>
      <c r="DB148" s="21">
        <f t="shared" si="1232"/>
        <v>659.99180777559945</v>
      </c>
      <c r="DE148" s="126"/>
      <c r="DF148" s="22">
        <v>493.6851473807921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75.988399999999999</v>
      </c>
      <c r="V149" s="23">
        <f>'Annual Raw'!W50+'Annual Raw'!W58</f>
        <v>64.536600000000007</v>
      </c>
      <c r="W149" s="23">
        <f>'Annual Raw'!X50+'Annual Raw'!X58</f>
        <v>62.365699999999997</v>
      </c>
      <c r="X149" s="23">
        <f>'Annual Raw'!Y50+'Annual Raw'!Y58</f>
        <v>73.5304</v>
      </c>
      <c r="Y149" s="23">
        <f>'Annual Raw'!Z50+'Annual Raw'!Z58</f>
        <v>119.8245</v>
      </c>
      <c r="Z149" s="23">
        <f>'Annual Raw'!AA50+'Annual Raw'!AA58</f>
        <v>78.355500000000006</v>
      </c>
      <c r="AA149" s="23">
        <f>'Annual Raw'!AB50+'Annual Raw'!AB58</f>
        <v>48.412100000000002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0</v>
      </c>
      <c r="BC149" s="23">
        <f t="shared" si="1238"/>
        <v>0</v>
      </c>
      <c r="BD149" s="23">
        <f>+'QTR Raw'!X64</f>
        <v>0</v>
      </c>
      <c r="BE149" s="23">
        <f t="shared" si="1238"/>
        <v>0</v>
      </c>
      <c r="BF149" s="23">
        <f>+'QTR Raw'!Z64</f>
        <v>0</v>
      </c>
      <c r="BG149" s="23">
        <f t="shared" si="1238"/>
        <v>0</v>
      </c>
      <c r="BH149" s="23">
        <f>+'QTR Raw'!AB64</f>
        <v>0</v>
      </c>
      <c r="BI149" s="23">
        <f t="shared" si="1238"/>
        <v>0</v>
      </c>
      <c r="BJ149" s="23">
        <f>+'QTR Raw'!AD64</f>
        <v>0</v>
      </c>
      <c r="BK149" s="23">
        <f t="shared" si="1238"/>
        <v>0</v>
      </c>
      <c r="BL149" s="23">
        <f>+'QTR Raw'!AF64</f>
        <v>0</v>
      </c>
      <c r="BM149" s="23">
        <f t="shared" si="1238"/>
        <v>0</v>
      </c>
      <c r="BN149" s="23">
        <f>+'QTR Raw'!AH64</f>
        <v>75.988</v>
      </c>
      <c r="BO149" s="23">
        <f t="shared" si="1238"/>
        <v>75.988</v>
      </c>
      <c r="BP149" s="23">
        <f>+'QTR Raw'!AJ64</f>
        <v>57.420999999999999</v>
      </c>
      <c r="BQ149" s="23">
        <f t="shared" si="1238"/>
        <v>57.420999999999999</v>
      </c>
      <c r="BR149" s="23">
        <f>+'QTR Raw'!AL64</f>
        <v>64.537000000000006</v>
      </c>
      <c r="BS149" s="23">
        <f t="shared" si="1238"/>
        <v>64.537000000000006</v>
      </c>
      <c r="BT149" s="23">
        <f>+'QTR Raw'!AN64</f>
        <v>58.497</v>
      </c>
      <c r="BU149" s="23">
        <f t="shared" si="1238"/>
        <v>58.497</v>
      </c>
      <c r="BV149" s="23">
        <f>+'QTR Raw'!AP64</f>
        <v>62.366</v>
      </c>
      <c r="BW149" s="23">
        <f t="shared" si="1238"/>
        <v>62.366</v>
      </c>
      <c r="BX149" s="23">
        <f>+'QTR Raw'!AR64</f>
        <v>66.852000000000004</v>
      </c>
      <c r="BY149" s="23">
        <f t="shared" si="1238"/>
        <v>66.852000000000004</v>
      </c>
      <c r="BZ149" s="23">
        <f>+'QTR Raw'!AT64</f>
        <v>73.53</v>
      </c>
      <c r="CA149" s="23">
        <f t="shared" si="1238"/>
        <v>73.53</v>
      </c>
      <c r="CB149" s="23">
        <f>+'QTR Raw'!AV64</f>
        <v>138.66300000000001</v>
      </c>
      <c r="CC149" s="23">
        <f t="shared" si="1238"/>
        <v>138.66300000000001</v>
      </c>
      <c r="CD149" s="23">
        <f>+'QTR Raw'!AX64</f>
        <v>119.825</v>
      </c>
      <c r="CE149" s="23">
        <f t="shared" si="1238"/>
        <v>119.825</v>
      </c>
      <c r="CF149" s="23">
        <f>+'QTR Raw'!AZ64</f>
        <v>116.46</v>
      </c>
      <c r="CG149" s="23">
        <f t="shared" ref="CG149:CG152" si="1239">+CF149</f>
        <v>116.46</v>
      </c>
      <c r="CH149" s="23">
        <f t="shared" si="1192"/>
        <v>78.355500000000006</v>
      </c>
      <c r="CJ149" s="23">
        <f>+'QTR Raw'!BD64</f>
        <v>66.534999999999997</v>
      </c>
      <c r="CK149" s="24"/>
      <c r="CL149" s="23">
        <f>+'QTR Raw'!BF64</f>
        <v>48.411999999999999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48.411999999999999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23.814464000000001</v>
      </c>
      <c r="N151" s="23">
        <f>'Annual Raw'!O52</f>
        <v>28.387503599999999</v>
      </c>
      <c r="O151" s="23">
        <f>'Annual Raw'!P52</f>
        <v>31.7619978</v>
      </c>
      <c r="P151" s="23">
        <f>'Annual Raw'!Q52</f>
        <v>32.459600000000002</v>
      </c>
      <c r="Q151" s="23">
        <f>'Annual Raw'!R52</f>
        <v>32.993299999999998</v>
      </c>
      <c r="R151" s="23">
        <f>'Annual Raw'!S52</f>
        <v>44.163200000000003</v>
      </c>
      <c r="S151" s="23">
        <f>'Annual Raw'!T52</f>
        <v>56.707700000000003</v>
      </c>
      <c r="T151" s="23">
        <f>'Annual Raw'!U52</f>
        <v>71.253900000000002</v>
      </c>
      <c r="U151" s="23">
        <f>'Annual Raw'!V52</f>
        <v>73.1995</v>
      </c>
      <c r="V151" s="23">
        <f>'Annual Raw'!W52</f>
        <v>74.831199999999995</v>
      </c>
      <c r="W151" s="23">
        <f>'Annual Raw'!X52</f>
        <v>72.799899999999994</v>
      </c>
      <c r="X151" s="23">
        <f>'Annual Raw'!Y52</f>
        <v>70.240600000000001</v>
      </c>
      <c r="Y151" s="23">
        <f>'Annual Raw'!Z52</f>
        <v>72.061099999999996</v>
      </c>
      <c r="Z151" s="23">
        <f>'Annual Raw'!AA52</f>
        <v>68.755499999999998</v>
      </c>
      <c r="AA151" s="23">
        <f>'Annual Raw'!AB52</f>
        <v>66.938599999999994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</v>
      </c>
      <c r="AY151" s="23">
        <f t="shared" si="1238"/>
        <v>0</v>
      </c>
      <c r="AZ151" s="23">
        <f>+'QTR Raw'!T66</f>
        <v>0</v>
      </c>
      <c r="BA151" s="23">
        <f t="shared" si="1238"/>
        <v>0</v>
      </c>
      <c r="BB151" s="23">
        <f>+'QTR Raw'!V66</f>
        <v>0</v>
      </c>
      <c r="BC151" s="23">
        <f t="shared" si="1238"/>
        <v>0</v>
      </c>
      <c r="BD151" s="23">
        <f>+'QTR Raw'!X66</f>
        <v>0</v>
      </c>
      <c r="BE151" s="23">
        <f t="shared" si="1238"/>
        <v>0</v>
      </c>
      <c r="BF151" s="23">
        <f>+'QTR Raw'!Z66</f>
        <v>0</v>
      </c>
      <c r="BG151" s="23">
        <f t="shared" si="1238"/>
        <v>0</v>
      </c>
      <c r="BH151" s="23">
        <f>+'QTR Raw'!AB66</f>
        <v>0</v>
      </c>
      <c r="BI151" s="23">
        <f t="shared" si="1238"/>
        <v>0</v>
      </c>
      <c r="BJ151" s="23">
        <f>+'QTR Raw'!AD66</f>
        <v>0</v>
      </c>
      <c r="BK151" s="23">
        <f t="shared" si="1238"/>
        <v>0</v>
      </c>
      <c r="BL151" s="23">
        <f>+'QTR Raw'!AF66</f>
        <v>0</v>
      </c>
      <c r="BM151" s="23">
        <f t="shared" si="1238"/>
        <v>0</v>
      </c>
      <c r="BN151" s="23">
        <f>+'QTR Raw'!AH66</f>
        <v>73.2</v>
      </c>
      <c r="BO151" s="23">
        <f t="shared" si="1238"/>
        <v>73.2</v>
      </c>
      <c r="BP151" s="23">
        <f>+'QTR Raw'!AJ66</f>
        <v>74.933000000000007</v>
      </c>
      <c r="BQ151" s="23">
        <f t="shared" si="1238"/>
        <v>74.933000000000007</v>
      </c>
      <c r="BR151" s="23">
        <f>+'QTR Raw'!AL66</f>
        <v>74.831000000000003</v>
      </c>
      <c r="BS151" s="23">
        <f t="shared" si="1238"/>
        <v>74.831000000000003</v>
      </c>
      <c r="BT151" s="23">
        <f>+'QTR Raw'!AN66</f>
        <v>73.960999999999999</v>
      </c>
      <c r="BU151" s="23">
        <f t="shared" si="1238"/>
        <v>73.960999999999999</v>
      </c>
      <c r="BV151" s="23">
        <f>+'QTR Raw'!AP66</f>
        <v>72.8</v>
      </c>
      <c r="BW151" s="23">
        <f t="shared" si="1238"/>
        <v>72.8</v>
      </c>
      <c r="BX151" s="23">
        <f>+'QTR Raw'!AR66</f>
        <v>72.474000000000004</v>
      </c>
      <c r="BY151" s="23">
        <f t="shared" si="1238"/>
        <v>72.474000000000004</v>
      </c>
      <c r="BZ151" s="23">
        <f>+'QTR Raw'!AT66</f>
        <v>70.241</v>
      </c>
      <c r="CA151" s="23">
        <f t="shared" si="1238"/>
        <v>70.241</v>
      </c>
      <c r="CB151" s="23">
        <f>+'QTR Raw'!AV66</f>
        <v>72.650999999999996</v>
      </c>
      <c r="CC151" s="23">
        <f t="shared" si="1238"/>
        <v>72.650999999999996</v>
      </c>
      <c r="CD151" s="23">
        <f>+'QTR Raw'!AX66</f>
        <v>72.061000000000007</v>
      </c>
      <c r="CE151" s="23">
        <f t="shared" si="1238"/>
        <v>72.061000000000007</v>
      </c>
      <c r="CF151" s="23">
        <f>+'QTR Raw'!AZ66</f>
        <v>72.656000000000006</v>
      </c>
      <c r="CG151" s="23">
        <f t="shared" si="1239"/>
        <v>72.656000000000006</v>
      </c>
      <c r="CH151" s="23">
        <f t="shared" si="1192"/>
        <v>68.755499999999998</v>
      </c>
      <c r="CJ151" s="23">
        <f>+'QTR Raw'!BD66</f>
        <v>73.956999999999994</v>
      </c>
      <c r="CK151" s="24"/>
      <c r="CL151" s="23">
        <f>+'QTR Raw'!BF66</f>
        <v>66.938999999999993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66.938999999999993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428.46212432482901</v>
      </c>
      <c r="AC152" s="24">
        <f t="shared" si="1235"/>
        <v>460.27680576830085</v>
      </c>
      <c r="AD152" s="24">
        <f t="shared" si="1236"/>
        <v>494.17982652649647</v>
      </c>
      <c r="AE152" s="24">
        <f t="shared" si="1237"/>
        <v>530.55437834071768</v>
      </c>
      <c r="AJ152" s="23">
        <f>+'QTR Raw'!D87</f>
        <v>0</v>
      </c>
      <c r="AK152" s="23">
        <f t="shared" si="1238"/>
        <v>0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1089.2670303959387</v>
      </c>
      <c r="CJ152" s="23">
        <f>+'QTR Raw'!BD87</f>
        <v>0</v>
      </c>
      <c r="CK152" s="24">
        <f t="shared" ref="CK152:DB152" si="1240">CK10/90*CK184</f>
        <v>428.54419128412849</v>
      </c>
      <c r="CL152" s="23">
        <f>+'QTR Raw'!BF87</f>
        <v>0</v>
      </c>
      <c r="CM152" s="24">
        <f t="shared" si="1240"/>
        <v>379.43041024150904</v>
      </c>
      <c r="CN152" s="24">
        <f t="shared" si="1240"/>
        <v>403.40480463841868</v>
      </c>
      <c r="CO152" s="24">
        <f t="shared" si="1240"/>
        <v>421.08833397544777</v>
      </c>
      <c r="CP152" s="24">
        <f t="shared" si="1240"/>
        <v>428.46212432482901</v>
      </c>
      <c r="CQ152" s="24">
        <f t="shared" si="1240"/>
        <v>406.47713015852531</v>
      </c>
      <c r="CR152" s="24">
        <f t="shared" si="1240"/>
        <v>432.66461889614078</v>
      </c>
      <c r="CS152" s="24">
        <f t="shared" si="1240"/>
        <v>452.35079402673477</v>
      </c>
      <c r="CT152" s="24">
        <f t="shared" si="1240"/>
        <v>460.27680576830085</v>
      </c>
      <c r="CU152" s="24">
        <f t="shared" si="1240"/>
        <v>436.18144317835805</v>
      </c>
      <c r="CV152" s="24">
        <f t="shared" si="1240"/>
        <v>464.47680800791539</v>
      </c>
      <c r="CW152" s="24">
        <f t="shared" si="1240"/>
        <v>485.72284977748632</v>
      </c>
      <c r="CX152" s="24">
        <f t="shared" si="1240"/>
        <v>494.17982652649647</v>
      </c>
      <c r="CY152" s="24">
        <f t="shared" si="1240"/>
        <v>468.2447356262989</v>
      </c>
      <c r="CZ152" s="24">
        <f t="shared" si="1240"/>
        <v>498.6701856018625</v>
      </c>
      <c r="DA152" s="24">
        <f t="shared" si="1240"/>
        <v>521.49131851032394</v>
      </c>
      <c r="DB152" s="24">
        <f t="shared" si="1240"/>
        <v>530.55437834071768</v>
      </c>
      <c r="DE152" s="123"/>
      <c r="DF152" s="23">
        <v>420.83368508700755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4.1547086000000002</v>
      </c>
      <c r="G153" s="23">
        <f>'Annual Raw'!H54</f>
        <v>10.362943700000001</v>
      </c>
      <c r="H153" s="23">
        <f>'Annual Raw'!I54</f>
        <v>11.7656756</v>
      </c>
      <c r="I153" s="23">
        <f>'Annual Raw'!J54</f>
        <v>20.379009199999999</v>
      </c>
      <c r="J153" s="23">
        <f>'Annual Raw'!K54</f>
        <v>22.102394400000001</v>
      </c>
      <c r="K153" s="23">
        <f>'Annual Raw'!L54</f>
        <v>28.4506771</v>
      </c>
      <c r="L153" s="23">
        <f>'Annual Raw'!M54</f>
        <v>18.5584788</v>
      </c>
      <c r="M153" s="23">
        <f>'Annual Raw'!N54</f>
        <v>13.3343556</v>
      </c>
      <c r="N153" s="23">
        <f>'Annual Raw'!O54</f>
        <v>15.355964999999999</v>
      </c>
      <c r="O153" s="23">
        <f>'Annual Raw'!P54</f>
        <v>15.7064457</v>
      </c>
      <c r="P153" s="23">
        <f>'Annual Raw'!Q54</f>
        <v>19.994199999999999</v>
      </c>
      <c r="Q153" s="23">
        <f>'Annual Raw'!R54</f>
        <v>24.560600000000001</v>
      </c>
      <c r="R153" s="23">
        <f>'Annual Raw'!S54</f>
        <v>29.016400000000001</v>
      </c>
      <c r="S153" s="23">
        <f>'Annual Raw'!T54</f>
        <v>34.856400000000001</v>
      </c>
      <c r="T153" s="23">
        <f>'Annual Raw'!U54</f>
        <v>35.937100000000001</v>
      </c>
      <c r="U153" s="23">
        <f>'Annual Raw'!V54</f>
        <v>36.082299999999996</v>
      </c>
      <c r="V153" s="23">
        <f>'Annual Raw'!W54</f>
        <v>52.908200000000001</v>
      </c>
      <c r="W153" s="23">
        <f>'Annual Raw'!X54</f>
        <v>48.950699999999998</v>
      </c>
      <c r="X153" s="23">
        <f>'Annual Raw'!Y54</f>
        <v>43.341299999999997</v>
      </c>
      <c r="Y153" s="23">
        <f>'Annual Raw'!Z54</f>
        <v>64.596100000000007</v>
      </c>
      <c r="Z153" s="23">
        <f>'Annual Raw'!AA54</f>
        <v>79.851699999999994</v>
      </c>
      <c r="AA153" s="23">
        <f>'Annual Raw'!AB54</f>
        <v>90.505399999999995</v>
      </c>
      <c r="AB153" s="24">
        <f t="shared" si="1234"/>
        <v>97.650927611679037</v>
      </c>
      <c r="AC153" s="24">
        <f t="shared" si="1235"/>
        <v>104.90182093047751</v>
      </c>
      <c r="AD153" s="24">
        <f t="shared" si="1236"/>
        <v>112.62866827105107</v>
      </c>
      <c r="AE153" s="24">
        <f t="shared" si="1237"/>
        <v>120.9188029748246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>
        <f>+BM183*BM10/90</f>
        <v>0</v>
      </c>
      <c r="BN153" s="23">
        <f>+'QTR Raw'!AH89</f>
        <v>36.082000000000001</v>
      </c>
      <c r="BO153" s="23">
        <f>+BO183*BO10/90</f>
        <v>30.685132892741688</v>
      </c>
      <c r="BP153" s="23">
        <f>+'QTR Raw'!AJ89</f>
        <v>51.92</v>
      </c>
      <c r="BQ153" s="23">
        <f>+BQ183*BQ10/90</f>
        <v>56.412610199597999</v>
      </c>
      <c r="BR153" s="23">
        <f>+'QTR Raw'!AL89</f>
        <v>52.908000000000001</v>
      </c>
      <c r="BS153" s="23">
        <f>+BS183*BS10/90</f>
        <v>53.279571353486205</v>
      </c>
      <c r="BT153" s="23">
        <f>+'QTR Raw'!AN89</f>
        <v>50.945999999999998</v>
      </c>
      <c r="BU153" s="23">
        <f>+BU183*BU10/90</f>
        <v>53.210405947380444</v>
      </c>
      <c r="BV153" s="23">
        <f>+'QTR Raw'!AP89</f>
        <v>48.951000000000001</v>
      </c>
      <c r="BW153" s="23">
        <f>+BW183*BW10/90</f>
        <v>47.634952735377325</v>
      </c>
      <c r="BX153" s="23">
        <f>+'QTR Raw'!AR89</f>
        <v>52.832999999999998</v>
      </c>
      <c r="BY153" s="23">
        <f>+BY183*BY10/90</f>
        <v>53.095017848743659</v>
      </c>
      <c r="BZ153" s="23">
        <f>+'QTR Raw'!AT89</f>
        <v>43.341000000000001</v>
      </c>
      <c r="CA153" s="23">
        <f>+CA183*CA10/90</f>
        <v>45.438153575483767</v>
      </c>
      <c r="CB153" s="23">
        <f>+'QTR Raw'!AV89</f>
        <v>58.037999999999997</v>
      </c>
      <c r="CC153" s="23">
        <f>+CC183*CC10/90</f>
        <v>61.117305555050642</v>
      </c>
      <c r="CD153" s="23">
        <f>+'QTR Raw'!AX89</f>
        <v>64.596000000000004</v>
      </c>
      <c r="CE153" s="23">
        <f>+CE183*CE10/90</f>
        <v>68.953528781578243</v>
      </c>
      <c r="CF153" s="23">
        <f>+'QTR Raw'!AZ89</f>
        <v>68.989000000000004</v>
      </c>
      <c r="CG153" s="23">
        <f>+CG183*CG10/90</f>
        <v>69.852562154272519</v>
      </c>
      <c r="CH153" s="23">
        <f t="shared" si="1192"/>
        <v>79.851699999999994</v>
      </c>
      <c r="CI153" s="23">
        <f>+CI183*CI10/90</f>
        <v>79.4001652555269</v>
      </c>
      <c r="CJ153" s="23">
        <f>+'QTR Raw'!BD89</f>
        <v>93.652000000000001</v>
      </c>
      <c r="CK153" s="24">
        <f t="shared" ref="CK153:DB153" si="1241">+CK183*CK10/90</f>
        <v>96.98330836814975</v>
      </c>
      <c r="CL153" s="23">
        <f>+'QTR Raw'!BF89</f>
        <v>90.504999999999995</v>
      </c>
      <c r="CM153" s="24">
        <f t="shared" si="1241"/>
        <v>86.476095366771176</v>
      </c>
      <c r="CN153" s="24">
        <f t="shared" si="1241"/>
        <v>91.940106580074115</v>
      </c>
      <c r="CO153" s="24">
        <f t="shared" si="1241"/>
        <v>95.970364904378386</v>
      </c>
      <c r="CP153" s="24">
        <f t="shared" si="1241"/>
        <v>97.650927611679037</v>
      </c>
      <c r="CQ153" s="24">
        <f t="shared" si="1241"/>
        <v>92.64032118465839</v>
      </c>
      <c r="CR153" s="24">
        <f t="shared" si="1241"/>
        <v>98.608719374062517</v>
      </c>
      <c r="CS153" s="24">
        <f t="shared" si="1241"/>
        <v>103.09540128476289</v>
      </c>
      <c r="CT153" s="24">
        <f t="shared" si="1241"/>
        <v>104.90182093047751</v>
      </c>
      <c r="CU153" s="24">
        <f t="shared" si="1241"/>
        <v>99.410239821049416</v>
      </c>
      <c r="CV153" s="24">
        <f t="shared" si="1241"/>
        <v>105.85904466481756</v>
      </c>
      <c r="CW153" s="24">
        <f t="shared" si="1241"/>
        <v>110.70123623576303</v>
      </c>
      <c r="CX153" s="24">
        <f t="shared" si="1241"/>
        <v>112.62866827105107</v>
      </c>
      <c r="CY153" s="24">
        <f t="shared" si="1241"/>
        <v>106.71779414632334</v>
      </c>
      <c r="CZ153" s="24">
        <f t="shared" si="1241"/>
        <v>113.65206731643924</v>
      </c>
      <c r="DA153" s="24">
        <f t="shared" si="1241"/>
        <v>118.85323836784166</v>
      </c>
      <c r="DB153" s="24">
        <f t="shared" si="1241"/>
        <v>120.9188029748246</v>
      </c>
      <c r="DE153" s="123"/>
      <c r="DF153" s="23">
        <v>95.238353202734572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1.2856426000000001</v>
      </c>
      <c r="G154" s="23">
        <f>'Annual Raw'!H55-Template!G126</f>
        <v>3.2167553</v>
      </c>
      <c r="H154" s="23">
        <f>'Annual Raw'!I55-Template!H126</f>
        <v>4.1259155999999999</v>
      </c>
      <c r="I154" s="23">
        <f>'Annual Raw'!J55-Template!I126</f>
        <v>7.6710370000000001</v>
      </c>
      <c r="J154" s="23">
        <f>'Annual Raw'!K55-Template!J126</f>
        <v>0.66359599999999996</v>
      </c>
      <c r="K154" s="23">
        <f>'Annual Raw'!L55-Template!K126</f>
        <v>0.68894520000000004</v>
      </c>
      <c r="L154" s="23">
        <f>'Annual Raw'!M55-Template!L126</f>
        <v>12.8012245</v>
      </c>
      <c r="M154" s="23">
        <f>'Annual Raw'!N55-Template!M126</f>
        <v>7.0842337000000004</v>
      </c>
      <c r="N154" s="23">
        <f>'Annual Raw'!O55-Template!N126</f>
        <v>10.6601892</v>
      </c>
      <c r="O154" s="23">
        <f>'Annual Raw'!P55-Template!O126</f>
        <v>11.8728239</v>
      </c>
      <c r="P154" s="23">
        <f>'Annual Raw'!Q55-Template!P126</f>
        <v>11.4444</v>
      </c>
      <c r="Q154" s="23">
        <f>'Annual Raw'!R55-Template!Q126</f>
        <v>10.5281</v>
      </c>
      <c r="R154" s="23">
        <f>'Annual Raw'!S55-Template!R126</f>
        <v>14.027100000000001</v>
      </c>
      <c r="S154" s="23">
        <f>'Annual Raw'!T55-Template!S126</f>
        <v>34.792900000000003</v>
      </c>
      <c r="T154" s="23">
        <f>'Annual Raw'!U55-Template!T126</f>
        <v>52.9756</v>
      </c>
      <c r="U154" s="23">
        <f>'Annual Raw'!V55-Template!U126</f>
        <v>55.649500000000003</v>
      </c>
      <c r="V154" s="23">
        <f>'Annual Raw'!W55-Template!V126</f>
        <v>118.8882</v>
      </c>
      <c r="W154" s="23">
        <f>'Annual Raw'!X55-Template!W126</f>
        <v>111.4589</v>
      </c>
      <c r="X154" s="23">
        <f>'Annual Raw'!Y55-Template!X126</f>
        <v>111.7908</v>
      </c>
      <c r="Y154" s="23">
        <f>'Annual Raw'!Z55-Template!Y126</f>
        <v>221.90110000000001</v>
      </c>
      <c r="Z154" s="23">
        <f>'Annual Raw'!AA55-Template!Z126</f>
        <v>220.23689999999999</v>
      </c>
      <c r="AA154" s="23">
        <f>'Annual Raw'!AB55-Template!AA126</f>
        <v>260.9735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0</v>
      </c>
      <c r="AO154" s="23">
        <f t="shared" si="1238"/>
        <v>0</v>
      </c>
      <c r="AP154" s="23">
        <f>+'QTR Raw'!J91</f>
        <v>0</v>
      </c>
      <c r="AQ154" s="23">
        <f t="shared" si="1238"/>
        <v>0</v>
      </c>
      <c r="AR154" s="23">
        <f>+'QTR Raw'!L91</f>
        <v>0</v>
      </c>
      <c r="AS154" s="23">
        <f t="shared" si="1238"/>
        <v>0</v>
      </c>
      <c r="AT154" s="23">
        <f>+'QTR Raw'!N91</f>
        <v>0</v>
      </c>
      <c r="AU154" s="23">
        <f t="shared" si="1238"/>
        <v>0</v>
      </c>
      <c r="AV154" s="23">
        <f>+'QTR Raw'!P91</f>
        <v>0</v>
      </c>
      <c r="AW154" s="23">
        <f t="shared" si="1238"/>
        <v>0</v>
      </c>
      <c r="AX154" s="23">
        <f>+'QTR Raw'!R91</f>
        <v>0</v>
      </c>
      <c r="AY154" s="23">
        <f t="shared" si="1238"/>
        <v>0</v>
      </c>
      <c r="AZ154" s="23">
        <f>+'QTR Raw'!T91</f>
        <v>0</v>
      </c>
      <c r="BA154" s="23">
        <f t="shared" si="1238"/>
        <v>0</v>
      </c>
      <c r="BB154" s="23">
        <f>+'QTR Raw'!V91</f>
        <v>0</v>
      </c>
      <c r="BC154" s="23">
        <f t="shared" si="1238"/>
        <v>0</v>
      </c>
      <c r="BD154" s="23">
        <f>+'QTR Raw'!X91</f>
        <v>0</v>
      </c>
      <c r="BE154" s="23">
        <f t="shared" si="1238"/>
        <v>0</v>
      </c>
      <c r="BF154" s="23">
        <f>+'QTR Raw'!Z91</f>
        <v>0</v>
      </c>
      <c r="BG154" s="23">
        <f t="shared" si="1238"/>
        <v>0</v>
      </c>
      <c r="BH154" s="23">
        <f>+'QTR Raw'!AB91</f>
        <v>0</v>
      </c>
      <c r="BI154" s="23">
        <f t="shared" si="1238"/>
        <v>0</v>
      </c>
      <c r="BJ154" s="23">
        <f>+'QTR Raw'!AD91</f>
        <v>0</v>
      </c>
      <c r="BK154" s="23">
        <f t="shared" si="1238"/>
        <v>0</v>
      </c>
      <c r="BL154" s="23">
        <f>+'QTR Raw'!AF91</f>
        <v>0</v>
      </c>
      <c r="BM154" s="23">
        <f t="shared" si="1238"/>
        <v>0</v>
      </c>
      <c r="BN154" s="23">
        <f>+'QTR Raw'!AH91</f>
        <v>55.651000000000003</v>
      </c>
      <c r="BO154" s="23">
        <f t="shared" si="1238"/>
        <v>55.651000000000003</v>
      </c>
      <c r="BP154" s="23">
        <f>+'QTR Raw'!AJ91</f>
        <v>137.31800000000001</v>
      </c>
      <c r="BQ154" s="23">
        <f t="shared" si="1238"/>
        <v>137.31800000000001</v>
      </c>
      <c r="BR154" s="23">
        <f>+'QTR Raw'!AL91</f>
        <v>119.139</v>
      </c>
      <c r="BS154" s="23">
        <f t="shared" si="1238"/>
        <v>119.139</v>
      </c>
      <c r="BT154" s="23">
        <f>+'QTR Raw'!AN91</f>
        <v>124.809</v>
      </c>
      <c r="BU154" s="23">
        <f t="shared" si="1238"/>
        <v>124.809</v>
      </c>
      <c r="BV154" s="23">
        <f>+'QTR Raw'!AP91</f>
        <v>111.509</v>
      </c>
      <c r="BW154" s="23">
        <f t="shared" si="1238"/>
        <v>111.509</v>
      </c>
      <c r="BX154" s="23">
        <f>+'QTR Raw'!AR91</f>
        <v>124.51900000000001</v>
      </c>
      <c r="BY154" s="23">
        <f t="shared" si="1238"/>
        <v>124.51900000000001</v>
      </c>
      <c r="BZ154" s="23">
        <f>+'QTR Raw'!AT91</f>
        <v>111.89700000000001</v>
      </c>
      <c r="CA154" s="23">
        <f t="shared" si="1238"/>
        <v>111.89700000000001</v>
      </c>
      <c r="CB154" s="23">
        <f>+'QTR Raw'!AV91</f>
        <v>156.82</v>
      </c>
      <c r="CC154" s="23">
        <f t="shared" si="1238"/>
        <v>156.82</v>
      </c>
      <c r="CD154" s="23">
        <f>+'QTR Raw'!AX91</f>
        <v>232.52600000000001</v>
      </c>
      <c r="CE154" s="23">
        <f t="shared" si="1238"/>
        <v>232.52600000000001</v>
      </c>
      <c r="CF154" s="23">
        <f>+'QTR Raw'!AZ91</f>
        <v>188.684</v>
      </c>
      <c r="CG154" s="23">
        <f t="shared" ref="CG154:CG155" si="1242">+CF154</f>
        <v>188.684</v>
      </c>
      <c r="CH154" s="23">
        <f t="shared" si="1192"/>
        <v>220.23689999999999</v>
      </c>
      <c r="CJ154" s="23">
        <f>+'QTR Raw'!BD91</f>
        <v>258.45699999999999</v>
      </c>
      <c r="CK154" s="24"/>
      <c r="CL154" s="23">
        <f>+'QTR Raw'!BF91</f>
        <v>274.65899999999999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274.65899999999999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15.42075</v>
      </c>
      <c r="G155" s="23">
        <f>'Annual Raw'!H57</f>
        <v>38.7784403</v>
      </c>
      <c r="H155" s="23">
        <f>'Annual Raw'!I57</f>
        <v>38.546682799999999</v>
      </c>
      <c r="I155" s="23">
        <f>'Annual Raw'!J57</f>
        <v>69.601454000000004</v>
      </c>
      <c r="J155" s="23">
        <f>'Annual Raw'!K57</f>
        <v>84.387669399999993</v>
      </c>
      <c r="K155" s="23">
        <f>'Annual Raw'!L57</f>
        <v>32.374070099999997</v>
      </c>
      <c r="L155" s="23">
        <f>'Annual Raw'!M57</f>
        <v>147.47386850000001</v>
      </c>
      <c r="M155" s="23">
        <f>'Annual Raw'!N57</f>
        <v>18.084553700000001</v>
      </c>
      <c r="N155" s="23">
        <f>'Annual Raw'!O57</f>
        <v>5.5051277000000001</v>
      </c>
      <c r="O155" s="23">
        <f>'Annual Raw'!P57</f>
        <v>22.7387446</v>
      </c>
      <c r="P155" s="23">
        <f>'Annual Raw'!Q57</f>
        <v>18.214600000000001</v>
      </c>
      <c r="Q155" s="23">
        <f>'Annual Raw'!R57</f>
        <v>6.8513000000000002</v>
      </c>
      <c r="R155" s="23">
        <f>'Annual Raw'!S57</f>
        <v>228.02170000000001</v>
      </c>
      <c r="S155" s="23">
        <f>'Annual Raw'!T57</f>
        <v>315.93810000000002</v>
      </c>
      <c r="T155" s="23">
        <f>'Annual Raw'!U57</f>
        <v>401.81290000000001</v>
      </c>
      <c r="U155" s="23">
        <f>'Annual Raw'!V57</f>
        <v>460.33670000000001</v>
      </c>
      <c r="V155" s="23">
        <f>'Annual Raw'!W57</f>
        <v>520.26760000000002</v>
      </c>
      <c r="W155" s="23">
        <f>'Annual Raw'!X57</f>
        <v>616.57839999999999</v>
      </c>
      <c r="X155" s="23">
        <f>'Annual Raw'!Y57</f>
        <v>14.8773</v>
      </c>
      <c r="Y155" s="23">
        <f>'Annual Raw'!Z57</f>
        <v>19.439900000000002</v>
      </c>
      <c r="Z155" s="23">
        <f>'Annual Raw'!AA57</f>
        <v>728.11360000000002</v>
      </c>
      <c r="AA155" s="23">
        <f>'Annual Raw'!AB57</f>
        <v>718.75549999999998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</v>
      </c>
      <c r="AK155" s="23">
        <f t="shared" si="1238"/>
        <v>0</v>
      </c>
      <c r="AL155" s="23">
        <f>+'QTR Raw'!F92</f>
        <v>0</v>
      </c>
      <c r="AM155" s="23">
        <f t="shared" si="1238"/>
        <v>0</v>
      </c>
      <c r="AN155" s="23">
        <f>+'QTR Raw'!H92</f>
        <v>0</v>
      </c>
      <c r="AO155" s="23">
        <f t="shared" si="1238"/>
        <v>0</v>
      </c>
      <c r="AP155" s="23">
        <f>+'QTR Raw'!J92</f>
        <v>0</v>
      </c>
      <c r="AQ155" s="23">
        <f t="shared" si="1238"/>
        <v>0</v>
      </c>
      <c r="AR155" s="23">
        <f>+'QTR Raw'!L92</f>
        <v>0</v>
      </c>
      <c r="AS155" s="23">
        <f t="shared" si="1238"/>
        <v>0</v>
      </c>
      <c r="AT155" s="23">
        <f>+'QTR Raw'!N92</f>
        <v>0</v>
      </c>
      <c r="AU155" s="23">
        <f t="shared" si="1238"/>
        <v>0</v>
      </c>
      <c r="AV155" s="23">
        <f>+'QTR Raw'!P92</f>
        <v>0</v>
      </c>
      <c r="AW155" s="23">
        <f t="shared" si="1238"/>
        <v>0</v>
      </c>
      <c r="AX155" s="23">
        <f>+'QTR Raw'!R92</f>
        <v>0</v>
      </c>
      <c r="AY155" s="23">
        <f t="shared" si="1238"/>
        <v>0</v>
      </c>
      <c r="AZ155" s="23">
        <f>+'QTR Raw'!T92</f>
        <v>0</v>
      </c>
      <c r="BA155" s="23">
        <f t="shared" si="1238"/>
        <v>0</v>
      </c>
      <c r="BB155" s="23">
        <f>+'QTR Raw'!V92</f>
        <v>0</v>
      </c>
      <c r="BC155" s="23">
        <f t="shared" si="1238"/>
        <v>0</v>
      </c>
      <c r="BD155" s="23">
        <f>+'QTR Raw'!X92</f>
        <v>0</v>
      </c>
      <c r="BE155" s="23">
        <f t="shared" si="1238"/>
        <v>0</v>
      </c>
      <c r="BF155" s="23">
        <f>+'QTR Raw'!Z92</f>
        <v>0</v>
      </c>
      <c r="BG155" s="23">
        <f t="shared" si="1238"/>
        <v>0</v>
      </c>
      <c r="BH155" s="23">
        <f>+'QTR Raw'!AB92</f>
        <v>0</v>
      </c>
      <c r="BI155" s="23">
        <f t="shared" si="1238"/>
        <v>0</v>
      </c>
      <c r="BJ155" s="23">
        <f>+'QTR Raw'!AD92</f>
        <v>0</v>
      </c>
      <c r="BK155" s="23">
        <f t="shared" si="1238"/>
        <v>0</v>
      </c>
      <c r="BL155" s="23">
        <f>+'QTR Raw'!AF92</f>
        <v>0</v>
      </c>
      <c r="BM155" s="23">
        <f t="shared" si="1238"/>
        <v>0</v>
      </c>
      <c r="BN155" s="23">
        <f>+'QTR Raw'!AH92</f>
        <v>10.974</v>
      </c>
      <c r="BO155" s="23">
        <f t="shared" si="1238"/>
        <v>10.974</v>
      </c>
      <c r="BP155" s="23">
        <f>+'QTR Raw'!AJ92</f>
        <v>20.66</v>
      </c>
      <c r="BQ155" s="23">
        <f t="shared" si="1238"/>
        <v>20.66</v>
      </c>
      <c r="BR155" s="23">
        <f>+'QTR Raw'!AL92</f>
        <v>14.599</v>
      </c>
      <c r="BS155" s="23">
        <f t="shared" si="1238"/>
        <v>14.599</v>
      </c>
      <c r="BT155" s="23">
        <f>+'QTR Raw'!AN92</f>
        <v>23.195</v>
      </c>
      <c r="BU155" s="23">
        <f t="shared" si="1238"/>
        <v>23.195</v>
      </c>
      <c r="BV155" s="23">
        <f>+'QTR Raw'!AP92</f>
        <v>13.528</v>
      </c>
      <c r="BW155" s="23">
        <f t="shared" si="1238"/>
        <v>13.528</v>
      </c>
      <c r="BX155" s="23">
        <f>+'QTR Raw'!AR92</f>
        <v>22.405999999999999</v>
      </c>
      <c r="BY155" s="23">
        <f t="shared" si="1238"/>
        <v>22.405999999999999</v>
      </c>
      <c r="BZ155" s="23">
        <f>+'QTR Raw'!AT92</f>
        <v>14.772</v>
      </c>
      <c r="CA155" s="23">
        <f t="shared" si="1238"/>
        <v>14.772</v>
      </c>
      <c r="CB155" s="23">
        <f>+'QTR Raw'!AV92</f>
        <v>16.026</v>
      </c>
      <c r="CC155" s="23">
        <f t="shared" si="1238"/>
        <v>16.026</v>
      </c>
      <c r="CD155" s="23">
        <f>+'QTR Raw'!AX92</f>
        <v>8.8149999999999995</v>
      </c>
      <c r="CE155" s="23">
        <f t="shared" si="1238"/>
        <v>8.8149999999999995</v>
      </c>
      <c r="CF155" s="23">
        <f>+'QTR Raw'!AZ92</f>
        <v>32.590000000000003</v>
      </c>
      <c r="CG155" s="23">
        <f t="shared" si="1242"/>
        <v>32.590000000000003</v>
      </c>
      <c r="CH155" s="23">
        <f t="shared" si="1192"/>
        <v>728.11360000000002</v>
      </c>
      <c r="CJ155" s="23">
        <f>+'QTR Raw'!BD92</f>
        <v>14.875</v>
      </c>
      <c r="CK155" s="24"/>
      <c r="CL155" s="23">
        <f>+'QTR Raw'!BF92</f>
        <v>7.0979999999999999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7.0979999999999999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0</v>
      </c>
      <c r="E156" s="22">
        <f t="shared" si="1243"/>
        <v>0</v>
      </c>
      <c r="F156" s="22">
        <f t="shared" si="1243"/>
        <v>20.8611012</v>
      </c>
      <c r="G156" s="22">
        <f t="shared" si="1243"/>
        <v>52.358139300000005</v>
      </c>
      <c r="H156" s="22">
        <f t="shared" si="1243"/>
        <v>54.438274</v>
      </c>
      <c r="I156" s="22">
        <f t="shared" si="1243"/>
        <v>97.651500200000001</v>
      </c>
      <c r="J156" s="22">
        <f t="shared" si="1243"/>
        <v>107.15365979999999</v>
      </c>
      <c r="K156" s="22">
        <f t="shared" si="1243"/>
        <v>61.513692399999996</v>
      </c>
      <c r="L156" s="22">
        <f t="shared" si="1243"/>
        <v>178.83357180000002</v>
      </c>
      <c r="M156" s="22">
        <f t="shared" si="1243"/>
        <v>62.317607000000002</v>
      </c>
      <c r="N156" s="22">
        <f t="shared" si="1243"/>
        <v>59.9087855</v>
      </c>
      <c r="O156" s="22">
        <f t="shared" si="1243"/>
        <v>82.080011999999996</v>
      </c>
      <c r="P156" s="22">
        <f t="shared" si="1243"/>
        <v>82.112800000000007</v>
      </c>
      <c r="Q156" s="22">
        <f t="shared" si="1243"/>
        <v>74.933299999999988</v>
      </c>
      <c r="R156" s="22">
        <f t="shared" si="1243"/>
        <v>315.22840000000002</v>
      </c>
      <c r="S156" s="22">
        <f t="shared" si="1243"/>
        <v>442.29510000000005</v>
      </c>
      <c r="T156" s="22">
        <f t="shared" si="1243"/>
        <v>561.97950000000003</v>
      </c>
      <c r="U156" s="22">
        <f t="shared" si="1243"/>
        <v>701.25639999999999</v>
      </c>
      <c r="V156" s="22">
        <f t="shared" si="1243"/>
        <v>831.43180000000007</v>
      </c>
      <c r="W156" s="22">
        <f t="shared" ref="W156" si="1244">SUM(W149:W155)</f>
        <v>912.15359999999998</v>
      </c>
      <c r="X156" s="22">
        <f t="shared" ref="X156:Y156" si="1245">SUM(X149:X155)</f>
        <v>313.78039999999999</v>
      </c>
      <c r="Y156" s="22">
        <f t="shared" si="1245"/>
        <v>497.82270000000011</v>
      </c>
      <c r="Z156" s="22">
        <f t="shared" ref="Z156:AA156" si="1246">SUM(Z149:Z155)</f>
        <v>1175.3132000000001</v>
      </c>
      <c r="AA156" s="22">
        <f t="shared" si="1246"/>
        <v>1185.5851</v>
      </c>
      <c r="AB156" s="21">
        <f t="shared" ref="AA156:AD156" si="1247">SUM(AB149:AB155)</f>
        <v>526.1130519365081</v>
      </c>
      <c r="AC156" s="21">
        <f t="shared" si="1247"/>
        <v>565.17862669877832</v>
      </c>
      <c r="AD156" s="21">
        <f t="shared" si="1247"/>
        <v>606.8084947975475</v>
      </c>
      <c r="AE156" s="21">
        <f t="shared" ref="AE156" si="1248">SUM(AE149:AE155)</f>
        <v>651.47318131554232</v>
      </c>
      <c r="AJ156" s="22">
        <f t="shared" ref="AJ156" si="1249">SUM(AJ149:AJ155)</f>
        <v>0</v>
      </c>
      <c r="AK156" s="22" t="e">
        <f t="shared" ref="AK156" si="1250">SUM(AK149:AK155)</f>
        <v>#DIV/0!</v>
      </c>
      <c r="AL156" s="22">
        <f t="shared" ref="AL156:AM156" si="1251">SUM(AL149:AL155)</f>
        <v>0</v>
      </c>
      <c r="AM156" s="22" t="e">
        <f t="shared" si="1251"/>
        <v>#DIV/0!</v>
      </c>
      <c r="AN156" s="22">
        <f t="shared" ref="AN156:AO156" si="1252">SUM(AN149:AN155)</f>
        <v>0</v>
      </c>
      <c r="AO156" s="22" t="e">
        <f t="shared" si="1252"/>
        <v>#DIV/0!</v>
      </c>
      <c r="AP156" s="22">
        <f t="shared" ref="AP156:CE156" si="1253">SUM(AP149:AP155)</f>
        <v>0</v>
      </c>
      <c r="AQ156" s="22" t="e">
        <f t="shared" si="1253"/>
        <v>#DIV/0!</v>
      </c>
      <c r="AR156" s="22">
        <f t="shared" si="1253"/>
        <v>0</v>
      </c>
      <c r="AS156" s="22" t="e">
        <f t="shared" si="1253"/>
        <v>#DIV/0!</v>
      </c>
      <c r="AT156" s="22">
        <f t="shared" si="1253"/>
        <v>0</v>
      </c>
      <c r="AU156" s="22" t="e">
        <f t="shared" si="1253"/>
        <v>#DIV/0!</v>
      </c>
      <c r="AV156" s="22">
        <f t="shared" si="1253"/>
        <v>0</v>
      </c>
      <c r="AW156" s="22" t="e">
        <f t="shared" si="1253"/>
        <v>#DIV/0!</v>
      </c>
      <c r="AX156" s="22">
        <f t="shared" si="1253"/>
        <v>0</v>
      </c>
      <c r="AY156" s="22" t="e">
        <f t="shared" si="1253"/>
        <v>#DIV/0!</v>
      </c>
      <c r="AZ156" s="22">
        <f t="shared" si="1253"/>
        <v>0</v>
      </c>
      <c r="BA156" s="22" t="e">
        <f t="shared" si="1253"/>
        <v>#DIV/0!</v>
      </c>
      <c r="BB156" s="22">
        <f t="shared" si="1253"/>
        <v>0</v>
      </c>
      <c r="BC156" s="22" t="e">
        <f t="shared" si="1253"/>
        <v>#DIV/0!</v>
      </c>
      <c r="BD156" s="22">
        <f t="shared" si="1253"/>
        <v>0</v>
      </c>
      <c r="BE156" s="22" t="e">
        <f t="shared" si="1253"/>
        <v>#DIV/0!</v>
      </c>
      <c r="BF156" s="22">
        <f t="shared" si="1253"/>
        <v>0</v>
      </c>
      <c r="BG156" s="22" t="e">
        <f t="shared" si="1253"/>
        <v>#DIV/0!</v>
      </c>
      <c r="BH156" s="22">
        <f t="shared" ref="BH156" si="1254">SUM(BH149:BH155)</f>
        <v>0</v>
      </c>
      <c r="BI156" s="22" t="e">
        <f t="shared" si="1253"/>
        <v>#DIV/0!</v>
      </c>
      <c r="BJ156" s="22">
        <f t="shared" si="1253"/>
        <v>0</v>
      </c>
      <c r="BK156" s="22" t="e">
        <f t="shared" si="1253"/>
        <v>#DIV/0!</v>
      </c>
      <c r="BL156" s="22">
        <f t="shared" si="1253"/>
        <v>0</v>
      </c>
      <c r="BM156" s="22">
        <f t="shared" si="1253"/>
        <v>0</v>
      </c>
      <c r="BN156" s="22">
        <f t="shared" si="1253"/>
        <v>251.89499999999998</v>
      </c>
      <c r="BO156" s="22">
        <f t="shared" si="1253"/>
        <v>246.49813289274167</v>
      </c>
      <c r="BP156" s="22">
        <f t="shared" si="1253"/>
        <v>342.25200000000001</v>
      </c>
      <c r="BQ156" s="22">
        <f t="shared" si="1253"/>
        <v>346.74461019959807</v>
      </c>
      <c r="BR156" s="22">
        <f t="shared" si="1253"/>
        <v>326.01400000000001</v>
      </c>
      <c r="BS156" s="22">
        <f t="shared" si="1253"/>
        <v>326.38557135348617</v>
      </c>
      <c r="BT156" s="22">
        <f t="shared" si="1253"/>
        <v>331.40799999999996</v>
      </c>
      <c r="BU156" s="22">
        <f t="shared" si="1253"/>
        <v>333.67240594738047</v>
      </c>
      <c r="BV156" s="22">
        <f t="shared" si="1253"/>
        <v>309.154</v>
      </c>
      <c r="BW156" s="22">
        <f t="shared" si="1253"/>
        <v>307.83795273537737</v>
      </c>
      <c r="BX156" s="22">
        <f t="shared" si="1253"/>
        <v>339.084</v>
      </c>
      <c r="BY156" s="22">
        <f t="shared" si="1253"/>
        <v>339.34601784874366</v>
      </c>
      <c r="BZ156" s="22">
        <f t="shared" si="1253"/>
        <v>313.78100000000001</v>
      </c>
      <c r="CA156" s="22">
        <f t="shared" si="1253"/>
        <v>315.87815357548379</v>
      </c>
      <c r="CB156" s="22">
        <f t="shared" si="1253"/>
        <v>442.19800000000004</v>
      </c>
      <c r="CC156" s="22">
        <f t="shared" si="1253"/>
        <v>445.27730555505065</v>
      </c>
      <c r="CD156" s="22">
        <f t="shared" si="1253"/>
        <v>497.82300000000004</v>
      </c>
      <c r="CE156" s="22">
        <f t="shared" si="1253"/>
        <v>502.18052878157829</v>
      </c>
      <c r="CF156" s="22">
        <f t="shared" ref="CF156:CG156" si="1255">SUM(CF149:CF155)</f>
        <v>479.37900000000002</v>
      </c>
      <c r="CG156" s="22">
        <f t="shared" si="1255"/>
        <v>480.24256215427249</v>
      </c>
      <c r="CH156" s="22">
        <f t="shared" ref="CH156:CI156" si="1256">SUM(CH149:CH155)</f>
        <v>1175.3132000000001</v>
      </c>
      <c r="CI156" s="22">
        <f t="shared" si="1256"/>
        <v>1168.6671956514656</v>
      </c>
      <c r="CJ156" s="22">
        <f t="shared" ref="CJ156:DB156" si="1257">SUM(CJ149:CJ155)</f>
        <v>507.476</v>
      </c>
      <c r="CK156" s="21">
        <f t="shared" si="1257"/>
        <v>525.52749965227827</v>
      </c>
      <c r="CL156" s="22">
        <f t="shared" ref="CL156" si="1258">SUM(CL149:CL155)</f>
        <v>487.613</v>
      </c>
      <c r="CM156" s="21">
        <f t="shared" si="1257"/>
        <v>465.90650560828021</v>
      </c>
      <c r="CN156" s="21">
        <f t="shared" si="1257"/>
        <v>495.34491121849283</v>
      </c>
      <c r="CO156" s="21">
        <f t="shared" si="1257"/>
        <v>517.05869887982612</v>
      </c>
      <c r="CP156" s="21">
        <f t="shared" si="1257"/>
        <v>526.1130519365081</v>
      </c>
      <c r="CQ156" s="21">
        <f t="shared" si="1257"/>
        <v>499.11745134318369</v>
      </c>
      <c r="CR156" s="21">
        <f t="shared" si="1257"/>
        <v>531.27333827020334</v>
      </c>
      <c r="CS156" s="21">
        <f t="shared" si="1257"/>
        <v>555.4461953114976</v>
      </c>
      <c r="CT156" s="21">
        <f t="shared" si="1257"/>
        <v>565.17862669877832</v>
      </c>
      <c r="CU156" s="21">
        <f t="shared" si="1257"/>
        <v>535.59168299940745</v>
      </c>
      <c r="CV156" s="21">
        <f t="shared" si="1257"/>
        <v>570.33585267273293</v>
      </c>
      <c r="CW156" s="21">
        <f t="shared" si="1257"/>
        <v>596.42408601324939</v>
      </c>
      <c r="CX156" s="21">
        <f t="shared" si="1257"/>
        <v>606.8084947975475</v>
      </c>
      <c r="CY156" s="21">
        <f t="shared" si="1257"/>
        <v>574.96252977262225</v>
      </c>
      <c r="CZ156" s="21">
        <f t="shared" si="1257"/>
        <v>612.32225291830173</v>
      </c>
      <c r="DA156" s="21">
        <f t="shared" si="1257"/>
        <v>640.34455687816558</v>
      </c>
      <c r="DB156" s="21">
        <f t="shared" si="1257"/>
        <v>651.47318131554232</v>
      </c>
      <c r="DE156" s="126"/>
      <c r="DF156" s="22">
        <v>516.07203828974207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0</v>
      </c>
      <c r="E157" s="22">
        <f t="shared" si="1259"/>
        <v>0</v>
      </c>
      <c r="F157" s="22">
        <f t="shared" si="1259"/>
        <v>6.5023814000000009</v>
      </c>
      <c r="G157" s="22">
        <f t="shared" si="1259"/>
        <v>-6.1296820000000025</v>
      </c>
      <c r="H157" s="22">
        <f t="shared" si="1259"/>
        <v>2.6393282000000013</v>
      </c>
      <c r="I157" s="22">
        <f t="shared" si="1259"/>
        <v>-13.839236400000004</v>
      </c>
      <c r="J157" s="22">
        <f t="shared" si="1259"/>
        <v>-4.2238559999999836</v>
      </c>
      <c r="K157" s="22">
        <f t="shared" si="1259"/>
        <v>4.3544078000000042</v>
      </c>
      <c r="L157" s="22">
        <f t="shared" si="1259"/>
        <v>2.9339378999999894</v>
      </c>
      <c r="M157" s="22">
        <f t="shared" si="1259"/>
        <v>-22.022661800000002</v>
      </c>
      <c r="N157" s="22">
        <f t="shared" si="1259"/>
        <v>-16.152875199999997</v>
      </c>
      <c r="O157" s="22">
        <f t="shared" si="1259"/>
        <v>-18.822954599999989</v>
      </c>
      <c r="P157" s="22">
        <f t="shared" si="1259"/>
        <v>-23.046800000000012</v>
      </c>
      <c r="Q157" s="22">
        <f t="shared" si="1259"/>
        <v>-18.548099999999991</v>
      </c>
      <c r="R157" s="22">
        <f t="shared" si="1259"/>
        <v>-18.129600000000039</v>
      </c>
      <c r="S157" s="22">
        <f t="shared" si="1259"/>
        <v>-15.254400000000032</v>
      </c>
      <c r="T157" s="22">
        <f t="shared" si="1259"/>
        <v>-53.567800000000034</v>
      </c>
      <c r="U157" s="22">
        <f t="shared" si="1259"/>
        <v>-121.91649999999993</v>
      </c>
      <c r="V157" s="22">
        <f t="shared" si="1259"/>
        <v>-194.58969999999999</v>
      </c>
      <c r="W157" s="22">
        <f t="shared" ref="W157" si="1260">W148-W156</f>
        <v>-144.52030000000002</v>
      </c>
      <c r="X157" s="22">
        <f t="shared" ref="X157:Y157" si="1261">X148-X156</f>
        <v>-49.946399999999983</v>
      </c>
      <c r="Y157" s="22">
        <f t="shared" si="1261"/>
        <v>-103.87980000000016</v>
      </c>
      <c r="Z157" s="22">
        <f t="shared" ref="Z157:AA157" si="1262">Z148-Z156</f>
        <v>-27.438000000000102</v>
      </c>
      <c r="AA157" s="22">
        <f t="shared" si="1262"/>
        <v>-46.452599999999848</v>
      </c>
      <c r="AB157" s="21">
        <f t="shared" ref="AA157:AD157" si="1263">AB148-AB156</f>
        <v>6.8794245008789403</v>
      </c>
      <c r="AC157" s="21">
        <f t="shared" si="1263"/>
        <v>7.3902437462319313</v>
      </c>
      <c r="AD157" s="21">
        <f t="shared" si="1263"/>
        <v>7.9345935461710724</v>
      </c>
      <c r="AE157" s="21">
        <f t="shared" ref="AE157" si="1264">AE148-AE156</f>
        <v>8.5186264600571349</v>
      </c>
      <c r="AJ157" s="22">
        <f t="shared" ref="AJ157" si="1265">AJ148-AJ156</f>
        <v>0</v>
      </c>
      <c r="AK157" s="22" t="e">
        <f t="shared" ref="AK157" si="1266">AK148-AK156</f>
        <v>#DIV/0!</v>
      </c>
      <c r="AL157" s="22">
        <f t="shared" ref="AL157:AM157" si="1267">AL148-AL156</f>
        <v>0</v>
      </c>
      <c r="AM157" s="22" t="e">
        <f t="shared" si="1267"/>
        <v>#DIV/0!</v>
      </c>
      <c r="AN157" s="22">
        <f t="shared" ref="AN157:AO157" si="1268">AN148-AN156</f>
        <v>0</v>
      </c>
      <c r="AO157" s="22" t="e">
        <f t="shared" si="1268"/>
        <v>#DIV/0!</v>
      </c>
      <c r="AP157" s="22">
        <f t="shared" ref="AP157:CE157" si="1269">AP148-AP156</f>
        <v>0</v>
      </c>
      <c r="AQ157" s="22" t="e">
        <f t="shared" si="1269"/>
        <v>#DIV/0!</v>
      </c>
      <c r="AR157" s="22">
        <f t="shared" si="1269"/>
        <v>0</v>
      </c>
      <c r="AS157" s="22" t="e">
        <f t="shared" si="1269"/>
        <v>#DIV/0!</v>
      </c>
      <c r="AT157" s="22">
        <f t="shared" si="1269"/>
        <v>0</v>
      </c>
      <c r="AU157" s="22" t="e">
        <f t="shared" si="1269"/>
        <v>#DIV/0!</v>
      </c>
      <c r="AV157" s="22">
        <f t="shared" si="1269"/>
        <v>0</v>
      </c>
      <c r="AW157" s="22" t="e">
        <f t="shared" si="1269"/>
        <v>#DIV/0!</v>
      </c>
      <c r="AX157" s="22">
        <f t="shared" si="1269"/>
        <v>0</v>
      </c>
      <c r="AY157" s="22" t="e">
        <f t="shared" si="1269"/>
        <v>#DIV/0!</v>
      </c>
      <c r="AZ157" s="22">
        <f t="shared" si="1269"/>
        <v>0</v>
      </c>
      <c r="BA157" s="22" t="e">
        <f t="shared" si="1269"/>
        <v>#DIV/0!</v>
      </c>
      <c r="BB157" s="22">
        <f t="shared" si="1269"/>
        <v>0</v>
      </c>
      <c r="BC157" s="22" t="e">
        <f t="shared" si="1269"/>
        <v>#DIV/0!</v>
      </c>
      <c r="BD157" s="22">
        <f t="shared" si="1269"/>
        <v>0</v>
      </c>
      <c r="BE157" s="22" t="e">
        <f t="shared" si="1269"/>
        <v>#DIV/0!</v>
      </c>
      <c r="BF157" s="22">
        <f t="shared" si="1269"/>
        <v>0</v>
      </c>
      <c r="BG157" s="22" t="e">
        <f t="shared" si="1269"/>
        <v>#DIV/0!</v>
      </c>
      <c r="BH157" s="22">
        <f t="shared" ref="BH157" si="1270">BH148-BH156</f>
        <v>0</v>
      </c>
      <c r="BI157" s="22" t="e">
        <f t="shared" si="1269"/>
        <v>#DIV/0!</v>
      </c>
      <c r="BJ157" s="22">
        <f t="shared" si="1269"/>
        <v>0</v>
      </c>
      <c r="BK157" s="22" t="e">
        <f t="shared" si="1269"/>
        <v>#DIV/0!</v>
      </c>
      <c r="BL157" s="22">
        <f t="shared" si="1269"/>
        <v>0</v>
      </c>
      <c r="BM157" s="22">
        <f t="shared" si="1269"/>
        <v>0</v>
      </c>
      <c r="BN157" s="22">
        <f t="shared" si="1269"/>
        <v>-22.853999999999985</v>
      </c>
      <c r="BO157" s="22">
        <f t="shared" si="1269"/>
        <v>-22.248082682459284</v>
      </c>
      <c r="BP157" s="22">
        <f t="shared" si="1269"/>
        <v>-119.83500000000001</v>
      </c>
      <c r="BQ157" s="22">
        <f t="shared" si="1269"/>
        <v>-120.64811745080172</v>
      </c>
      <c r="BR157" s="22">
        <f t="shared" si="1269"/>
        <v>-120.85400000000001</v>
      </c>
      <c r="BS157" s="22">
        <f t="shared" si="1269"/>
        <v>-121.02197542210405</v>
      </c>
      <c r="BT157" s="22">
        <f t="shared" si="1269"/>
        <v>-107.28499999999994</v>
      </c>
      <c r="BU157" s="22">
        <f t="shared" si="1269"/>
        <v>-107.89628204362117</v>
      </c>
      <c r="BV157" s="22">
        <f t="shared" si="1269"/>
        <v>-72.073000000000008</v>
      </c>
      <c r="BW157" s="22">
        <f t="shared" si="1269"/>
        <v>-71.443783637081424</v>
      </c>
      <c r="BX157" s="22">
        <f t="shared" si="1269"/>
        <v>-69.79000000000002</v>
      </c>
      <c r="BY157" s="22">
        <f t="shared" si="1269"/>
        <v>-69.768912802739578</v>
      </c>
      <c r="BZ157" s="22">
        <f t="shared" si="1269"/>
        <v>33.031000000000006</v>
      </c>
      <c r="CA157" s="22">
        <f t="shared" si="1269"/>
        <v>32.531739932354071</v>
      </c>
      <c r="CB157" s="22">
        <f t="shared" si="1269"/>
        <v>-137.74100000000004</v>
      </c>
      <c r="CC157" s="22">
        <f t="shared" si="1269"/>
        <v>-137.95959366082235</v>
      </c>
      <c r="CD157" s="22">
        <f t="shared" si="1269"/>
        <v>-20.258000000000038</v>
      </c>
      <c r="CE157" s="22">
        <f t="shared" si="1269"/>
        <v>-20.239921206987106</v>
      </c>
      <c r="CF157" s="22">
        <f t="shared" ref="CF157:CG157" si="1271">CF148-CF156</f>
        <v>-15.658000000000015</v>
      </c>
      <c r="CG157" s="22">
        <f t="shared" si="1271"/>
        <v>-15.623840045238921</v>
      </c>
      <c r="CH157" s="22">
        <f t="shared" ref="CH157:CI157" si="1272">CH148-CH156</f>
        <v>-27.438000000000102</v>
      </c>
      <c r="CI157" s="22">
        <f t="shared" si="1272"/>
        <v>-27.282847256615923</v>
      </c>
      <c r="CJ157" s="22">
        <f t="shared" ref="CJ157:DB157" si="1273">CJ148-CJ156</f>
        <v>-22.013999999999953</v>
      </c>
      <c r="CK157" s="21">
        <f t="shared" si="1273"/>
        <v>-22.797063067702197</v>
      </c>
      <c r="CL157" s="22">
        <f t="shared" ref="CL157" si="1274">CL148-CL156</f>
        <v>6.3759999999999764</v>
      </c>
      <c r="CM157" s="21">
        <f t="shared" si="1273"/>
        <v>6.0921671074362962</v>
      </c>
      <c r="CN157" s="21">
        <f t="shared" si="1273"/>
        <v>6.4771020336394827</v>
      </c>
      <c r="CO157" s="21">
        <f t="shared" si="1273"/>
        <v>6.761030292583996</v>
      </c>
      <c r="CP157" s="21">
        <f t="shared" si="1273"/>
        <v>6.8794245008789403</v>
      </c>
      <c r="CQ157" s="21">
        <f t="shared" si="1273"/>
        <v>6.5264315548684522</v>
      </c>
      <c r="CR157" s="21">
        <f t="shared" si="1273"/>
        <v>6.9469001130214565</v>
      </c>
      <c r="CS157" s="21">
        <f t="shared" si="1273"/>
        <v>7.2629830240499587</v>
      </c>
      <c r="CT157" s="21">
        <f t="shared" si="1273"/>
        <v>7.3902437462319313</v>
      </c>
      <c r="CU157" s="21">
        <f t="shared" si="1273"/>
        <v>7.003366544378764</v>
      </c>
      <c r="CV157" s="21">
        <f t="shared" si="1273"/>
        <v>7.4576793412835514</v>
      </c>
      <c r="CW157" s="21">
        <f t="shared" si="1273"/>
        <v>7.7988076044329091</v>
      </c>
      <c r="CX157" s="21">
        <f t="shared" si="1273"/>
        <v>7.9345935461710724</v>
      </c>
      <c r="CY157" s="21">
        <f t="shared" si="1273"/>
        <v>7.5181775092751195</v>
      </c>
      <c r="CZ157" s="21">
        <f t="shared" si="1273"/>
        <v>8.0066911354024342</v>
      </c>
      <c r="DA157" s="21">
        <f t="shared" si="1273"/>
        <v>8.3731091965455562</v>
      </c>
      <c r="DB157" s="21">
        <f t="shared" si="1273"/>
        <v>8.5186264600571349</v>
      </c>
      <c r="DE157" s="126"/>
      <c r="DF157" s="22">
        <v>-22.386890908949965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24.561744300000001</v>
      </c>
      <c r="G159" s="23">
        <f>'Annual Raw'!H75</f>
        <v>50.153057799999999</v>
      </c>
      <c r="H159" s="23">
        <f>'Annual Raw'!I75</f>
        <v>68.915374400000005</v>
      </c>
      <c r="I159" s="23">
        <f>'Annual Raw'!J75</f>
        <v>129.61822989999999</v>
      </c>
      <c r="J159" s="23">
        <f>'Annual Raw'!K75</f>
        <v>120.6795723</v>
      </c>
      <c r="K159" s="23">
        <f>'Annual Raw'!L75</f>
        <v>135.78183189999999</v>
      </c>
      <c r="L159" s="23">
        <f>'Annual Raw'!M75</f>
        <v>141.41964999999999</v>
      </c>
      <c r="M159" s="23">
        <f>'Annual Raw'!N75</f>
        <v>143.24112980000001</v>
      </c>
      <c r="N159" s="23">
        <f>'Annual Raw'!O75</f>
        <v>168.32736370000001</v>
      </c>
      <c r="O159" s="23">
        <f>'Annual Raw'!P75</f>
        <v>104.4715064</v>
      </c>
      <c r="P159" s="23">
        <f>'Annual Raw'!Q75</f>
        <v>103.7328</v>
      </c>
      <c r="Q159" s="23">
        <f>'Annual Raw'!R75</f>
        <v>175.8331</v>
      </c>
      <c r="R159" s="23">
        <f>'Annual Raw'!S75</f>
        <v>220.2028</v>
      </c>
      <c r="S159" s="23">
        <f>'Annual Raw'!T75</f>
        <v>216.1311</v>
      </c>
      <c r="T159" s="23">
        <f>'Annual Raw'!U75</f>
        <v>230.49760000000001</v>
      </c>
      <c r="U159" s="23">
        <f>'Annual Raw'!V75</f>
        <v>305.60500000000002</v>
      </c>
      <c r="V159" s="23">
        <f>'Annual Raw'!W75</f>
        <v>235.53659999999999</v>
      </c>
      <c r="W159" s="23">
        <f>'Annual Raw'!X75</f>
        <v>316.9477</v>
      </c>
      <c r="X159" s="23">
        <f>'Annual Raw'!Y75</f>
        <v>329.83440000000002</v>
      </c>
      <c r="Y159" s="23">
        <f>'Annual Raw'!Z75</f>
        <v>406.55029999999999</v>
      </c>
      <c r="Z159" s="23">
        <f>'Annual Raw'!AA75</f>
        <v>424.5634</v>
      </c>
      <c r="AA159" s="23">
        <f>'Annual Raw'!AB75</f>
        <v>445.43209999999999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305.60500000000002</v>
      </c>
      <c r="BP159" s="23">
        <f>+'QTR Raw'!AJ80</f>
        <v>207.71600000000001</v>
      </c>
      <c r="BR159" s="23">
        <f>+'QTR Raw'!AL80</f>
        <v>235.53700000000001</v>
      </c>
      <c r="BT159" s="23">
        <f>+'QTR Raw'!AN80</f>
        <v>294.12099999999998</v>
      </c>
      <c r="BV159" s="23">
        <f>+'QTR Raw'!AP80</f>
        <v>316.94799999999998</v>
      </c>
      <c r="BX159" s="23">
        <f>+'QTR Raw'!AR80</f>
        <v>335.18700000000001</v>
      </c>
      <c r="BZ159" s="23">
        <f>+'QTR Raw'!AT80</f>
        <v>329.834</v>
      </c>
      <c r="CB159" s="23">
        <f>+'QTR Raw'!AV80</f>
        <v>370.46899999999999</v>
      </c>
      <c r="CD159" s="23">
        <f>+'QTR Raw'!AX80</f>
        <v>406.55</v>
      </c>
      <c r="CF159" s="23">
        <f>+'QTR Raw'!AZ80</f>
        <v>517.55399999999997</v>
      </c>
      <c r="CH159" s="23">
        <f t="shared" ref="CH159:CH160" si="1279">Z159</f>
        <v>424.5634</v>
      </c>
      <c r="CJ159" s="23">
        <f>+'QTR Raw'!BD80</f>
        <v>542.39499999999998</v>
      </c>
      <c r="CK159" s="24"/>
      <c r="CL159" s="23">
        <f>+'QTR Raw'!BF80</f>
        <v>445.43200000000002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445.43200000000002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0.57623670000000005</v>
      </c>
      <c r="G160" s="23">
        <f>'Annual Raw'!H78</f>
        <v>0.62329369999999995</v>
      </c>
      <c r="H160" s="23">
        <f>'Annual Raw'!I78</f>
        <v>4.5547582999999996</v>
      </c>
      <c r="I160" s="23">
        <f>'Annual Raw'!J78</f>
        <v>17.783648400000001</v>
      </c>
      <c r="J160" s="23">
        <f>'Annual Raw'!K78</f>
        <v>36.011843399999997</v>
      </c>
      <c r="K160" s="23">
        <f>'Annual Raw'!L78</f>
        <v>20.783702000000002</v>
      </c>
      <c r="L160" s="23">
        <f>'Annual Raw'!M78</f>
        <v>26.173939399999998</v>
      </c>
      <c r="M160" s="23">
        <f>'Annual Raw'!N78</f>
        <v>26.1564838</v>
      </c>
      <c r="N160" s="23">
        <f>'Annual Raw'!O78</f>
        <v>17.105905499999999</v>
      </c>
      <c r="O160" s="23">
        <f>'Annual Raw'!P78</f>
        <v>27.334970999999999</v>
      </c>
      <c r="P160" s="23">
        <f>'Annual Raw'!Q78</f>
        <v>19.740400000000001</v>
      </c>
      <c r="Q160" s="23">
        <f>'Annual Raw'!R78</f>
        <v>13.9941</v>
      </c>
      <c r="R160" s="23">
        <f>'Annual Raw'!S78</f>
        <v>15.2577</v>
      </c>
      <c r="S160" s="23">
        <f>'Annual Raw'!T78</f>
        <v>27.6555</v>
      </c>
      <c r="T160" s="23">
        <f>'Annual Raw'!U78</f>
        <v>43.503500000000003</v>
      </c>
      <c r="U160" s="23">
        <f>'Annual Raw'!V78</f>
        <v>50.459099999999999</v>
      </c>
      <c r="V160" s="23">
        <f>'Annual Raw'!W78</f>
        <v>180.255</v>
      </c>
      <c r="W160" s="23">
        <f>'Annual Raw'!X78</f>
        <v>150.8126</v>
      </c>
      <c r="X160" s="23">
        <f>'Annual Raw'!Y78</f>
        <v>152.35740000000001</v>
      </c>
      <c r="Y160" s="23">
        <f>'Annual Raw'!Z78</f>
        <v>211.1276</v>
      </c>
      <c r="Z160" s="23">
        <f>'Annual Raw'!AA78</f>
        <v>256.16570000000002</v>
      </c>
      <c r="AA160" s="23">
        <f>'Annual Raw'!AB78</f>
        <v>409.01479999999998</v>
      </c>
      <c r="AB160" s="24">
        <f t="shared" si="1275"/>
        <v>1481.0649052076019</v>
      </c>
      <c r="AC160" s="24">
        <f t="shared" si="1276"/>
        <v>2157.7247612570932</v>
      </c>
      <c r="AD160" s="24">
        <f t="shared" si="1277"/>
        <v>2895.4766268692283</v>
      </c>
      <c r="AE160" s="24">
        <f t="shared" si="1278"/>
        <v>3703.3035625685288</v>
      </c>
      <c r="AJ160" s="23">
        <f>+'QTR Raw'!D83</f>
        <v>0</v>
      </c>
      <c r="AK160" s="23" t="e">
        <f t="shared" ref="AK160:AM160" si="1280">+AK210</f>
        <v>#DIV/0!</v>
      </c>
      <c r="AL160" s="23">
        <f>+'QTR Raw'!F83</f>
        <v>0</v>
      </c>
      <c r="AM160" s="23" t="e">
        <f t="shared" si="1280"/>
        <v>#DIV/0!</v>
      </c>
      <c r="AN160" s="23">
        <f>+'QTR Raw'!H83</f>
        <v>0</v>
      </c>
      <c r="AO160" s="23" t="e">
        <f t="shared" ref="AO160" si="1281">+AO210</f>
        <v>#DIV/0!</v>
      </c>
      <c r="AP160" s="23">
        <f>+'QTR Raw'!J83</f>
        <v>0</v>
      </c>
      <c r="AQ160" s="23" t="e">
        <f t="shared" ref="AQ160" si="1282">+AQ210</f>
        <v>#DIV/0!</v>
      </c>
      <c r="AR160" s="23">
        <f>+'QTR Raw'!L83</f>
        <v>0</v>
      </c>
      <c r="AS160" s="23" t="e">
        <f t="shared" ref="AS160" si="1283">+AS210</f>
        <v>#DIV/0!</v>
      </c>
      <c r="AT160" s="23">
        <f>+'QTR Raw'!N83</f>
        <v>0</v>
      </c>
      <c r="AU160" s="23" t="e">
        <f t="shared" ref="AU160" si="1284">+AU210</f>
        <v>#DIV/0!</v>
      </c>
      <c r="AV160" s="23">
        <f>+'QTR Raw'!P83</f>
        <v>0</v>
      </c>
      <c r="AW160" s="23" t="e">
        <f t="shared" ref="AW160" si="1285">+AW210</f>
        <v>#DIV/0!</v>
      </c>
      <c r="AX160" s="23">
        <f>+'QTR Raw'!R83</f>
        <v>0</v>
      </c>
      <c r="AY160" s="23" t="e">
        <f t="shared" ref="AY160" si="1286">+AY210</f>
        <v>#DIV/0!</v>
      </c>
      <c r="AZ160" s="23">
        <f>+'QTR Raw'!T83</f>
        <v>0</v>
      </c>
      <c r="BA160" s="23" t="e">
        <f t="shared" ref="BA160" si="1287">+BA210</f>
        <v>#DIV/0!</v>
      </c>
      <c r="BB160" s="23">
        <f>+'QTR Raw'!V83</f>
        <v>0</v>
      </c>
      <c r="BC160" s="23" t="e">
        <f t="shared" ref="BC160" si="1288">+BC210</f>
        <v>#DIV/0!</v>
      </c>
      <c r="BD160" s="23">
        <f>+'QTR Raw'!X83</f>
        <v>0</v>
      </c>
      <c r="BE160" s="23" t="e">
        <f t="shared" ref="BE160" si="1289">+BE210</f>
        <v>#DIV/0!</v>
      </c>
      <c r="BF160" s="23">
        <f>+'QTR Raw'!Z83</f>
        <v>0</v>
      </c>
      <c r="BG160" s="23" t="e">
        <f t="shared" ref="BG160" si="1290">+BG210</f>
        <v>#DIV/0!</v>
      </c>
      <c r="BH160" s="23">
        <f>+'QTR Raw'!AB83</f>
        <v>0</v>
      </c>
      <c r="BI160" s="23" t="e">
        <f t="shared" ref="BI160" si="1291">+BI210</f>
        <v>#DIV/0!</v>
      </c>
      <c r="BJ160" s="23">
        <f>+'QTR Raw'!AD83</f>
        <v>0</v>
      </c>
      <c r="BK160" s="23" t="e">
        <f t="shared" ref="BK160" si="1292">+BK210</f>
        <v>#DIV/0!</v>
      </c>
      <c r="BL160" s="23">
        <f>+'QTR Raw'!AF83</f>
        <v>0</v>
      </c>
      <c r="BM160" s="23">
        <f t="shared" ref="BM160" si="1293">+BM210</f>
        <v>46.233000000000018</v>
      </c>
      <c r="BN160" s="23">
        <f>+'QTR Raw'!AH83</f>
        <v>50.459000000000003</v>
      </c>
      <c r="BO160" s="23">
        <f t="shared" ref="BO160" si="1294">+BO210</f>
        <v>395.25308268245931</v>
      </c>
      <c r="BP160" s="23">
        <f>+'QTR Raw'!AJ83</f>
        <v>165.62100000000001</v>
      </c>
      <c r="BQ160" s="23">
        <f t="shared" ref="BQ160" si="1295">+BQ210</f>
        <v>430.56811745080165</v>
      </c>
      <c r="BR160" s="23">
        <f>+'QTR Raw'!AL83</f>
        <v>180.25399999999999</v>
      </c>
      <c r="BS160" s="23">
        <f t="shared" ref="BS160" si="1296">+BS210</f>
        <v>479.20097542210397</v>
      </c>
      <c r="BT160" s="23">
        <f>+'QTR Raw'!AN83</f>
        <v>168.06</v>
      </c>
      <c r="BU160" s="23">
        <f t="shared" ref="BU160" si="1297">+BU210</f>
        <v>540.10328204362122</v>
      </c>
      <c r="BV160" s="23">
        <f>+'QTR Raw'!AP83</f>
        <v>150.81299999999999</v>
      </c>
      <c r="BW160" s="23">
        <f t="shared" ref="BW160" si="1298">+BW210</f>
        <v>531.90978363708143</v>
      </c>
      <c r="BX160" s="23">
        <f>+'QTR Raw'!AR83</f>
        <v>193.93600000000001</v>
      </c>
      <c r="BY160" s="23">
        <f t="shared" ref="BY160" si="1299">+BY210</f>
        <v>602.81991280273962</v>
      </c>
      <c r="BZ160" s="23">
        <f>+'QTR Raw'!AT83</f>
        <v>152.358</v>
      </c>
      <c r="CA160" s="23">
        <f t="shared" ref="CA160" si="1300">+CA210</f>
        <v>559.03126006764592</v>
      </c>
      <c r="CB160" s="23">
        <f>+'QTR Raw'!AV83</f>
        <v>254.19900000000001</v>
      </c>
      <c r="CC160" s="23">
        <f t="shared" ref="CC160" si="1301">+CC210</f>
        <v>714.1805936608223</v>
      </c>
      <c r="CD160" s="23">
        <f>+'QTR Raw'!AX83</f>
        <v>211.12799999999999</v>
      </c>
      <c r="CE160" s="23">
        <f t="shared" ref="CE160" si="1302">+CE210</f>
        <v>725.87192120698705</v>
      </c>
      <c r="CF160" s="23">
        <f>+'QTR Raw'!AZ83</f>
        <v>215.28</v>
      </c>
      <c r="CG160" s="23">
        <f t="shared" ref="CG160:CI160" si="1303">+CG210</f>
        <v>858.2928400452389</v>
      </c>
      <c r="CH160" s="23">
        <f t="shared" si="1279"/>
        <v>256.16570000000002</v>
      </c>
      <c r="CI160" s="23">
        <f t="shared" si="1303"/>
        <v>810.50794725661581</v>
      </c>
      <c r="CJ160" s="23">
        <f>+'QTR Raw'!BD83</f>
        <v>279.82499999999999</v>
      </c>
      <c r="CK160" s="24">
        <f t="shared" ref="CK160:DB160" si="1304">+CK210</f>
        <v>973.87206306770224</v>
      </c>
      <c r="CL160" s="23">
        <f>+'QTR Raw'!BF83</f>
        <v>409.01499999999999</v>
      </c>
      <c r="CM160" s="24">
        <f t="shared" si="1304"/>
        <v>1000.3301294535784</v>
      </c>
      <c r="CN160" s="24">
        <f t="shared" si="1304"/>
        <v>1154.7076558997862</v>
      </c>
      <c r="CO160" s="24">
        <f t="shared" si="1304"/>
        <v>1316.4745847791844</v>
      </c>
      <c r="CP160" s="24">
        <f t="shared" si="1304"/>
        <v>1481.0649052076019</v>
      </c>
      <c r="CQ160" s="24">
        <f t="shared" si="1304"/>
        <v>1638.5190201526689</v>
      </c>
      <c r="CR160" s="24">
        <f t="shared" si="1304"/>
        <v>1805.1311190378781</v>
      </c>
      <c r="CS160" s="24">
        <f t="shared" si="1304"/>
        <v>1979.5468294012246</v>
      </c>
      <c r="CT160" s="24">
        <f t="shared" si="1304"/>
        <v>2157.7247612570932</v>
      </c>
      <c r="CU160" s="24">
        <f t="shared" si="1304"/>
        <v>2329.2225104595987</v>
      </c>
      <c r="CV160" s="24">
        <f t="shared" si="1304"/>
        <v>2510.7346285939088</v>
      </c>
      <c r="CW160" s="24">
        <f t="shared" si="1304"/>
        <v>2700.8813954692218</v>
      </c>
      <c r="CX160" s="24">
        <f t="shared" si="1304"/>
        <v>2895.4766268692283</v>
      </c>
      <c r="CY160" s="24">
        <f t="shared" si="1304"/>
        <v>3083.2408495482227</v>
      </c>
      <c r="CZ160" s="24">
        <f t="shared" si="1304"/>
        <v>3281.9445397685754</v>
      </c>
      <c r="DA160" s="24">
        <f t="shared" si="1304"/>
        <v>3490.1284402864389</v>
      </c>
      <c r="DB160" s="24">
        <f t="shared" si="1304"/>
        <v>3703.3035625685288</v>
      </c>
      <c r="DE160" s="123"/>
      <c r="DF160" s="23">
        <v>1118.6702060515395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0</v>
      </c>
      <c r="E161" s="22">
        <f t="shared" si="1305"/>
        <v>0</v>
      </c>
      <c r="F161" s="22">
        <f t="shared" si="1305"/>
        <v>25.137981</v>
      </c>
      <c r="G161" s="22">
        <f t="shared" si="1305"/>
        <v>50.776351499999997</v>
      </c>
      <c r="H161" s="22">
        <f t="shared" si="1305"/>
        <v>73.470132700000008</v>
      </c>
      <c r="I161" s="22">
        <f t="shared" si="1305"/>
        <v>147.40187829999999</v>
      </c>
      <c r="J161" s="22">
        <f t="shared" si="1305"/>
        <v>156.69141569999999</v>
      </c>
      <c r="K161" s="22">
        <f t="shared" si="1305"/>
        <v>156.56553389999999</v>
      </c>
      <c r="L161" s="22">
        <f t="shared" si="1305"/>
        <v>167.59358939999998</v>
      </c>
      <c r="M161" s="22">
        <f t="shared" si="1305"/>
        <v>169.3976136</v>
      </c>
      <c r="N161" s="22">
        <f t="shared" si="1305"/>
        <v>185.43326920000001</v>
      </c>
      <c r="O161" s="22">
        <f t="shared" si="1305"/>
        <v>131.80647740000001</v>
      </c>
      <c r="P161" s="22">
        <f t="shared" si="1305"/>
        <v>123.47319999999999</v>
      </c>
      <c r="Q161" s="22">
        <f t="shared" si="1305"/>
        <v>189.8272</v>
      </c>
      <c r="R161" s="22">
        <f t="shared" si="1305"/>
        <v>235.4605</v>
      </c>
      <c r="S161" s="22">
        <f t="shared" si="1305"/>
        <v>243.78659999999999</v>
      </c>
      <c r="T161" s="22">
        <f t="shared" si="1305"/>
        <v>274.00110000000001</v>
      </c>
      <c r="U161" s="22">
        <f t="shared" si="1305"/>
        <v>356.0641</v>
      </c>
      <c r="V161" s="22">
        <f t="shared" si="1305"/>
        <v>415.79160000000002</v>
      </c>
      <c r="W161" s="22">
        <f t="shared" ref="W161" si="1306">W159+W160</f>
        <v>467.76030000000003</v>
      </c>
      <c r="X161" s="22">
        <f t="shared" ref="X161:Y161" si="1307">X159+X160</f>
        <v>482.19180000000006</v>
      </c>
      <c r="Y161" s="22">
        <f t="shared" si="1307"/>
        <v>617.67790000000002</v>
      </c>
      <c r="Z161" s="22">
        <f t="shared" ref="Z161:AA161" si="1308">Z159+Z160</f>
        <v>680.72910000000002</v>
      </c>
      <c r="AA161" s="22">
        <f t="shared" si="1308"/>
        <v>854.44689999999991</v>
      </c>
      <c r="AB161" s="21">
        <f t="shared" ref="AA161:AD161" si="1309">AB159+AB160</f>
        <v>1481.0649052076019</v>
      </c>
      <c r="AC161" s="21">
        <f t="shared" si="1309"/>
        <v>2157.7247612570932</v>
      </c>
      <c r="AD161" s="21">
        <f t="shared" si="1309"/>
        <v>2895.4766268692283</v>
      </c>
      <c r="AE161" s="21">
        <f t="shared" ref="AE161" si="1310">AE159+AE160</f>
        <v>3703.3035625685288</v>
      </c>
      <c r="AJ161" s="22">
        <f t="shared" ref="AJ161" si="1311">AJ159+AJ160</f>
        <v>0</v>
      </c>
      <c r="AK161" s="22" t="e">
        <f t="shared" ref="AK161" si="1312">AK159+AK160</f>
        <v>#DIV/0!</v>
      </c>
      <c r="AL161" s="22">
        <f t="shared" ref="AL161:AM161" si="1313">AL159+AL160</f>
        <v>0</v>
      </c>
      <c r="AM161" s="22" t="e">
        <f t="shared" si="1313"/>
        <v>#DIV/0!</v>
      </c>
      <c r="AN161" s="22">
        <f t="shared" ref="AN161:AO161" si="1314">AN159+AN160</f>
        <v>0</v>
      </c>
      <c r="AO161" s="22" t="e">
        <f t="shared" si="1314"/>
        <v>#DIV/0!</v>
      </c>
      <c r="AP161" s="22">
        <f t="shared" ref="AP161:CE161" si="1315">AP159+AP160</f>
        <v>0</v>
      </c>
      <c r="AQ161" s="22" t="e">
        <f t="shared" si="1315"/>
        <v>#DIV/0!</v>
      </c>
      <c r="AR161" s="22">
        <f t="shared" si="1315"/>
        <v>0</v>
      </c>
      <c r="AS161" s="22" t="e">
        <f t="shared" si="1315"/>
        <v>#DIV/0!</v>
      </c>
      <c r="AT161" s="22">
        <f t="shared" si="1315"/>
        <v>0</v>
      </c>
      <c r="AU161" s="22" t="e">
        <f t="shared" si="1315"/>
        <v>#DIV/0!</v>
      </c>
      <c r="AV161" s="22">
        <f t="shared" si="1315"/>
        <v>0</v>
      </c>
      <c r="AW161" s="22" t="e">
        <f t="shared" si="1315"/>
        <v>#DIV/0!</v>
      </c>
      <c r="AX161" s="22">
        <f t="shared" si="1315"/>
        <v>0</v>
      </c>
      <c r="AY161" s="22" t="e">
        <f t="shared" si="1315"/>
        <v>#DIV/0!</v>
      </c>
      <c r="AZ161" s="22">
        <f t="shared" si="1315"/>
        <v>0</v>
      </c>
      <c r="BA161" s="22" t="e">
        <f t="shared" si="1315"/>
        <v>#DIV/0!</v>
      </c>
      <c r="BB161" s="22">
        <f t="shared" si="1315"/>
        <v>0</v>
      </c>
      <c r="BC161" s="22" t="e">
        <f t="shared" si="1315"/>
        <v>#DIV/0!</v>
      </c>
      <c r="BD161" s="22">
        <f t="shared" si="1315"/>
        <v>0</v>
      </c>
      <c r="BE161" s="22" t="e">
        <f t="shared" si="1315"/>
        <v>#DIV/0!</v>
      </c>
      <c r="BF161" s="22">
        <f t="shared" si="1315"/>
        <v>0</v>
      </c>
      <c r="BG161" s="22" t="e">
        <f t="shared" si="1315"/>
        <v>#DIV/0!</v>
      </c>
      <c r="BH161" s="22">
        <f t="shared" si="1315"/>
        <v>0</v>
      </c>
      <c r="BI161" s="22" t="e">
        <f t="shared" si="1315"/>
        <v>#DIV/0!</v>
      </c>
      <c r="BJ161" s="22">
        <f t="shared" si="1315"/>
        <v>0</v>
      </c>
      <c r="BK161" s="22" t="e">
        <f t="shared" si="1315"/>
        <v>#DIV/0!</v>
      </c>
      <c r="BL161" s="22">
        <f t="shared" si="1315"/>
        <v>0</v>
      </c>
      <c r="BM161" s="22">
        <f t="shared" si="1315"/>
        <v>46.233000000000018</v>
      </c>
      <c r="BN161" s="22">
        <f t="shared" si="1315"/>
        <v>356.06400000000002</v>
      </c>
      <c r="BO161" s="22">
        <f t="shared" si="1315"/>
        <v>395.25308268245931</v>
      </c>
      <c r="BP161" s="22">
        <f t="shared" si="1315"/>
        <v>373.33699999999999</v>
      </c>
      <c r="BQ161" s="22">
        <f t="shared" si="1315"/>
        <v>430.56811745080165</v>
      </c>
      <c r="BR161" s="22">
        <f t="shared" si="1315"/>
        <v>415.791</v>
      </c>
      <c r="BS161" s="22">
        <f t="shared" si="1315"/>
        <v>479.20097542210397</v>
      </c>
      <c r="BT161" s="22">
        <f t="shared" si="1315"/>
        <v>462.18099999999998</v>
      </c>
      <c r="BU161" s="22">
        <f t="shared" si="1315"/>
        <v>540.10328204362122</v>
      </c>
      <c r="BV161" s="22">
        <f t="shared" si="1315"/>
        <v>467.76099999999997</v>
      </c>
      <c r="BW161" s="22">
        <f t="shared" si="1315"/>
        <v>531.90978363708143</v>
      </c>
      <c r="BX161" s="22">
        <f t="shared" si="1315"/>
        <v>529.12300000000005</v>
      </c>
      <c r="BY161" s="22">
        <f t="shared" si="1315"/>
        <v>602.81991280273962</v>
      </c>
      <c r="BZ161" s="22">
        <f t="shared" si="1315"/>
        <v>482.19200000000001</v>
      </c>
      <c r="CA161" s="22">
        <f t="shared" si="1315"/>
        <v>559.03126006764592</v>
      </c>
      <c r="CB161" s="22">
        <f t="shared" si="1315"/>
        <v>624.66800000000001</v>
      </c>
      <c r="CC161" s="22">
        <f t="shared" si="1315"/>
        <v>714.1805936608223</v>
      </c>
      <c r="CD161" s="22">
        <f t="shared" si="1315"/>
        <v>617.678</v>
      </c>
      <c r="CE161" s="22">
        <f t="shared" si="1315"/>
        <v>725.87192120698705</v>
      </c>
      <c r="CF161" s="22">
        <f t="shared" ref="CF161:CG161" si="1316">CF159+CF160</f>
        <v>732.83399999999995</v>
      </c>
      <c r="CG161" s="22">
        <f t="shared" si="1316"/>
        <v>858.2928400452389</v>
      </c>
      <c r="CH161" s="22">
        <f t="shared" ref="CH161:CI161" si="1317">CH159+CH160</f>
        <v>680.72910000000002</v>
      </c>
      <c r="CI161" s="22">
        <f t="shared" si="1317"/>
        <v>810.50794725661581</v>
      </c>
      <c r="CJ161" s="22">
        <f t="shared" ref="CJ161:DB161" si="1318">CJ159+CJ160</f>
        <v>822.22</v>
      </c>
      <c r="CK161" s="21">
        <f t="shared" si="1318"/>
        <v>973.87206306770224</v>
      </c>
      <c r="CL161" s="22">
        <f t="shared" ref="CL161" si="1319">CL159+CL160</f>
        <v>854.447</v>
      </c>
      <c r="CM161" s="21">
        <f t="shared" si="1318"/>
        <v>1000.3301294535784</v>
      </c>
      <c r="CN161" s="21">
        <f t="shared" si="1318"/>
        <v>1154.7076558997862</v>
      </c>
      <c r="CO161" s="21">
        <f t="shared" si="1318"/>
        <v>1316.4745847791844</v>
      </c>
      <c r="CP161" s="21">
        <f t="shared" si="1318"/>
        <v>1481.0649052076019</v>
      </c>
      <c r="CQ161" s="21">
        <f t="shared" si="1318"/>
        <v>1638.5190201526689</v>
      </c>
      <c r="CR161" s="21">
        <f t="shared" si="1318"/>
        <v>1805.1311190378781</v>
      </c>
      <c r="CS161" s="21">
        <f t="shared" si="1318"/>
        <v>1979.5468294012246</v>
      </c>
      <c r="CT161" s="21">
        <f t="shared" si="1318"/>
        <v>2157.7247612570932</v>
      </c>
      <c r="CU161" s="21">
        <f t="shared" si="1318"/>
        <v>2329.2225104595987</v>
      </c>
      <c r="CV161" s="21">
        <f t="shared" si="1318"/>
        <v>2510.7346285939088</v>
      </c>
      <c r="CW161" s="21">
        <f t="shared" si="1318"/>
        <v>2700.8813954692218</v>
      </c>
      <c r="CX161" s="21">
        <f t="shared" si="1318"/>
        <v>2895.4766268692283</v>
      </c>
      <c r="CY161" s="21">
        <f t="shared" si="1318"/>
        <v>3083.2408495482227</v>
      </c>
      <c r="CZ161" s="21">
        <f t="shared" si="1318"/>
        <v>3281.9445397685754</v>
      </c>
      <c r="DA161" s="21">
        <f t="shared" si="1318"/>
        <v>3490.1284402864389</v>
      </c>
      <c r="DB161" s="21">
        <f t="shared" si="1318"/>
        <v>3703.3035625685288</v>
      </c>
      <c r="DE161" s="126"/>
      <c r="DF161" s="22">
        <v>1118.6702060515395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-1.495115</v>
      </c>
      <c r="G163" s="23">
        <f>-'Annual Raw'!H49</f>
        <v>-1.9773837999999999</v>
      </c>
      <c r="H163" s="23">
        <f>-'Annual Raw'!I49</f>
        <v>-2.5625996</v>
      </c>
      <c r="I163" s="23">
        <f>-'Annual Raw'!J49</f>
        <v>-2.5835110000000001</v>
      </c>
      <c r="J163" s="23">
        <f>-'Annual Raw'!K49</f>
        <v>-1.7183090000000001</v>
      </c>
      <c r="K163" s="23">
        <f>-'Annual Raw'!L49</f>
        <v>-1.0291614</v>
      </c>
      <c r="L163" s="23">
        <f>-'Annual Raw'!M49</f>
        <v>0.76502300000000001</v>
      </c>
      <c r="M163" s="23">
        <f>-'Annual Raw'!N49</f>
        <v>0.916323</v>
      </c>
      <c r="N163" s="23">
        <f>-'Annual Raw'!O49</f>
        <v>0.87985769999999996</v>
      </c>
      <c r="O163" s="23">
        <f>-'Annual Raw'!P49</f>
        <v>-1.7677868000000001</v>
      </c>
      <c r="P163" s="23">
        <f>-'Annual Raw'!Q49</f>
        <v>1.7919</v>
      </c>
      <c r="Q163" s="23">
        <f>-'Annual Raw'!R49</f>
        <v>6.6828000000000003</v>
      </c>
      <c r="R163" s="23">
        <f>-'Annual Raw'!S49</f>
        <v>7.4960000000000004</v>
      </c>
      <c r="S163" s="23">
        <f>-'Annual Raw'!T49</f>
        <v>10.354699999999999</v>
      </c>
      <c r="T163" s="23">
        <f>-'Annual Raw'!U49</f>
        <v>14.7075</v>
      </c>
      <c r="U163" s="23">
        <f>-'Annual Raw'!V49</f>
        <v>5.1825000000000001</v>
      </c>
      <c r="V163" s="23">
        <f>-'Annual Raw'!W49</f>
        <v>10.1235</v>
      </c>
      <c r="W163" s="23">
        <f>-'Annual Raw'!X49</f>
        <v>10.1434</v>
      </c>
      <c r="X163" s="23">
        <f>-'Annual Raw'!Y49</f>
        <v>8.8916000000000004</v>
      </c>
      <c r="Y163" s="23">
        <f>-'Annual Raw'!Z49</f>
        <v>12.955500000000001</v>
      </c>
      <c r="Z163" s="23">
        <f>-'Annual Raw'!AA49</f>
        <v>16.533899999999999</v>
      </c>
      <c r="AA163" s="23">
        <f>-'Annual Raw'!AB49</f>
        <v>19.095099999999999</v>
      </c>
      <c r="AB163" s="24">
        <f t="shared" ref="AB163:AB164" si="1320">+CP163</f>
        <v>19.094999999999999</v>
      </c>
      <c r="AC163" s="24">
        <f t="shared" ref="AC163:AC164" si="1321">+CT163</f>
        <v>19.094999999999999</v>
      </c>
      <c r="AD163" s="24">
        <f t="shared" ref="AD163:AD164" si="1322">+CX163</f>
        <v>19.094999999999999</v>
      </c>
      <c r="AE163" s="24">
        <f t="shared" ref="AE163:AE164" si="1323">+DB163</f>
        <v>19.094999999999999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0</v>
      </c>
      <c r="AM163" s="23">
        <f t="shared" si="1324"/>
        <v>0</v>
      </c>
      <c r="AN163" s="23">
        <f>+'QTR Raw'!H96</f>
        <v>0</v>
      </c>
      <c r="AO163" s="23">
        <f t="shared" si="1324"/>
        <v>0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0</v>
      </c>
      <c r="AY163" s="23">
        <f t="shared" si="1324"/>
        <v>0</v>
      </c>
      <c r="AZ163" s="23">
        <f>+'QTR Raw'!T96</f>
        <v>0</v>
      </c>
      <c r="BA163" s="23">
        <f t="shared" si="1324"/>
        <v>0</v>
      </c>
      <c r="BB163" s="23">
        <f>+'QTR Raw'!V96</f>
        <v>0</v>
      </c>
      <c r="BC163" s="23">
        <f t="shared" si="1324"/>
        <v>0</v>
      </c>
      <c r="BD163" s="23">
        <f>+'QTR Raw'!X96</f>
        <v>0</v>
      </c>
      <c r="BE163" s="23">
        <f t="shared" si="1324"/>
        <v>0</v>
      </c>
      <c r="BF163" s="23">
        <f>+'QTR Raw'!Z96</f>
        <v>0</v>
      </c>
      <c r="BG163" s="23">
        <f t="shared" si="1324"/>
        <v>0</v>
      </c>
      <c r="BH163" s="23">
        <f>+'QTR Raw'!AB96</f>
        <v>0</v>
      </c>
      <c r="BI163" s="23">
        <f t="shared" si="1324"/>
        <v>0</v>
      </c>
      <c r="BJ163" s="23">
        <f>+'QTR Raw'!AD96</f>
        <v>0</v>
      </c>
      <c r="BK163" s="23">
        <f t="shared" si="1324"/>
        <v>0</v>
      </c>
      <c r="BL163" s="23">
        <f>+'QTR Raw'!AF96</f>
        <v>0</v>
      </c>
      <c r="BM163" s="23">
        <f t="shared" si="1324"/>
        <v>0</v>
      </c>
      <c r="BN163" s="23">
        <f>+'QTR Raw'!AH96</f>
        <v>5.1829999999999998</v>
      </c>
      <c r="BO163" s="23">
        <f t="shared" si="1324"/>
        <v>5.1829999999999998</v>
      </c>
      <c r="BP163" s="23">
        <f>+'QTR Raw'!AJ96</f>
        <v>7.8689999999999998</v>
      </c>
      <c r="BQ163" s="23">
        <f t="shared" si="1324"/>
        <v>7.8689999999999998</v>
      </c>
      <c r="BR163" s="23">
        <f>+'QTR Raw'!AL96</f>
        <v>10.124000000000001</v>
      </c>
      <c r="BS163" s="23">
        <f t="shared" si="1324"/>
        <v>10.124000000000001</v>
      </c>
      <c r="BT163" s="23">
        <f>+'QTR Raw'!AN96</f>
        <v>12.148999999999999</v>
      </c>
      <c r="BU163" s="23">
        <f t="shared" si="1324"/>
        <v>12.148999999999999</v>
      </c>
      <c r="BV163" s="23">
        <f>+'QTR Raw'!AP96</f>
        <v>10.144</v>
      </c>
      <c r="BW163" s="23">
        <f t="shared" si="1324"/>
        <v>10.144</v>
      </c>
      <c r="BX163" s="23">
        <f>+'QTR Raw'!AR96</f>
        <v>10.231999999999999</v>
      </c>
      <c r="BY163" s="23">
        <f t="shared" si="1324"/>
        <v>10.231999999999999</v>
      </c>
      <c r="BZ163" s="23">
        <f>+'QTR Raw'!AT96</f>
        <v>8.8919999999999995</v>
      </c>
      <c r="CA163" s="23">
        <f t="shared" si="1324"/>
        <v>8.8919999999999995</v>
      </c>
      <c r="CB163" s="23">
        <f>+'QTR Raw'!AV96</f>
        <v>11.27</v>
      </c>
      <c r="CC163" s="23">
        <f t="shared" si="1324"/>
        <v>11.27</v>
      </c>
      <c r="CD163" s="23">
        <f>+'QTR Raw'!AX96</f>
        <v>12.956</v>
      </c>
      <c r="CE163" s="23">
        <f t="shared" si="1324"/>
        <v>12.956</v>
      </c>
      <c r="CF163" s="23">
        <f>+'QTR Raw'!AZ96</f>
        <v>15.398999999999999</v>
      </c>
      <c r="CG163" s="23">
        <f t="shared" ref="CG163:CI164" si="1325">+CF163</f>
        <v>15.398999999999999</v>
      </c>
      <c r="CH163" s="23">
        <f t="shared" ref="CH163:CH164" si="1326">Z163</f>
        <v>16.533899999999999</v>
      </c>
      <c r="CI163" s="23">
        <f t="shared" si="1325"/>
        <v>16.533899999999999</v>
      </c>
      <c r="CJ163" s="23">
        <f>+'QTR Raw'!BD96</f>
        <v>18.616</v>
      </c>
      <c r="CK163" s="24">
        <f t="shared" ref="CK163:CK164" si="1327">+CJ163</f>
        <v>18.616</v>
      </c>
      <c r="CL163" s="23">
        <f>+'QTR Raw'!BF96</f>
        <v>19.094999999999999</v>
      </c>
      <c r="CM163" s="24">
        <f t="shared" ref="CM163:CM164" si="1328">+CL163</f>
        <v>19.094999999999999</v>
      </c>
      <c r="CN163" s="24">
        <f t="shared" ref="CN163:CN164" si="1329">+CM163</f>
        <v>19.094999999999999</v>
      </c>
      <c r="CO163" s="24">
        <f t="shared" ref="CO163:CO164" si="1330">+CN163</f>
        <v>19.094999999999999</v>
      </c>
      <c r="CP163" s="24">
        <f t="shared" ref="CP163:CP164" si="1331">+CO163</f>
        <v>19.094999999999999</v>
      </c>
      <c r="CQ163" s="24">
        <f t="shared" ref="CQ163:CQ164" si="1332">+CP163</f>
        <v>19.094999999999999</v>
      </c>
      <c r="CR163" s="24">
        <f t="shared" ref="CR163:CR164" si="1333">+CQ163</f>
        <v>19.094999999999999</v>
      </c>
      <c r="CS163" s="24">
        <f t="shared" ref="CS163:CS164" si="1334">+CR163</f>
        <v>19.094999999999999</v>
      </c>
      <c r="CT163" s="24">
        <f t="shared" ref="CT163:CT164" si="1335">+CS163</f>
        <v>19.094999999999999</v>
      </c>
      <c r="CU163" s="24">
        <f t="shared" ref="CU163:CU164" si="1336">+CT163</f>
        <v>19.094999999999999</v>
      </c>
      <c r="CV163" s="24">
        <f t="shared" ref="CV163:CV164" si="1337">+CU163</f>
        <v>19.094999999999999</v>
      </c>
      <c r="CW163" s="24">
        <f t="shared" ref="CW163:CW164" si="1338">+CV163</f>
        <v>19.094999999999999</v>
      </c>
      <c r="CX163" s="24">
        <f t="shared" ref="CX163:CX164" si="1339">+CW163</f>
        <v>19.094999999999999</v>
      </c>
      <c r="CY163" s="24">
        <f t="shared" ref="CY163:CY164" si="1340">+CX163</f>
        <v>19.094999999999999</v>
      </c>
      <c r="CZ163" s="24">
        <f t="shared" ref="CZ163:CZ164" si="1341">+CY163</f>
        <v>19.094999999999999</v>
      </c>
      <c r="DA163" s="24">
        <f t="shared" ref="DA163:DA164" si="1342">+CZ163</f>
        <v>19.094999999999999</v>
      </c>
      <c r="DB163" s="24">
        <f t="shared" ref="DB163:DB164" si="1343">+DA163</f>
        <v>19.094999999999999</v>
      </c>
      <c r="DE163" s="123"/>
      <c r="DF163" s="23">
        <v>18.616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0</v>
      </c>
      <c r="E165" s="26">
        <f t="shared" si="1345"/>
        <v>0</v>
      </c>
      <c r="F165" s="26">
        <f t="shared" si="1345"/>
        <v>47.850740400000007</v>
      </c>
      <c r="G165" s="26">
        <f t="shared" si="1345"/>
        <v>67.0222962</v>
      </c>
      <c r="H165" s="26">
        <f t="shared" si="1345"/>
        <v>101.90146290000001</v>
      </c>
      <c r="I165" s="26">
        <f t="shared" si="1345"/>
        <v>161.07284530000001</v>
      </c>
      <c r="J165" s="26">
        <f t="shared" si="1345"/>
        <v>177.53601470000001</v>
      </c>
      <c r="K165" s="26">
        <f t="shared" si="1345"/>
        <v>191.11588020000002</v>
      </c>
      <c r="L165" s="26">
        <f t="shared" si="1345"/>
        <v>198.8573945</v>
      </c>
      <c r="M165" s="26">
        <f t="shared" si="1345"/>
        <v>217.4002557</v>
      </c>
      <c r="N165" s="26">
        <f t="shared" si="1345"/>
        <v>238.7057671</v>
      </c>
      <c r="O165" s="26">
        <f t="shared" si="1345"/>
        <v>280.82727870000002</v>
      </c>
      <c r="P165" s="26">
        <f t="shared" si="1345"/>
        <v>301.41049999999996</v>
      </c>
      <c r="Q165" s="26">
        <f t="shared" si="1345"/>
        <v>371.46729999999997</v>
      </c>
      <c r="R165" s="26">
        <f t="shared" si="1345"/>
        <v>423.73419999999993</v>
      </c>
      <c r="S165" s="26">
        <f t="shared" si="1345"/>
        <v>457.53329999999994</v>
      </c>
      <c r="T165" s="26">
        <f t="shared" si="1345"/>
        <v>460.04219999999992</v>
      </c>
      <c r="U165" s="26">
        <f t="shared" si="1345"/>
        <v>548.85640000000001</v>
      </c>
      <c r="V165" s="26">
        <f t="shared" si="1345"/>
        <v>515.87170000000003</v>
      </c>
      <c r="W165" s="26">
        <f t="shared" si="1345"/>
        <v>647.63779999999997</v>
      </c>
      <c r="X165" s="26">
        <f t="shared" ref="X165:Y165" si="1346">X163+X161+X157+X140+X138+X164</f>
        <v>782.47199999999998</v>
      </c>
      <c r="Y165" s="26">
        <f t="shared" si="1346"/>
        <v>915.64779999999996</v>
      </c>
      <c r="Z165" s="26">
        <f t="shared" ref="Z165:AA165" si="1347">Z163+Z161+Z157+Z140+Z138+Z164</f>
        <v>1119.5672999999999</v>
      </c>
      <c r="AA165" s="26">
        <f t="shared" si="1347"/>
        <v>1321.3478</v>
      </c>
      <c r="AB165" s="27">
        <f t="shared" ref="AA165:AD165" si="1348">AB163+AB161+AB157+AB140+AB138+AB164</f>
        <v>1823.5606907204542</v>
      </c>
      <c r="AC165" s="27">
        <f t="shared" si="1348"/>
        <v>2434.3432300171039</v>
      </c>
      <c r="AD165" s="27">
        <f t="shared" si="1348"/>
        <v>3137.354861813199</v>
      </c>
      <c r="AE165" s="27">
        <f t="shared" ref="AE165" si="1349">AE163+AE161+AE157+AE140+AE138+AE164</f>
        <v>3927.0124519464284</v>
      </c>
      <c r="AJ165" s="26">
        <f t="shared" ref="AJ165" si="1350">AJ163+AJ161+AJ157+AJ140+AJ138+AJ164</f>
        <v>0</v>
      </c>
      <c r="AK165" s="26" t="e">
        <f t="shared" ref="AK165:AL165" si="1351">AK163+AK161+AK157+AK140+AK138+AK164</f>
        <v>#DIV/0!</v>
      </c>
      <c r="AL165" s="26">
        <f t="shared" si="1351"/>
        <v>0</v>
      </c>
      <c r="AM165" s="26" t="e">
        <f t="shared" ref="AM165:AO165" si="1352">AM163+AM161+AM157+AM140+AM138+AM164</f>
        <v>#DIV/0!</v>
      </c>
      <c r="AN165" s="26">
        <f t="shared" si="1352"/>
        <v>0</v>
      </c>
      <c r="AO165" s="26" t="e">
        <f t="shared" si="1352"/>
        <v>#DIV/0!</v>
      </c>
      <c r="AP165" s="26">
        <f t="shared" ref="AP165:CE165" si="1353">AP163+AP161+AP157+AP140+AP138+AP164</f>
        <v>0</v>
      </c>
      <c r="AQ165" s="26" t="e">
        <f t="shared" si="1353"/>
        <v>#DIV/0!</v>
      </c>
      <c r="AR165" s="26">
        <f t="shared" si="1353"/>
        <v>0</v>
      </c>
      <c r="AS165" s="26" t="e">
        <f t="shared" si="1353"/>
        <v>#DIV/0!</v>
      </c>
      <c r="AT165" s="26">
        <f t="shared" si="1353"/>
        <v>0</v>
      </c>
      <c r="AU165" s="26" t="e">
        <f t="shared" si="1353"/>
        <v>#DIV/0!</v>
      </c>
      <c r="AV165" s="26">
        <f t="shared" si="1353"/>
        <v>0</v>
      </c>
      <c r="AW165" s="26" t="e">
        <f t="shared" si="1353"/>
        <v>#DIV/0!</v>
      </c>
      <c r="AX165" s="26">
        <f t="shared" si="1353"/>
        <v>0</v>
      </c>
      <c r="AY165" s="26" t="e">
        <f t="shared" si="1353"/>
        <v>#DIV/0!</v>
      </c>
      <c r="AZ165" s="26">
        <f t="shared" si="1353"/>
        <v>0</v>
      </c>
      <c r="BA165" s="26" t="e">
        <f t="shared" si="1353"/>
        <v>#DIV/0!</v>
      </c>
      <c r="BB165" s="26">
        <f t="shared" si="1353"/>
        <v>0</v>
      </c>
      <c r="BC165" s="26" t="e">
        <f t="shared" si="1353"/>
        <v>#DIV/0!</v>
      </c>
      <c r="BD165" s="26">
        <f t="shared" si="1353"/>
        <v>0</v>
      </c>
      <c r="BE165" s="26" t="e">
        <f t="shared" si="1353"/>
        <v>#DIV/0!</v>
      </c>
      <c r="BF165" s="26">
        <f t="shared" si="1353"/>
        <v>0</v>
      </c>
      <c r="BG165" s="26" t="e">
        <f t="shared" si="1353"/>
        <v>#DIV/0!</v>
      </c>
      <c r="BH165" s="26">
        <f t="shared" ref="BH165" si="1354">BH163+BH161+BH157+BH140+BH138+BH164</f>
        <v>0</v>
      </c>
      <c r="BI165" s="26" t="e">
        <f t="shared" si="1353"/>
        <v>#DIV/0!</v>
      </c>
      <c r="BJ165" s="26">
        <f t="shared" si="1353"/>
        <v>0</v>
      </c>
      <c r="BK165" s="26" t="e">
        <f t="shared" si="1353"/>
        <v>#DIV/0!</v>
      </c>
      <c r="BL165" s="26">
        <f t="shared" si="1353"/>
        <v>0</v>
      </c>
      <c r="BM165" s="26">
        <f t="shared" si="1353"/>
        <v>46.233000000000018</v>
      </c>
      <c r="BN165" s="26">
        <f t="shared" si="1353"/>
        <v>548.85599999999999</v>
      </c>
      <c r="BO165" s="26">
        <f t="shared" si="1353"/>
        <v>588.65100000000007</v>
      </c>
      <c r="BP165" s="26">
        <f t="shared" si="1353"/>
        <v>462.84800000000001</v>
      </c>
      <c r="BQ165" s="26">
        <f t="shared" si="1353"/>
        <v>519.26600000000008</v>
      </c>
      <c r="BR165" s="26">
        <f t="shared" si="1353"/>
        <v>515.87100000000009</v>
      </c>
      <c r="BS165" s="26">
        <f t="shared" si="1353"/>
        <v>579.11299999999994</v>
      </c>
      <c r="BT165" s="26">
        <f t="shared" si="1353"/>
        <v>580.26900000000012</v>
      </c>
      <c r="BU165" s="26">
        <f t="shared" si="1353"/>
        <v>657.58</v>
      </c>
      <c r="BV165" s="26">
        <f t="shared" si="1353"/>
        <v>647.63800000000003</v>
      </c>
      <c r="BW165" s="26">
        <f t="shared" si="1353"/>
        <v>712.41600000000005</v>
      </c>
      <c r="BX165" s="26">
        <f t="shared" si="1353"/>
        <v>717.91200000000003</v>
      </c>
      <c r="BY165" s="26">
        <f t="shared" si="1353"/>
        <v>791.63</v>
      </c>
      <c r="BZ165" s="26">
        <f t="shared" si="1353"/>
        <v>782.47299999999996</v>
      </c>
      <c r="CA165" s="26">
        <f t="shared" si="1353"/>
        <v>858.8130000000001</v>
      </c>
      <c r="CB165" s="26">
        <f t="shared" si="1353"/>
        <v>804.26599999999996</v>
      </c>
      <c r="CC165" s="26">
        <f t="shared" si="1353"/>
        <v>893.56</v>
      </c>
      <c r="CD165" s="26">
        <f t="shared" si="1353"/>
        <v>915.64799999999991</v>
      </c>
      <c r="CE165" s="26">
        <f t="shared" si="1353"/>
        <v>1023.8599999999999</v>
      </c>
      <c r="CF165" s="26">
        <f t="shared" ref="CF165:CG165" si="1355">CF163+CF161+CF157+CF140+CF138+CF164</f>
        <v>1031.5119999999999</v>
      </c>
      <c r="CG165" s="26">
        <f t="shared" si="1355"/>
        <v>1157.0050000000001</v>
      </c>
      <c r="CH165" s="26">
        <f t="shared" ref="CH165:CI165" si="1356">CH163+CH161+CH157+CH140+CH138+CH164</f>
        <v>1119.5672999999997</v>
      </c>
      <c r="CI165" s="26">
        <f t="shared" si="1356"/>
        <v>1228.6572999999999</v>
      </c>
      <c r="CJ165" s="26">
        <f t="shared" ref="CJ165:DB165" si="1357">CJ163+CJ161+CJ157+CJ140+CJ138+CJ164</f>
        <v>1217.788</v>
      </c>
      <c r="CK165" s="27">
        <f t="shared" si="1357"/>
        <v>1343.3249999999998</v>
      </c>
      <c r="CL165" s="26">
        <f t="shared" ref="CL165" si="1358">CL163+CL161+CL157+CL140+CL138+CL164</f>
        <v>1321.3489999999999</v>
      </c>
      <c r="CM165" s="27">
        <f t="shared" si="1357"/>
        <v>1427.9790767261488</v>
      </c>
      <c r="CN165" s="27">
        <f t="shared" si="1357"/>
        <v>1549.4682790098705</v>
      </c>
      <c r="CO165" s="27">
        <f t="shared" si="1357"/>
        <v>1683.1092840887036</v>
      </c>
      <c r="CP165" s="27">
        <f t="shared" si="1357"/>
        <v>1823.5606907204542</v>
      </c>
      <c r="CQ165" s="27">
        <f t="shared" si="1357"/>
        <v>1959.9500895322503</v>
      </c>
      <c r="CR165" s="27">
        <f t="shared" si="1357"/>
        <v>2109.2982759512242</v>
      </c>
      <c r="CS165" s="27">
        <f t="shared" si="1357"/>
        <v>2268.9305369757612</v>
      </c>
      <c r="CT165" s="27">
        <f t="shared" si="1357"/>
        <v>2434.3432300171039</v>
      </c>
      <c r="CU165" s="27">
        <f t="shared" si="1357"/>
        <v>2594.4460428571292</v>
      </c>
      <c r="CV165" s="27">
        <f t="shared" si="1357"/>
        <v>2767.0134145804027</v>
      </c>
      <c r="CW165" s="27">
        <f t="shared" si="1357"/>
        <v>2949.4760699644903</v>
      </c>
      <c r="CX165" s="27">
        <f t="shared" si="1357"/>
        <v>3137.354861813199</v>
      </c>
      <c r="CY165" s="27">
        <f t="shared" si="1357"/>
        <v>3318.8520028497237</v>
      </c>
      <c r="CZ165" s="27">
        <f t="shared" si="1357"/>
        <v>3513.0487073415729</v>
      </c>
      <c r="DA165" s="27">
        <f t="shared" si="1357"/>
        <v>3717.333696899153</v>
      </c>
      <c r="DB165" s="27">
        <f t="shared" si="1357"/>
        <v>3927.0124519464284</v>
      </c>
      <c r="DE165" s="121"/>
      <c r="DF165" s="26">
        <v>1466.1561086004301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1.0000000002037268E-3</v>
      </c>
      <c r="AC166" s="24">
        <f t="shared" si="1362"/>
        <v>1.0000000002037268E-3</v>
      </c>
      <c r="AD166" s="24">
        <f t="shared" si="1362"/>
        <v>9.9999999929423211E-4</v>
      </c>
      <c r="AE166" s="24">
        <f t="shared" ref="AE166" si="1363">AE165-AE129</f>
        <v>9.9999999883948476E-4</v>
      </c>
      <c r="AJ166" s="23">
        <f t="shared" ref="AJ166" si="1364">AJ165-AJ129</f>
        <v>0</v>
      </c>
      <c r="AK166" s="23" t="e">
        <f t="shared" ref="AK166" si="1365">AK165-AK129</f>
        <v>#DIV/0!</v>
      </c>
      <c r="AL166" s="23">
        <f t="shared" ref="AL166:AM166" si="1366">AL165-AL129</f>
        <v>0</v>
      </c>
      <c r="AM166" s="23" t="e">
        <f t="shared" si="1366"/>
        <v>#DIV/0!</v>
      </c>
      <c r="AN166" s="23">
        <f t="shared" ref="AN166:AO166" si="1367">AN165-AN129</f>
        <v>0</v>
      </c>
      <c r="AO166" s="23" t="e">
        <f t="shared" si="1367"/>
        <v>#DIV/0!</v>
      </c>
      <c r="AP166" s="23">
        <f t="shared" ref="AP166:CE166" si="1368">AP165-AP129</f>
        <v>0</v>
      </c>
      <c r="AQ166" s="23" t="e">
        <f t="shared" si="1368"/>
        <v>#DIV/0!</v>
      </c>
      <c r="AR166" s="23">
        <f t="shared" si="1368"/>
        <v>0</v>
      </c>
      <c r="AS166" s="23" t="e">
        <f t="shared" si="1368"/>
        <v>#DIV/0!</v>
      </c>
      <c r="AT166" s="23">
        <f t="shared" si="1368"/>
        <v>0</v>
      </c>
      <c r="AU166" s="23" t="e">
        <f t="shared" si="1368"/>
        <v>#DIV/0!</v>
      </c>
      <c r="AV166" s="23">
        <f t="shared" si="1368"/>
        <v>0</v>
      </c>
      <c r="AW166" s="23" t="e">
        <f t="shared" si="1368"/>
        <v>#DIV/0!</v>
      </c>
      <c r="AX166" s="23">
        <f t="shared" si="1368"/>
        <v>0</v>
      </c>
      <c r="AY166" s="23" t="e">
        <f t="shared" si="1368"/>
        <v>#DIV/0!</v>
      </c>
      <c r="AZ166" s="23">
        <f t="shared" si="1368"/>
        <v>0</v>
      </c>
      <c r="BA166" s="23" t="e">
        <f t="shared" si="1368"/>
        <v>#DIV/0!</v>
      </c>
      <c r="BB166" s="23">
        <f t="shared" si="1368"/>
        <v>0</v>
      </c>
      <c r="BC166" s="23" t="e">
        <f t="shared" si="1368"/>
        <v>#DIV/0!</v>
      </c>
      <c r="BD166" s="23">
        <f t="shared" si="1368"/>
        <v>0</v>
      </c>
      <c r="BE166" s="23" t="e">
        <f t="shared" si="1368"/>
        <v>#DIV/0!</v>
      </c>
      <c r="BF166" s="23">
        <f t="shared" si="1368"/>
        <v>0</v>
      </c>
      <c r="BG166" s="23" t="e">
        <f t="shared" si="1368"/>
        <v>#DIV/0!</v>
      </c>
      <c r="BH166" s="23">
        <f t="shared" ref="BH166" si="1369">BH165-BH129</f>
        <v>0</v>
      </c>
      <c r="BI166" s="23" t="e">
        <f t="shared" si="1368"/>
        <v>#DIV/0!</v>
      </c>
      <c r="BJ166" s="23">
        <f t="shared" si="1368"/>
        <v>0</v>
      </c>
      <c r="BK166" s="23" t="e">
        <f t="shared" si="1368"/>
        <v>#DIV/0!</v>
      </c>
      <c r="BL166" s="23">
        <f t="shared" si="1368"/>
        <v>0</v>
      </c>
      <c r="BM166" s="23">
        <f t="shared" si="1368"/>
        <v>0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-9.9999999997635314E-4</v>
      </c>
      <c r="BS166" s="23">
        <f t="shared" si="1368"/>
        <v>-1.00000000009004E-3</v>
      </c>
      <c r="BT166" s="23">
        <f t="shared" si="1368"/>
        <v>-9.999999998626663E-4</v>
      </c>
      <c r="BU166" s="23">
        <f t="shared" si="1368"/>
        <v>-9.9999999997635314E-4</v>
      </c>
      <c r="BV166" s="23">
        <f t="shared" si="1368"/>
        <v>0</v>
      </c>
      <c r="BW166" s="23">
        <f t="shared" si="1368"/>
        <v>0</v>
      </c>
      <c r="BX166" s="23">
        <f t="shared" si="1368"/>
        <v>-9.9999999997635314E-4</v>
      </c>
      <c r="BY166" s="23">
        <f t="shared" si="1368"/>
        <v>-9.9999999997635314E-4</v>
      </c>
      <c r="BZ166" s="23">
        <f t="shared" si="1368"/>
        <v>9.9999999997635314E-4</v>
      </c>
      <c r="CA166" s="23">
        <f t="shared" si="1368"/>
        <v>1.0000000002037268E-3</v>
      </c>
      <c r="CB166" s="23">
        <f t="shared" si="1368"/>
        <v>9.9999999997635314E-4</v>
      </c>
      <c r="CC166" s="23">
        <f t="shared" si="1368"/>
        <v>9.9999999997635314E-4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9.9999999997635314E-4</v>
      </c>
      <c r="CK166" s="24">
        <f t="shared" si="1372"/>
        <v>9.9999999974897946E-4</v>
      </c>
      <c r="CL166" s="23">
        <f t="shared" ref="CL166" si="1373">CL165-CL129</f>
        <v>9.9999999997635314E-4</v>
      </c>
      <c r="CM166" s="24">
        <f t="shared" si="1372"/>
        <v>9.9999999997635314E-4</v>
      </c>
      <c r="CN166" s="24">
        <f t="shared" si="1372"/>
        <v>9.9999999997635314E-4</v>
      </c>
      <c r="CO166" s="24">
        <f t="shared" si="1372"/>
        <v>1.0000000002037268E-3</v>
      </c>
      <c r="CP166" s="24">
        <f t="shared" si="1372"/>
        <v>1.0000000002037268E-3</v>
      </c>
      <c r="CQ166" s="24">
        <f t="shared" si="1372"/>
        <v>9.9999999997635314E-4</v>
      </c>
      <c r="CR166" s="24">
        <f t="shared" si="1372"/>
        <v>1.0000000002037268E-3</v>
      </c>
      <c r="CS166" s="24">
        <f t="shared" si="1372"/>
        <v>1.0000000002037268E-3</v>
      </c>
      <c r="CT166" s="24">
        <f t="shared" si="1372"/>
        <v>1.0000000002037268E-3</v>
      </c>
      <c r="CU166" s="24">
        <f t="shared" si="1372"/>
        <v>1.0000000002037268E-3</v>
      </c>
      <c r="CV166" s="24">
        <f t="shared" si="1372"/>
        <v>9.9999999929423211E-4</v>
      </c>
      <c r="CW166" s="24">
        <f t="shared" si="1372"/>
        <v>9.9999999974897946E-4</v>
      </c>
      <c r="CX166" s="24">
        <f t="shared" si="1372"/>
        <v>9.9999999929423211E-4</v>
      </c>
      <c r="CY166" s="24">
        <f t="shared" si="1372"/>
        <v>9.9999999929423211E-4</v>
      </c>
      <c r="CZ166" s="24">
        <f t="shared" si="1372"/>
        <v>9.9999999929423211E-4</v>
      </c>
      <c r="DA166" s="24">
        <f t="shared" si="1372"/>
        <v>9.9999999929423211E-4</v>
      </c>
      <c r="DB166" s="24">
        <f t="shared" si="1372"/>
        <v>9.9999999883948476E-4</v>
      </c>
      <c r="DE166" s="123"/>
      <c r="DF166" s="23">
        <v>9.9999999997635314E-4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0</v>
      </c>
      <c r="E168" s="22">
        <f t="shared" si="1374"/>
        <v>0</v>
      </c>
      <c r="F168" s="22">
        <f t="shared" si="1374"/>
        <v>-25.137981</v>
      </c>
      <c r="G168" s="22">
        <f t="shared" si="1374"/>
        <v>-50.776351499999997</v>
      </c>
      <c r="H168" s="22">
        <f t="shared" si="1374"/>
        <v>-73.470132700000008</v>
      </c>
      <c r="I168" s="22">
        <f t="shared" si="1374"/>
        <v>-147.40187829999999</v>
      </c>
      <c r="J168" s="22">
        <f t="shared" si="1374"/>
        <v>-156.69141569999999</v>
      </c>
      <c r="K168" s="22">
        <f t="shared" si="1374"/>
        <v>-156.56553389999999</v>
      </c>
      <c r="L168" s="22">
        <f t="shared" si="1374"/>
        <v>-167.59358939999998</v>
      </c>
      <c r="M168" s="22">
        <f t="shared" si="1374"/>
        <v>-169.3976136</v>
      </c>
      <c r="N168" s="22">
        <f t="shared" si="1374"/>
        <v>-185.43326920000001</v>
      </c>
      <c r="O168" s="22">
        <f t="shared" si="1374"/>
        <v>-131.80647740000001</v>
      </c>
      <c r="P168" s="22">
        <f t="shared" si="1374"/>
        <v>-123.47319999999999</v>
      </c>
      <c r="Q168" s="22">
        <f t="shared" si="1374"/>
        <v>-189.8272</v>
      </c>
      <c r="R168" s="22">
        <f t="shared" si="1374"/>
        <v>-235.4605</v>
      </c>
      <c r="S168" s="22">
        <f t="shared" si="1374"/>
        <v>-243.78659999999999</v>
      </c>
      <c r="T168" s="22">
        <f t="shared" si="1374"/>
        <v>-274.00110000000001</v>
      </c>
      <c r="U168" s="22">
        <f t="shared" si="1374"/>
        <v>-356.0641</v>
      </c>
      <c r="V168" s="22">
        <f t="shared" si="1374"/>
        <v>-415.79160000000002</v>
      </c>
      <c r="W168" s="22">
        <f t="shared" si="1374"/>
        <v>-467.76030000000003</v>
      </c>
      <c r="X168" s="22">
        <f t="shared" ref="X168:Y168" si="1375">X128-X161</f>
        <v>-482.19180000000006</v>
      </c>
      <c r="Y168" s="22">
        <f t="shared" si="1375"/>
        <v>-617.67790000000002</v>
      </c>
      <c r="Z168" s="22">
        <f t="shared" ref="Z168:AA168" si="1376">Z128-Z161</f>
        <v>-680.06910000000005</v>
      </c>
      <c r="AA168" s="22">
        <f t="shared" si="1376"/>
        <v>-853.96799999999996</v>
      </c>
      <c r="AB168" s="21">
        <f t="shared" ref="AA168:AD168" si="1377">AB128-AB161</f>
        <v>-1480.5859052076019</v>
      </c>
      <c r="AC168" s="21">
        <f t="shared" si="1377"/>
        <v>-2157.2457612570934</v>
      </c>
      <c r="AD168" s="21">
        <f t="shared" si="1377"/>
        <v>-2894.9976268692285</v>
      </c>
      <c r="AE168" s="21">
        <f t="shared" ref="AE168" si="1378">AE128-AE161</f>
        <v>-3702.824562568529</v>
      </c>
      <c r="AJ168" s="22">
        <f t="shared" ref="AJ168:AM168" si="1379">AJ128-AJ161</f>
        <v>0</v>
      </c>
      <c r="AK168" s="22" t="e">
        <f t="shared" si="1379"/>
        <v>#DIV/0!</v>
      </c>
      <c r="AL168" s="22">
        <f t="shared" si="1379"/>
        <v>0</v>
      </c>
      <c r="AM168" s="22" t="e">
        <f t="shared" si="1379"/>
        <v>#DIV/0!</v>
      </c>
      <c r="AN168" s="22">
        <f t="shared" ref="AN168:AO168" si="1380">AN128-AN161</f>
        <v>0</v>
      </c>
      <c r="AO168" s="22" t="e">
        <f t="shared" si="1380"/>
        <v>#DIV/0!</v>
      </c>
      <c r="AP168" s="22">
        <f t="shared" ref="AP168:CE168" si="1381">AP128-AP161</f>
        <v>0</v>
      </c>
      <c r="AQ168" s="22" t="e">
        <f t="shared" si="1381"/>
        <v>#DIV/0!</v>
      </c>
      <c r="AR168" s="22">
        <f t="shared" si="1381"/>
        <v>0</v>
      </c>
      <c r="AS168" s="22" t="e">
        <f t="shared" si="1381"/>
        <v>#DIV/0!</v>
      </c>
      <c r="AT168" s="22">
        <f t="shared" si="1381"/>
        <v>0</v>
      </c>
      <c r="AU168" s="22" t="e">
        <f t="shared" si="1381"/>
        <v>#DIV/0!</v>
      </c>
      <c r="AV168" s="22">
        <f t="shared" si="1381"/>
        <v>0</v>
      </c>
      <c r="AW168" s="22" t="e">
        <f t="shared" si="1381"/>
        <v>#DIV/0!</v>
      </c>
      <c r="AX168" s="22">
        <f t="shared" si="1381"/>
        <v>0</v>
      </c>
      <c r="AY168" s="22" t="e">
        <f t="shared" si="1381"/>
        <v>#DIV/0!</v>
      </c>
      <c r="AZ168" s="22">
        <f t="shared" si="1381"/>
        <v>0</v>
      </c>
      <c r="BA168" s="22" t="e">
        <f t="shared" si="1381"/>
        <v>#DIV/0!</v>
      </c>
      <c r="BB168" s="22">
        <f t="shared" si="1381"/>
        <v>0</v>
      </c>
      <c r="BC168" s="22" t="e">
        <f t="shared" si="1381"/>
        <v>#DIV/0!</v>
      </c>
      <c r="BD168" s="22">
        <f t="shared" si="1381"/>
        <v>0</v>
      </c>
      <c r="BE168" s="22" t="e">
        <f t="shared" si="1381"/>
        <v>#DIV/0!</v>
      </c>
      <c r="BF168" s="22">
        <f t="shared" si="1381"/>
        <v>0</v>
      </c>
      <c r="BG168" s="22" t="e">
        <f t="shared" si="1381"/>
        <v>#DIV/0!</v>
      </c>
      <c r="BH168" s="22">
        <f t="shared" si="1381"/>
        <v>0</v>
      </c>
      <c r="BI168" s="22" t="e">
        <f t="shared" si="1381"/>
        <v>#DIV/0!</v>
      </c>
      <c r="BJ168" s="22">
        <f t="shared" si="1381"/>
        <v>0</v>
      </c>
      <c r="BK168" s="22" t="e">
        <f t="shared" si="1381"/>
        <v>#DIV/0!</v>
      </c>
      <c r="BL168" s="22">
        <f t="shared" si="1381"/>
        <v>0</v>
      </c>
      <c r="BM168" s="22">
        <f t="shared" si="1381"/>
        <v>-46.233000000000018</v>
      </c>
      <c r="BN168" s="22">
        <f t="shared" si="1381"/>
        <v>-356.06400000000002</v>
      </c>
      <c r="BO168" s="22">
        <f t="shared" si="1381"/>
        <v>-395.25308268245931</v>
      </c>
      <c r="BP168" s="22">
        <f t="shared" si="1381"/>
        <v>-373.33699999999999</v>
      </c>
      <c r="BQ168" s="22">
        <f t="shared" si="1381"/>
        <v>-430.56811745080165</v>
      </c>
      <c r="BR168" s="22">
        <f t="shared" si="1381"/>
        <v>-415.791</v>
      </c>
      <c r="BS168" s="22">
        <f t="shared" si="1381"/>
        <v>-479.20097542210397</v>
      </c>
      <c r="BT168" s="22">
        <f t="shared" si="1381"/>
        <v>-462.18099999999998</v>
      </c>
      <c r="BU168" s="22">
        <f t="shared" si="1381"/>
        <v>-540.10328204362122</v>
      </c>
      <c r="BV168" s="22">
        <f t="shared" si="1381"/>
        <v>-467.76099999999997</v>
      </c>
      <c r="BW168" s="22">
        <f t="shared" si="1381"/>
        <v>-531.90978363708143</v>
      </c>
      <c r="BX168" s="22">
        <f t="shared" si="1381"/>
        <v>-529.12300000000005</v>
      </c>
      <c r="BY168" s="22">
        <f t="shared" si="1381"/>
        <v>-602.81991280273962</v>
      </c>
      <c r="BZ168" s="22">
        <f t="shared" si="1381"/>
        <v>-482.19200000000001</v>
      </c>
      <c r="CA168" s="22">
        <f t="shared" si="1381"/>
        <v>-559.03126006764592</v>
      </c>
      <c r="CB168" s="22">
        <f t="shared" si="1381"/>
        <v>-624.66800000000001</v>
      </c>
      <c r="CC168" s="22">
        <f t="shared" si="1381"/>
        <v>-714.1805936608223</v>
      </c>
      <c r="CD168" s="22">
        <f t="shared" si="1381"/>
        <v>-617.678</v>
      </c>
      <c r="CE168" s="22">
        <f t="shared" si="1381"/>
        <v>-725.87192120698705</v>
      </c>
      <c r="CF168" s="22">
        <f t="shared" ref="CF168:CG168" si="1382">CF128-CF161</f>
        <v>-732.33399999999995</v>
      </c>
      <c r="CG168" s="22">
        <f t="shared" si="1382"/>
        <v>-857.7928400452389</v>
      </c>
      <c r="CH168" s="22">
        <f t="shared" ref="CH168:CI168" si="1383">CH128-CH161</f>
        <v>-680.06910000000005</v>
      </c>
      <c r="CI168" s="22">
        <f t="shared" si="1383"/>
        <v>-809.84794725661584</v>
      </c>
      <c r="CJ168" s="22">
        <f t="shared" ref="CJ168:DB168" si="1384">CJ128-CJ161</f>
        <v>-821.51400000000001</v>
      </c>
      <c r="CK168" s="21">
        <f t="shared" si="1384"/>
        <v>-973.16606306770223</v>
      </c>
      <c r="CL168" s="22">
        <f t="shared" ref="CL168" si="1385">CL128-CL161</f>
        <v>-853.96799999999996</v>
      </c>
      <c r="CM168" s="21">
        <f t="shared" si="1384"/>
        <v>-999.85112945357832</v>
      </c>
      <c r="CN168" s="21">
        <f t="shared" si="1384"/>
        <v>-1154.2286558997862</v>
      </c>
      <c r="CO168" s="21">
        <f t="shared" si="1384"/>
        <v>-1315.9955847791844</v>
      </c>
      <c r="CP168" s="21">
        <f t="shared" si="1384"/>
        <v>-1480.5859052076019</v>
      </c>
      <c r="CQ168" s="21">
        <f t="shared" si="1384"/>
        <v>-1638.0400201526688</v>
      </c>
      <c r="CR168" s="21">
        <f t="shared" si="1384"/>
        <v>-1804.652119037878</v>
      </c>
      <c r="CS168" s="21">
        <f t="shared" si="1384"/>
        <v>-1979.0678294012246</v>
      </c>
      <c r="CT168" s="21">
        <f t="shared" si="1384"/>
        <v>-2157.2457612570934</v>
      </c>
      <c r="CU168" s="21">
        <f t="shared" si="1384"/>
        <v>-2328.7435104595988</v>
      </c>
      <c r="CV168" s="21">
        <f t="shared" si="1384"/>
        <v>-2510.255628593909</v>
      </c>
      <c r="CW168" s="21">
        <f t="shared" si="1384"/>
        <v>-2700.402395469222</v>
      </c>
      <c r="CX168" s="21">
        <f t="shared" si="1384"/>
        <v>-2894.9976268692285</v>
      </c>
      <c r="CY168" s="21">
        <f t="shared" si="1384"/>
        <v>-3082.7618495482229</v>
      </c>
      <c r="CZ168" s="21">
        <f t="shared" si="1384"/>
        <v>-3281.4655397685756</v>
      </c>
      <c r="DA168" s="21">
        <f t="shared" si="1384"/>
        <v>-3489.6494402864391</v>
      </c>
      <c r="DB168" s="21">
        <f t="shared" si="1384"/>
        <v>-3702.824562568529</v>
      </c>
      <c r="DE168" s="126"/>
      <c r="DF168" s="22">
        <v>-1117.9642060515396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0.17469999999999999</v>
      </c>
      <c r="G170" s="49">
        <f>'Annual Raw'!H85</f>
        <v>0.17469999999999999</v>
      </c>
      <c r="H170" s="49">
        <f>'Annual Raw'!I85</f>
        <v>0.17469999999999999</v>
      </c>
      <c r="I170" s="49">
        <f>'Annual Raw'!J85</f>
        <v>0.17469999999999999</v>
      </c>
      <c r="J170" s="49">
        <f>'Annual Raw'!K85</f>
        <v>0.2134731</v>
      </c>
      <c r="K170" s="49">
        <f>'Annual Raw'!L85</f>
        <v>0.46032099999999998</v>
      </c>
      <c r="L170" s="49">
        <f>'Annual Raw'!M85</f>
        <v>0.93893009999999999</v>
      </c>
      <c r="M170" s="49">
        <f>'Annual Raw'!N85</f>
        <v>0.36282920000000002</v>
      </c>
      <c r="N170" s="49">
        <f>'Annual Raw'!O85</f>
        <v>0.2460087</v>
      </c>
      <c r="O170" s="49">
        <f>'Annual Raw'!P85</f>
        <v>27.682941</v>
      </c>
      <c r="P170" s="49">
        <f>'Annual Raw'!Q85</f>
        <v>31.049399999999999</v>
      </c>
      <c r="Q170" s="49">
        <f>'Annual Raw'!R85</f>
        <v>31.326799999999999</v>
      </c>
      <c r="R170" s="49">
        <f>'Annual Raw'!S85</f>
        <v>0</v>
      </c>
      <c r="S170" s="49">
        <f>'Annual Raw'!T85</f>
        <v>0</v>
      </c>
      <c r="T170" s="49">
        <f>'Annual Raw'!U85</f>
        <v>3.9165000000000001</v>
      </c>
      <c r="U170" s="49">
        <f>'Annual Raw'!V85</f>
        <v>17.367000000000001</v>
      </c>
      <c r="V170" s="49">
        <f>'Annual Raw'!W85</f>
        <v>10.941000000000001</v>
      </c>
      <c r="W170" s="49">
        <f>'Annual Raw'!X85</f>
        <v>7.3829000000000002</v>
      </c>
      <c r="X170" s="49">
        <f>'Annual Raw'!Y85</f>
        <v>27.232299999999999</v>
      </c>
      <c r="Y170" s="49">
        <f>'Annual Raw'!Z85</f>
        <v>24.702999999999999</v>
      </c>
      <c r="Z170" s="49">
        <f>'Annual Raw'!AA85</f>
        <v>241.8433</v>
      </c>
      <c r="AA170" s="49">
        <f>'Annual Raw'!AB85</f>
        <v>130.55539999999999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0.17469999999999999</v>
      </c>
      <c r="G172" s="29">
        <f>'Annual Raw'!H93</f>
        <v>0.17469999999999999</v>
      </c>
      <c r="H172" s="29">
        <f>'Annual Raw'!I93</f>
        <v>0.17469999999999999</v>
      </c>
      <c r="I172" s="29">
        <f>'Annual Raw'!J93</f>
        <v>0.17469999999999999</v>
      </c>
      <c r="J172" s="29">
        <f>'Annual Raw'!K93</f>
        <v>0.2134731</v>
      </c>
      <c r="K172" s="29">
        <f>'Annual Raw'!L93</f>
        <v>0.46032099999999998</v>
      </c>
      <c r="L172" s="29">
        <f>'Annual Raw'!M93</f>
        <v>0.93893009999999999</v>
      </c>
      <c r="M172" s="29">
        <f>'Annual Raw'!N93</f>
        <v>0.36282920000000002</v>
      </c>
      <c r="N172" s="29">
        <f>'Annual Raw'!O93</f>
        <v>0.2460087</v>
      </c>
      <c r="O172" s="29">
        <f>'Annual Raw'!P93</f>
        <v>27.682941</v>
      </c>
      <c r="P172" s="29">
        <f>'Annual Raw'!Q93</f>
        <v>31.049399999999999</v>
      </c>
      <c r="Q172" s="29">
        <f>'Annual Raw'!R93</f>
        <v>31.326799999999999</v>
      </c>
      <c r="R172" s="29">
        <f>'Annual Raw'!S93</f>
        <v>0</v>
      </c>
      <c r="S172" s="29">
        <f>'Annual Raw'!T93</f>
        <v>0</v>
      </c>
      <c r="T172" s="29">
        <f>'Annual Raw'!U93</f>
        <v>3.6324999999999998</v>
      </c>
      <c r="U172" s="29">
        <f>'Annual Raw'!V93</f>
        <v>15.8942</v>
      </c>
      <c r="V172" s="29">
        <f>'Annual Raw'!W93</f>
        <v>3.9942000000000002</v>
      </c>
      <c r="W172" s="29">
        <f>'Annual Raw'!X93</f>
        <v>5.7378999999999998</v>
      </c>
      <c r="X172" s="29">
        <f>'Annual Raw'!Y93</f>
        <v>17.240600000000001</v>
      </c>
      <c r="Y172" s="29">
        <f>'Annual Raw'!Z93</f>
        <v>20.136199999999999</v>
      </c>
      <c r="Z172" s="29">
        <f>'Annual Raw'!AA93</f>
        <v>14.664400000000001</v>
      </c>
      <c r="AA172" s="29">
        <f>'Annual Raw'!AB93</f>
        <v>7.2782999999999998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0.28400000000000025</v>
      </c>
      <c r="U173" s="29">
        <f t="shared" si="1386"/>
        <v>1.4728000000000012</v>
      </c>
      <c r="V173" s="29">
        <f t="shared" si="1386"/>
        <v>6.9468000000000005</v>
      </c>
      <c r="W173" s="29">
        <f t="shared" ref="W173" si="1387">W170-W171-W172</f>
        <v>1.6450000000000005</v>
      </c>
      <c r="X173" s="29">
        <f t="shared" ref="X173:Y173" si="1388">X170-X171-X172</f>
        <v>9.991699999999998</v>
      </c>
      <c r="Y173" s="29">
        <f t="shared" si="1388"/>
        <v>4.5668000000000006</v>
      </c>
      <c r="Z173" s="29">
        <f t="shared" ref="Z173:AA173" si="1389">Z170-Z171-Z172</f>
        <v>227.1789</v>
      </c>
      <c r="AA173" s="29">
        <f t="shared" si="1389"/>
        <v>123.27709999999999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 t="e">
        <f t="shared" si="1392"/>
        <v>#DIV/0!</v>
      </c>
      <c r="E175" s="95" t="e">
        <f t="shared" si="1392"/>
        <v>#DIV/0!</v>
      </c>
      <c r="F175" s="95">
        <f t="shared" si="1392"/>
        <v>3.6509361932464475E-3</v>
      </c>
      <c r="G175" s="95">
        <f t="shared" si="1392"/>
        <v>2.6065952661287663E-3</v>
      </c>
      <c r="H175" s="95">
        <f t="shared" si="1392"/>
        <v>1.7144012954106471E-3</v>
      </c>
      <c r="I175" s="95">
        <f t="shared" si="1392"/>
        <v>1.0846024336046169E-3</v>
      </c>
      <c r="J175" s="95">
        <f t="shared" si="1392"/>
        <v>1.2024213811531502E-3</v>
      </c>
      <c r="K175" s="95">
        <f t="shared" si="1392"/>
        <v>2.408596289948699E-3</v>
      </c>
      <c r="L175" s="95">
        <f t="shared" si="1392"/>
        <v>4.721625275041004E-3</v>
      </c>
      <c r="M175" s="95">
        <f t="shared" si="1392"/>
        <v>1.6689455991288423E-3</v>
      </c>
      <c r="N175" s="95">
        <f t="shared" si="1392"/>
        <v>1.0305938687142845E-3</v>
      </c>
      <c r="O175" s="95">
        <f t="shared" si="1392"/>
        <v>0.10343345594765532</v>
      </c>
      <c r="P175" s="95">
        <f t="shared" si="1392"/>
        <v>0.10526829694980486</v>
      </c>
      <c r="Q175" s="95">
        <f t="shared" si="1392"/>
        <v>8.6049328084694593E-2</v>
      </c>
      <c r="R175" s="95">
        <f t="shared" si="1392"/>
        <v>0</v>
      </c>
      <c r="S175" s="95">
        <f t="shared" si="1392"/>
        <v>0</v>
      </c>
      <c r="T175" s="95">
        <f t="shared" si="1392"/>
        <v>8.6696622915844405E-3</v>
      </c>
      <c r="U175" s="95">
        <f t="shared" si="1392"/>
        <v>3.1642156309009059E-2</v>
      </c>
      <c r="V175" s="95">
        <f t="shared" si="1392"/>
        <v>2.1208761790964696E-2</v>
      </c>
      <c r="W175" s="95">
        <f t="shared" si="1392"/>
        <v>1.1399736087053598E-2</v>
      </c>
      <c r="X175" s="95">
        <f t="shared" ref="X175:Y175" si="1393">X170/X120</f>
        <v>3.4836181437810705E-2</v>
      </c>
      <c r="Y175" s="95">
        <f t="shared" si="1393"/>
        <v>2.7011603409784382E-2</v>
      </c>
      <c r="Z175" s="95">
        <f t="shared" ref="Z175:AA175" si="1394">Z170/Z120</f>
        <v>0.21621069992341893</v>
      </c>
      <c r="AA175" s="95">
        <f t="shared" si="1394"/>
        <v>9.8837116431515215E-2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 t="e">
        <f t="shared" si="1397"/>
        <v>#DIV/0!</v>
      </c>
      <c r="F179" s="67">
        <f t="shared" si="1397"/>
        <v>0</v>
      </c>
      <c r="G179" s="67">
        <f t="shared" si="1397"/>
        <v>0</v>
      </c>
      <c r="H179" s="67">
        <f t="shared" si="1397"/>
        <v>0</v>
      </c>
      <c r="I179" s="67">
        <f t="shared" si="1397"/>
        <v>0</v>
      </c>
      <c r="J179" s="67">
        <f t="shared" si="1397"/>
        <v>0</v>
      </c>
      <c r="K179" s="67">
        <f t="shared" si="1397"/>
        <v>0</v>
      </c>
      <c r="L179" s="67">
        <f t="shared" si="1397"/>
        <v>0</v>
      </c>
      <c r="M179" s="67">
        <f t="shared" si="1397"/>
        <v>0</v>
      </c>
      <c r="N179" s="67">
        <f t="shared" si="1397"/>
        <v>0</v>
      </c>
      <c r="O179" s="67">
        <f t="shared" si="1397"/>
        <v>0</v>
      </c>
      <c r="P179" s="67">
        <f t="shared" si="1397"/>
        <v>0</v>
      </c>
      <c r="Q179" s="67">
        <f t="shared" si="1397"/>
        <v>0</v>
      </c>
      <c r="R179" s="67">
        <f t="shared" si="1397"/>
        <v>0</v>
      </c>
      <c r="S179" s="67">
        <f t="shared" si="1397"/>
        <v>0</v>
      </c>
      <c r="T179" s="67">
        <f t="shared" si="1397"/>
        <v>0</v>
      </c>
      <c r="U179" s="67">
        <f t="shared" si="1397"/>
        <v>0</v>
      </c>
      <c r="V179" s="67">
        <f t="shared" si="1397"/>
        <v>0</v>
      </c>
      <c r="W179" s="67">
        <f t="shared" si="1397"/>
        <v>0</v>
      </c>
      <c r="X179" s="67">
        <f t="shared" si="1397"/>
        <v>0</v>
      </c>
      <c r="Y179" s="67">
        <f t="shared" si="1397"/>
        <v>0</v>
      </c>
      <c r="Z179" s="67">
        <f t="shared" si="1397"/>
        <v>0</v>
      </c>
      <c r="AA179" s="67">
        <f t="shared" ref="AA179" si="1398">AA144/AA8*365</f>
        <v>0</v>
      </c>
      <c r="AB179" s="18">
        <f t="shared" si="1397"/>
        <v>0</v>
      </c>
      <c r="AC179" s="18">
        <f t="shared" si="1397"/>
        <v>0</v>
      </c>
      <c r="AD179" s="18">
        <f t="shared" si="1397"/>
        <v>0</v>
      </c>
      <c r="AE179" s="18">
        <f t="shared" si="1397"/>
        <v>0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399">+AJ179</f>
        <v>#DIV/0!</v>
      </c>
      <c r="AL179" s="67" t="e">
        <f>AL144/AL8*90</f>
        <v>#DIV/0!</v>
      </c>
      <c r="AM179" s="67" t="e">
        <f t="shared" ref="AM179:AM180" si="1400">+AL179</f>
        <v>#DIV/0!</v>
      </c>
      <c r="AN179" s="67" t="e">
        <f>AN144/AN8*90</f>
        <v>#DIV/0!</v>
      </c>
      <c r="AO179" s="67" t="e">
        <f t="shared" ref="AO179:AO180" si="1401">+AN179</f>
        <v>#DIV/0!</v>
      </c>
      <c r="AP179" s="67" t="e">
        <f>AP144/AP8*90</f>
        <v>#DIV/0!</v>
      </c>
      <c r="AQ179" s="67" t="e">
        <f t="shared" ref="AQ179:AQ180" si="1402">+AP179</f>
        <v>#DIV/0!</v>
      </c>
      <c r="AR179" s="67" t="e">
        <f>AR144/AR8*90</f>
        <v>#DIV/0!</v>
      </c>
      <c r="AS179" s="67" t="e">
        <f t="shared" ref="AS179:AS180" si="1403">+AR179</f>
        <v>#DIV/0!</v>
      </c>
      <c r="AT179" s="67" t="e">
        <f>AT144/AT8*90</f>
        <v>#DIV/0!</v>
      </c>
      <c r="AU179" s="67" t="e">
        <f t="shared" ref="AU179:AU180" si="1404">+AT179</f>
        <v>#DIV/0!</v>
      </c>
      <c r="AV179" s="67" t="e">
        <f>AV144/AV8*90</f>
        <v>#DIV/0!</v>
      </c>
      <c r="AW179" s="67" t="e">
        <f t="shared" ref="AW179:AW180" si="1405">+AV179</f>
        <v>#DIV/0!</v>
      </c>
      <c r="AX179" s="67" t="e">
        <f>AX144/AX8*90</f>
        <v>#DIV/0!</v>
      </c>
      <c r="AY179" s="67" t="e">
        <f t="shared" ref="AY179:AY180" si="1406">+AX179</f>
        <v>#DIV/0!</v>
      </c>
      <c r="AZ179" s="67" t="e">
        <f>AZ144/AZ8*90</f>
        <v>#DIV/0!</v>
      </c>
      <c r="BA179" s="67" t="e">
        <f t="shared" ref="BA179:BA180" si="1407">+AZ179</f>
        <v>#DIV/0!</v>
      </c>
      <c r="BB179" s="67" t="e">
        <f>BB144/BB8*90</f>
        <v>#DIV/0!</v>
      </c>
      <c r="BC179" s="67" t="e">
        <f t="shared" ref="BC179:BC180" si="1408">+BB179</f>
        <v>#DIV/0!</v>
      </c>
      <c r="BD179" s="67" t="e">
        <f>BD144/BD8*90</f>
        <v>#DIV/0!</v>
      </c>
      <c r="BE179" s="67" t="e">
        <f t="shared" ref="BE179:BE180" si="1409">+BD179</f>
        <v>#DIV/0!</v>
      </c>
      <c r="BF179" s="67" t="e">
        <f>BF144/BF8*90</f>
        <v>#DIV/0!</v>
      </c>
      <c r="BG179" s="67" t="e">
        <f t="shared" ref="BG179:BG180" si="1410">+BF179</f>
        <v>#DIV/0!</v>
      </c>
      <c r="BH179" s="67" t="e">
        <f>BH144/BH8*90</f>
        <v>#DIV/0!</v>
      </c>
      <c r="BI179" s="67" t="e">
        <f t="shared" ref="BI179:BI180" si="1411">+BH179</f>
        <v>#DIV/0!</v>
      </c>
      <c r="BJ179" s="67" t="e">
        <f>BJ144/BJ8*90</f>
        <v>#DIV/0!</v>
      </c>
      <c r="BK179" s="67" t="e">
        <f t="shared" ref="BK179:BK180" si="1412">+BJ179</f>
        <v>#DIV/0!</v>
      </c>
      <c r="BL179" s="67">
        <f>BL144/BL8*90</f>
        <v>0</v>
      </c>
      <c r="BM179" s="67">
        <f t="shared" ref="BM179:BM180" si="1413">+BL179</f>
        <v>0</v>
      </c>
      <c r="BN179" s="67">
        <f>BN144/BN8*90</f>
        <v>0</v>
      </c>
      <c r="BO179" s="67">
        <f t="shared" ref="BO179:BO180" si="1414">+BN179</f>
        <v>0</v>
      </c>
      <c r="BP179" s="67">
        <f>BP144/BP8*90</f>
        <v>0</v>
      </c>
      <c r="BQ179" s="67">
        <f t="shared" ref="BQ179:BQ180" si="1415">+BP179</f>
        <v>0</v>
      </c>
      <c r="BR179" s="67">
        <f>BR144/BR8*90</f>
        <v>0</v>
      </c>
      <c r="BS179" s="67">
        <f t="shared" ref="BS179:BS180" si="1416">+BR179</f>
        <v>0</v>
      </c>
      <c r="BT179" s="67">
        <f>BT144/BT8*90</f>
        <v>0</v>
      </c>
      <c r="BU179" s="67">
        <f t="shared" ref="BU179:BU180" si="1417">+BT179</f>
        <v>0</v>
      </c>
      <c r="BV179" s="67">
        <f>BV144/BV8*90</f>
        <v>0</v>
      </c>
      <c r="BW179" s="67">
        <f t="shared" ref="BW179:BW180" si="1418">+BV179</f>
        <v>0</v>
      </c>
      <c r="BX179" s="67">
        <f>BX144/BX8*90</f>
        <v>0</v>
      </c>
      <c r="BY179" s="67">
        <f t="shared" ref="BY179:BY180" si="1419">+BX179</f>
        <v>0</v>
      </c>
      <c r="BZ179" s="67">
        <f>BZ144/BZ8*90</f>
        <v>0</v>
      </c>
      <c r="CA179" s="67">
        <f t="shared" ref="CA179:CA180" si="1420">+BZ179</f>
        <v>0</v>
      </c>
      <c r="CB179" s="67">
        <f>CB144/CB8*90</f>
        <v>0</v>
      </c>
      <c r="CC179" s="67">
        <f t="shared" ref="CC179:CC180" si="1421">+CB179</f>
        <v>0</v>
      </c>
      <c r="CD179" s="67">
        <f>CD144/CD8*90</f>
        <v>0</v>
      </c>
      <c r="CE179" s="67">
        <f t="shared" si="1399"/>
        <v>0</v>
      </c>
      <c r="CF179" s="67">
        <f>CF144/CF8*90</f>
        <v>0</v>
      </c>
      <c r="CG179" s="67">
        <f t="shared" ref="CG179:CI180" si="1422">+CF179</f>
        <v>0</v>
      </c>
      <c r="CH179" s="67">
        <f>CH144/CH8*90</f>
        <v>0</v>
      </c>
      <c r="CI179" s="67">
        <f t="shared" si="1422"/>
        <v>0</v>
      </c>
      <c r="CJ179" s="67">
        <f>CJ144/CJ8*90</f>
        <v>0</v>
      </c>
      <c r="CK179" s="30">
        <f t="shared" ref="CK179:CK180" si="1423">+CJ179</f>
        <v>0</v>
      </c>
      <c r="CL179" s="67">
        <f>CL144/CL8*90</f>
        <v>0</v>
      </c>
      <c r="CM179" s="30">
        <f t="shared" ref="CM179:CM180" si="1424">+CL179</f>
        <v>0</v>
      </c>
      <c r="CN179" s="30">
        <f t="shared" ref="CN179:CN180" si="1425">+CM179</f>
        <v>0</v>
      </c>
      <c r="CO179" s="30">
        <f t="shared" ref="CO179:CO180" si="1426">+CN179</f>
        <v>0</v>
      </c>
      <c r="CP179" s="30">
        <f t="shared" ref="CP179:CP180" si="1427">+CO179</f>
        <v>0</v>
      </c>
      <c r="CQ179" s="30">
        <f t="shared" ref="CQ179:CQ180" si="1428">+CP179</f>
        <v>0</v>
      </c>
      <c r="CR179" s="30">
        <f t="shared" ref="CR179:CR180" si="1429">+CQ179</f>
        <v>0</v>
      </c>
      <c r="CS179" s="30">
        <f t="shared" ref="CS179:CS180" si="1430">+CR179</f>
        <v>0</v>
      </c>
      <c r="CT179" s="30">
        <f t="shared" ref="CT179:CT180" si="1431">+CS179</f>
        <v>0</v>
      </c>
      <c r="CU179" s="30">
        <f t="shared" ref="CU179:CU180" si="1432">+CT179</f>
        <v>0</v>
      </c>
      <c r="CV179" s="30">
        <f t="shared" ref="CV179:CV180" si="1433">+CU179</f>
        <v>0</v>
      </c>
      <c r="CW179" s="30">
        <f t="shared" ref="CW179:CW180" si="1434">+CV179</f>
        <v>0</v>
      </c>
      <c r="CX179" s="30">
        <f t="shared" ref="CX179:CX180" si="1435">+CW179</f>
        <v>0</v>
      </c>
      <c r="CY179" s="30">
        <f t="shared" ref="CY179:CY180" si="1436">+CX179</f>
        <v>0</v>
      </c>
      <c r="CZ179" s="30">
        <f t="shared" ref="CZ179:CZ180" si="1437">+CY179</f>
        <v>0</v>
      </c>
      <c r="DA179" s="30">
        <f t="shared" ref="DA179:DA180" si="1438">+CZ179</f>
        <v>0</v>
      </c>
      <c r="DB179" s="30">
        <f t="shared" ref="DB179:DB180" si="1439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 t="e">
        <f t="shared" si="1440"/>
        <v>#DIV/0!</v>
      </c>
      <c r="F180" s="67">
        <f t="shared" si="1440"/>
        <v>37.254643033623566</v>
      </c>
      <c r="G180" s="67">
        <f t="shared" si="1440"/>
        <v>42.510704520122545</v>
      </c>
      <c r="H180" s="67">
        <f t="shared" si="1440"/>
        <v>35.567968271064011</v>
      </c>
      <c r="I180" s="67">
        <f t="shared" si="1440"/>
        <v>45.846240171936834</v>
      </c>
      <c r="J180" s="67">
        <f t="shared" si="1440"/>
        <v>33.987190525637601</v>
      </c>
      <c r="K180" s="67">
        <f t="shared" si="1440"/>
        <v>43.221252495755657</v>
      </c>
      <c r="L180" s="67">
        <f t="shared" si="1440"/>
        <v>31.949214362405542</v>
      </c>
      <c r="M180" s="67">
        <f t="shared" si="1440"/>
        <v>5.2121395145915832</v>
      </c>
      <c r="N180" s="67">
        <f t="shared" si="1440"/>
        <v>4.0375034304097523</v>
      </c>
      <c r="O180" s="67">
        <f t="shared" si="1440"/>
        <v>4.0685287366570249</v>
      </c>
      <c r="P180" s="67">
        <f t="shared" si="1440"/>
        <v>3.1021037458718781</v>
      </c>
      <c r="Q180" s="67">
        <f t="shared" si="1440"/>
        <v>9.2201013859905192</v>
      </c>
      <c r="R180" s="67">
        <f t="shared" si="1440"/>
        <v>9.0771437262770789</v>
      </c>
      <c r="S180" s="67">
        <f t="shared" si="1440"/>
        <v>12.804439315087436</v>
      </c>
      <c r="T180" s="67">
        <f t="shared" si="1440"/>
        <v>14.19158158818956</v>
      </c>
      <c r="U180" s="67">
        <f t="shared" si="1440"/>
        <v>16.710557253199156</v>
      </c>
      <c r="V180" s="67">
        <f t="shared" si="1440"/>
        <v>14.998666186248025</v>
      </c>
      <c r="W180" s="67">
        <f t="shared" si="1440"/>
        <v>10.250699293972797</v>
      </c>
      <c r="X180" s="67">
        <f t="shared" si="1440"/>
        <v>12.402779527059955</v>
      </c>
      <c r="Y180" s="67">
        <f t="shared" si="1440"/>
        <v>20.831581564781061</v>
      </c>
      <c r="Z180" s="67">
        <f t="shared" si="1440"/>
        <v>28.293310367861611</v>
      </c>
      <c r="AA180" s="67">
        <f t="shared" ref="AA180" si="1441">AA145/AA8*365</f>
        <v>13.638190363192324</v>
      </c>
      <c r="AB180" s="18">
        <f t="shared" si="1440"/>
        <v>13.73327735454858</v>
      </c>
      <c r="AC180" s="18">
        <f t="shared" si="1440"/>
        <v>13.747593948394043</v>
      </c>
      <c r="AD180" s="18">
        <f t="shared" si="1440"/>
        <v>13.749348909218858</v>
      </c>
      <c r="AE180" s="18">
        <f t="shared" si="1440"/>
        <v>13.749489827391049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00"/>
        <v>#DIV/0!</v>
      </c>
      <c r="AN180" s="67" t="e">
        <f>AN145/AN8*90</f>
        <v>#DIV/0!</v>
      </c>
      <c r="AO180" s="67" t="e">
        <f t="shared" si="1401"/>
        <v>#DIV/0!</v>
      </c>
      <c r="AP180" s="67" t="e">
        <f>AP145/AP8*90</f>
        <v>#DIV/0!</v>
      </c>
      <c r="AQ180" s="67" t="e">
        <f t="shared" si="1402"/>
        <v>#DIV/0!</v>
      </c>
      <c r="AR180" s="67" t="e">
        <f>AR145/AR8*90</f>
        <v>#DIV/0!</v>
      </c>
      <c r="AS180" s="67" t="e">
        <f t="shared" si="1403"/>
        <v>#DIV/0!</v>
      </c>
      <c r="AT180" s="67" t="e">
        <f>AT145/AT8*90</f>
        <v>#DIV/0!</v>
      </c>
      <c r="AU180" s="67" t="e">
        <f t="shared" si="1404"/>
        <v>#DIV/0!</v>
      </c>
      <c r="AV180" s="67" t="e">
        <f>AV145/AV8*90</f>
        <v>#DIV/0!</v>
      </c>
      <c r="AW180" s="67" t="e">
        <f t="shared" si="1405"/>
        <v>#DIV/0!</v>
      </c>
      <c r="AX180" s="67" t="e">
        <f>AX145/AX8*90</f>
        <v>#DIV/0!</v>
      </c>
      <c r="AY180" s="67" t="e">
        <f t="shared" si="1406"/>
        <v>#DIV/0!</v>
      </c>
      <c r="AZ180" s="67" t="e">
        <f>AZ145/AZ8*90</f>
        <v>#DIV/0!</v>
      </c>
      <c r="BA180" s="67" t="e">
        <f t="shared" si="1407"/>
        <v>#DIV/0!</v>
      </c>
      <c r="BB180" s="67" t="e">
        <f>BB145/BB8*90</f>
        <v>#DIV/0!</v>
      </c>
      <c r="BC180" s="67" t="e">
        <f t="shared" si="1408"/>
        <v>#DIV/0!</v>
      </c>
      <c r="BD180" s="67" t="e">
        <f>BD145/BD8*90</f>
        <v>#DIV/0!</v>
      </c>
      <c r="BE180" s="67" t="e">
        <f t="shared" si="1409"/>
        <v>#DIV/0!</v>
      </c>
      <c r="BF180" s="67" t="e">
        <f>BF145/BF8*90</f>
        <v>#DIV/0!</v>
      </c>
      <c r="BG180" s="67" t="e">
        <f t="shared" si="1410"/>
        <v>#DIV/0!</v>
      </c>
      <c r="BH180" s="67" t="e">
        <f>BH145/BH8*90</f>
        <v>#DIV/0!</v>
      </c>
      <c r="BI180" s="67" t="e">
        <f t="shared" si="1411"/>
        <v>#DIV/0!</v>
      </c>
      <c r="BJ180" s="67" t="e">
        <f>BJ145/BJ8*90</f>
        <v>#DIV/0!</v>
      </c>
      <c r="BK180" s="67" t="e">
        <f t="shared" si="1412"/>
        <v>#DIV/0!</v>
      </c>
      <c r="BL180" s="67">
        <f>BL145/BL8*90</f>
        <v>0</v>
      </c>
      <c r="BM180" s="67">
        <f t="shared" si="1413"/>
        <v>0</v>
      </c>
      <c r="BN180" s="67">
        <f>BN145/BN8*90</f>
        <v>16.495236460389666</v>
      </c>
      <c r="BO180" s="67">
        <f t="shared" si="1414"/>
        <v>16.495236460389666</v>
      </c>
      <c r="BP180" s="67">
        <f>BP145/BP8*90</f>
        <v>22.361695414387885</v>
      </c>
      <c r="BQ180" s="67">
        <f t="shared" si="1415"/>
        <v>22.361695414387885</v>
      </c>
      <c r="BR180" s="67">
        <f>BR145/BR8*90</f>
        <v>13.060323467135198</v>
      </c>
      <c r="BS180" s="67">
        <f t="shared" si="1416"/>
        <v>13.060323467135198</v>
      </c>
      <c r="BT180" s="67">
        <f>BT145/BT8*90</f>
        <v>14.707508040563102</v>
      </c>
      <c r="BU180" s="67">
        <f t="shared" si="1417"/>
        <v>14.707508040563102</v>
      </c>
      <c r="BV180" s="67">
        <f>BV145/BV8*90</f>
        <v>9.4546927429436138</v>
      </c>
      <c r="BW180" s="67">
        <f t="shared" si="1418"/>
        <v>9.4546927429436138</v>
      </c>
      <c r="BX180" s="67">
        <f>BX145/BX8*90</f>
        <v>21.197549201633866</v>
      </c>
      <c r="BY180" s="67">
        <f t="shared" si="1419"/>
        <v>21.197549201633866</v>
      </c>
      <c r="BZ180" s="67">
        <f>BZ145/BZ8*90</f>
        <v>11.924578416700438</v>
      </c>
      <c r="CA180" s="67">
        <f t="shared" si="1420"/>
        <v>11.924578416700438</v>
      </c>
      <c r="CB180" s="67">
        <f>CB145/CB8*90</f>
        <v>17.640566665333736</v>
      </c>
      <c r="CC180" s="67">
        <f t="shared" si="1421"/>
        <v>17.640566665333736</v>
      </c>
      <c r="CD180" s="67">
        <f>CD145/CD8*90</f>
        <v>18.803642348909197</v>
      </c>
      <c r="CE180" s="114">
        <f t="shared" ref="CE180" si="1442">+CD180</f>
        <v>18.803642348909197</v>
      </c>
      <c r="CF180" s="67">
        <f>CF145/CF8*90</f>
        <v>17.675561105451678</v>
      </c>
      <c r="CG180" s="67">
        <f t="shared" si="1422"/>
        <v>17.675561105451678</v>
      </c>
      <c r="CH180" s="67">
        <f>CH145/CH8*90</f>
        <v>27.863016121696067</v>
      </c>
      <c r="CI180" s="67">
        <f t="shared" si="1422"/>
        <v>27.863016121696067</v>
      </c>
      <c r="CJ180" s="67">
        <f>CJ145/CJ8*90</f>
        <v>16.414802860343261</v>
      </c>
      <c r="CK180" s="30">
        <f t="shared" si="1423"/>
        <v>16.414802860343261</v>
      </c>
      <c r="CL180" s="67">
        <f>CL145/CL8*90</f>
        <v>12.901320783361166</v>
      </c>
      <c r="CM180" s="30">
        <f t="shared" si="1424"/>
        <v>12.901320783361166</v>
      </c>
      <c r="CN180" s="30">
        <f t="shared" si="1425"/>
        <v>12.901320783361166</v>
      </c>
      <c r="CO180" s="30">
        <f t="shared" si="1426"/>
        <v>12.901320783361166</v>
      </c>
      <c r="CP180" s="30">
        <f t="shared" si="1427"/>
        <v>12.901320783361166</v>
      </c>
      <c r="CQ180" s="30">
        <f t="shared" si="1428"/>
        <v>12.901320783361166</v>
      </c>
      <c r="CR180" s="30">
        <f t="shared" si="1429"/>
        <v>12.901320783361166</v>
      </c>
      <c r="CS180" s="30">
        <f t="shared" si="1430"/>
        <v>12.901320783361166</v>
      </c>
      <c r="CT180" s="30">
        <f t="shared" si="1431"/>
        <v>12.901320783361166</v>
      </c>
      <c r="CU180" s="30">
        <f t="shared" si="1432"/>
        <v>12.901320783361166</v>
      </c>
      <c r="CV180" s="30">
        <f t="shared" si="1433"/>
        <v>12.901320783361166</v>
      </c>
      <c r="CW180" s="30">
        <f t="shared" si="1434"/>
        <v>12.901320783361166</v>
      </c>
      <c r="CX180" s="30">
        <f t="shared" si="1435"/>
        <v>12.901320783361166</v>
      </c>
      <c r="CY180" s="30">
        <f t="shared" si="1436"/>
        <v>12.901320783361166</v>
      </c>
      <c r="CZ180" s="30">
        <f t="shared" si="1437"/>
        <v>12.901320783361166</v>
      </c>
      <c r="DA180" s="30">
        <f t="shared" si="1438"/>
        <v>12.901320783361166</v>
      </c>
      <c r="DB180" s="30">
        <f t="shared" si="1439"/>
        <v>12.901320783361166</v>
      </c>
      <c r="DE180" s="139"/>
      <c r="DF180" s="62">
        <v>16.414802860343261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 t="e">
        <f t="shared" si="1443"/>
        <v>#DIV/0!</v>
      </c>
      <c r="F181" s="67">
        <f t="shared" si="1443"/>
        <v>71.324270310621344</v>
      </c>
      <c r="G181" s="67">
        <f t="shared" si="1443"/>
        <v>63.901053911363888</v>
      </c>
      <c r="H181" s="67">
        <f t="shared" si="1443"/>
        <v>59.913647933929745</v>
      </c>
      <c r="I181" s="67">
        <f t="shared" si="1443"/>
        <v>61.698570477122253</v>
      </c>
      <c r="J181" s="67">
        <f t="shared" si="1443"/>
        <v>118.34257049473322</v>
      </c>
      <c r="K181" s="67">
        <f t="shared" si="1443"/>
        <v>34.039458077571602</v>
      </c>
      <c r="L181" s="67">
        <f t="shared" si="1443"/>
        <v>176.94606599181361</v>
      </c>
      <c r="M181" s="67">
        <f t="shared" si="1443"/>
        <v>48.709458219680307</v>
      </c>
      <c r="N181" s="67">
        <f t="shared" si="1443"/>
        <v>50.046164905181179</v>
      </c>
      <c r="O181" s="67">
        <f t="shared" si="1443"/>
        <v>67.544317371951507</v>
      </c>
      <c r="P181" s="67">
        <f t="shared" si="1443"/>
        <v>53.092725381794288</v>
      </c>
      <c r="Q181" s="67">
        <f t="shared" si="1443"/>
        <v>42.499716026746768</v>
      </c>
      <c r="R181" s="67">
        <f t="shared" si="1443"/>
        <v>217.6406796032268</v>
      </c>
      <c r="S181" s="67">
        <f t="shared" si="1443"/>
        <v>230.15913528767447</v>
      </c>
      <c r="T181" s="67">
        <f t="shared" si="1443"/>
        <v>253.33801176655626</v>
      </c>
      <c r="U181" s="67">
        <f t="shared" si="1443"/>
        <v>285.53361998965454</v>
      </c>
      <c r="V181" s="67">
        <f>V182-V180-V179</f>
        <v>314.48219890182196</v>
      </c>
      <c r="W181" s="67">
        <f t="shared" ref="W181" si="1444">W182-W180-W179</f>
        <v>297.75871568457706</v>
      </c>
      <c r="X181" s="67">
        <f t="shared" ref="X181:Y181" si="1445">X182-X180-X179</f>
        <v>86.688303743710833</v>
      </c>
      <c r="Y181" s="67">
        <f t="shared" si="1445"/>
        <v>105.68568067679695</v>
      </c>
      <c r="Z181" s="67">
        <f t="shared" ref="Z181:AA181" si="1446">Z182-Z180-Z179</f>
        <v>266.24403007051114</v>
      </c>
      <c r="AA181" s="67">
        <f t="shared" si="1446"/>
        <v>260.58020153681883</v>
      </c>
      <c r="AB181" s="18">
        <f t="shared" ref="AA181:AD181" si="1447">AB182-AB180-AB179</f>
        <v>106.01268845715224</v>
      </c>
      <c r="AC181" s="18">
        <f t="shared" si="1447"/>
        <v>106.12320400008663</v>
      </c>
      <c r="AD181" s="18">
        <f t="shared" si="1447"/>
        <v>106.1367512481595</v>
      </c>
      <c r="AE181" s="18">
        <f t="shared" ref="AE181" si="1448">AE182-AE180-AE179</f>
        <v>106.13783905217748</v>
      </c>
      <c r="AI181" s="67" t="e">
        <f t="shared" ref="AI181:AK181" si="1449">AI182-AI180-AI179</f>
        <v>#DIV/0!</v>
      </c>
      <c r="AJ181" s="67" t="e">
        <f t="shared" ref="AJ181:AM181" si="1450">AJ182-AJ180-AJ179</f>
        <v>#DIV/0!</v>
      </c>
      <c r="AK181" s="67" t="e">
        <f t="shared" si="1449"/>
        <v>#DIV/0!</v>
      </c>
      <c r="AL181" s="67" t="e">
        <f t="shared" si="1450"/>
        <v>#DIV/0!</v>
      </c>
      <c r="AM181" s="67" t="e">
        <f t="shared" si="1450"/>
        <v>#DIV/0!</v>
      </c>
      <c r="AN181" s="67" t="e">
        <f t="shared" ref="AN181:AY181" si="1451">AN182-AN180-AN179</f>
        <v>#DIV/0!</v>
      </c>
      <c r="AO181" s="67" t="e">
        <f t="shared" si="1451"/>
        <v>#DIV/0!</v>
      </c>
      <c r="AP181" s="67" t="e">
        <f t="shared" si="1451"/>
        <v>#DIV/0!</v>
      </c>
      <c r="AQ181" s="67" t="e">
        <f t="shared" si="1451"/>
        <v>#DIV/0!</v>
      </c>
      <c r="AR181" s="67" t="e">
        <f t="shared" si="1451"/>
        <v>#DIV/0!</v>
      </c>
      <c r="AS181" s="67" t="e">
        <f t="shared" si="1451"/>
        <v>#DIV/0!</v>
      </c>
      <c r="AT181" s="67" t="e">
        <f t="shared" si="1451"/>
        <v>#DIV/0!</v>
      </c>
      <c r="AU181" s="67" t="e">
        <f t="shared" si="1451"/>
        <v>#DIV/0!</v>
      </c>
      <c r="AV181" s="67" t="e">
        <f t="shared" si="1451"/>
        <v>#DIV/0!</v>
      </c>
      <c r="AW181" s="67" t="e">
        <f t="shared" si="1451"/>
        <v>#DIV/0!</v>
      </c>
      <c r="AX181" s="67" t="e">
        <f t="shared" si="1451"/>
        <v>#DIV/0!</v>
      </c>
      <c r="AY181" s="67" t="e">
        <f t="shared" si="1451"/>
        <v>#DIV/0!</v>
      </c>
      <c r="AZ181" s="67" t="e">
        <f t="shared" ref="AZ181:BC181" si="1452">AZ182-AZ180-AZ179</f>
        <v>#DIV/0!</v>
      </c>
      <c r="BA181" s="67" t="e">
        <f t="shared" si="1452"/>
        <v>#DIV/0!</v>
      </c>
      <c r="BB181" s="67" t="e">
        <f t="shared" si="1452"/>
        <v>#DIV/0!</v>
      </c>
      <c r="BC181" s="67" t="e">
        <f t="shared" si="1452"/>
        <v>#DIV/0!</v>
      </c>
      <c r="BD181" s="67" t="e">
        <f t="shared" ref="BD181:CE181" si="1453">BD182-BD180-BD179</f>
        <v>#DIV/0!</v>
      </c>
      <c r="BE181" s="67" t="e">
        <f t="shared" si="1453"/>
        <v>#DIV/0!</v>
      </c>
      <c r="BF181" s="67" t="e">
        <f t="shared" si="1453"/>
        <v>#DIV/0!</v>
      </c>
      <c r="BG181" s="67" t="e">
        <f t="shared" si="1453"/>
        <v>#DIV/0!</v>
      </c>
      <c r="BH181" s="67" t="e">
        <f t="shared" si="1453"/>
        <v>#DIV/0!</v>
      </c>
      <c r="BI181" s="67" t="e">
        <f t="shared" si="1453"/>
        <v>#DIV/0!</v>
      </c>
      <c r="BJ181" s="67" t="e">
        <f t="shared" si="1453"/>
        <v>#DIV/0!</v>
      </c>
      <c r="BK181" s="67" t="e">
        <f t="shared" si="1453"/>
        <v>#DIV/0!</v>
      </c>
      <c r="BL181" s="67">
        <f t="shared" si="1453"/>
        <v>0</v>
      </c>
      <c r="BM181" s="67">
        <f t="shared" si="1453"/>
        <v>0</v>
      </c>
      <c r="BN181" s="67">
        <f t="shared" si="1453"/>
        <v>101.45566904128401</v>
      </c>
      <c r="BO181" s="67">
        <f t="shared" si="1453"/>
        <v>119.29957947855343</v>
      </c>
      <c r="BP181" s="67">
        <f t="shared" si="1453"/>
        <v>94.601388304585612</v>
      </c>
      <c r="BQ181" s="67">
        <f t="shared" si="1453"/>
        <v>87.067484794544853</v>
      </c>
      <c r="BR181" s="67">
        <f t="shared" si="1453"/>
        <v>79.366581069513899</v>
      </c>
      <c r="BS181" s="67">
        <f t="shared" si="1453"/>
        <v>78.813079094921875</v>
      </c>
      <c r="BT181" s="67">
        <f t="shared" si="1453"/>
        <v>73.919137418935307</v>
      </c>
      <c r="BU181" s="67">
        <f t="shared" si="1453"/>
        <v>70.773456956316906</v>
      </c>
      <c r="BV181" s="67">
        <f t="shared" si="1453"/>
        <v>78.286647147838664</v>
      </c>
      <c r="BW181" s="67">
        <f t="shared" si="1453"/>
        <v>80.449532212672096</v>
      </c>
      <c r="BX181" s="67">
        <f t="shared" si="1453"/>
        <v>78.800222799851454</v>
      </c>
      <c r="BY181" s="67">
        <f t="shared" si="1453"/>
        <v>78.411352700638844</v>
      </c>
      <c r="BZ181" s="67">
        <f t="shared" si="1453"/>
        <v>113.30895245126163</v>
      </c>
      <c r="CA181" s="67">
        <f t="shared" si="1453"/>
        <v>108.07928847795056</v>
      </c>
      <c r="CB181" s="67">
        <f t="shared" si="1453"/>
        <v>81.969841829556884</v>
      </c>
      <c r="CC181" s="67">
        <f t="shared" si="1453"/>
        <v>77.839911902181044</v>
      </c>
      <c r="CD181" s="67">
        <f t="shared" si="1453"/>
        <v>119.63927603967031</v>
      </c>
      <c r="CE181" s="114">
        <f t="shared" si="1453"/>
        <v>112.07865371965167</v>
      </c>
      <c r="CF181" s="67">
        <f t="shared" ref="CF181:CG181" si="1454">CF182-CF180-CF179</f>
        <v>96.612746869968106</v>
      </c>
      <c r="CG181" s="67">
        <f t="shared" si="1454"/>
        <v>95.418358156881951</v>
      </c>
      <c r="CH181" s="67">
        <f t="shared" ref="CH181" si="1455">CH182-CH180-CH179</f>
        <v>262.19490069237378</v>
      </c>
      <c r="CI181" s="67">
        <f>CH181</f>
        <v>262.19490069237378</v>
      </c>
      <c r="CJ181" s="67">
        <f t="shared" ref="CJ181:CL181" si="1456">CJ182-CJ180-CJ179</f>
        <v>99.558579171732092</v>
      </c>
      <c r="CK181" s="30">
        <f t="shared" ref="CK181:DB181" si="1457">CJ181</f>
        <v>99.558579171732092</v>
      </c>
      <c r="CL181" s="67">
        <f t="shared" si="1456"/>
        <v>99.590481250948812</v>
      </c>
      <c r="CM181" s="30">
        <f t="shared" si="1457"/>
        <v>99.590481250948812</v>
      </c>
      <c r="CN181" s="30">
        <f t="shared" si="1457"/>
        <v>99.590481250948812</v>
      </c>
      <c r="CO181" s="30">
        <f t="shared" si="1457"/>
        <v>99.590481250948812</v>
      </c>
      <c r="CP181" s="30">
        <f t="shared" si="1457"/>
        <v>99.590481250948812</v>
      </c>
      <c r="CQ181" s="30">
        <f t="shared" si="1457"/>
        <v>99.590481250948812</v>
      </c>
      <c r="CR181" s="30">
        <f t="shared" si="1457"/>
        <v>99.590481250948812</v>
      </c>
      <c r="CS181" s="30">
        <f t="shared" si="1457"/>
        <v>99.590481250948812</v>
      </c>
      <c r="CT181" s="30">
        <f t="shared" si="1457"/>
        <v>99.590481250948812</v>
      </c>
      <c r="CU181" s="30">
        <f t="shared" si="1457"/>
        <v>99.590481250948812</v>
      </c>
      <c r="CV181" s="30">
        <f t="shared" si="1457"/>
        <v>99.590481250948812</v>
      </c>
      <c r="CW181" s="30">
        <f t="shared" si="1457"/>
        <v>99.590481250948812</v>
      </c>
      <c r="CX181" s="30">
        <f t="shared" si="1457"/>
        <v>99.590481250948812</v>
      </c>
      <c r="CY181" s="30">
        <f t="shared" si="1457"/>
        <v>99.590481250948812</v>
      </c>
      <c r="CZ181" s="30">
        <f t="shared" si="1457"/>
        <v>99.590481250948812</v>
      </c>
      <c r="DA181" s="30">
        <f t="shared" si="1457"/>
        <v>99.590481250948812</v>
      </c>
      <c r="DB181" s="30">
        <f t="shared" si="1457"/>
        <v>99.590481250948812</v>
      </c>
      <c r="DE181" s="139"/>
      <c r="DF181" s="62">
        <v>99.558579171732092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 t="e">
        <f t="shared" si="1458"/>
        <v>#DIV/0!</v>
      </c>
      <c r="F182" s="70">
        <f t="shared" si="1458"/>
        <v>108.57891334424491</v>
      </c>
      <c r="G182" s="70">
        <f t="shared" si="1458"/>
        <v>106.41175843148643</v>
      </c>
      <c r="H182" s="70">
        <f t="shared" si="1458"/>
        <v>95.481616204993756</v>
      </c>
      <c r="I182" s="70">
        <f t="shared" si="1458"/>
        <v>107.54481064905909</v>
      </c>
      <c r="J182" s="70">
        <f t="shared" si="1458"/>
        <v>152.32976102037082</v>
      </c>
      <c r="K182" s="70">
        <f t="shared" si="1458"/>
        <v>77.260710573327259</v>
      </c>
      <c r="L182" s="70">
        <f t="shared" si="1458"/>
        <v>208.89528035421915</v>
      </c>
      <c r="M182" s="70">
        <f t="shared" si="1458"/>
        <v>53.921597734271892</v>
      </c>
      <c r="N182" s="70">
        <f t="shared" si="1458"/>
        <v>54.083668335590929</v>
      </c>
      <c r="O182" s="70">
        <f t="shared" si="1458"/>
        <v>71.612846108608537</v>
      </c>
      <c r="P182" s="70">
        <f t="shared" si="1458"/>
        <v>56.194829127666168</v>
      </c>
      <c r="Q182" s="70">
        <f t="shared" si="1458"/>
        <v>51.719817412737285</v>
      </c>
      <c r="R182" s="70">
        <f t="shared" si="1458"/>
        <v>226.71782332950389</v>
      </c>
      <c r="S182" s="70">
        <f t="shared" si="1458"/>
        <v>242.96357460276192</v>
      </c>
      <c r="T182" s="70">
        <f t="shared" si="1458"/>
        <v>267.52959335474583</v>
      </c>
      <c r="U182" s="70">
        <f t="shared" si="1458"/>
        <v>302.24417724285371</v>
      </c>
      <c r="V182" s="70">
        <f t="shared" si="1458"/>
        <v>329.48086508807</v>
      </c>
      <c r="W182" s="70">
        <f t="shared" si="1458"/>
        <v>308.00941497854984</v>
      </c>
      <c r="X182" s="70">
        <f t="shared" si="1458"/>
        <v>99.091083270770781</v>
      </c>
      <c r="Y182" s="70">
        <f t="shared" si="1458"/>
        <v>126.51726224157801</v>
      </c>
      <c r="Z182" s="70">
        <f t="shared" si="1458"/>
        <v>294.53734043837278</v>
      </c>
      <c r="AA182" s="70">
        <f t="shared" ref="AA182" si="1459">AA148/AA8*365</f>
        <v>274.21839190001117</v>
      </c>
      <c r="AB182" s="71">
        <f t="shared" si="1458"/>
        <v>119.74596581170081</v>
      </c>
      <c r="AC182" s="71">
        <f t="shared" si="1458"/>
        <v>119.87079794848067</v>
      </c>
      <c r="AD182" s="71">
        <f t="shared" si="1458"/>
        <v>119.88610015737835</v>
      </c>
      <c r="AE182" s="71">
        <f t="shared" si="1458"/>
        <v>119.88732887956853</v>
      </c>
      <c r="AI182" s="70" t="e">
        <f t="shared" ref="AI182:CD182" si="1460">AI148/AI8*90</f>
        <v>#DIV/0!</v>
      </c>
      <c r="AJ182" s="70" t="e">
        <f t="shared" si="1460"/>
        <v>#DIV/0!</v>
      </c>
      <c r="AK182" s="70" t="e">
        <f t="shared" si="1460"/>
        <v>#DIV/0!</v>
      </c>
      <c r="AL182" s="70" t="e">
        <f t="shared" si="1460"/>
        <v>#DIV/0!</v>
      </c>
      <c r="AM182" s="70" t="e">
        <f t="shared" si="1460"/>
        <v>#DIV/0!</v>
      </c>
      <c r="AN182" s="70" t="e">
        <f t="shared" si="1460"/>
        <v>#DIV/0!</v>
      </c>
      <c r="AO182" s="70" t="e">
        <f t="shared" si="1460"/>
        <v>#DIV/0!</v>
      </c>
      <c r="AP182" s="70" t="e">
        <f t="shared" si="1460"/>
        <v>#DIV/0!</v>
      </c>
      <c r="AQ182" s="70" t="e">
        <f t="shared" si="1460"/>
        <v>#DIV/0!</v>
      </c>
      <c r="AR182" s="70" t="e">
        <f t="shared" si="1460"/>
        <v>#DIV/0!</v>
      </c>
      <c r="AS182" s="70" t="e">
        <f t="shared" si="1460"/>
        <v>#DIV/0!</v>
      </c>
      <c r="AT182" s="70" t="e">
        <f t="shared" si="1460"/>
        <v>#DIV/0!</v>
      </c>
      <c r="AU182" s="70" t="e">
        <f t="shared" si="1460"/>
        <v>#DIV/0!</v>
      </c>
      <c r="AV182" s="70" t="e">
        <f t="shared" si="1460"/>
        <v>#DIV/0!</v>
      </c>
      <c r="AW182" s="70" t="e">
        <f t="shared" si="1460"/>
        <v>#DIV/0!</v>
      </c>
      <c r="AX182" s="70" t="e">
        <f t="shared" si="1460"/>
        <v>#DIV/0!</v>
      </c>
      <c r="AY182" s="70" t="e">
        <f t="shared" si="1460"/>
        <v>#DIV/0!</v>
      </c>
      <c r="AZ182" s="70" t="e">
        <f t="shared" si="1460"/>
        <v>#DIV/0!</v>
      </c>
      <c r="BA182" s="70" t="e">
        <f t="shared" si="1460"/>
        <v>#DIV/0!</v>
      </c>
      <c r="BB182" s="70" t="e">
        <f t="shared" si="1460"/>
        <v>#DIV/0!</v>
      </c>
      <c r="BC182" s="70" t="e">
        <f t="shared" si="1460"/>
        <v>#DIV/0!</v>
      </c>
      <c r="BD182" s="70" t="e">
        <f t="shared" si="1460"/>
        <v>#DIV/0!</v>
      </c>
      <c r="BE182" s="70" t="e">
        <f t="shared" si="1460"/>
        <v>#DIV/0!</v>
      </c>
      <c r="BF182" s="70" t="e">
        <f t="shared" si="1460"/>
        <v>#DIV/0!</v>
      </c>
      <c r="BG182" s="70" t="e">
        <f t="shared" si="1460"/>
        <v>#DIV/0!</v>
      </c>
      <c r="BH182" s="70" t="e">
        <f t="shared" si="1460"/>
        <v>#DIV/0!</v>
      </c>
      <c r="BI182" s="70" t="e">
        <f t="shared" si="1460"/>
        <v>#DIV/0!</v>
      </c>
      <c r="BJ182" s="70" t="e">
        <f t="shared" si="1460"/>
        <v>#DIV/0!</v>
      </c>
      <c r="BK182" s="70" t="e">
        <f t="shared" si="1460"/>
        <v>#DIV/0!</v>
      </c>
      <c r="BL182" s="70">
        <f t="shared" si="1460"/>
        <v>0</v>
      </c>
      <c r="BM182" s="70">
        <f t="shared" si="1460"/>
        <v>0</v>
      </c>
      <c r="BN182" s="70">
        <f t="shared" si="1460"/>
        <v>117.95090550167367</v>
      </c>
      <c r="BO182" s="70">
        <f t="shared" si="1460"/>
        <v>135.79481593894309</v>
      </c>
      <c r="BP182" s="70">
        <f t="shared" si="1460"/>
        <v>116.96308371897349</v>
      </c>
      <c r="BQ182" s="70">
        <f t="shared" si="1460"/>
        <v>109.42918020893273</v>
      </c>
      <c r="BR182" s="70">
        <f t="shared" si="1460"/>
        <v>92.42690453664909</v>
      </c>
      <c r="BS182" s="70">
        <f t="shared" si="1460"/>
        <v>91.873402562057066</v>
      </c>
      <c r="BT182" s="70">
        <f t="shared" si="1460"/>
        <v>88.626645459498405</v>
      </c>
      <c r="BU182" s="70">
        <f t="shared" si="1460"/>
        <v>85.480964996880004</v>
      </c>
      <c r="BV182" s="70">
        <f t="shared" si="1460"/>
        <v>87.741339890782285</v>
      </c>
      <c r="BW182" s="70">
        <f t="shared" si="1460"/>
        <v>89.904224955615717</v>
      </c>
      <c r="BX182" s="70">
        <f t="shared" si="1460"/>
        <v>99.997772001485316</v>
      </c>
      <c r="BY182" s="70">
        <f t="shared" si="1460"/>
        <v>99.608901902272706</v>
      </c>
      <c r="BZ182" s="70">
        <f t="shared" si="1460"/>
        <v>125.23353086796207</v>
      </c>
      <c r="CA182" s="70">
        <f t="shared" si="1460"/>
        <v>120.003866894651</v>
      </c>
      <c r="CB182" s="70">
        <f t="shared" si="1460"/>
        <v>99.610408494890621</v>
      </c>
      <c r="CC182" s="70">
        <f t="shared" si="1460"/>
        <v>95.48047856751478</v>
      </c>
      <c r="CD182" s="70">
        <f t="shared" si="1460"/>
        <v>138.4429183885795</v>
      </c>
      <c r="CE182" s="115">
        <f>CE148/CE10*90</f>
        <v>130.88229606856086</v>
      </c>
      <c r="CF182" s="70">
        <f>CF148/CF8*90</f>
        <v>114.28830797541978</v>
      </c>
      <c r="CG182" s="70">
        <f>CG148/CG10*90</f>
        <v>113.09391926233363</v>
      </c>
      <c r="CH182" s="70">
        <f>CH148/CH8*90</f>
        <v>290.05791681406987</v>
      </c>
      <c r="CI182" s="70">
        <f>CI179+CI180+CI181</f>
        <v>290.05791681406987</v>
      </c>
      <c r="CJ182" s="70">
        <f>CJ148/CJ8*90</f>
        <v>115.97338203207535</v>
      </c>
      <c r="CK182" s="50">
        <f t="shared" ref="CK182:DB182" si="1461">CK179+CK180+CK181</f>
        <v>115.97338203207535</v>
      </c>
      <c r="CL182" s="70">
        <f>CL148/CL8*90</f>
        <v>112.49180203430998</v>
      </c>
      <c r="CM182" s="50">
        <f t="shared" si="1461"/>
        <v>112.49180203430998</v>
      </c>
      <c r="CN182" s="50">
        <f t="shared" si="1461"/>
        <v>112.49180203430998</v>
      </c>
      <c r="CO182" s="50">
        <f t="shared" si="1461"/>
        <v>112.49180203430998</v>
      </c>
      <c r="CP182" s="50">
        <f t="shared" si="1461"/>
        <v>112.49180203430998</v>
      </c>
      <c r="CQ182" s="50">
        <f t="shared" si="1461"/>
        <v>112.49180203430998</v>
      </c>
      <c r="CR182" s="50">
        <f t="shared" si="1461"/>
        <v>112.49180203430998</v>
      </c>
      <c r="CS182" s="50">
        <f t="shared" si="1461"/>
        <v>112.49180203430998</v>
      </c>
      <c r="CT182" s="50">
        <f t="shared" si="1461"/>
        <v>112.49180203430998</v>
      </c>
      <c r="CU182" s="50">
        <f t="shared" si="1461"/>
        <v>112.49180203430998</v>
      </c>
      <c r="CV182" s="50">
        <f t="shared" si="1461"/>
        <v>112.49180203430998</v>
      </c>
      <c r="CW182" s="50">
        <f t="shared" si="1461"/>
        <v>112.49180203430998</v>
      </c>
      <c r="CX182" s="50">
        <f t="shared" si="1461"/>
        <v>112.49180203430998</v>
      </c>
      <c r="CY182" s="50">
        <f t="shared" si="1461"/>
        <v>112.49180203430998</v>
      </c>
      <c r="CZ182" s="50">
        <f t="shared" si="1461"/>
        <v>112.49180203430998</v>
      </c>
      <c r="DA182" s="50">
        <f t="shared" si="1461"/>
        <v>112.49180203430998</v>
      </c>
      <c r="DB182" s="50">
        <f t="shared" si="1461"/>
        <v>112.49180203430998</v>
      </c>
      <c r="DE182" s="138"/>
      <c r="DF182" s="7">
        <v>115.97338203207535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 t="e">
        <f t="shared" si="1462"/>
        <v>#DIV/0!</v>
      </c>
      <c r="F183" s="67">
        <f t="shared" si="1462"/>
        <v>16.48597700973885</v>
      </c>
      <c r="G183" s="67">
        <f t="shared" si="1462"/>
        <v>23.85411770259299</v>
      </c>
      <c r="H183" s="67">
        <f t="shared" si="1462"/>
        <v>19.682076308938917</v>
      </c>
      <c r="I183" s="67">
        <f t="shared" si="1462"/>
        <v>26.149594179431212</v>
      </c>
      <c r="J183" s="67">
        <f t="shared" si="1462"/>
        <v>32.710180459218783</v>
      </c>
      <c r="K183" s="67">
        <f t="shared" si="1462"/>
        <v>33.371533752514239</v>
      </c>
      <c r="L183" s="67">
        <f t="shared" si="1462"/>
        <v>21.328226580604532</v>
      </c>
      <c r="M183" s="67">
        <f t="shared" si="1462"/>
        <v>17.84367133743951</v>
      </c>
      <c r="N183" s="67">
        <f t="shared" si="1462"/>
        <v>18.980451151371483</v>
      </c>
      <c r="O183" s="67">
        <f t="shared" si="1462"/>
        <v>17.781150832149141</v>
      </c>
      <c r="P183" s="67">
        <f t="shared" si="1462"/>
        <v>19.02229120889146</v>
      </c>
      <c r="Q183" s="67">
        <f t="shared" si="1462"/>
        <v>22.528424968737813</v>
      </c>
      <c r="R183" s="67">
        <f t="shared" si="1462"/>
        <v>22.142583709049706</v>
      </c>
      <c r="S183" s="67">
        <f t="shared" si="1462"/>
        <v>19.831448247868902</v>
      </c>
      <c r="T183" s="67">
        <f t="shared" si="1462"/>
        <v>18.910339296575664</v>
      </c>
      <c r="U183" s="67">
        <f t="shared" si="1462"/>
        <v>18.824294816445093</v>
      </c>
      <c r="V183" s="67">
        <f t="shared" si="1462"/>
        <v>27.372938293892037</v>
      </c>
      <c r="W183" s="67">
        <f t="shared" si="1462"/>
        <v>19.641248588083005</v>
      </c>
      <c r="X183" s="67">
        <f t="shared" si="1462"/>
        <v>16.278176305417258</v>
      </c>
      <c r="Y183" s="67">
        <f t="shared" si="1462"/>
        <v>20.745447432821354</v>
      </c>
      <c r="Z183" s="67">
        <f t="shared" si="1462"/>
        <v>20.48942894443822</v>
      </c>
      <c r="AA183" s="67">
        <f t="shared" ref="AA183" si="1463">AA153/AA8*365</f>
        <v>21.786969686377368</v>
      </c>
      <c r="AB183" s="18">
        <f t="shared" si="1462"/>
        <v>21.938967539333834</v>
      </c>
      <c r="AC183" s="18">
        <f t="shared" si="1462"/>
        <v>21.961838357386991</v>
      </c>
      <c r="AD183" s="18">
        <f t="shared" si="1462"/>
        <v>21.964641914584185</v>
      </c>
      <c r="AE183" s="18">
        <f t="shared" si="1462"/>
        <v>21.964867031948788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64">+AJ183</f>
        <v>#DIV/0!</v>
      </c>
      <c r="AL183" s="67" t="e">
        <f>AL153/AL8*90</f>
        <v>#DIV/0!</v>
      </c>
      <c r="AM183" s="67" t="e">
        <f t="shared" ref="AM183" si="1465">+AL183</f>
        <v>#DIV/0!</v>
      </c>
      <c r="AN183" s="67" t="e">
        <f>AN153/AN8*90</f>
        <v>#DIV/0!</v>
      </c>
      <c r="AO183" s="67" t="e">
        <f t="shared" ref="AO183" si="1466">+AN183</f>
        <v>#DIV/0!</v>
      </c>
      <c r="AP183" s="67" t="e">
        <f>AP153/AP8*90</f>
        <v>#DIV/0!</v>
      </c>
      <c r="AQ183" s="67" t="e">
        <f t="shared" ref="AQ183" si="1467">+AP183</f>
        <v>#DIV/0!</v>
      </c>
      <c r="AR183" s="67" t="e">
        <f>AR153/AR8*90</f>
        <v>#DIV/0!</v>
      </c>
      <c r="AS183" s="67" t="e">
        <f t="shared" ref="AS183" si="1468">+AR183</f>
        <v>#DIV/0!</v>
      </c>
      <c r="AT183" s="67" t="e">
        <f>AT153/AT8*90</f>
        <v>#DIV/0!</v>
      </c>
      <c r="AU183" s="67" t="e">
        <f t="shared" ref="AU183" si="1469">+AT183</f>
        <v>#DIV/0!</v>
      </c>
      <c r="AV183" s="67" t="e">
        <f>AV153/AV8*90</f>
        <v>#DIV/0!</v>
      </c>
      <c r="AW183" s="67" t="e">
        <f t="shared" ref="AW183" si="1470">+AV183</f>
        <v>#DIV/0!</v>
      </c>
      <c r="AX183" s="67" t="e">
        <f>AX153/AX8*90</f>
        <v>#DIV/0!</v>
      </c>
      <c r="AY183" s="67" t="e">
        <f t="shared" ref="AY183" si="1471">+AX183</f>
        <v>#DIV/0!</v>
      </c>
      <c r="AZ183" s="67" t="e">
        <f>AZ153/AZ8*90</f>
        <v>#DIV/0!</v>
      </c>
      <c r="BA183" s="67" t="e">
        <f t="shared" ref="BA183" si="1472">+AZ183</f>
        <v>#DIV/0!</v>
      </c>
      <c r="BB183" s="67" t="e">
        <f>BB153/BB8*90</f>
        <v>#DIV/0!</v>
      </c>
      <c r="BC183" s="67" t="e">
        <f t="shared" ref="BC183" si="1473">+BB183</f>
        <v>#DIV/0!</v>
      </c>
      <c r="BD183" s="67" t="e">
        <f>BD153/BD8*90</f>
        <v>#DIV/0!</v>
      </c>
      <c r="BE183" s="67" t="e">
        <f t="shared" ref="BE183" si="1474">+BD183</f>
        <v>#DIV/0!</v>
      </c>
      <c r="BF183" s="67" t="e">
        <f>BF153/BF8*90</f>
        <v>#DIV/0!</v>
      </c>
      <c r="BG183" s="67" t="e">
        <f t="shared" ref="BG183" si="1475">+BF183</f>
        <v>#DIV/0!</v>
      </c>
      <c r="BH183" s="67" t="e">
        <f>BH153/BH8*90</f>
        <v>#DIV/0!</v>
      </c>
      <c r="BI183" s="67" t="e">
        <f t="shared" ref="BI183" si="1476">+BH183</f>
        <v>#DIV/0!</v>
      </c>
      <c r="BJ183" s="67" t="e">
        <f>BJ153/BJ8*90</f>
        <v>#DIV/0!</v>
      </c>
      <c r="BK183" s="67" t="e">
        <f t="shared" ref="BK183" si="1477">+BJ183</f>
        <v>#DIV/0!</v>
      </c>
      <c r="BL183" s="67">
        <f>BL153/BL8*90</f>
        <v>0</v>
      </c>
      <c r="BM183" s="67">
        <f t="shared" ref="BM183" si="1478">+BL183</f>
        <v>0</v>
      </c>
      <c r="BN183" s="67">
        <f>BN153/BN8*90</f>
        <v>18.581409321088323</v>
      </c>
      <c r="BO183" s="67">
        <f t="shared" ref="BO183" si="1479">+BN183</f>
        <v>18.581409321088323</v>
      </c>
      <c r="BP183" s="67">
        <f>BP153/BP8*90</f>
        <v>27.303323517038283</v>
      </c>
      <c r="BQ183" s="67">
        <f t="shared" ref="BQ183" si="1480">+BP183</f>
        <v>27.303323517038283</v>
      </c>
      <c r="BR183" s="67">
        <f>BR153/BR8*90</f>
        <v>23.835653466684686</v>
      </c>
      <c r="BS183" s="67">
        <f t="shared" ref="BS183" si="1481">+BR183</f>
        <v>23.835653466684686</v>
      </c>
      <c r="BT183" s="67">
        <f>BT153/BT8*90</f>
        <v>20.145960385947028</v>
      </c>
      <c r="BU183" s="67">
        <f t="shared" ref="BU183" si="1482">+BT183</f>
        <v>20.145960385947028</v>
      </c>
      <c r="BV183" s="67">
        <f>BV153/BV8*90</f>
        <v>18.116282321205343</v>
      </c>
      <c r="BW183" s="67">
        <f t="shared" ref="BW183" si="1483">+BV183</f>
        <v>18.116282321205343</v>
      </c>
      <c r="BX183" s="67">
        <f>BX153/BX8*90</f>
        <v>19.618640920906053</v>
      </c>
      <c r="BY183" s="67">
        <f t="shared" ref="BY183" si="1484">+BX183</f>
        <v>19.618640920906053</v>
      </c>
      <c r="BZ183" s="67">
        <f>BZ153/BZ8*90</f>
        <v>15.650399817043079</v>
      </c>
      <c r="CA183" s="67">
        <f t="shared" ref="CA183" si="1485">+BZ183</f>
        <v>15.650399817043079</v>
      </c>
      <c r="CB183" s="67">
        <f>CB153/CB8*90</f>
        <v>18.988523463827278</v>
      </c>
      <c r="CC183" s="67">
        <f t="shared" ref="CC183" si="1486">+CB183</f>
        <v>18.988523463827278</v>
      </c>
      <c r="CD183" s="67">
        <f>CD153/CD8*90</f>
        <v>18.72595093071871</v>
      </c>
      <c r="CE183" s="114">
        <f t="shared" si="1464"/>
        <v>18.72595093071871</v>
      </c>
      <c r="CF183" s="67">
        <f>CF153/CF8*90</f>
        <v>17.00297394104696</v>
      </c>
      <c r="CG183" s="67">
        <f t="shared" ref="CG183:CI183" si="1487">+CF183</f>
        <v>17.00297394104696</v>
      </c>
      <c r="CH183" s="67">
        <f>CH153/CH8*90</f>
        <v>20.177818769899428</v>
      </c>
      <c r="CI183" s="67">
        <f t="shared" si="1487"/>
        <v>20.177818769899428</v>
      </c>
      <c r="CJ183" s="67">
        <f>CJ153/CJ8*90</f>
        <v>22.372789577902946</v>
      </c>
      <c r="CK183" s="30">
        <f t="shared" ref="CK183" si="1488">+CJ183</f>
        <v>22.372789577902946</v>
      </c>
      <c r="CL183" s="67">
        <f>CL153/CL8*90</f>
        <v>20.609913465917714</v>
      </c>
      <c r="CM183" s="30">
        <f t="shared" ref="CM183" si="1489">+CL183</f>
        <v>20.609913465917714</v>
      </c>
      <c r="CN183" s="30">
        <f t="shared" ref="CN183" si="1490">+CM183</f>
        <v>20.609913465917714</v>
      </c>
      <c r="CO183" s="30">
        <f t="shared" ref="CO183" si="1491">+CN183</f>
        <v>20.609913465917714</v>
      </c>
      <c r="CP183" s="30">
        <f t="shared" ref="CP183" si="1492">+CO183</f>
        <v>20.609913465917714</v>
      </c>
      <c r="CQ183" s="30">
        <f t="shared" ref="CQ183" si="1493">+CP183</f>
        <v>20.609913465917714</v>
      </c>
      <c r="CR183" s="30">
        <f t="shared" ref="CR183" si="1494">+CQ183</f>
        <v>20.609913465917714</v>
      </c>
      <c r="CS183" s="30">
        <f t="shared" ref="CS183" si="1495">+CR183</f>
        <v>20.609913465917714</v>
      </c>
      <c r="CT183" s="30">
        <f t="shared" ref="CT183" si="1496">+CS183</f>
        <v>20.609913465917714</v>
      </c>
      <c r="CU183" s="30">
        <f t="shared" ref="CU183" si="1497">+CT183</f>
        <v>20.609913465917714</v>
      </c>
      <c r="CV183" s="30">
        <f t="shared" ref="CV183" si="1498">+CU183</f>
        <v>20.609913465917714</v>
      </c>
      <c r="CW183" s="30">
        <f t="shared" ref="CW183" si="1499">+CV183</f>
        <v>20.609913465917714</v>
      </c>
      <c r="CX183" s="30">
        <f t="shared" ref="CX183" si="1500">+CW183</f>
        <v>20.609913465917714</v>
      </c>
      <c r="CY183" s="30">
        <f t="shared" ref="CY183" si="1501">+CX183</f>
        <v>20.609913465917714</v>
      </c>
      <c r="CZ183" s="30">
        <f t="shared" ref="CZ183" si="1502">+CY183</f>
        <v>20.609913465917714</v>
      </c>
      <c r="DA183" s="30">
        <f t="shared" ref="DA183" si="1503">+CZ183</f>
        <v>20.609913465917714</v>
      </c>
      <c r="DB183" s="30">
        <f t="shared" ref="DB183" si="1504">+DA183</f>
        <v>20.609913465917714</v>
      </c>
      <c r="DE183" s="139"/>
      <c r="DF183" s="62">
        <v>22.372789577902946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 t="e">
        <f t="shared" si="1505"/>
        <v>#DIV/0!</v>
      </c>
      <c r="F184" s="67">
        <f t="shared" si="1505"/>
        <v>66.291340942484226</v>
      </c>
      <c r="G184" s="67">
        <f t="shared" si="1505"/>
        <v>96.66735319480847</v>
      </c>
      <c r="H184" s="67">
        <f t="shared" si="1505"/>
        <v>71.384369802742526</v>
      </c>
      <c r="I184" s="67">
        <f t="shared" si="1505"/>
        <v>99.153215009282718</v>
      </c>
      <c r="J184" s="67">
        <f t="shared" si="1505"/>
        <v>125.87062691809129</v>
      </c>
      <c r="K184" s="67">
        <f t="shared" si="1505"/>
        <v>38.781626432498669</v>
      </c>
      <c r="L184" s="67">
        <f t="shared" si="1505"/>
        <v>184.19524227015111</v>
      </c>
      <c r="M184" s="67">
        <f t="shared" si="1505"/>
        <v>65.548052357383796</v>
      </c>
      <c r="N184" s="67">
        <f t="shared" si="1505"/>
        <v>55.068674170335257</v>
      </c>
      <c r="O184" s="67">
        <f t="shared" si="1505"/>
        <v>75.141022748892922</v>
      </c>
      <c r="P184" s="67">
        <f t="shared" si="1505"/>
        <v>59.099043657092821</v>
      </c>
      <c r="Q184" s="67">
        <f t="shared" si="1505"/>
        <v>46.204799248501217</v>
      </c>
      <c r="R184" s="67">
        <f t="shared" si="1505"/>
        <v>218.4100428907285</v>
      </c>
      <c r="S184" s="67">
        <f t="shared" si="1505"/>
        <v>231.81107323845794</v>
      </c>
      <c r="T184" s="67">
        <f t="shared" si="1505"/>
        <v>276.80698410236147</v>
      </c>
      <c r="U184" s="67">
        <f t="shared" si="1505"/>
        <v>347.02425739666069</v>
      </c>
      <c r="V184" s="67">
        <f t="shared" si="1505"/>
        <v>402.78214838415761</v>
      </c>
      <c r="W184" s="67">
        <f t="shared" ref="W184" si="1506">W185-W183</f>
        <v>346.35628787441567</v>
      </c>
      <c r="X184" s="67">
        <f t="shared" ref="X184:Y184" si="1507">X185-X183</f>
        <v>101.57183447839286</v>
      </c>
      <c r="Y184" s="67">
        <f t="shared" si="1507"/>
        <v>139.13347178544717</v>
      </c>
      <c r="Z184" s="67">
        <f t="shared" ref="Z184:AA184" si="1508">Z185-Z183</f>
        <v>281.08832455185939</v>
      </c>
      <c r="AA184" s="67">
        <f t="shared" si="1508"/>
        <v>263.61375374361342</v>
      </c>
      <c r="AB184" s="18">
        <f t="shared" ref="AA184:AD184" si="1509">AB185-AB183</f>
        <v>96.261416735095139</v>
      </c>
      <c r="AC184" s="18">
        <f t="shared" si="1509"/>
        <v>96.361766824211202</v>
      </c>
      <c r="AD184" s="18">
        <f t="shared" si="1509"/>
        <v>96.374067967700114</v>
      </c>
      <c r="AE184" s="18">
        <f t="shared" ref="AE184" si="1510">AE185-AE183</f>
        <v>96.375055713199501</v>
      </c>
      <c r="AI184" s="67" t="e">
        <f t="shared" ref="AI184:AK184" si="1511">AI185-AI183</f>
        <v>#DIV/0!</v>
      </c>
      <c r="AJ184" s="67" t="e">
        <f t="shared" ref="AJ184:AM184" si="1512">AJ185-AJ183</f>
        <v>#DIV/0!</v>
      </c>
      <c r="AK184" s="67" t="e">
        <f t="shared" si="1511"/>
        <v>#DIV/0!</v>
      </c>
      <c r="AL184" s="67" t="e">
        <f t="shared" si="1512"/>
        <v>#DIV/0!</v>
      </c>
      <c r="AM184" s="67" t="e">
        <f t="shared" si="1512"/>
        <v>#DIV/0!</v>
      </c>
      <c r="AN184" s="67" t="e">
        <f t="shared" ref="AN184:AY184" si="1513">AN185-AN183</f>
        <v>#DIV/0!</v>
      </c>
      <c r="AO184" s="67" t="e">
        <f t="shared" si="1513"/>
        <v>#DIV/0!</v>
      </c>
      <c r="AP184" s="67" t="e">
        <f t="shared" si="1513"/>
        <v>#DIV/0!</v>
      </c>
      <c r="AQ184" s="67" t="e">
        <f t="shared" si="1513"/>
        <v>#DIV/0!</v>
      </c>
      <c r="AR184" s="67" t="e">
        <f t="shared" si="1513"/>
        <v>#DIV/0!</v>
      </c>
      <c r="AS184" s="67" t="e">
        <f t="shared" si="1513"/>
        <v>#DIV/0!</v>
      </c>
      <c r="AT184" s="67" t="e">
        <f t="shared" si="1513"/>
        <v>#DIV/0!</v>
      </c>
      <c r="AU184" s="67" t="e">
        <f t="shared" si="1513"/>
        <v>#DIV/0!</v>
      </c>
      <c r="AV184" s="67" t="e">
        <f t="shared" si="1513"/>
        <v>#DIV/0!</v>
      </c>
      <c r="AW184" s="67" t="e">
        <f t="shared" si="1513"/>
        <v>#DIV/0!</v>
      </c>
      <c r="AX184" s="67" t="e">
        <f t="shared" si="1513"/>
        <v>#DIV/0!</v>
      </c>
      <c r="AY184" s="67" t="e">
        <f t="shared" si="1513"/>
        <v>#DIV/0!</v>
      </c>
      <c r="AZ184" s="67" t="e">
        <f t="shared" ref="AZ184:BC184" si="1514">AZ185-AZ183</f>
        <v>#DIV/0!</v>
      </c>
      <c r="BA184" s="67" t="e">
        <f t="shared" si="1514"/>
        <v>#DIV/0!</v>
      </c>
      <c r="BB184" s="67" t="e">
        <f t="shared" si="1514"/>
        <v>#DIV/0!</v>
      </c>
      <c r="BC184" s="67" t="e">
        <f t="shared" si="1514"/>
        <v>#DIV/0!</v>
      </c>
      <c r="BD184" s="67" t="e">
        <f t="shared" ref="BD184:CE184" si="1515">BD185-BD183</f>
        <v>#DIV/0!</v>
      </c>
      <c r="BE184" s="67" t="e">
        <f t="shared" si="1515"/>
        <v>#DIV/0!</v>
      </c>
      <c r="BF184" s="67" t="e">
        <f t="shared" si="1515"/>
        <v>#DIV/0!</v>
      </c>
      <c r="BG184" s="67" t="e">
        <f t="shared" si="1515"/>
        <v>#DIV/0!</v>
      </c>
      <c r="BH184" s="67" t="e">
        <f t="shared" si="1515"/>
        <v>#DIV/0!</v>
      </c>
      <c r="BI184" s="67" t="e">
        <f t="shared" si="1515"/>
        <v>#DIV/0!</v>
      </c>
      <c r="BJ184" s="67" t="e">
        <f t="shared" si="1515"/>
        <v>#DIV/0!</v>
      </c>
      <c r="BK184" s="67" t="e">
        <f t="shared" si="1515"/>
        <v>#DIV/0!</v>
      </c>
      <c r="BL184" s="67">
        <f t="shared" si="1515"/>
        <v>0</v>
      </c>
      <c r="BM184" s="67">
        <f t="shared" si="1515"/>
        <v>0</v>
      </c>
      <c r="BN184" s="67">
        <f t="shared" si="1515"/>
        <v>111.13878637026863</v>
      </c>
      <c r="BO184" s="67">
        <f t="shared" si="1515"/>
        <v>130.68575273338939</v>
      </c>
      <c r="BP184" s="67">
        <f t="shared" si="1515"/>
        <v>152.67774505679429</v>
      </c>
      <c r="BQ184" s="67">
        <f t="shared" si="1515"/>
        <v>140.51873322828891</v>
      </c>
      <c r="BR184" s="67">
        <f t="shared" si="1515"/>
        <v>123.03734738928684</v>
      </c>
      <c r="BS184" s="67">
        <f t="shared" si="1515"/>
        <v>122.17928579949894</v>
      </c>
      <c r="BT184" s="67">
        <f t="shared" si="1515"/>
        <v>110.90520044288999</v>
      </c>
      <c r="BU184" s="67">
        <f t="shared" si="1515"/>
        <v>106.18555226492563</v>
      </c>
      <c r="BV184" s="67">
        <f t="shared" si="1515"/>
        <v>96.298564050266464</v>
      </c>
      <c r="BW184" s="67">
        <f t="shared" si="1515"/>
        <v>98.959078116680629</v>
      </c>
      <c r="BX184" s="67">
        <f t="shared" si="1515"/>
        <v>106.29446713702191</v>
      </c>
      <c r="BY184" s="67">
        <f t="shared" si="1515"/>
        <v>105.76991608230833</v>
      </c>
      <c r="BZ184" s="67">
        <f t="shared" si="1515"/>
        <v>97.655663840731179</v>
      </c>
      <c r="CA184" s="67">
        <f t="shared" si="1515"/>
        <v>93.148462106628827</v>
      </c>
      <c r="CB184" s="67">
        <f t="shared" si="1515"/>
        <v>125.68715624011662</v>
      </c>
      <c r="CC184" s="67">
        <f t="shared" si="1515"/>
        <v>119.35459372130433</v>
      </c>
      <c r="CD184" s="67">
        <f t="shared" si="1515"/>
        <v>125.58962697167743</v>
      </c>
      <c r="CE184" s="114">
        <f t="shared" si="1515"/>
        <v>117.65297131580377</v>
      </c>
      <c r="CF184" s="67">
        <f t="shared" ref="CF184:CG184" si="1516">CF185-CF183</f>
        <v>101.14439223160592</v>
      </c>
      <c r="CG184" s="67">
        <f t="shared" si="1516"/>
        <v>99.893980413422298</v>
      </c>
      <c r="CH184" s="67">
        <f t="shared" ref="CH184" si="1517">CH185-CH183</f>
        <v>276.81343811593467</v>
      </c>
      <c r="CI184" s="67">
        <f>CH184</f>
        <v>276.81343811593467</v>
      </c>
      <c r="CJ184" s="67">
        <f t="shared" ref="CJ184:CL184" si="1518">CJ185-CJ183</f>
        <v>98.859578805429763</v>
      </c>
      <c r="CK184" s="30">
        <f t="shared" ref="CK184:DB184" si="1519">CJ184</f>
        <v>98.859578805429763</v>
      </c>
      <c r="CL184" s="67">
        <f t="shared" si="1518"/>
        <v>90.429937756186433</v>
      </c>
      <c r="CM184" s="30">
        <f t="shared" si="1519"/>
        <v>90.429937756186433</v>
      </c>
      <c r="CN184" s="30">
        <f t="shared" si="1519"/>
        <v>90.429937756186433</v>
      </c>
      <c r="CO184" s="30">
        <f t="shared" si="1519"/>
        <v>90.429937756186433</v>
      </c>
      <c r="CP184" s="30">
        <f t="shared" si="1519"/>
        <v>90.429937756186433</v>
      </c>
      <c r="CQ184" s="30">
        <f t="shared" si="1519"/>
        <v>90.429937756186433</v>
      </c>
      <c r="CR184" s="30">
        <f t="shared" si="1519"/>
        <v>90.429937756186433</v>
      </c>
      <c r="CS184" s="30">
        <f t="shared" si="1519"/>
        <v>90.429937756186433</v>
      </c>
      <c r="CT184" s="30">
        <f t="shared" si="1519"/>
        <v>90.429937756186433</v>
      </c>
      <c r="CU184" s="30">
        <f t="shared" si="1519"/>
        <v>90.429937756186433</v>
      </c>
      <c r="CV184" s="30">
        <f t="shared" si="1519"/>
        <v>90.429937756186433</v>
      </c>
      <c r="CW184" s="30">
        <f t="shared" si="1519"/>
        <v>90.429937756186433</v>
      </c>
      <c r="CX184" s="30">
        <f t="shared" si="1519"/>
        <v>90.429937756186433</v>
      </c>
      <c r="CY184" s="30">
        <f t="shared" si="1519"/>
        <v>90.429937756186433</v>
      </c>
      <c r="CZ184" s="30">
        <f t="shared" si="1519"/>
        <v>90.429937756186433</v>
      </c>
      <c r="DA184" s="30">
        <f t="shared" si="1519"/>
        <v>90.429937756186433</v>
      </c>
      <c r="DB184" s="30">
        <f t="shared" si="1519"/>
        <v>90.429937756186433</v>
      </c>
      <c r="DE184" s="139"/>
      <c r="DF184" s="62">
        <v>98.859578805429763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 t="e">
        <f t="shared" si="1520"/>
        <v>#DIV/0!</v>
      </c>
      <c r="F185" s="70">
        <f t="shared" si="1520"/>
        <v>82.777317952223072</v>
      </c>
      <c r="G185" s="70">
        <f t="shared" si="1520"/>
        <v>120.52147089740146</v>
      </c>
      <c r="H185" s="70">
        <f t="shared" si="1520"/>
        <v>91.066446111681444</v>
      </c>
      <c r="I185" s="70">
        <f t="shared" si="1520"/>
        <v>125.30280918871392</v>
      </c>
      <c r="J185" s="70">
        <f t="shared" si="1520"/>
        <v>158.58080737731007</v>
      </c>
      <c r="K185" s="70">
        <f t="shared" si="1520"/>
        <v>72.153160185012908</v>
      </c>
      <c r="L185" s="70">
        <f t="shared" si="1520"/>
        <v>205.52346885075565</v>
      </c>
      <c r="M185" s="70">
        <f t="shared" si="1520"/>
        <v>83.391723694823298</v>
      </c>
      <c r="N185" s="70">
        <f t="shared" si="1520"/>
        <v>74.04912532170674</v>
      </c>
      <c r="O185" s="70">
        <f t="shared" si="1520"/>
        <v>92.92217358104206</v>
      </c>
      <c r="P185" s="70">
        <f t="shared" si="1520"/>
        <v>78.121334865984281</v>
      </c>
      <c r="Q185" s="70">
        <f t="shared" si="1520"/>
        <v>68.733224217239027</v>
      </c>
      <c r="R185" s="70">
        <f t="shared" si="1520"/>
        <v>240.55262659977822</v>
      </c>
      <c r="S185" s="70">
        <f t="shared" si="1520"/>
        <v>251.64252148632684</v>
      </c>
      <c r="T185" s="70">
        <f t="shared" si="1520"/>
        <v>295.71732339893714</v>
      </c>
      <c r="U185" s="70">
        <f t="shared" si="1520"/>
        <v>365.84855221310579</v>
      </c>
      <c r="V185" s="70">
        <f t="shared" si="1520"/>
        <v>430.15508667804966</v>
      </c>
      <c r="W185" s="70">
        <f t="shared" si="1520"/>
        <v>365.99753646249866</v>
      </c>
      <c r="X185" s="70">
        <f t="shared" si="1520"/>
        <v>117.85001078381012</v>
      </c>
      <c r="Y185" s="70">
        <f t="shared" si="1520"/>
        <v>159.87891921826852</v>
      </c>
      <c r="Z185" s="70">
        <f t="shared" si="1520"/>
        <v>301.57775349629759</v>
      </c>
      <c r="AA185" s="70">
        <f t="shared" ref="AA185" si="1521">AA156/AA8*365</f>
        <v>285.40072342999076</v>
      </c>
      <c r="AB185" s="71">
        <f t="shared" si="1520"/>
        <v>118.20038427442897</v>
      </c>
      <c r="AC185" s="71">
        <f t="shared" si="1520"/>
        <v>118.3236051815982</v>
      </c>
      <c r="AD185" s="71">
        <f t="shared" si="1520"/>
        <v>118.33870988228429</v>
      </c>
      <c r="AE185" s="71">
        <f t="shared" si="1520"/>
        <v>118.33992274514829</v>
      </c>
      <c r="AI185" s="70" t="e">
        <f t="shared" ref="AI185:CD185" si="1522">AI156/AI8*90</f>
        <v>#DIV/0!</v>
      </c>
      <c r="AJ185" s="70" t="e">
        <f t="shared" si="1522"/>
        <v>#DIV/0!</v>
      </c>
      <c r="AK185" s="70" t="e">
        <f>AK156/AK8*90</f>
        <v>#DIV/0!</v>
      </c>
      <c r="AL185" s="70" t="e">
        <f t="shared" si="1522"/>
        <v>#DIV/0!</v>
      </c>
      <c r="AM185" s="70" t="e">
        <f t="shared" si="1522"/>
        <v>#DIV/0!</v>
      </c>
      <c r="AN185" s="70" t="e">
        <f t="shared" si="1522"/>
        <v>#DIV/0!</v>
      </c>
      <c r="AO185" s="70" t="e">
        <f t="shared" si="1522"/>
        <v>#DIV/0!</v>
      </c>
      <c r="AP185" s="70" t="e">
        <f t="shared" si="1522"/>
        <v>#DIV/0!</v>
      </c>
      <c r="AQ185" s="70" t="e">
        <f t="shared" si="1522"/>
        <v>#DIV/0!</v>
      </c>
      <c r="AR185" s="70" t="e">
        <f t="shared" si="1522"/>
        <v>#DIV/0!</v>
      </c>
      <c r="AS185" s="70" t="e">
        <f t="shared" si="1522"/>
        <v>#DIV/0!</v>
      </c>
      <c r="AT185" s="70" t="e">
        <f t="shared" si="1522"/>
        <v>#DIV/0!</v>
      </c>
      <c r="AU185" s="70" t="e">
        <f t="shared" si="1522"/>
        <v>#DIV/0!</v>
      </c>
      <c r="AV185" s="70" t="e">
        <f t="shared" si="1522"/>
        <v>#DIV/0!</v>
      </c>
      <c r="AW185" s="70" t="e">
        <f t="shared" si="1522"/>
        <v>#DIV/0!</v>
      </c>
      <c r="AX185" s="70" t="e">
        <f t="shared" si="1522"/>
        <v>#DIV/0!</v>
      </c>
      <c r="AY185" s="70" t="e">
        <f t="shared" si="1522"/>
        <v>#DIV/0!</v>
      </c>
      <c r="AZ185" s="70" t="e">
        <f t="shared" si="1522"/>
        <v>#DIV/0!</v>
      </c>
      <c r="BA185" s="70" t="e">
        <f t="shared" si="1522"/>
        <v>#DIV/0!</v>
      </c>
      <c r="BB185" s="70" t="e">
        <f t="shared" si="1522"/>
        <v>#DIV/0!</v>
      </c>
      <c r="BC185" s="70" t="e">
        <f t="shared" si="1522"/>
        <v>#DIV/0!</v>
      </c>
      <c r="BD185" s="70" t="e">
        <f t="shared" si="1522"/>
        <v>#DIV/0!</v>
      </c>
      <c r="BE185" s="70" t="e">
        <f t="shared" si="1522"/>
        <v>#DIV/0!</v>
      </c>
      <c r="BF185" s="70" t="e">
        <f t="shared" si="1522"/>
        <v>#DIV/0!</v>
      </c>
      <c r="BG185" s="70" t="e">
        <f t="shared" si="1522"/>
        <v>#DIV/0!</v>
      </c>
      <c r="BH185" s="70" t="e">
        <f t="shared" si="1522"/>
        <v>#DIV/0!</v>
      </c>
      <c r="BI185" s="70" t="e">
        <f t="shared" si="1522"/>
        <v>#DIV/0!</v>
      </c>
      <c r="BJ185" s="70" t="e">
        <f t="shared" si="1522"/>
        <v>#DIV/0!</v>
      </c>
      <c r="BK185" s="70" t="e">
        <f t="shared" si="1522"/>
        <v>#DIV/0!</v>
      </c>
      <c r="BL185" s="70">
        <f t="shared" si="1522"/>
        <v>0</v>
      </c>
      <c r="BM185" s="70">
        <f t="shared" si="1522"/>
        <v>0</v>
      </c>
      <c r="BN185" s="70">
        <f t="shared" si="1522"/>
        <v>129.72019569135696</v>
      </c>
      <c r="BO185" s="70">
        <f t="shared" si="1522"/>
        <v>149.26716205447772</v>
      </c>
      <c r="BP185" s="70">
        <f t="shared" si="1522"/>
        <v>179.98106857383257</v>
      </c>
      <c r="BQ185" s="70">
        <f t="shared" si="1522"/>
        <v>167.82205674532719</v>
      </c>
      <c r="BR185" s="70">
        <f t="shared" si="1522"/>
        <v>146.87300085597153</v>
      </c>
      <c r="BS185" s="70">
        <f t="shared" si="1522"/>
        <v>146.01493926618363</v>
      </c>
      <c r="BT185" s="70">
        <f t="shared" si="1522"/>
        <v>131.05116082883703</v>
      </c>
      <c r="BU185" s="70">
        <f t="shared" si="1522"/>
        <v>126.33151265087267</v>
      </c>
      <c r="BV185" s="70">
        <f t="shared" si="1522"/>
        <v>114.41484637147181</v>
      </c>
      <c r="BW185" s="70">
        <f t="shared" si="1522"/>
        <v>117.07536043788598</v>
      </c>
      <c r="BX185" s="70">
        <f t="shared" si="1522"/>
        <v>125.91310805792797</v>
      </c>
      <c r="BY185" s="70">
        <f t="shared" si="1522"/>
        <v>125.38855700321437</v>
      </c>
      <c r="BZ185" s="70">
        <f t="shared" si="1522"/>
        <v>113.30606365777426</v>
      </c>
      <c r="CA185" s="70">
        <f t="shared" si="1522"/>
        <v>108.79886192367191</v>
      </c>
      <c r="CB185" s="70">
        <f t="shared" si="1522"/>
        <v>144.6756797039439</v>
      </c>
      <c r="CC185" s="70">
        <f t="shared" si="1522"/>
        <v>138.3431171851316</v>
      </c>
      <c r="CD185" s="70">
        <f t="shared" si="1522"/>
        <v>144.31557790239614</v>
      </c>
      <c r="CE185" s="115">
        <f>CE156/CE10*90</f>
        <v>136.37892224652248</v>
      </c>
      <c r="CF185" s="70">
        <f>CF156/CF8*90</f>
        <v>118.14736617265288</v>
      </c>
      <c r="CG185" s="70">
        <f>CG156/CG10*90</f>
        <v>116.89695435446926</v>
      </c>
      <c r="CH185" s="70">
        <f>CH156/CH8*90</f>
        <v>296.9912568858341</v>
      </c>
      <c r="CI185" s="70">
        <f>CI183+CI184</f>
        <v>296.9912568858341</v>
      </c>
      <c r="CJ185" s="70">
        <f>CJ156/CJ8*90</f>
        <v>121.23236838333271</v>
      </c>
      <c r="CK185" s="50">
        <f t="shared" ref="CK185:DB185" si="1523">CK183+CK184</f>
        <v>121.23236838333271</v>
      </c>
      <c r="CL185" s="70">
        <f>CL156/CL8*90</f>
        <v>111.03985122210415</v>
      </c>
      <c r="CM185" s="50">
        <f t="shared" si="1523"/>
        <v>111.03985122210415</v>
      </c>
      <c r="CN185" s="50">
        <f t="shared" si="1523"/>
        <v>111.03985122210415</v>
      </c>
      <c r="CO185" s="50">
        <f t="shared" si="1523"/>
        <v>111.03985122210415</v>
      </c>
      <c r="CP185" s="50">
        <f t="shared" si="1523"/>
        <v>111.03985122210415</v>
      </c>
      <c r="CQ185" s="50">
        <f t="shared" si="1523"/>
        <v>111.03985122210415</v>
      </c>
      <c r="CR185" s="50">
        <f t="shared" si="1523"/>
        <v>111.03985122210415</v>
      </c>
      <c r="CS185" s="50">
        <f t="shared" si="1523"/>
        <v>111.03985122210415</v>
      </c>
      <c r="CT185" s="50">
        <f t="shared" si="1523"/>
        <v>111.03985122210415</v>
      </c>
      <c r="CU185" s="50">
        <f t="shared" si="1523"/>
        <v>111.03985122210415</v>
      </c>
      <c r="CV185" s="50">
        <f t="shared" si="1523"/>
        <v>111.03985122210415</v>
      </c>
      <c r="CW185" s="50">
        <f t="shared" si="1523"/>
        <v>111.03985122210415</v>
      </c>
      <c r="CX185" s="50">
        <f t="shared" si="1523"/>
        <v>111.03985122210415</v>
      </c>
      <c r="CY185" s="50">
        <f t="shared" si="1523"/>
        <v>111.03985122210415</v>
      </c>
      <c r="CZ185" s="50">
        <f t="shared" si="1523"/>
        <v>111.03985122210415</v>
      </c>
      <c r="DA185" s="50">
        <f t="shared" si="1523"/>
        <v>111.03985122210415</v>
      </c>
      <c r="DB185" s="50">
        <f t="shared" si="1523"/>
        <v>111.03985122210415</v>
      </c>
      <c r="DE185" s="138"/>
      <c r="DF185" s="7">
        <v>121.23236838333271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 t="e">
        <f t="shared" si="1524"/>
        <v>#DIV/0!</v>
      </c>
      <c r="F186" s="70">
        <f t="shared" si="1524"/>
        <v>25.801595392021838</v>
      </c>
      <c r="G186" s="70">
        <f t="shared" si="1524"/>
        <v>-14.109712465915024</v>
      </c>
      <c r="H186" s="70">
        <f t="shared" si="1524"/>
        <v>4.4151700933123124</v>
      </c>
      <c r="I186" s="70">
        <f t="shared" si="1524"/>
        <v>-17.757998539654835</v>
      </c>
      <c r="J186" s="70">
        <f t="shared" si="1524"/>
        <v>-6.2510463569392414</v>
      </c>
      <c r="K186" s="70">
        <f t="shared" si="1524"/>
        <v>5.1075503883143512</v>
      </c>
      <c r="L186" s="70">
        <f t="shared" si="1524"/>
        <v>3.3718115034635048</v>
      </c>
      <c r="M186" s="70">
        <f t="shared" si="1524"/>
        <v>-29.470125960551407</v>
      </c>
      <c r="N186" s="70">
        <f t="shared" si="1524"/>
        <v>-19.965456986115811</v>
      </c>
      <c r="O186" s="70">
        <f t="shared" si="1524"/>
        <v>-21.309327472433523</v>
      </c>
      <c r="P186" s="70">
        <f t="shared" si="1524"/>
        <v>-21.926505738318113</v>
      </c>
      <c r="Q186" s="70">
        <f t="shared" si="1524"/>
        <v>-17.013406804501741</v>
      </c>
      <c r="R186" s="70">
        <f t="shared" si="1524"/>
        <v>-13.834803270274335</v>
      </c>
      <c r="S186" s="70">
        <f t="shared" si="1524"/>
        <v>-8.6789468835649188</v>
      </c>
      <c r="T186" s="70">
        <f t="shared" si="1524"/>
        <v>-28.187730044191312</v>
      </c>
      <c r="U186" s="70">
        <f t="shared" si="1524"/>
        <v>-63.604374970252081</v>
      </c>
      <c r="V186" s="70">
        <f t="shared" si="1524"/>
        <v>-100.67422158997965</v>
      </c>
      <c r="W186" s="70">
        <f t="shared" ref="W186" si="1525">W182-W185</f>
        <v>-57.988121483948817</v>
      </c>
      <c r="X186" s="70">
        <f t="shared" ref="X186:Y186" si="1526">X182-X185</f>
        <v>-18.758927513039339</v>
      </c>
      <c r="Y186" s="70">
        <f t="shared" si="1526"/>
        <v>-33.361656976690512</v>
      </c>
      <c r="Z186" s="70">
        <f t="shared" ref="Z186:AA186" si="1527">Z182-Z185</f>
        <v>-7.040413057924809</v>
      </c>
      <c r="AA186" s="70">
        <f t="shared" si="1527"/>
        <v>-11.182331529979592</v>
      </c>
      <c r="AB186" s="71">
        <f t="shared" ref="AA186:AD186" si="1528">AB182-AB185</f>
        <v>1.5455815372718433</v>
      </c>
      <c r="AC186" s="71">
        <f t="shared" si="1528"/>
        <v>1.5471927668824748</v>
      </c>
      <c r="AD186" s="71">
        <f t="shared" si="1528"/>
        <v>1.5473902750940596</v>
      </c>
      <c r="AE186" s="71">
        <f t="shared" ref="AE186" si="1529">AE182-AE185</f>
        <v>1.5474061344202426</v>
      </c>
      <c r="AI186" s="70" t="e">
        <f t="shared" ref="AI186:AK186" si="1530">AI182-AI185</f>
        <v>#DIV/0!</v>
      </c>
      <c r="AJ186" s="70" t="e">
        <f t="shared" ref="AJ186:AM186" si="1531">AJ182-AJ185</f>
        <v>#DIV/0!</v>
      </c>
      <c r="AK186" s="70" t="e">
        <f t="shared" si="1530"/>
        <v>#DIV/0!</v>
      </c>
      <c r="AL186" s="70" t="e">
        <f t="shared" si="1531"/>
        <v>#DIV/0!</v>
      </c>
      <c r="AM186" s="70" t="e">
        <f t="shared" si="1531"/>
        <v>#DIV/0!</v>
      </c>
      <c r="AN186" s="70" t="e">
        <f t="shared" ref="AN186:AY186" si="1532">AN182-AN185</f>
        <v>#DIV/0!</v>
      </c>
      <c r="AO186" s="70" t="e">
        <f t="shared" si="1532"/>
        <v>#DIV/0!</v>
      </c>
      <c r="AP186" s="70" t="e">
        <f t="shared" si="1532"/>
        <v>#DIV/0!</v>
      </c>
      <c r="AQ186" s="70" t="e">
        <f t="shared" si="1532"/>
        <v>#DIV/0!</v>
      </c>
      <c r="AR186" s="70" t="e">
        <f t="shared" si="1532"/>
        <v>#DIV/0!</v>
      </c>
      <c r="AS186" s="70" t="e">
        <f t="shared" si="1532"/>
        <v>#DIV/0!</v>
      </c>
      <c r="AT186" s="70" t="e">
        <f t="shared" si="1532"/>
        <v>#DIV/0!</v>
      </c>
      <c r="AU186" s="70" t="e">
        <f t="shared" si="1532"/>
        <v>#DIV/0!</v>
      </c>
      <c r="AV186" s="70" t="e">
        <f t="shared" si="1532"/>
        <v>#DIV/0!</v>
      </c>
      <c r="AW186" s="70" t="e">
        <f t="shared" si="1532"/>
        <v>#DIV/0!</v>
      </c>
      <c r="AX186" s="70" t="e">
        <f t="shared" si="1532"/>
        <v>#DIV/0!</v>
      </c>
      <c r="AY186" s="70" t="e">
        <f t="shared" si="1532"/>
        <v>#DIV/0!</v>
      </c>
      <c r="AZ186" s="70" t="e">
        <f t="shared" ref="AZ186:BC186" si="1533">AZ182-AZ185</f>
        <v>#DIV/0!</v>
      </c>
      <c r="BA186" s="70" t="e">
        <f t="shared" si="1533"/>
        <v>#DIV/0!</v>
      </c>
      <c r="BB186" s="70" t="e">
        <f t="shared" si="1533"/>
        <v>#DIV/0!</v>
      </c>
      <c r="BC186" s="70" t="e">
        <f t="shared" si="1533"/>
        <v>#DIV/0!</v>
      </c>
      <c r="BD186" s="70" t="e">
        <f t="shared" ref="BD186:CE186" si="1534">BD182-BD185</f>
        <v>#DIV/0!</v>
      </c>
      <c r="BE186" s="70" t="e">
        <f t="shared" si="1534"/>
        <v>#DIV/0!</v>
      </c>
      <c r="BF186" s="70" t="e">
        <f t="shared" si="1534"/>
        <v>#DIV/0!</v>
      </c>
      <c r="BG186" s="70" t="e">
        <f t="shared" si="1534"/>
        <v>#DIV/0!</v>
      </c>
      <c r="BH186" s="70" t="e">
        <f t="shared" si="1534"/>
        <v>#DIV/0!</v>
      </c>
      <c r="BI186" s="70" t="e">
        <f t="shared" si="1534"/>
        <v>#DIV/0!</v>
      </c>
      <c r="BJ186" s="70" t="e">
        <f t="shared" si="1534"/>
        <v>#DIV/0!</v>
      </c>
      <c r="BK186" s="70" t="e">
        <f t="shared" si="1534"/>
        <v>#DIV/0!</v>
      </c>
      <c r="BL186" s="70">
        <f t="shared" si="1534"/>
        <v>0</v>
      </c>
      <c r="BM186" s="70">
        <f t="shared" si="1534"/>
        <v>0</v>
      </c>
      <c r="BN186" s="70">
        <f t="shared" si="1534"/>
        <v>-11.769290189683289</v>
      </c>
      <c r="BO186" s="70">
        <f t="shared" si="1534"/>
        <v>-13.472346115534634</v>
      </c>
      <c r="BP186" s="70">
        <f t="shared" si="1534"/>
        <v>-63.01798485485908</v>
      </c>
      <c r="BQ186" s="70">
        <f t="shared" si="1534"/>
        <v>-58.392876536394454</v>
      </c>
      <c r="BR186" s="70">
        <f t="shared" si="1534"/>
        <v>-54.446096319322436</v>
      </c>
      <c r="BS186" s="70">
        <f t="shared" si="1534"/>
        <v>-54.141536704126565</v>
      </c>
      <c r="BT186" s="70">
        <f t="shared" si="1534"/>
        <v>-42.424515369338621</v>
      </c>
      <c r="BU186" s="70">
        <f t="shared" si="1534"/>
        <v>-40.850547653992663</v>
      </c>
      <c r="BV186" s="70">
        <f t="shared" si="1534"/>
        <v>-26.673506480689525</v>
      </c>
      <c r="BW186" s="70">
        <f t="shared" si="1534"/>
        <v>-27.171135482270259</v>
      </c>
      <c r="BX186" s="70">
        <f t="shared" si="1534"/>
        <v>-25.915336056442655</v>
      </c>
      <c r="BY186" s="70">
        <f t="shared" si="1534"/>
        <v>-25.779655100941667</v>
      </c>
      <c r="BZ186" s="70">
        <f t="shared" si="1534"/>
        <v>11.927467210187814</v>
      </c>
      <c r="CA186" s="70">
        <f t="shared" si="1534"/>
        <v>11.20500497097909</v>
      </c>
      <c r="CB186" s="70">
        <f t="shared" si="1534"/>
        <v>-45.065271209053279</v>
      </c>
      <c r="CC186" s="70">
        <f t="shared" si="1534"/>
        <v>-42.862638617616824</v>
      </c>
      <c r="CD186" s="70">
        <f t="shared" si="1534"/>
        <v>-5.8726595138166431</v>
      </c>
      <c r="CE186" s="115">
        <f t="shared" si="1534"/>
        <v>-5.4966261779616161</v>
      </c>
      <c r="CF186" s="70">
        <f t="shared" ref="CF186:CG186" si="1535">CF182-CF185</f>
        <v>-3.8590581972330966</v>
      </c>
      <c r="CG186" s="70">
        <f t="shared" si="1535"/>
        <v>-3.8030350921356302</v>
      </c>
      <c r="CH186" s="70">
        <f t="shared" ref="CH186:CI186" si="1536">CH182-CH185</f>
        <v>-6.9333400717642348</v>
      </c>
      <c r="CI186" s="70">
        <f t="shared" si="1536"/>
        <v>-6.9333400717642348</v>
      </c>
      <c r="CJ186" s="70">
        <f t="shared" ref="CJ186:DB186" si="1537">CJ182-CJ185</f>
        <v>-5.2589863512573629</v>
      </c>
      <c r="CK186" s="50">
        <f t="shared" si="1537"/>
        <v>-5.2589863512573629</v>
      </c>
      <c r="CL186" s="70">
        <f t="shared" ref="CL186" si="1538">CL182-CL185</f>
        <v>1.4519508122058369</v>
      </c>
      <c r="CM186" s="50">
        <f t="shared" si="1537"/>
        <v>1.4519508122058369</v>
      </c>
      <c r="CN186" s="50">
        <f t="shared" si="1537"/>
        <v>1.4519508122058369</v>
      </c>
      <c r="CO186" s="50">
        <f t="shared" si="1537"/>
        <v>1.4519508122058369</v>
      </c>
      <c r="CP186" s="50">
        <f t="shared" si="1537"/>
        <v>1.4519508122058369</v>
      </c>
      <c r="CQ186" s="50">
        <f t="shared" si="1537"/>
        <v>1.4519508122058369</v>
      </c>
      <c r="CR186" s="50">
        <f t="shared" si="1537"/>
        <v>1.4519508122058369</v>
      </c>
      <c r="CS186" s="50">
        <f t="shared" si="1537"/>
        <v>1.4519508122058369</v>
      </c>
      <c r="CT186" s="50">
        <f t="shared" si="1537"/>
        <v>1.4519508122058369</v>
      </c>
      <c r="CU186" s="50">
        <f t="shared" si="1537"/>
        <v>1.4519508122058369</v>
      </c>
      <c r="CV186" s="50">
        <f t="shared" si="1537"/>
        <v>1.4519508122058369</v>
      </c>
      <c r="CW186" s="50">
        <f t="shared" si="1537"/>
        <v>1.4519508122058369</v>
      </c>
      <c r="CX186" s="50">
        <f t="shared" si="1537"/>
        <v>1.4519508122058369</v>
      </c>
      <c r="CY186" s="50">
        <f t="shared" si="1537"/>
        <v>1.4519508122058369</v>
      </c>
      <c r="CZ186" s="50">
        <f t="shared" si="1537"/>
        <v>1.4519508122058369</v>
      </c>
      <c r="DA186" s="50">
        <f t="shared" si="1537"/>
        <v>1.4519508122058369</v>
      </c>
      <c r="DB186" s="50">
        <f t="shared" si="1537"/>
        <v>1.4519508122058369</v>
      </c>
      <c r="DE186" s="138"/>
      <c r="DF186" s="7">
        <v>-5.2589863512573629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 t="e">
        <f t="shared" si="1539"/>
        <v>#DIV/0!</v>
      </c>
      <c r="G188" s="86">
        <f t="shared" si="1539"/>
        <v>0.72382788546716492</v>
      </c>
      <c r="H188" s="86">
        <f t="shared" si="1539"/>
        <v>0.37602453575757977</v>
      </c>
      <c r="I188" s="86">
        <f t="shared" si="1539"/>
        <v>0.30368345310552169</v>
      </c>
      <c r="J188" s="86">
        <f t="shared" si="1539"/>
        <v>-0.13296171990270467</v>
      </c>
      <c r="K188" s="86">
        <f t="shared" si="1539"/>
        <v>0.26171148176695702</v>
      </c>
      <c r="L188" s="86">
        <f t="shared" si="1539"/>
        <v>2.0636721776550848E-2</v>
      </c>
      <c r="M188" s="86">
        <f t="shared" si="1539"/>
        <v>-0.14118387909319907</v>
      </c>
      <c r="N188" s="86">
        <f t="shared" si="1539"/>
        <v>8.263675025663586E-2</v>
      </c>
      <c r="O188" s="86">
        <f t="shared" si="1539"/>
        <v>9.1811008127328009E-2</v>
      </c>
      <c r="P188" s="86">
        <f t="shared" si="1539"/>
        <v>0.18993476996311354</v>
      </c>
      <c r="Q188" s="86">
        <f t="shared" si="1539"/>
        <v>3.721057529147731E-2</v>
      </c>
      <c r="R188" s="86">
        <f t="shared" si="1539"/>
        <v>0.20200726368399247</v>
      </c>
      <c r="S188" s="86">
        <f t="shared" si="1539"/>
        <v>0.34125966818486386</v>
      </c>
      <c r="T188" s="86">
        <f t="shared" si="1539"/>
        <v>8.1223825509998848E-2</v>
      </c>
      <c r="U188" s="86">
        <f t="shared" si="1539"/>
        <v>8.6297882818546778E-3</v>
      </c>
      <c r="V188" s="86">
        <f t="shared" si="1539"/>
        <v>8.3842900367752105E-3</v>
      </c>
      <c r="W188" s="86">
        <f t="shared" si="1539"/>
        <v>0.28940172287347421</v>
      </c>
      <c r="X188" s="86">
        <f t="shared" si="1539"/>
        <v>6.8332330219558202E-2</v>
      </c>
      <c r="Y188" s="86">
        <f t="shared" si="1539"/>
        <v>0.16946520945287391</v>
      </c>
      <c r="Z188" s="86">
        <f>Z10/Y10-1</f>
        <v>0.2516151744525672</v>
      </c>
      <c r="AA188" s="86">
        <f>AA10/Z10-1</f>
        <v>6.591690742520484E-2</v>
      </c>
      <c r="AB188" s="87">
        <f t="shared" ref="AA188:AE188" si="1540">AB10/AA10-1</f>
        <v>7.1476189579509297E-2</v>
      </c>
      <c r="AC188" s="87">
        <f t="shared" si="1540"/>
        <v>7.313447895981251E-2</v>
      </c>
      <c r="AD188" s="87">
        <f t="shared" si="1540"/>
        <v>7.3520854058284346E-2</v>
      </c>
      <c r="AE188" s="87">
        <f t="shared" si="1540"/>
        <v>7.3594898503847483E-2</v>
      </c>
      <c r="AN188" s="86" t="e">
        <f t="shared" ref="AN188:CI188" si="1541">+(AN10+AM10)/(AJ10+AI10)-1</f>
        <v>#DIV/0!</v>
      </c>
      <c r="AO188" s="86" t="e">
        <f t="shared" si="1541"/>
        <v>#DIV/0!</v>
      </c>
      <c r="AP188" s="86" t="e">
        <f t="shared" si="1541"/>
        <v>#DIV/0!</v>
      </c>
      <c r="AQ188" s="86" t="e">
        <f t="shared" si="1541"/>
        <v>#DIV/0!</v>
      </c>
      <c r="AR188" s="86" t="e">
        <f t="shared" si="1541"/>
        <v>#DIV/0!</v>
      </c>
      <c r="AS188" s="86" t="e">
        <f t="shared" si="1541"/>
        <v>#DIV/0!</v>
      </c>
      <c r="AT188" s="86" t="e">
        <f t="shared" si="1541"/>
        <v>#DIV/0!</v>
      </c>
      <c r="AU188" s="86" t="e">
        <f t="shared" si="1541"/>
        <v>#DIV/0!</v>
      </c>
      <c r="AV188" s="86" t="e">
        <f t="shared" si="1541"/>
        <v>#DIV/0!</v>
      </c>
      <c r="AW188" s="86" t="e">
        <f t="shared" si="1541"/>
        <v>#DIV/0!</v>
      </c>
      <c r="AX188" s="86" t="e">
        <f t="shared" si="1541"/>
        <v>#DIV/0!</v>
      </c>
      <c r="AY188" s="86" t="e">
        <f t="shared" si="1541"/>
        <v>#DIV/0!</v>
      </c>
      <c r="AZ188" s="86" t="e">
        <f t="shared" si="1541"/>
        <v>#DIV/0!</v>
      </c>
      <c r="BA188" s="86" t="e">
        <f t="shared" si="1541"/>
        <v>#DIV/0!</v>
      </c>
      <c r="BB188" s="86" t="e">
        <f t="shared" si="1541"/>
        <v>#DIV/0!</v>
      </c>
      <c r="BC188" s="86" t="e">
        <f t="shared" si="1541"/>
        <v>#DIV/0!</v>
      </c>
      <c r="BD188" s="86" t="e">
        <f t="shared" si="1541"/>
        <v>#DIV/0!</v>
      </c>
      <c r="BE188" s="86" t="e">
        <f t="shared" si="1541"/>
        <v>#DIV/0!</v>
      </c>
      <c r="BF188" s="86" t="e">
        <f t="shared" si="1541"/>
        <v>#DIV/0!</v>
      </c>
      <c r="BG188" s="86" t="e">
        <f t="shared" si="1541"/>
        <v>#DIV/0!</v>
      </c>
      <c r="BH188" s="86" t="e">
        <f t="shared" si="1541"/>
        <v>#DIV/0!</v>
      </c>
      <c r="BI188" s="86" t="e">
        <f t="shared" si="1541"/>
        <v>#DIV/0!</v>
      </c>
      <c r="BJ188" s="86" t="e">
        <f t="shared" si="1541"/>
        <v>#DIV/0!</v>
      </c>
      <c r="BK188" s="86" t="e">
        <f t="shared" si="1541"/>
        <v>#DIV/0!</v>
      </c>
      <c r="BL188" s="86" t="e">
        <f t="shared" si="1541"/>
        <v>#DIV/0!</v>
      </c>
      <c r="BM188" s="86" t="e">
        <f t="shared" si="1541"/>
        <v>#DIV/0!</v>
      </c>
      <c r="BN188" s="86" t="e">
        <f t="shared" si="1541"/>
        <v>#DIV/0!</v>
      </c>
      <c r="BO188" s="86" t="e">
        <f t="shared" si="1541"/>
        <v>#DIV/0!</v>
      </c>
      <c r="BP188" s="86">
        <f t="shared" si="1541"/>
        <v>0.83958188313668192</v>
      </c>
      <c r="BQ188" s="86">
        <f t="shared" si="1541"/>
        <v>2.0688334443304202E-2</v>
      </c>
      <c r="BR188" s="86">
        <f t="shared" si="1541"/>
        <v>9.9570406816477774E-2</v>
      </c>
      <c r="BS188" s="86">
        <f t="shared" si="1541"/>
        <v>0.23983116361050127</v>
      </c>
      <c r="BT188" s="86">
        <f t="shared" si="1541"/>
        <v>0.34088044807345308</v>
      </c>
      <c r="BU188" s="86">
        <f t="shared" si="1541"/>
        <v>0.30302970901463744</v>
      </c>
      <c r="BV188" s="86">
        <f t="shared" si="1541"/>
        <v>0.24672954376941125</v>
      </c>
      <c r="BW188" s="86">
        <f t="shared" si="1541"/>
        <v>0.19673574444630115</v>
      </c>
      <c r="BX188" s="86">
        <f t="shared" si="1541"/>
        <v>0.11718115921748606</v>
      </c>
      <c r="BY188" s="86">
        <f t="shared" si="1541"/>
        <v>4.4344821064757234E-2</v>
      </c>
      <c r="BZ188" s="86">
        <f t="shared" si="1541"/>
        <v>2.4776666888475019E-2</v>
      </c>
      <c r="CA188" s="86">
        <f t="shared" si="1541"/>
        <v>6.3997665839985007E-2</v>
      </c>
      <c r="CB188" s="86">
        <f t="shared" si="1541"/>
        <v>0.11975800390801172</v>
      </c>
      <c r="CC188" s="86">
        <f t="shared" si="1541"/>
        <v>0.16219836935272092</v>
      </c>
      <c r="CD188" s="86">
        <f t="shared" si="1541"/>
        <v>0.21778328811653935</v>
      </c>
      <c r="CE188" s="86">
        <f t="shared" si="1541"/>
        <v>0.2572247315576901</v>
      </c>
      <c r="CF188" s="86">
        <f t="shared" si="1541"/>
        <v>0.29865282578460861</v>
      </c>
      <c r="CG188" s="86">
        <f t="shared" si="1541"/>
        <v>0.3012849683317369</v>
      </c>
      <c r="CH188" s="86">
        <f t="shared" si="1541"/>
        <v>0.20957214769294352</v>
      </c>
      <c r="CI188" s="86">
        <f t="shared" si="1541"/>
        <v>0.10665393286085312</v>
      </c>
      <c r="CJ188" s="86">
        <f>+(CJ10+CI10)/(CF10+CE10)-1</f>
        <v>4.9263969082968817E-2</v>
      </c>
      <c r="CK188" s="87"/>
      <c r="CL188" s="86">
        <f>+(CL10+CK10)/(CH10+CG10)-1</f>
        <v>8.1897317707867012E-2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6.591690742520484E-2</v>
      </c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 t="e">
        <f t="shared" ref="F189" si="1544">F186/E186-1</f>
        <v>#DIV/0!</v>
      </c>
      <c r="G189" s="86">
        <f t="shared" ref="G189" si="1545">G186/F186-1</f>
        <v>-1.5468542643017305</v>
      </c>
      <c r="H189" s="86">
        <f t="shared" ref="H189" si="1546">H186/G186-1</f>
        <v>-1.3129170848788083</v>
      </c>
      <c r="I189" s="86">
        <f t="shared" ref="I189" si="1547">I186/H186-1</f>
        <v>-5.0220417706110565</v>
      </c>
      <c r="J189" s="86">
        <f t="shared" ref="J189" si="1548">J186/I186-1</f>
        <v>-0.64798699904270052</v>
      </c>
      <c r="K189" s="86">
        <f>K186/J186-1</f>
        <v>-1.8170712704193108</v>
      </c>
      <c r="L189" s="86">
        <f t="shared" ref="L189" si="1549">L186/K186-1</f>
        <v>-0.33983783866764627</v>
      </c>
      <c r="M189" s="86">
        <f t="shared" ref="M189" si="1550">M186/L186-1</f>
        <v>-9.7401463368518275</v>
      </c>
      <c r="N189" s="86">
        <f t="shared" ref="N189" si="1551">N186/M186-1</f>
        <v>-0.32251877671505402</v>
      </c>
      <c r="O189" s="86">
        <f t="shared" ref="O189" si="1552">O186/N186-1</f>
        <v>6.730977844645647E-2</v>
      </c>
      <c r="P189" s="86">
        <f t="shared" ref="P189" si="1553">P186/O186-1</f>
        <v>2.8962822345425687E-2</v>
      </c>
      <c r="Q189" s="86">
        <f t="shared" ref="Q189" si="1554">Q186/P186-1</f>
        <v>-0.22407122194716078</v>
      </c>
      <c r="R189" s="86">
        <f t="shared" ref="R189" si="1555">R186/Q186-1</f>
        <v>-0.18682933822439074</v>
      </c>
      <c r="S189" s="86">
        <f t="shared" ref="S189" si="1556">S186/R186-1</f>
        <v>-0.37267290947225584</v>
      </c>
      <c r="T189" s="86">
        <f t="shared" ref="T189" si="1557">T186/S186-1</f>
        <v>2.2478283854426664</v>
      </c>
      <c r="U189" s="86">
        <f t="shared" ref="U189" si="1558">U186/T186-1</f>
        <v>1.2564560846345669</v>
      </c>
      <c r="V189" s="86">
        <f t="shared" ref="V189" si="1559">V186/U186-1</f>
        <v>0.58281913212833603</v>
      </c>
      <c r="W189" s="86">
        <f t="shared" ref="W189:AA189" si="1560">W186/V186-1</f>
        <v>-0.4240022861053786</v>
      </c>
      <c r="X189" s="86">
        <f t="shared" si="1560"/>
        <v>-0.67650396265669976</v>
      </c>
      <c r="Y189" s="86">
        <f t="shared" si="1560"/>
        <v>0.77844159552835901</v>
      </c>
      <c r="Z189" s="86">
        <f t="shared" si="1560"/>
        <v>-0.78896692502881727</v>
      </c>
      <c r="AA189" s="86">
        <f t="shared" si="1560"/>
        <v>0.58830617436466581</v>
      </c>
      <c r="AB189" s="87">
        <f t="shared" ref="AB189" si="1561">AB186/AA186-1</f>
        <v>-1.1382163937036003</v>
      </c>
      <c r="AC189" s="87">
        <f t="shared" ref="AC189" si="1562">AC186/AB186-1</f>
        <v>1.0424746749211344E-3</v>
      </c>
      <c r="AD189" s="87">
        <f t="shared" ref="AD189" si="1563">AD186/AC186-1</f>
        <v>1.2765585246543587E-4</v>
      </c>
      <c r="AE189" s="87">
        <f t="shared" ref="AE189" si="1564">AE186/AD186-1</f>
        <v>1.0249079652524529E-5</v>
      </c>
      <c r="AN189" s="86" t="e">
        <f t="shared" ref="AN189:CI189" si="1565">+AN186/AJ186-1</f>
        <v>#DIV/0!</v>
      </c>
      <c r="AO189" s="86" t="e">
        <f t="shared" si="1565"/>
        <v>#DIV/0!</v>
      </c>
      <c r="AP189" s="86" t="e">
        <f t="shared" si="1565"/>
        <v>#DIV/0!</v>
      </c>
      <c r="AQ189" s="86" t="e">
        <f t="shared" si="1565"/>
        <v>#DIV/0!</v>
      </c>
      <c r="AR189" s="86" t="e">
        <f t="shared" si="1565"/>
        <v>#DIV/0!</v>
      </c>
      <c r="AS189" s="86" t="e">
        <f t="shared" si="1565"/>
        <v>#DIV/0!</v>
      </c>
      <c r="AT189" s="86" t="e">
        <f t="shared" si="1565"/>
        <v>#DIV/0!</v>
      </c>
      <c r="AU189" s="86" t="e">
        <f t="shared" si="1565"/>
        <v>#DIV/0!</v>
      </c>
      <c r="AV189" s="86" t="e">
        <f t="shared" si="1565"/>
        <v>#DIV/0!</v>
      </c>
      <c r="AW189" s="86" t="e">
        <f t="shared" si="1565"/>
        <v>#DIV/0!</v>
      </c>
      <c r="AX189" s="86" t="e">
        <f t="shared" si="1565"/>
        <v>#DIV/0!</v>
      </c>
      <c r="AY189" s="86" t="e">
        <f t="shared" si="1565"/>
        <v>#DIV/0!</v>
      </c>
      <c r="AZ189" s="86" t="e">
        <f t="shared" si="1565"/>
        <v>#DIV/0!</v>
      </c>
      <c r="BA189" s="86" t="e">
        <f t="shared" si="1565"/>
        <v>#DIV/0!</v>
      </c>
      <c r="BB189" s="86" t="e">
        <f t="shared" si="1565"/>
        <v>#DIV/0!</v>
      </c>
      <c r="BC189" s="86" t="e">
        <f t="shared" si="1565"/>
        <v>#DIV/0!</v>
      </c>
      <c r="BD189" s="86" t="e">
        <f t="shared" si="1565"/>
        <v>#DIV/0!</v>
      </c>
      <c r="BE189" s="86" t="e">
        <f t="shared" si="1565"/>
        <v>#DIV/0!</v>
      </c>
      <c r="BF189" s="86" t="e">
        <f t="shared" si="1565"/>
        <v>#DIV/0!</v>
      </c>
      <c r="BG189" s="86" t="e">
        <f t="shared" si="1565"/>
        <v>#DIV/0!</v>
      </c>
      <c r="BH189" s="86" t="e">
        <f t="shared" si="1565"/>
        <v>#DIV/0!</v>
      </c>
      <c r="BI189" s="86" t="e">
        <f t="shared" si="1565"/>
        <v>#DIV/0!</v>
      </c>
      <c r="BJ189" s="86" t="e">
        <f t="shared" si="1565"/>
        <v>#DIV/0!</v>
      </c>
      <c r="BK189" s="86" t="e">
        <f t="shared" si="1565"/>
        <v>#DIV/0!</v>
      </c>
      <c r="BL189" s="86" t="e">
        <f t="shared" si="1565"/>
        <v>#DIV/0!</v>
      </c>
      <c r="BM189" s="86" t="e">
        <f t="shared" si="1565"/>
        <v>#DIV/0!</v>
      </c>
      <c r="BN189" s="86" t="e">
        <f t="shared" si="1565"/>
        <v>#DIV/0!</v>
      </c>
      <c r="BO189" s="86" t="e">
        <f t="shared" si="1565"/>
        <v>#DIV/0!</v>
      </c>
      <c r="BP189" s="86" t="e">
        <f t="shared" si="1565"/>
        <v>#DIV/0!</v>
      </c>
      <c r="BQ189" s="86" t="e">
        <f t="shared" si="1565"/>
        <v>#DIV/0!</v>
      </c>
      <c r="BR189" s="86">
        <f t="shared" si="1565"/>
        <v>3.6261155466324322</v>
      </c>
      <c r="BS189" s="86">
        <f t="shared" si="1565"/>
        <v>3.0187162829566319</v>
      </c>
      <c r="BT189" s="86">
        <f t="shared" si="1565"/>
        <v>-0.32678717881808905</v>
      </c>
      <c r="BU189" s="86">
        <f t="shared" si="1565"/>
        <v>-0.30041898811866552</v>
      </c>
      <c r="BV189" s="86">
        <f t="shared" si="1565"/>
        <v>-0.51009331643812761</v>
      </c>
      <c r="BW189" s="86">
        <f t="shared" si="1565"/>
        <v>-0.4981462083214323</v>
      </c>
      <c r="BX189" s="86">
        <f t="shared" si="1565"/>
        <v>-0.38914243731886233</v>
      </c>
      <c r="BY189" s="86">
        <f t="shared" si="1565"/>
        <v>-0.36892755222531248</v>
      </c>
      <c r="BZ189" s="86">
        <f t="shared" si="1565"/>
        <v>-1.4471653255946229</v>
      </c>
      <c r="CA189" s="86">
        <f t="shared" si="1565"/>
        <v>-1.4123863346929535</v>
      </c>
      <c r="CB189" s="86">
        <f t="shared" si="1565"/>
        <v>0.73894218893796193</v>
      </c>
      <c r="CC189" s="86">
        <f t="shared" si="1565"/>
        <v>0.6626536875604343</v>
      </c>
      <c r="CD189" s="86">
        <f t="shared" si="1565"/>
        <v>-1.4923643394131929</v>
      </c>
      <c r="CE189" s="86">
        <f t="shared" si="1565"/>
        <v>-1.4905509807624229</v>
      </c>
      <c r="CF189" s="86">
        <f t="shared" si="1565"/>
        <v>-0.91436735886196463</v>
      </c>
      <c r="CG189" s="86">
        <f t="shared" si="1565"/>
        <v>-0.91127389225700728</v>
      </c>
      <c r="CH189" s="86">
        <f t="shared" si="1565"/>
        <v>0.18061332441496436</v>
      </c>
      <c r="CI189" s="86">
        <f t="shared" si="1565"/>
        <v>0.26138104489678304</v>
      </c>
      <c r="CJ189" s="86">
        <f>+CJ186/CF186-1</f>
        <v>0.36276419853631636</v>
      </c>
      <c r="CK189" s="87"/>
      <c r="CL189" s="86">
        <f>+CL186/CH186-1</f>
        <v>-1.2094157790007809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-1.2180080376071298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e">
        <f t="shared" si="1566"/>
        <v>#DIV/0!</v>
      </c>
      <c r="G190" s="103">
        <f t="shared" si="1566"/>
        <v>0</v>
      </c>
      <c r="H190" s="103">
        <f t="shared" si="1566"/>
        <v>0</v>
      </c>
      <c r="I190" s="103">
        <f t="shared" si="1566"/>
        <v>0</v>
      </c>
      <c r="J190" s="103">
        <f t="shared" si="1566"/>
        <v>0</v>
      </c>
      <c r="K190" s="103">
        <f t="shared" si="1566"/>
        <v>0</v>
      </c>
      <c r="L190" s="103">
        <f t="shared" si="1566"/>
        <v>0</v>
      </c>
      <c r="M190" s="103">
        <f t="shared" si="1566"/>
        <v>0</v>
      </c>
      <c r="N190" s="103">
        <f t="shared" si="1566"/>
        <v>0</v>
      </c>
      <c r="O190" s="103">
        <f t="shared" si="1566"/>
        <v>0</v>
      </c>
      <c r="P190" s="103">
        <f t="shared" si="1566"/>
        <v>0</v>
      </c>
      <c r="Q190" s="103">
        <f t="shared" si="1566"/>
        <v>0</v>
      </c>
      <c r="R190" s="103">
        <f t="shared" si="1566"/>
        <v>0</v>
      </c>
      <c r="S190" s="103">
        <f t="shared" si="1566"/>
        <v>0</v>
      </c>
      <c r="T190" s="103" t="str">
        <f t="shared" si="1566"/>
        <v>RF</v>
      </c>
      <c r="U190" s="103" t="str">
        <f t="shared" si="1566"/>
        <v>RF</v>
      </c>
      <c r="V190" s="103" t="str">
        <f>IF(V189&gt;V188,"RF",0)</f>
        <v>RF</v>
      </c>
      <c r="W190" s="103">
        <f t="shared" ref="W190" si="1567">IF(W189&gt;W188,"RF",0)</f>
        <v>0</v>
      </c>
      <c r="X190" s="103">
        <f t="shared" ref="X190:Y190" si="1568">IF(X189&gt;X188,"RF",0)</f>
        <v>0</v>
      </c>
      <c r="Y190" s="103" t="str">
        <f t="shared" si="1568"/>
        <v>RF</v>
      </c>
      <c r="Z190" s="103">
        <f t="shared" ref="Z190:AA190" si="1569">IF(Z189&gt;Z188,"RF",0)</f>
        <v>0</v>
      </c>
      <c r="AA190" s="103" t="str">
        <f t="shared" si="1569"/>
        <v>RF</v>
      </c>
      <c r="AB190" s="73">
        <f t="shared" ref="AA190:AD190" si="1570">IF(AB189&gt;AB188,"RF",0)</f>
        <v>0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</v>
      </c>
      <c r="D193" s="23">
        <f t="shared" si="1572"/>
        <v>0</v>
      </c>
      <c r="E193" s="23">
        <f t="shared" si="1572"/>
        <v>0</v>
      </c>
      <c r="F193" s="23">
        <f t="shared" si="1572"/>
        <v>23.630810699999991</v>
      </c>
      <c r="G193" s="23">
        <f t="shared" si="1572"/>
        <v>31.619440699999984</v>
      </c>
      <c r="H193" s="23">
        <f t="shared" si="1572"/>
        <v>52.975600000000014</v>
      </c>
      <c r="I193" s="23">
        <f t="shared" si="1572"/>
        <v>72.815600000000018</v>
      </c>
      <c r="J193" s="23">
        <f t="shared" si="1572"/>
        <v>49.231999999999992</v>
      </c>
      <c r="K193" s="23">
        <f t="shared" si="1572"/>
        <v>80.609799999999979</v>
      </c>
      <c r="L193" s="23">
        <f t="shared" si="1572"/>
        <v>58.914100000000033</v>
      </c>
      <c r="M193" s="23">
        <f t="shared" si="1572"/>
        <v>50.559999999999988</v>
      </c>
      <c r="N193" s="23">
        <f t="shared" si="1572"/>
        <v>65.33</v>
      </c>
      <c r="O193" s="23">
        <f t="shared" si="1572"/>
        <v>65.002209399999956</v>
      </c>
      <c r="P193" s="23">
        <f t="shared" si="1572"/>
        <v>79.919600000000031</v>
      </c>
      <c r="Q193" s="23">
        <f t="shared" si="1572"/>
        <v>98.217600000000004</v>
      </c>
      <c r="R193" s="23">
        <f t="shared" si="1572"/>
        <v>126.35019999999999</v>
      </c>
      <c r="S193" s="23">
        <f t="shared" si="1572"/>
        <v>149.33670000000004</v>
      </c>
      <c r="T193" s="23">
        <f t="shared" si="1572"/>
        <v>134.64959999999999</v>
      </c>
      <c r="U193" s="23">
        <f t="shared" si="1572"/>
        <v>171.81950000000003</v>
      </c>
      <c r="V193" s="23">
        <f t="shared" si="1572"/>
        <v>205.29130000000004</v>
      </c>
      <c r="W193" s="23">
        <f t="shared" si="1572"/>
        <v>286.94690000000003</v>
      </c>
      <c r="X193" s="23">
        <f t="shared" si="1572"/>
        <v>285.24829999999992</v>
      </c>
      <c r="Y193" s="23">
        <f t="shared" si="1572"/>
        <v>353.64060000000006</v>
      </c>
      <c r="Z193" s="23">
        <f t="shared" si="1572"/>
        <v>470.19380000000024</v>
      </c>
      <c r="AA193" s="23">
        <f t="shared" ref="AA193" si="1573">AA48</f>
        <v>476.0057000000001</v>
      </c>
      <c r="AB193" s="24">
        <f t="shared" si="1572"/>
        <v>502.21169072045438</v>
      </c>
      <c r="AC193" s="24">
        <f t="shared" si="1572"/>
        <v>610.78253929664959</v>
      </c>
      <c r="AD193" s="24">
        <f t="shared" si="1572"/>
        <v>703.01163179609557</v>
      </c>
      <c r="AE193" s="24">
        <f t="shared" si="1572"/>
        <v>789.65759013322929</v>
      </c>
      <c r="AI193" s="23">
        <f t="shared" ref="AI193:BN193" si="1574">AI48</f>
        <v>0</v>
      </c>
      <c r="AJ193" s="23">
        <f t="shared" si="1574"/>
        <v>0</v>
      </c>
      <c r="AK193" s="23">
        <f t="shared" si="1574"/>
        <v>0</v>
      </c>
      <c r="AL193" s="23">
        <f t="shared" si="1574"/>
        <v>0</v>
      </c>
      <c r="AM193" s="23">
        <f t="shared" si="1574"/>
        <v>0</v>
      </c>
      <c r="AN193" s="23">
        <f t="shared" si="1574"/>
        <v>0</v>
      </c>
      <c r="AO193" s="23">
        <f t="shared" si="1574"/>
        <v>0</v>
      </c>
      <c r="AP193" s="23">
        <f t="shared" si="1574"/>
        <v>0</v>
      </c>
      <c r="AQ193" s="23">
        <f t="shared" si="1574"/>
        <v>0</v>
      </c>
      <c r="AR193" s="23">
        <f t="shared" si="1574"/>
        <v>0</v>
      </c>
      <c r="AS193" s="23">
        <f t="shared" si="1574"/>
        <v>0</v>
      </c>
      <c r="AT193" s="23">
        <f t="shared" si="1574"/>
        <v>0</v>
      </c>
      <c r="AU193" s="23">
        <f t="shared" si="1574"/>
        <v>0</v>
      </c>
      <c r="AV193" s="23">
        <f t="shared" si="1574"/>
        <v>0</v>
      </c>
      <c r="AW193" s="23">
        <f t="shared" si="1574"/>
        <v>0</v>
      </c>
      <c r="AX193" s="23">
        <f t="shared" si="1574"/>
        <v>0</v>
      </c>
      <c r="AY193" s="23">
        <f t="shared" si="1574"/>
        <v>0</v>
      </c>
      <c r="AZ193" s="23">
        <f t="shared" si="1574"/>
        <v>0</v>
      </c>
      <c r="BA193" s="23">
        <f t="shared" si="1574"/>
        <v>0</v>
      </c>
      <c r="BB193" s="23">
        <f t="shared" si="1574"/>
        <v>0</v>
      </c>
      <c r="BC193" s="23">
        <f t="shared" si="1574"/>
        <v>0</v>
      </c>
      <c r="BD193" s="23">
        <f t="shared" si="1574"/>
        <v>0</v>
      </c>
      <c r="BE193" s="23">
        <f t="shared" si="1574"/>
        <v>0</v>
      </c>
      <c r="BF193" s="23">
        <f t="shared" si="1574"/>
        <v>0</v>
      </c>
      <c r="BG193" s="23">
        <f t="shared" si="1574"/>
        <v>0</v>
      </c>
      <c r="BH193" s="23">
        <f t="shared" si="1574"/>
        <v>0</v>
      </c>
      <c r="BI193" s="23">
        <f t="shared" si="1574"/>
        <v>0</v>
      </c>
      <c r="BJ193" s="23">
        <f t="shared" si="1574"/>
        <v>0</v>
      </c>
      <c r="BK193" s="23">
        <f t="shared" si="1574"/>
        <v>0</v>
      </c>
      <c r="BL193" s="23">
        <f t="shared" si="1574"/>
        <v>42.605999999999995</v>
      </c>
      <c r="BM193" s="23">
        <f t="shared" si="1574"/>
        <v>46.233000000000011</v>
      </c>
      <c r="BN193" s="23">
        <f t="shared" si="1574"/>
        <v>43.066999999999993</v>
      </c>
      <c r="BO193" s="23">
        <f t="shared" ref="BO193:CT193" si="1575">BO48</f>
        <v>39.794999999999987</v>
      </c>
      <c r="BP193" s="23">
        <f t="shared" si="1575"/>
        <v>48.951000000000008</v>
      </c>
      <c r="BQ193" s="23">
        <f t="shared" si="1575"/>
        <v>56.418000000000021</v>
      </c>
      <c r="BR193" s="23">
        <f t="shared" si="1575"/>
        <v>60.125999999999991</v>
      </c>
      <c r="BS193" s="23">
        <f t="shared" si="1575"/>
        <v>63.24199999999999</v>
      </c>
      <c r="BT193" s="23">
        <f t="shared" si="1575"/>
        <v>72.559000000000026</v>
      </c>
      <c r="BU193" s="23">
        <f t="shared" si="1575"/>
        <v>77.310999999999979</v>
      </c>
      <c r="BV193" s="23">
        <f t="shared" si="1575"/>
        <v>73.83499999999998</v>
      </c>
      <c r="BW193" s="23">
        <f t="shared" si="1575"/>
        <v>64.777999999999992</v>
      </c>
      <c r="BX193" s="23">
        <f t="shared" si="1575"/>
        <v>72.143000000000029</v>
      </c>
      <c r="BY193" s="23">
        <f t="shared" si="1575"/>
        <v>73.718000000000018</v>
      </c>
      <c r="BZ193" s="23">
        <f t="shared" si="1575"/>
        <v>74.61099999999999</v>
      </c>
      <c r="CA193" s="23">
        <f t="shared" si="1575"/>
        <v>76.339999999999961</v>
      </c>
      <c r="CB193" s="23">
        <f t="shared" si="1575"/>
        <v>84.507000000000019</v>
      </c>
      <c r="CC193" s="23">
        <f t="shared" si="1575"/>
        <v>89.293999999999983</v>
      </c>
      <c r="CD193" s="23">
        <f t="shared" si="1575"/>
        <v>103.49900000000001</v>
      </c>
      <c r="CE193" s="23">
        <f t="shared" si="1575"/>
        <v>108.212</v>
      </c>
      <c r="CF193" s="23">
        <f t="shared" si="1575"/>
        <v>122.46500000000007</v>
      </c>
      <c r="CG193" s="23">
        <f t="shared" si="1575"/>
        <v>125.49300000000001</v>
      </c>
      <c r="CH193" s="23">
        <f t="shared" si="1575"/>
        <v>114.02099999999994</v>
      </c>
      <c r="CI193" s="23">
        <f t="shared" si="1575"/>
        <v>109.08999999999997</v>
      </c>
      <c r="CJ193" s="23">
        <f t="shared" si="1575"/>
        <v>114.94199999999998</v>
      </c>
      <c r="CK193" s="24">
        <f t="shared" si="1575"/>
        <v>125.53700000000001</v>
      </c>
      <c r="CL193" s="23">
        <f t="shared" ref="CL193" si="1576">CL48</f>
        <v>126.43399999999998</v>
      </c>
      <c r="CM193" s="24">
        <f t="shared" si="1575"/>
        <v>106.6300767261489</v>
      </c>
      <c r="CN193" s="24">
        <f t="shared" si="1575"/>
        <v>121.48920228372165</v>
      </c>
      <c r="CO193" s="24">
        <f t="shared" si="1575"/>
        <v>133.64100507883299</v>
      </c>
      <c r="CP193" s="24">
        <f t="shared" si="1575"/>
        <v>140.4514066317507</v>
      </c>
      <c r="CQ193" s="24">
        <f t="shared" si="1575"/>
        <v>136.3893988117963</v>
      </c>
      <c r="CR193" s="24">
        <f t="shared" si="1575"/>
        <v>149.34818641897348</v>
      </c>
      <c r="CS193" s="24">
        <f t="shared" si="1575"/>
        <v>159.63226102453709</v>
      </c>
      <c r="CT193" s="24">
        <f t="shared" si="1575"/>
        <v>165.41269304134278</v>
      </c>
      <c r="CU193" s="24">
        <f t="shared" ref="CU193:DB193" si="1577">CU48</f>
        <v>160.10281284002517</v>
      </c>
      <c r="CV193" s="24">
        <f t="shared" si="1577"/>
        <v>172.56737172327416</v>
      </c>
      <c r="CW193" s="24">
        <f t="shared" si="1577"/>
        <v>182.46265538408707</v>
      </c>
      <c r="CX193" s="24">
        <f t="shared" si="1577"/>
        <v>187.87879184870914</v>
      </c>
      <c r="CY193" s="24">
        <f t="shared" si="1577"/>
        <v>181.49714103652465</v>
      </c>
      <c r="CZ193" s="24">
        <f t="shared" si="1577"/>
        <v>194.19670449184912</v>
      </c>
      <c r="DA193" s="24">
        <f t="shared" si="1577"/>
        <v>204.28498955757991</v>
      </c>
      <c r="DB193" s="24">
        <f t="shared" si="1577"/>
        <v>209.67875504727598</v>
      </c>
      <c r="DE193" s="123"/>
      <c r="DF193" s="23">
        <v>122.83110860043007</v>
      </c>
    </row>
    <row r="194" spans="1:110" s="23" customFormat="1" x14ac:dyDescent="0.2">
      <c r="A194" s="23" t="s">
        <v>88</v>
      </c>
      <c r="C194" s="23">
        <f t="shared" ref="C194:AE194" si="1578">C32</f>
        <v>0</v>
      </c>
      <c r="D194" s="23">
        <f t="shared" si="1578"/>
        <v>0</v>
      </c>
      <c r="E194" s="23">
        <f t="shared" si="1578"/>
        <v>0</v>
      </c>
      <c r="F194" s="23">
        <f t="shared" si="1578"/>
        <v>4.5313876999999998</v>
      </c>
      <c r="G194" s="23">
        <f t="shared" si="1578"/>
        <v>5.7737274000000003</v>
      </c>
      <c r="H194" s="23">
        <f t="shared" si="1578"/>
        <v>9.1152999999999995</v>
      </c>
      <c r="I194" s="23">
        <f t="shared" si="1578"/>
        <v>7.5877999999999997</v>
      </c>
      <c r="J194" s="23">
        <f t="shared" si="1578"/>
        <v>0</v>
      </c>
      <c r="K194" s="23">
        <f t="shared" si="1578"/>
        <v>0</v>
      </c>
      <c r="L194" s="23">
        <f t="shared" si="1578"/>
        <v>0</v>
      </c>
      <c r="M194" s="23">
        <f t="shared" si="1578"/>
        <v>0</v>
      </c>
      <c r="N194" s="23">
        <f t="shared" si="1578"/>
        <v>0</v>
      </c>
      <c r="O194" s="23">
        <f t="shared" si="1578"/>
        <v>11.310727699999999</v>
      </c>
      <c r="P194" s="23">
        <f t="shared" si="1578"/>
        <v>23.7211</v>
      </c>
      <c r="Q194" s="23">
        <f t="shared" si="1578"/>
        <v>18.470500000000001</v>
      </c>
      <c r="R194" s="23">
        <f t="shared" si="1578"/>
        <v>16.919599999999999</v>
      </c>
      <c r="S194" s="23">
        <f t="shared" si="1578"/>
        <v>22.665800000000001</v>
      </c>
      <c r="T194" s="23">
        <f t="shared" si="1578"/>
        <v>28.436599999999999</v>
      </c>
      <c r="U194" s="23">
        <f t="shared" si="1578"/>
        <v>51.250799999999998</v>
      </c>
      <c r="V194" s="23">
        <f t="shared" si="1578"/>
        <v>43.413200000000003</v>
      </c>
      <c r="W194" s="23">
        <f t="shared" si="1578"/>
        <v>51.621699999999997</v>
      </c>
      <c r="X194" s="23">
        <f t="shared" si="1578"/>
        <v>60.25</v>
      </c>
      <c r="Y194" s="23">
        <f t="shared" si="1578"/>
        <v>70.477800000000002</v>
      </c>
      <c r="Z194" s="23">
        <f t="shared" si="1578"/>
        <v>77.720100000000002</v>
      </c>
      <c r="AA194" s="23">
        <f t="shared" ref="AA194" si="1579">AA32</f>
        <v>98.773700000000005</v>
      </c>
      <c r="AB194" s="24">
        <f t="shared" si="1578"/>
        <v>124.9096389880267</v>
      </c>
      <c r="AC194" s="24">
        <f t="shared" si="1578"/>
        <v>66.388135998194528</v>
      </c>
      <c r="AD194" s="24">
        <f t="shared" si="1578"/>
        <v>35.284583615978917</v>
      </c>
      <c r="AE194" s="24">
        <f t="shared" si="1578"/>
        <v>18.753378479957139</v>
      </c>
      <c r="AI194" s="23">
        <f t="shared" ref="AI194:BN194" si="1580">AI32</f>
        <v>0</v>
      </c>
      <c r="AJ194" s="23">
        <f t="shared" si="1580"/>
        <v>0</v>
      </c>
      <c r="AK194" s="23">
        <f t="shared" si="1580"/>
        <v>0</v>
      </c>
      <c r="AL194" s="23">
        <f t="shared" si="1580"/>
        <v>0</v>
      </c>
      <c r="AM194" s="23">
        <f t="shared" si="1580"/>
        <v>0</v>
      </c>
      <c r="AN194" s="23">
        <f t="shared" si="1580"/>
        <v>0</v>
      </c>
      <c r="AO194" s="23">
        <f t="shared" si="1580"/>
        <v>0</v>
      </c>
      <c r="AP194" s="23">
        <f t="shared" si="1580"/>
        <v>0</v>
      </c>
      <c r="AQ194" s="23">
        <f t="shared" si="1580"/>
        <v>0</v>
      </c>
      <c r="AR194" s="23">
        <f t="shared" si="1580"/>
        <v>0</v>
      </c>
      <c r="AS194" s="23">
        <f t="shared" si="1580"/>
        <v>0</v>
      </c>
      <c r="AT194" s="23">
        <f t="shared" si="1580"/>
        <v>0</v>
      </c>
      <c r="AU194" s="23">
        <f t="shared" si="1580"/>
        <v>0</v>
      </c>
      <c r="AV194" s="23">
        <f t="shared" si="1580"/>
        <v>0</v>
      </c>
      <c r="AW194" s="23">
        <f t="shared" si="1580"/>
        <v>0</v>
      </c>
      <c r="AX194" s="23">
        <f t="shared" si="1580"/>
        <v>0</v>
      </c>
      <c r="AY194" s="23">
        <f t="shared" si="1580"/>
        <v>0</v>
      </c>
      <c r="AZ194" s="23">
        <f t="shared" si="1580"/>
        <v>0</v>
      </c>
      <c r="BA194" s="23">
        <f t="shared" si="1580"/>
        <v>0</v>
      </c>
      <c r="BB194" s="23">
        <f t="shared" si="1580"/>
        <v>0</v>
      </c>
      <c r="BC194" s="23">
        <f t="shared" si="1580"/>
        <v>0</v>
      </c>
      <c r="BD194" s="23">
        <f t="shared" si="1580"/>
        <v>0</v>
      </c>
      <c r="BE194" s="23">
        <f t="shared" si="1580"/>
        <v>0</v>
      </c>
      <c r="BF194" s="23">
        <f t="shared" si="1580"/>
        <v>0</v>
      </c>
      <c r="BG194" s="23">
        <f t="shared" si="1580"/>
        <v>0</v>
      </c>
      <c r="BH194" s="23">
        <f t="shared" si="1580"/>
        <v>0</v>
      </c>
      <c r="BI194" s="23">
        <f t="shared" si="1580"/>
        <v>0</v>
      </c>
      <c r="BJ194" s="23">
        <f t="shared" si="1580"/>
        <v>0</v>
      </c>
      <c r="BK194" s="23">
        <f t="shared" si="1580"/>
        <v>0</v>
      </c>
      <c r="BL194" s="23">
        <f t="shared" si="1580"/>
        <v>13.57</v>
      </c>
      <c r="BM194" s="23">
        <f t="shared" si="1580"/>
        <v>12.882999999999999</v>
      </c>
      <c r="BN194" s="23">
        <f t="shared" si="1580"/>
        <v>13.176</v>
      </c>
      <c r="BO194" s="23">
        <f t="shared" ref="BO194:CT194" si="1581">BO32</f>
        <v>11.257999999999999</v>
      </c>
      <c r="BP194" s="23">
        <f t="shared" si="1581"/>
        <v>10.798999999999999</v>
      </c>
      <c r="BQ194" s="23">
        <f t="shared" si="1581"/>
        <v>10.757999999999999</v>
      </c>
      <c r="BR194" s="23">
        <f t="shared" si="1581"/>
        <v>10.598000000000001</v>
      </c>
      <c r="BS194" s="23">
        <f t="shared" si="1581"/>
        <v>10.621</v>
      </c>
      <c r="BT194" s="23">
        <f t="shared" si="1581"/>
        <v>11.898</v>
      </c>
      <c r="BU194" s="23">
        <f t="shared" si="1581"/>
        <v>13.417</v>
      </c>
      <c r="BV194" s="23">
        <f t="shared" si="1581"/>
        <v>15.686</v>
      </c>
      <c r="BW194" s="23">
        <f t="shared" si="1581"/>
        <v>13.631</v>
      </c>
      <c r="BX194" s="23">
        <f t="shared" si="1581"/>
        <v>14.718999999999999</v>
      </c>
      <c r="BY194" s="23">
        <f t="shared" si="1581"/>
        <v>15.506</v>
      </c>
      <c r="BZ194" s="23">
        <f t="shared" si="1581"/>
        <v>16.393999999999998</v>
      </c>
      <c r="CA194" s="23">
        <f t="shared" si="1581"/>
        <v>16.504000000000001</v>
      </c>
      <c r="CB194" s="23">
        <f t="shared" si="1581"/>
        <v>17.422999999999998</v>
      </c>
      <c r="CC194" s="23">
        <f t="shared" si="1581"/>
        <v>18.452999999999999</v>
      </c>
      <c r="CD194" s="23">
        <f t="shared" si="1581"/>
        <v>18.097999999999999</v>
      </c>
      <c r="CE194" s="23">
        <f t="shared" si="1581"/>
        <v>16.983000000000001</v>
      </c>
      <c r="CF194" s="23">
        <f t="shared" si="1581"/>
        <v>18.372</v>
      </c>
      <c r="CG194" s="23">
        <f t="shared" si="1581"/>
        <v>19.516999999999999</v>
      </c>
      <c r="CH194" s="23">
        <f t="shared" si="1581"/>
        <v>22.847999999999999</v>
      </c>
      <c r="CI194" s="23">
        <f t="shared" si="1581"/>
        <v>20.844000000000001</v>
      </c>
      <c r="CJ194" s="23">
        <f t="shared" si="1581"/>
        <v>24.558</v>
      </c>
      <c r="CK194" s="24">
        <f t="shared" si="1581"/>
        <v>25.332000000000001</v>
      </c>
      <c r="CL194" s="23">
        <f t="shared" ref="CL194" si="1582">CL32</f>
        <v>28.041</v>
      </c>
      <c r="CM194" s="24">
        <f t="shared" si="1581"/>
        <v>38.969219834865847</v>
      </c>
      <c r="CN194" s="24">
        <f t="shared" si="1581"/>
        <v>33.2732590886894</v>
      </c>
      <c r="CO194" s="24">
        <f t="shared" si="1581"/>
        <v>28.409852059509753</v>
      </c>
      <c r="CP194" s="24">
        <f t="shared" si="1581"/>
        <v>24.257308004961722</v>
      </c>
      <c r="CQ194" s="24">
        <f t="shared" si="1581"/>
        <v>20.711723187260198</v>
      </c>
      <c r="CR194" s="24">
        <f t="shared" si="1581"/>
        <v>17.684381024388472</v>
      </c>
      <c r="CS194" s="24">
        <f t="shared" si="1581"/>
        <v>15.099532249837914</v>
      </c>
      <c r="CT194" s="24">
        <f t="shared" si="1581"/>
        <v>12.892499536707946</v>
      </c>
      <c r="CU194" s="24">
        <f t="shared" ref="CU194:DB194" si="1583">CU32</f>
        <v>11.008059160627232</v>
      </c>
      <c r="CV194" s="24">
        <f t="shared" si="1583"/>
        <v>9.3990592079409438</v>
      </c>
      <c r="CW194" s="24">
        <f t="shared" si="1583"/>
        <v>8.025239754375173</v>
      </c>
      <c r="CX194" s="24">
        <f t="shared" si="1583"/>
        <v>6.8522254930355686</v>
      </c>
      <c r="CY194" s="24">
        <f t="shared" si="1583"/>
        <v>5.8506656055738251</v>
      </c>
      <c r="CZ194" s="24">
        <f t="shared" si="1583"/>
        <v>4.9954993546308986</v>
      </c>
      <c r="DA194" s="24">
        <f t="shared" si="1583"/>
        <v>4.2653290214268171</v>
      </c>
      <c r="DB194" s="24">
        <f t="shared" si="1583"/>
        <v>3.6418844983255978</v>
      </c>
      <c r="DE194" s="123"/>
      <c r="DF194" s="23">
        <v>22.37720654215935</v>
      </c>
    </row>
    <row r="195" spans="1:110" s="22" customFormat="1" x14ac:dyDescent="0.2">
      <c r="A195" s="22" t="s">
        <v>89</v>
      </c>
      <c r="C195" s="22">
        <f t="shared" ref="C195:W195" si="1584">C193+C194</f>
        <v>0</v>
      </c>
      <c r="D195" s="22">
        <f t="shared" si="1584"/>
        <v>0</v>
      </c>
      <c r="E195" s="22">
        <f t="shared" si="1584"/>
        <v>0</v>
      </c>
      <c r="F195" s="22">
        <f t="shared" si="1584"/>
        <v>28.162198399999991</v>
      </c>
      <c r="G195" s="22">
        <f t="shared" si="1584"/>
        <v>37.393168099999983</v>
      </c>
      <c r="H195" s="22">
        <f t="shared" si="1584"/>
        <v>62.090900000000012</v>
      </c>
      <c r="I195" s="22">
        <f t="shared" si="1584"/>
        <v>80.403400000000019</v>
      </c>
      <c r="J195" s="22">
        <f t="shared" si="1584"/>
        <v>49.231999999999992</v>
      </c>
      <c r="K195" s="22">
        <f t="shared" si="1584"/>
        <v>80.609799999999979</v>
      </c>
      <c r="L195" s="22">
        <f t="shared" si="1584"/>
        <v>58.914100000000033</v>
      </c>
      <c r="M195" s="22">
        <f t="shared" si="1584"/>
        <v>50.559999999999988</v>
      </c>
      <c r="N195" s="22">
        <f t="shared" si="1584"/>
        <v>65.33</v>
      </c>
      <c r="O195" s="22">
        <f t="shared" si="1584"/>
        <v>76.312937099999957</v>
      </c>
      <c r="P195" s="22">
        <f t="shared" si="1584"/>
        <v>103.64070000000004</v>
      </c>
      <c r="Q195" s="22">
        <f t="shared" si="1584"/>
        <v>116.68810000000001</v>
      </c>
      <c r="R195" s="22">
        <f t="shared" si="1584"/>
        <v>143.26979999999998</v>
      </c>
      <c r="S195" s="22">
        <f t="shared" si="1584"/>
        <v>172.00250000000003</v>
      </c>
      <c r="T195" s="22">
        <f t="shared" si="1584"/>
        <v>163.08619999999999</v>
      </c>
      <c r="U195" s="22">
        <f t="shared" si="1584"/>
        <v>223.07030000000003</v>
      </c>
      <c r="V195" s="22">
        <f t="shared" si="1584"/>
        <v>248.70450000000005</v>
      </c>
      <c r="W195" s="22">
        <f t="shared" si="1584"/>
        <v>338.5686</v>
      </c>
      <c r="X195" s="22">
        <f t="shared" ref="X195:Y195" si="1585">X193+X194</f>
        <v>345.49829999999992</v>
      </c>
      <c r="Y195" s="22">
        <f t="shared" si="1585"/>
        <v>424.11840000000007</v>
      </c>
      <c r="Z195" s="22">
        <f t="shared" ref="Z195:AA195" si="1586">Z193+Z194</f>
        <v>547.91390000000024</v>
      </c>
      <c r="AA195" s="22">
        <f t="shared" si="1586"/>
        <v>574.77940000000012</v>
      </c>
      <c r="AB195" s="21">
        <f t="shared" ref="AA195:AD195" si="1587">AB193+AB194</f>
        <v>627.12132970848108</v>
      </c>
      <c r="AC195" s="21">
        <f t="shared" si="1587"/>
        <v>677.17067529484416</v>
      </c>
      <c r="AD195" s="21">
        <f t="shared" si="1587"/>
        <v>738.2962154120745</v>
      </c>
      <c r="AE195" s="21">
        <f t="shared" ref="AE195" si="1588">AE193+AE194</f>
        <v>808.41096861318647</v>
      </c>
      <c r="AI195" s="22">
        <f t="shared" ref="AI195" si="1589">AI193+AI194</f>
        <v>0</v>
      </c>
      <c r="AJ195" s="22">
        <f t="shared" ref="AJ195:AL195" si="1590">AJ193+AJ194</f>
        <v>0</v>
      </c>
      <c r="AK195" s="22">
        <f t="shared" si="1590"/>
        <v>0</v>
      </c>
      <c r="AL195" s="22">
        <f t="shared" si="1590"/>
        <v>0</v>
      </c>
      <c r="AM195" s="22">
        <f t="shared" ref="AM195" si="1591">AM193+AM194</f>
        <v>0</v>
      </c>
      <c r="AN195" s="22">
        <f t="shared" ref="AN195:CD195" si="1592">AN193+AN194</f>
        <v>0</v>
      </c>
      <c r="AO195" s="22">
        <f t="shared" si="1592"/>
        <v>0</v>
      </c>
      <c r="AP195" s="22">
        <f t="shared" si="1592"/>
        <v>0</v>
      </c>
      <c r="AQ195" s="22">
        <f t="shared" si="1592"/>
        <v>0</v>
      </c>
      <c r="AR195" s="22">
        <f t="shared" si="1592"/>
        <v>0</v>
      </c>
      <c r="AS195" s="22">
        <f t="shared" si="1592"/>
        <v>0</v>
      </c>
      <c r="AT195" s="22">
        <f t="shared" si="1592"/>
        <v>0</v>
      </c>
      <c r="AU195" s="22">
        <f t="shared" si="1592"/>
        <v>0</v>
      </c>
      <c r="AV195" s="22">
        <f t="shared" si="1592"/>
        <v>0</v>
      </c>
      <c r="AW195" s="22">
        <f t="shared" si="1592"/>
        <v>0</v>
      </c>
      <c r="AX195" s="22">
        <f t="shared" si="1592"/>
        <v>0</v>
      </c>
      <c r="AY195" s="22">
        <f t="shared" si="1592"/>
        <v>0</v>
      </c>
      <c r="AZ195" s="22">
        <f t="shared" si="1592"/>
        <v>0</v>
      </c>
      <c r="BA195" s="22">
        <f t="shared" si="1592"/>
        <v>0</v>
      </c>
      <c r="BB195" s="22">
        <f t="shared" si="1592"/>
        <v>0</v>
      </c>
      <c r="BC195" s="22">
        <f t="shared" si="1592"/>
        <v>0</v>
      </c>
      <c r="BD195" s="22">
        <f t="shared" si="1592"/>
        <v>0</v>
      </c>
      <c r="BE195" s="22">
        <f t="shared" si="1592"/>
        <v>0</v>
      </c>
      <c r="BF195" s="22">
        <f t="shared" si="1592"/>
        <v>0</v>
      </c>
      <c r="BG195" s="22">
        <f t="shared" si="1592"/>
        <v>0</v>
      </c>
      <c r="BH195" s="22">
        <f t="shared" si="1592"/>
        <v>0</v>
      </c>
      <c r="BI195" s="22">
        <f t="shared" si="1592"/>
        <v>0</v>
      </c>
      <c r="BJ195" s="22">
        <f t="shared" si="1592"/>
        <v>0</v>
      </c>
      <c r="BK195" s="22">
        <f t="shared" si="1592"/>
        <v>0</v>
      </c>
      <c r="BL195" s="22">
        <f t="shared" si="1592"/>
        <v>56.175999999999995</v>
      </c>
      <c r="BM195" s="22">
        <f t="shared" si="1592"/>
        <v>59.116000000000014</v>
      </c>
      <c r="BN195" s="22">
        <f t="shared" si="1592"/>
        <v>56.242999999999995</v>
      </c>
      <c r="BO195" s="22">
        <f t="shared" si="1592"/>
        <v>51.052999999999983</v>
      </c>
      <c r="BP195" s="22">
        <f t="shared" si="1592"/>
        <v>59.750000000000007</v>
      </c>
      <c r="BQ195" s="22">
        <f t="shared" si="1592"/>
        <v>67.176000000000016</v>
      </c>
      <c r="BR195" s="22">
        <f t="shared" si="1592"/>
        <v>70.72399999999999</v>
      </c>
      <c r="BS195" s="22">
        <f t="shared" si="1592"/>
        <v>73.862999999999985</v>
      </c>
      <c r="BT195" s="22">
        <f t="shared" si="1592"/>
        <v>84.457000000000022</v>
      </c>
      <c r="BU195" s="22">
        <f t="shared" si="1592"/>
        <v>90.72799999999998</v>
      </c>
      <c r="BV195" s="22">
        <f t="shared" si="1592"/>
        <v>89.520999999999987</v>
      </c>
      <c r="BW195" s="22">
        <f t="shared" si="1592"/>
        <v>78.408999999999992</v>
      </c>
      <c r="BX195" s="22">
        <f t="shared" si="1592"/>
        <v>86.862000000000023</v>
      </c>
      <c r="BY195" s="22">
        <f t="shared" si="1592"/>
        <v>89.224000000000018</v>
      </c>
      <c r="BZ195" s="22">
        <f t="shared" si="1592"/>
        <v>91.004999999999995</v>
      </c>
      <c r="CA195" s="22">
        <f t="shared" si="1592"/>
        <v>92.843999999999966</v>
      </c>
      <c r="CB195" s="22">
        <f t="shared" si="1592"/>
        <v>101.93000000000002</v>
      </c>
      <c r="CC195" s="22">
        <f t="shared" si="1592"/>
        <v>107.74699999999999</v>
      </c>
      <c r="CD195" s="22">
        <f t="shared" si="1592"/>
        <v>121.59700000000001</v>
      </c>
      <c r="CE195" s="22">
        <f t="shared" ref="CE195:CF195" si="1593">CE193+CE194</f>
        <v>125.19500000000001</v>
      </c>
      <c r="CF195" s="22">
        <f t="shared" si="1593"/>
        <v>140.83700000000007</v>
      </c>
      <c r="CG195" s="22">
        <f t="shared" ref="CG195:CH195" si="1594">CG193+CG194</f>
        <v>145.01000000000002</v>
      </c>
      <c r="CH195" s="22">
        <f t="shared" si="1594"/>
        <v>136.86899999999994</v>
      </c>
      <c r="CI195" s="22">
        <f t="shared" ref="CI195:CJ195" si="1595">CI193+CI194</f>
        <v>129.93399999999997</v>
      </c>
      <c r="CJ195" s="22">
        <f t="shared" si="1595"/>
        <v>139.49999999999997</v>
      </c>
      <c r="CK195" s="21">
        <f t="shared" ref="CK195:DB195" si="1596">CK193+CK194</f>
        <v>150.869</v>
      </c>
      <c r="CL195" s="22">
        <f t="shared" si="1596"/>
        <v>154.47499999999999</v>
      </c>
      <c r="CM195" s="21">
        <f t="shared" si="1596"/>
        <v>145.59929656101474</v>
      </c>
      <c r="CN195" s="21">
        <f t="shared" si="1596"/>
        <v>154.76246137241105</v>
      </c>
      <c r="CO195" s="21">
        <f t="shared" si="1596"/>
        <v>162.05085713834274</v>
      </c>
      <c r="CP195" s="21">
        <f t="shared" si="1596"/>
        <v>164.70871463671241</v>
      </c>
      <c r="CQ195" s="21">
        <f t="shared" si="1596"/>
        <v>157.10112199905649</v>
      </c>
      <c r="CR195" s="21">
        <f t="shared" si="1596"/>
        <v>167.03256744336196</v>
      </c>
      <c r="CS195" s="21">
        <f t="shared" si="1596"/>
        <v>174.73179327437501</v>
      </c>
      <c r="CT195" s="21">
        <f t="shared" si="1596"/>
        <v>178.30519257805074</v>
      </c>
      <c r="CU195" s="21">
        <f t="shared" si="1596"/>
        <v>171.11087200065239</v>
      </c>
      <c r="CV195" s="21">
        <f t="shared" si="1596"/>
        <v>181.96643093121511</v>
      </c>
      <c r="CW195" s="21">
        <f t="shared" si="1596"/>
        <v>190.48789513846225</v>
      </c>
      <c r="CX195" s="21">
        <f t="shared" si="1596"/>
        <v>194.73101734174472</v>
      </c>
      <c r="CY195" s="21">
        <f t="shared" si="1596"/>
        <v>187.34780664209848</v>
      </c>
      <c r="CZ195" s="21">
        <f t="shared" si="1596"/>
        <v>199.19220384648003</v>
      </c>
      <c r="DA195" s="21">
        <f t="shared" si="1596"/>
        <v>208.55031857900673</v>
      </c>
      <c r="DB195" s="21">
        <f t="shared" si="1596"/>
        <v>213.32063954560158</v>
      </c>
      <c r="DE195" s="126"/>
      <c r="DF195" s="22">
        <v>145.20831514258941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</v>
      </c>
      <c r="D196" s="23">
        <f t="shared" si="1597"/>
        <v>0</v>
      </c>
      <c r="E196" s="23">
        <f>D148-E148+D163+D164-E163-E164</f>
        <v>0</v>
      </c>
      <c r="F196" s="23">
        <f t="shared" si="1597"/>
        <v>-25.868367600000003</v>
      </c>
      <c r="G196" s="23">
        <f t="shared" si="1597"/>
        <v>-18.382705900000001</v>
      </c>
      <c r="H196" s="23">
        <f t="shared" si="1597"/>
        <v>-10.263929099999999</v>
      </c>
      <c r="I196" s="23">
        <f t="shared" si="1597"/>
        <v>-26.713750199999993</v>
      </c>
      <c r="J196" s="23">
        <f>I148-J148+I163+I164-J163-J164</f>
        <v>-19.982742000000005</v>
      </c>
      <c r="K196" s="23">
        <f>J148-K148+J163+J164-K163-K164</f>
        <v>36.372556000000003</v>
      </c>
      <c r="L196" s="23">
        <f t="shared" si="1597"/>
        <v>-117.69359390000001</v>
      </c>
      <c r="M196" s="23">
        <f t="shared" si="1597"/>
        <v>141.32126450000001</v>
      </c>
      <c r="N196" s="23">
        <f t="shared" si="1597"/>
        <v>-3.4244998000000026</v>
      </c>
      <c r="O196" s="23">
        <f t="shared" si="1597"/>
        <v>-16.853502600000006</v>
      </c>
      <c r="P196" s="23">
        <f t="shared" si="1597"/>
        <v>0.63137060000001233</v>
      </c>
      <c r="Q196" s="23">
        <f t="shared" si="1597"/>
        <v>-2.2101000000000024</v>
      </c>
      <c r="R196" s="23">
        <f t="shared" si="1597"/>
        <v>-241.52680000000001</v>
      </c>
      <c r="S196" s="23">
        <f t="shared" si="1597"/>
        <v>-132.80060000000003</v>
      </c>
      <c r="T196" s="23">
        <f t="shared" si="1597"/>
        <v>-85.723799999999983</v>
      </c>
      <c r="U196" s="23">
        <f t="shared" si="1597"/>
        <v>-61.403200000000062</v>
      </c>
      <c r="V196" s="23">
        <f t="shared" si="1597"/>
        <v>-62.443200000000019</v>
      </c>
      <c r="W196" s="23">
        <f t="shared" si="1597"/>
        <v>-130.8110999999999</v>
      </c>
      <c r="X196" s="23">
        <f t="shared" si="1597"/>
        <v>505.05109999999996</v>
      </c>
      <c r="Y196" s="23">
        <f t="shared" si="1597"/>
        <v>-134.17279999999994</v>
      </c>
      <c r="Z196" s="23">
        <f t="shared" si="1597"/>
        <v>-757.51069999999993</v>
      </c>
      <c r="AA196" s="23">
        <f t="shared" si="1597"/>
        <v>6.1814999999997866</v>
      </c>
      <c r="AB196" s="24">
        <f t="shared" ref="AB196" si="1598">AA148-AB148+AA163+AA164-AB163-AB164</f>
        <v>606.1401235626131</v>
      </c>
      <c r="AC196" s="24">
        <f t="shared" ref="AC196" si="1599">AB148-AC148+AB163+AB164-AC163-AC164</f>
        <v>-39.576394007623207</v>
      </c>
      <c r="AD196" s="24">
        <f t="shared" ref="AD196" si="1600">AC148-AD148+AC163+AC164-AD163-AD164</f>
        <v>-42.174217898708321</v>
      </c>
      <c r="AE196" s="24">
        <f t="shared" ref="AE196" si="1601">AD148-AE148+AD163+AD164-AE163-AE164</f>
        <v>-45.248719431880886</v>
      </c>
      <c r="AI196" s="23">
        <f>AH148-AI148+AH163+AH164-AI163-AJ164</f>
        <v>0</v>
      </c>
      <c r="AJ196" s="23">
        <f t="shared" ref="AJ196:AL196" si="1602">AI148-AJ148+AI163+AI164-AJ163-AK164</f>
        <v>0</v>
      </c>
      <c r="AK196" s="23" t="e">
        <f t="shared" si="1602"/>
        <v>#DIV/0!</v>
      </c>
      <c r="AL196" s="23" t="e">
        <f t="shared" si="1602"/>
        <v>#DIV/0!</v>
      </c>
      <c r="AM196" s="23" t="e">
        <f t="shared" ref="AM196" si="1603">AL148-AM148+AL163+AL164-AM163-AM164</f>
        <v>#DIV/0!</v>
      </c>
      <c r="AN196" s="23" t="e">
        <f t="shared" ref="AN196" si="1604">AM148-AN148+AM163+AM164-AN163-AN164</f>
        <v>#DIV/0!</v>
      </c>
      <c r="AO196" s="23" t="e">
        <f t="shared" ref="AO196" si="1605">AN148-AO148+AN163+AN164-AO163-AO164</f>
        <v>#DIV/0!</v>
      </c>
      <c r="AP196" s="23" t="e">
        <f t="shared" ref="AP196" si="1606">AO148-AP148+AO163+AO164-AP163-AP164</f>
        <v>#DIV/0!</v>
      </c>
      <c r="AQ196" s="23" t="e">
        <f t="shared" ref="AQ196" si="1607">AP148-AQ148+AP163+AP164-AQ163-AQ164</f>
        <v>#DIV/0!</v>
      </c>
      <c r="AR196" s="23" t="e">
        <f t="shared" ref="AR196" si="1608">AQ148-AR148+AQ163+AQ164-AR163-AR164</f>
        <v>#DIV/0!</v>
      </c>
      <c r="AS196" s="23" t="e">
        <f t="shared" ref="AS196" si="1609">AR148-AS148+AR163+AR164-AS163-AS164</f>
        <v>#DIV/0!</v>
      </c>
      <c r="AT196" s="23" t="e">
        <f t="shared" ref="AT196" si="1610">AS148-AT148+AS163+AS164-AT163-AT164</f>
        <v>#DIV/0!</v>
      </c>
      <c r="AU196" s="23" t="e">
        <f t="shared" ref="AU196" si="1611">AT148-AU148+AT163+AT164-AU163-AU164</f>
        <v>#DIV/0!</v>
      </c>
      <c r="AV196" s="23" t="e">
        <f t="shared" ref="AV196" si="1612">AU148-AV148+AU163+AU164-AV163-AV164</f>
        <v>#DIV/0!</v>
      </c>
      <c r="AW196" s="23" t="e">
        <f t="shared" ref="AW196" si="1613">AV148-AW148+AV163+AV164-AW163-AW164</f>
        <v>#DIV/0!</v>
      </c>
      <c r="AX196" s="23" t="e">
        <f t="shared" ref="AX196" si="1614">AW148-AX148+AW163+AW164-AX163-AX164</f>
        <v>#DIV/0!</v>
      </c>
      <c r="AY196" s="23" t="e">
        <f t="shared" ref="AY196" si="1615">AX148-AY148+AX163+AX164-AY163-AY164</f>
        <v>#DIV/0!</v>
      </c>
      <c r="AZ196" s="23" t="e">
        <f t="shared" ref="AZ196" si="1616">AY148-AZ148+AY163+AY164-AZ163-AZ164</f>
        <v>#DIV/0!</v>
      </c>
      <c r="BA196" s="23" t="e">
        <f t="shared" ref="BA196" si="1617">AZ148-BA148+AZ163+AZ164-BA163-BA164</f>
        <v>#DIV/0!</v>
      </c>
      <c r="BB196" s="23" t="e">
        <f t="shared" ref="BB196" si="1618">BA148-BB148+BA163+BA164-BB163-BB164</f>
        <v>#DIV/0!</v>
      </c>
      <c r="BC196" s="23" t="e">
        <f t="shared" ref="BC196" si="1619">BB148-BC148+BB163+BB164-BC163-BC164</f>
        <v>#DIV/0!</v>
      </c>
      <c r="BD196" s="23" t="e">
        <f t="shared" ref="BD196" si="1620">BC148-BD148+BC163+BC164-BD163-BD164</f>
        <v>#DIV/0!</v>
      </c>
      <c r="BE196" s="23" t="e">
        <f t="shared" ref="BE196" si="1621">BD148-BE148+BD163+BD164-BE163-BE164</f>
        <v>#DIV/0!</v>
      </c>
      <c r="BF196" s="23" t="e">
        <f t="shared" ref="BF196" si="1622">BE148-BF148+BE163+BE164-BF163-BF164</f>
        <v>#DIV/0!</v>
      </c>
      <c r="BG196" s="23" t="e">
        <f t="shared" ref="BG196" si="1623">BF148-BG148+BF163+BF164-BG163-BG164</f>
        <v>#DIV/0!</v>
      </c>
      <c r="BH196" s="23" t="e">
        <f t="shared" ref="BH196" si="1624">BG148-BH148+BG163+BG164-BH163-BH164</f>
        <v>#DIV/0!</v>
      </c>
      <c r="BI196" s="23" t="e">
        <f t="shared" ref="BI196" si="1625">BH148-BI148+BH163+BH164-BI163-BI164</f>
        <v>#DIV/0!</v>
      </c>
      <c r="BJ196" s="23" t="e">
        <f t="shared" ref="BJ196" si="1626">BI148-BJ148+BI163+BI164-BJ163-BJ164</f>
        <v>#DIV/0!</v>
      </c>
      <c r="BK196" s="23" t="e">
        <f t="shared" ref="BK196" si="1627">BJ148-BK148+BJ163+BJ164-BK163-BK164</f>
        <v>#DIV/0!</v>
      </c>
      <c r="BL196" s="23" t="e">
        <f t="shared" ref="BL196" si="1628">BK148-BL148+BK163+BK164-BL163-BL164</f>
        <v>#DIV/0!</v>
      </c>
      <c r="BM196" s="23">
        <f t="shared" ref="BM196" si="1629">BL148-BM148+BL163+BL164-BM163-BM164</f>
        <v>0</v>
      </c>
      <c r="BN196" s="23">
        <f t="shared" ref="BN196" si="1630">BM148-BN148+BM163+BM164-BN163-BN164</f>
        <v>-234.22399999999999</v>
      </c>
      <c r="BO196" s="23">
        <f t="shared" ref="BO196" si="1631">BN148-BO148+BN163+BN164-BO163-BO164</f>
        <v>4.7909497897176152</v>
      </c>
      <c r="BP196" s="23">
        <f t="shared" ref="BP196" si="1632">BO148-BP148+BO163+BO164-BP163-BP164</f>
        <v>-0.85294978971761992</v>
      </c>
      <c r="BQ196" s="23">
        <f t="shared" ref="BQ196" si="1633">BP148-BQ148+BP163+BP164-BQ163-BQ164</f>
        <v>-3.6794927487963491</v>
      </c>
      <c r="BR196" s="23">
        <f t="shared" ref="BR196" si="1634">BQ148-BR148+BQ163+BQ164-BR163-BR164</f>
        <v>18.681492748796352</v>
      </c>
      <c r="BS196" s="23">
        <f t="shared" ref="BS196" si="1635">BR148-BS148+BR163+BR164-BS163-BS164</f>
        <v>-0.20359593138212517</v>
      </c>
      <c r="BT196" s="23">
        <f t="shared" ref="BT196" si="1636">BS148-BT148+BS163+BS164-BT163-BT164</f>
        <v>-20.784404068617896</v>
      </c>
      <c r="BU196" s="23">
        <f t="shared" ref="BU196" si="1637">BT148-BU148+BT163+BT164-BU163-BU164</f>
        <v>-1.6531239037592798</v>
      </c>
      <c r="BV196" s="23">
        <f t="shared" ref="BV196" si="1638">BU148-BV148+BU163+BU164-BV163-BV164</f>
        <v>-9.2998760962406912</v>
      </c>
      <c r="BW196" s="23">
        <f t="shared" ref="BW196" si="1639">BV148-BW148+BV163+BV164-BW163-BW164</f>
        <v>0.68683090170404171</v>
      </c>
      <c r="BX196" s="23">
        <f t="shared" ref="BX196" si="1640">BW148-BX148+BW163+BW164-BX163-BX164</f>
        <v>-32.987830901704037</v>
      </c>
      <c r="BY196" s="23">
        <f t="shared" ref="BY196" si="1641">BX148-BY148+BX163+BX164-BY163-BY164</f>
        <v>-0.28310504600409558</v>
      </c>
      <c r="BZ196" s="23">
        <f t="shared" ref="BZ196" si="1642">BY148-BZ148+BY163+BY164-BZ163-BZ164</f>
        <v>-75.89489495399593</v>
      </c>
      <c r="CA196" s="23">
        <f t="shared" ref="CA196" si="1643">BZ148-CA148+BZ163+BZ164-CA163-CA164</f>
        <v>-1.5978935078378527</v>
      </c>
      <c r="CB196" s="23">
        <f t="shared" ref="CB196" si="1644">CA148-CB148+CA163+CA164-CB163-CB164</f>
        <v>41.574893507837871</v>
      </c>
      <c r="CC196" s="23">
        <f t="shared" ref="CC196" si="1645">CB148-CC148+CB163+CB164-CC163-CC164</f>
        <v>-2.8607118942283023</v>
      </c>
      <c r="CD196" s="23">
        <f t="shared" ref="CD196" si="1646">CC148-CD148+CC163+CC164-CD163-CD164</f>
        <v>-171.93328810577168</v>
      </c>
      <c r="CE196" s="23">
        <f t="shared" ref="CE196" si="1647">CD148-CE148+CD163+CD164-CE163-CE164</f>
        <v>-4.3756075745911858</v>
      </c>
      <c r="CF196" s="23">
        <f t="shared" ref="CF196" si="1648">CE148-CF148+CE163+CE164-CF163-CF164</f>
        <v>15.77660757459118</v>
      </c>
      <c r="CG196" s="23">
        <f t="shared" ref="CG196" si="1649">CF148-CG148+CF163+CF164-CG163-CG164</f>
        <v>-0.89772210903356608</v>
      </c>
      <c r="CH196" s="23">
        <f t="shared" ref="CH196:CL196" si="1650">CG148-CH148+CG163+CG164-CH163-CH164</f>
        <v>-684.3913778909664</v>
      </c>
      <c r="CI196" s="23">
        <f t="shared" si="1650"/>
        <v>6.4908516051502829</v>
      </c>
      <c r="CJ196" s="23">
        <f t="shared" si="1650"/>
        <v>653.84024839484971</v>
      </c>
      <c r="CK196" s="24">
        <f t="shared" ref="CK196" si="1651">CJ148-CK148+CJ163+CJ164-CK163-CK164</f>
        <v>-17.268436584576023</v>
      </c>
      <c r="CL196" s="23">
        <f t="shared" si="1650"/>
        <v>8.2624365845760934</v>
      </c>
      <c r="CM196" s="24">
        <f t="shared" ref="CM196" si="1652">CL148-CM148+CL163+CL164-CM163-CM164</f>
        <v>21.990327284283467</v>
      </c>
      <c r="CN196" s="24">
        <f t="shared" ref="CN196" si="1653">CM148-CN148+CM163+CM164-CN163-CN164</f>
        <v>-29.823340536415799</v>
      </c>
      <c r="CO196" s="24">
        <f t="shared" ref="CO196" si="1654">CN148-CO148+CN163+CN164-CO163-CO164</f>
        <v>-21.997715920277813</v>
      </c>
      <c r="CP196" s="24">
        <f t="shared" ref="CP196" si="1655">CO148-CP148+CO163+CO164-CP163-CP164</f>
        <v>-9.1727472649769197</v>
      </c>
      <c r="CQ196" s="24">
        <f t="shared" ref="CQ196" si="1656">CP148-CQ148+CP163+CP164-CQ163-CQ164</f>
        <v>27.3485935393349</v>
      </c>
      <c r="CR196" s="24">
        <f t="shared" ref="CR196" si="1657">CQ148-CR148+CQ163+CQ164-CR163-CR164</f>
        <v>-32.576355485172655</v>
      </c>
      <c r="CS196" s="24">
        <f t="shared" ref="CS196" si="1658">CR148-CS148+CR163+CR164-CS163-CS164</f>
        <v>-24.488939952322767</v>
      </c>
      <c r="CT196" s="24">
        <f t="shared" ref="CT196" si="1659">CS148-CT148+CS163+CS164-CT163-CT164</f>
        <v>-9.859692109462685</v>
      </c>
      <c r="CU196" s="24">
        <f t="shared" ref="CU196" si="1660">CT148-CU148+CT163+CT164-CU163-CU164</f>
        <v>29.97382090122403</v>
      </c>
      <c r="CV196" s="24">
        <f t="shared" ref="CV196" si="1661">CU148-CV148+CU163+CU164-CV163-CV164</f>
        <v>-35.19848247023026</v>
      </c>
      <c r="CW196" s="24">
        <f t="shared" ref="CW196" si="1662">CV148-CW148+CV163+CV164-CW163-CW164</f>
        <v>-26.429361603665825</v>
      </c>
      <c r="CX196" s="24">
        <f t="shared" ref="CX196" si="1663">CW148-CX148+CW163+CW164-CX163-CX164</f>
        <v>-10.520194726036266</v>
      </c>
      <c r="CY196" s="24">
        <f t="shared" ref="CY196" si="1664">CX148-CY148+CX163+CX164-CY163-CY164</f>
        <v>32.262381061821202</v>
      </c>
      <c r="CZ196" s="24">
        <f t="shared" ref="CZ196" si="1665">CY148-CZ148+CY163+CY164-CZ163-CZ164</f>
        <v>-37.848236771806796</v>
      </c>
      <c r="DA196" s="24">
        <f t="shared" ref="DA196" si="1666">CZ148-DA148+CZ163+CZ164-DA163-DA164</f>
        <v>-28.38872202100697</v>
      </c>
      <c r="DB196" s="24">
        <f t="shared" ref="DB196" si="1667">DA148-DB148+DA163+DA164-DB163-DB164</f>
        <v>-11.274141700888322</v>
      </c>
      <c r="DE196" s="123"/>
      <c r="DF196" s="23">
        <v>9.0452892037839661</v>
      </c>
    </row>
    <row r="197" spans="1:110" s="23" customFormat="1" x14ac:dyDescent="0.2">
      <c r="A197" s="23" t="s">
        <v>73</v>
      </c>
      <c r="C197" s="23">
        <f t="shared" ref="C197:AA197" si="1668">B156-C156</f>
        <v>0</v>
      </c>
      <c r="D197" s="23">
        <f t="shared" si="1668"/>
        <v>0</v>
      </c>
      <c r="E197" s="23">
        <f>D156-E156</f>
        <v>0</v>
      </c>
      <c r="F197" s="23">
        <f t="shared" si="1668"/>
        <v>-20.8611012</v>
      </c>
      <c r="G197" s="23">
        <f t="shared" si="1668"/>
        <v>-31.497038100000005</v>
      </c>
      <c r="H197" s="23">
        <f t="shared" si="1668"/>
        <v>-2.080134699999995</v>
      </c>
      <c r="I197" s="23">
        <f t="shared" si="1668"/>
        <v>-43.213226200000001</v>
      </c>
      <c r="J197" s="23">
        <f>I156-J156</f>
        <v>-9.5021595999999846</v>
      </c>
      <c r="K197" s="23">
        <f>J156-K156</f>
        <v>45.639967399999989</v>
      </c>
      <c r="L197" s="23">
        <f t="shared" si="1668"/>
        <v>-117.31987940000002</v>
      </c>
      <c r="M197" s="23">
        <f t="shared" si="1668"/>
        <v>116.51596480000001</v>
      </c>
      <c r="N197" s="23">
        <f t="shared" si="1668"/>
        <v>2.4088215000000019</v>
      </c>
      <c r="O197" s="23">
        <f t="shared" si="1668"/>
        <v>-22.171226499999996</v>
      </c>
      <c r="P197" s="23">
        <f t="shared" si="1668"/>
        <v>-3.2788000000010697E-2</v>
      </c>
      <c r="Q197" s="23">
        <f t="shared" si="1668"/>
        <v>7.1795000000000186</v>
      </c>
      <c r="R197" s="23">
        <f t="shared" si="1668"/>
        <v>-240.29510000000005</v>
      </c>
      <c r="S197" s="23">
        <f t="shared" si="1668"/>
        <v>-127.06670000000003</v>
      </c>
      <c r="T197" s="23">
        <f t="shared" si="1668"/>
        <v>-119.68439999999998</v>
      </c>
      <c r="U197" s="23">
        <f t="shared" si="1668"/>
        <v>-139.27689999999996</v>
      </c>
      <c r="V197" s="23">
        <f t="shared" si="1668"/>
        <v>-130.17540000000008</v>
      </c>
      <c r="W197" s="23">
        <f t="shared" si="1668"/>
        <v>-80.721799999999917</v>
      </c>
      <c r="X197" s="23">
        <f t="shared" si="1668"/>
        <v>598.3732</v>
      </c>
      <c r="Y197" s="23">
        <f t="shared" si="1668"/>
        <v>-184.04230000000013</v>
      </c>
      <c r="Z197" s="23">
        <f t="shared" si="1668"/>
        <v>-677.49049999999988</v>
      </c>
      <c r="AA197" s="23">
        <f t="shared" si="1668"/>
        <v>-10.27189999999996</v>
      </c>
      <c r="AB197" s="24">
        <f t="shared" ref="AB197" si="1669">AA156-AB156</f>
        <v>659.47204806349191</v>
      </c>
      <c r="AC197" s="24">
        <f t="shared" ref="AC197" si="1670">AB156-AC156</f>
        <v>-39.065574762270217</v>
      </c>
      <c r="AD197" s="24">
        <f t="shared" ref="AD197" si="1671">AC156-AD156</f>
        <v>-41.62986809876918</v>
      </c>
      <c r="AE197" s="24">
        <f t="shared" ref="AE197" si="1672">AD156-AE156</f>
        <v>-44.664686517994824</v>
      </c>
      <c r="AI197" s="23">
        <f t="shared" ref="AI197" si="1673">AH156-AI156</f>
        <v>0</v>
      </c>
      <c r="AJ197" s="23">
        <f t="shared" ref="AJ197" si="1674">AI156-AJ156</f>
        <v>0</v>
      </c>
      <c r="AK197" s="23" t="e">
        <f t="shared" ref="AK197" si="1675">AJ156-AK156</f>
        <v>#DIV/0!</v>
      </c>
      <c r="AL197" s="23" t="e">
        <f t="shared" ref="AL197" si="1676">AK156-AL156</f>
        <v>#DIV/0!</v>
      </c>
      <c r="AM197" s="23" t="e">
        <f t="shared" ref="AM197" si="1677">AL156-AM156</f>
        <v>#DIV/0!</v>
      </c>
      <c r="AN197" s="23" t="e">
        <f t="shared" ref="AN197" si="1678">AM156-AN156</f>
        <v>#DIV/0!</v>
      </c>
      <c r="AO197" s="23" t="e">
        <f t="shared" ref="AO197" si="1679">AN156-AO156</f>
        <v>#DIV/0!</v>
      </c>
      <c r="AP197" s="23" t="e">
        <f t="shared" ref="AP197" si="1680">AO156-AP156</f>
        <v>#DIV/0!</v>
      </c>
      <c r="AQ197" s="23" t="e">
        <f t="shared" ref="AQ197" si="1681">AP156-AQ156</f>
        <v>#DIV/0!</v>
      </c>
      <c r="AR197" s="23" t="e">
        <f t="shared" ref="AR197" si="1682">AQ156-AR156</f>
        <v>#DIV/0!</v>
      </c>
      <c r="AS197" s="23" t="e">
        <f t="shared" ref="AS197" si="1683">AR156-AS156</f>
        <v>#DIV/0!</v>
      </c>
      <c r="AT197" s="23" t="e">
        <f t="shared" ref="AT197" si="1684">AS156-AT156</f>
        <v>#DIV/0!</v>
      </c>
      <c r="AU197" s="23" t="e">
        <f t="shared" ref="AU197" si="1685">AT156-AU156</f>
        <v>#DIV/0!</v>
      </c>
      <c r="AV197" s="23" t="e">
        <f t="shared" ref="AV197" si="1686">AU156-AV156</f>
        <v>#DIV/0!</v>
      </c>
      <c r="AW197" s="23" t="e">
        <f t="shared" ref="AW197" si="1687">AV156-AW156</f>
        <v>#DIV/0!</v>
      </c>
      <c r="AX197" s="23" t="e">
        <f t="shared" ref="AX197" si="1688">AW156-AX156</f>
        <v>#DIV/0!</v>
      </c>
      <c r="AY197" s="23" t="e">
        <f t="shared" ref="AY197" si="1689">AX156-AY156</f>
        <v>#DIV/0!</v>
      </c>
      <c r="AZ197" s="23" t="e">
        <f t="shared" ref="AZ197" si="1690">AY156-AZ156</f>
        <v>#DIV/0!</v>
      </c>
      <c r="BA197" s="23" t="e">
        <f t="shared" ref="BA197" si="1691">AZ156-BA156</f>
        <v>#DIV/0!</v>
      </c>
      <c r="BB197" s="23" t="e">
        <f t="shared" ref="BB197" si="1692">BA156-BB156</f>
        <v>#DIV/0!</v>
      </c>
      <c r="BC197" s="23" t="e">
        <f t="shared" ref="BC197" si="1693">BB156-BC156</f>
        <v>#DIV/0!</v>
      </c>
      <c r="BD197" s="23" t="e">
        <f t="shared" ref="BD197" si="1694">BC156-BD156</f>
        <v>#DIV/0!</v>
      </c>
      <c r="BE197" s="23" t="e">
        <f t="shared" ref="BE197" si="1695">BD156-BE156</f>
        <v>#DIV/0!</v>
      </c>
      <c r="BF197" s="23" t="e">
        <f t="shared" ref="BF197" si="1696">BE156-BF156</f>
        <v>#DIV/0!</v>
      </c>
      <c r="BG197" s="23" t="e">
        <f t="shared" ref="BG197" si="1697">BF156-BG156</f>
        <v>#DIV/0!</v>
      </c>
      <c r="BH197" s="23" t="e">
        <f t="shared" ref="BH197" si="1698">BG156-BH156</f>
        <v>#DIV/0!</v>
      </c>
      <c r="BI197" s="23" t="e">
        <f t="shared" ref="BI197" si="1699">BH156-BI156</f>
        <v>#DIV/0!</v>
      </c>
      <c r="BJ197" s="23" t="e">
        <f t="shared" ref="BJ197" si="1700">BI156-BJ156</f>
        <v>#DIV/0!</v>
      </c>
      <c r="BK197" s="23" t="e">
        <f t="shared" ref="BK197" si="1701">BJ156-BK156</f>
        <v>#DIV/0!</v>
      </c>
      <c r="BL197" s="23" t="e">
        <f t="shared" ref="BL197" si="1702">BK156-BL156</f>
        <v>#DIV/0!</v>
      </c>
      <c r="BM197" s="23">
        <f t="shared" ref="BM197" si="1703">BL156-BM156</f>
        <v>0</v>
      </c>
      <c r="BN197" s="23">
        <f t="shared" ref="BN197" si="1704">BM156-BN156</f>
        <v>-251.89499999999998</v>
      </c>
      <c r="BO197" s="23">
        <f t="shared" ref="BO197" si="1705">BN156-BO156</f>
        <v>5.3968671072583163</v>
      </c>
      <c r="BP197" s="23">
        <f t="shared" ref="BP197" si="1706">BO156-BP156</f>
        <v>-95.753867107258344</v>
      </c>
      <c r="BQ197" s="23">
        <f t="shared" ref="BQ197" si="1707">BP156-BQ156</f>
        <v>-4.4926101995980616</v>
      </c>
      <c r="BR197" s="23">
        <f t="shared" ref="BR197" si="1708">BQ156-BR156</f>
        <v>20.730610199598061</v>
      </c>
      <c r="BS197" s="23">
        <f t="shared" ref="BS197" si="1709">BR156-BS156</f>
        <v>-0.37157135348616066</v>
      </c>
      <c r="BT197" s="23">
        <f t="shared" ref="BT197" si="1710">BS156-BT156</f>
        <v>-5.022428646513788</v>
      </c>
      <c r="BU197" s="23">
        <f t="shared" ref="BU197" si="1711">BT156-BU156</f>
        <v>-2.26440594738051</v>
      </c>
      <c r="BV197" s="23">
        <f t="shared" ref="BV197" si="1712">BU156-BV156</f>
        <v>24.518405947380472</v>
      </c>
      <c r="BW197" s="23">
        <f t="shared" ref="BW197" si="1713">BV156-BW156</f>
        <v>1.3160472646226253</v>
      </c>
      <c r="BX197" s="23">
        <f t="shared" ref="BX197" si="1714">BW156-BX156</f>
        <v>-31.246047264622632</v>
      </c>
      <c r="BY197" s="23">
        <f t="shared" ref="BY197" si="1715">BX156-BY156</f>
        <v>-0.2620178487436533</v>
      </c>
      <c r="BZ197" s="23">
        <f t="shared" ref="BZ197" si="1716">BY156-BZ156</f>
        <v>25.565017848743651</v>
      </c>
      <c r="CA197" s="23">
        <f t="shared" ref="CA197" si="1717">BZ156-CA156</f>
        <v>-2.0971535754837873</v>
      </c>
      <c r="CB197" s="23">
        <f t="shared" ref="CB197" si="1718">CA156-CB156</f>
        <v>-126.31984642451624</v>
      </c>
      <c r="CC197" s="23">
        <f t="shared" ref="CC197" si="1719">CB156-CC156</f>
        <v>-3.0793055550506097</v>
      </c>
      <c r="CD197" s="23">
        <f t="shared" ref="CD197" si="1720">CC156-CD156</f>
        <v>-52.54569444494939</v>
      </c>
      <c r="CE197" s="23">
        <f t="shared" ref="CE197" si="1721">CD156-CE156</f>
        <v>-4.3575287815782531</v>
      </c>
      <c r="CF197" s="23">
        <f t="shared" ref="CF197" si="1722">CE156-CF156</f>
        <v>22.80152878157827</v>
      </c>
      <c r="CG197" s="23">
        <f t="shared" ref="CG197" si="1723">CF156-CG156</f>
        <v>-0.86356215427247207</v>
      </c>
      <c r="CH197" s="23">
        <f t="shared" ref="CH197:CL197" si="1724">CG156-CH156</f>
        <v>-695.07063784572756</v>
      </c>
      <c r="CI197" s="23">
        <f t="shared" si="1724"/>
        <v>6.6460043485344613</v>
      </c>
      <c r="CJ197" s="23">
        <f t="shared" si="1724"/>
        <v>661.19119565146559</v>
      </c>
      <c r="CK197" s="24">
        <f t="shared" ref="CK197" si="1725">CJ156-CK156</f>
        <v>-18.051499652278267</v>
      </c>
      <c r="CL197" s="23">
        <f t="shared" si="1724"/>
        <v>37.914499652278266</v>
      </c>
      <c r="CM197" s="24">
        <f t="shared" ref="CM197" si="1726">CL156-CM156</f>
        <v>21.706494391719787</v>
      </c>
      <c r="CN197" s="24">
        <f t="shared" ref="CN197" si="1727">CM156-CN156</f>
        <v>-29.438405610212612</v>
      </c>
      <c r="CO197" s="24">
        <f t="shared" ref="CO197" si="1728">CN156-CO156</f>
        <v>-21.713787661333299</v>
      </c>
      <c r="CP197" s="24">
        <f t="shared" ref="CP197" si="1729">CO156-CP156</f>
        <v>-9.0543530566819754</v>
      </c>
      <c r="CQ197" s="24">
        <f t="shared" ref="CQ197" si="1730">CP156-CQ156</f>
        <v>26.995600593324411</v>
      </c>
      <c r="CR197" s="24">
        <f t="shared" ref="CR197" si="1731">CQ156-CR156</f>
        <v>-32.155886927019651</v>
      </c>
      <c r="CS197" s="24">
        <f t="shared" ref="CS197" si="1732">CR156-CS156</f>
        <v>-24.172857041294264</v>
      </c>
      <c r="CT197" s="24">
        <f t="shared" ref="CT197" si="1733">CS156-CT156</f>
        <v>-9.7324313872807124</v>
      </c>
      <c r="CU197" s="24">
        <f t="shared" ref="CU197" si="1734">CT156-CU156</f>
        <v>29.586943699370863</v>
      </c>
      <c r="CV197" s="24">
        <f t="shared" ref="CV197" si="1735">CU156-CV156</f>
        <v>-34.744169673325473</v>
      </c>
      <c r="CW197" s="24">
        <f t="shared" ref="CW197" si="1736">CV156-CW156</f>
        <v>-26.088233340516467</v>
      </c>
      <c r="CX197" s="24">
        <f t="shared" ref="CX197" si="1737">CW156-CX156</f>
        <v>-10.384408784298103</v>
      </c>
      <c r="CY197" s="24">
        <f t="shared" ref="CY197" si="1738">CX156-CY156</f>
        <v>31.845965024925249</v>
      </c>
      <c r="CZ197" s="24">
        <f t="shared" ref="CZ197" si="1739">CY156-CZ156</f>
        <v>-37.359723145679482</v>
      </c>
      <c r="DA197" s="24">
        <f t="shared" ref="DA197" si="1740">CZ156-DA156</f>
        <v>-28.022303959863848</v>
      </c>
      <c r="DB197" s="24">
        <f t="shared" ref="DB197" si="1741">DA156-DB156</f>
        <v>-11.128624437376743</v>
      </c>
      <c r="DE197" s="123"/>
      <c r="DF197" s="23">
        <v>9.4554613625361981</v>
      </c>
    </row>
    <row r="198" spans="1:110" s="22" customFormat="1" x14ac:dyDescent="0.2">
      <c r="A198" s="22" t="s">
        <v>90</v>
      </c>
      <c r="C198" s="22">
        <f t="shared" ref="C198:W198" si="1742">C196-C197</f>
        <v>0</v>
      </c>
      <c r="D198" s="22">
        <f t="shared" si="1742"/>
        <v>0</v>
      </c>
      <c r="E198" s="22">
        <f t="shared" si="1742"/>
        <v>0</v>
      </c>
      <c r="F198" s="22">
        <f t="shared" si="1742"/>
        <v>-5.0072664000000024</v>
      </c>
      <c r="G198" s="22">
        <f t="shared" si="1742"/>
        <v>13.114332200000003</v>
      </c>
      <c r="H198" s="22">
        <f t="shared" si="1742"/>
        <v>-8.1837944000000036</v>
      </c>
      <c r="I198" s="22">
        <f t="shared" si="1742"/>
        <v>16.499476000000008</v>
      </c>
      <c r="J198" s="22">
        <f>J196-J197</f>
        <v>-10.480582400000021</v>
      </c>
      <c r="K198" s="22">
        <f t="shared" si="1742"/>
        <v>-9.2674113999999861</v>
      </c>
      <c r="L198" s="22">
        <f t="shared" si="1742"/>
        <v>-0.37371449999999129</v>
      </c>
      <c r="M198" s="22">
        <f t="shared" si="1742"/>
        <v>24.805299700000006</v>
      </c>
      <c r="N198" s="22">
        <f t="shared" si="1742"/>
        <v>-5.833321300000005</v>
      </c>
      <c r="O198" s="22">
        <f t="shared" si="1742"/>
        <v>5.3177238999999901</v>
      </c>
      <c r="P198" s="22">
        <f t="shared" si="1742"/>
        <v>0.66415860000002302</v>
      </c>
      <c r="Q198" s="22">
        <f t="shared" si="1742"/>
        <v>-9.389600000000021</v>
      </c>
      <c r="R198" s="22">
        <f t="shared" si="1742"/>
        <v>-1.2316999999999609</v>
      </c>
      <c r="S198" s="22">
        <f t="shared" si="1742"/>
        <v>-5.7339000000000055</v>
      </c>
      <c r="T198" s="22">
        <f t="shared" si="1742"/>
        <v>33.960599999999999</v>
      </c>
      <c r="U198" s="22">
        <f t="shared" si="1742"/>
        <v>77.8736999999999</v>
      </c>
      <c r="V198" s="22">
        <f t="shared" si="1742"/>
        <v>67.732200000000063</v>
      </c>
      <c r="W198" s="22">
        <f t="shared" si="1742"/>
        <v>-50.08929999999998</v>
      </c>
      <c r="X198" s="22">
        <f t="shared" ref="X198:Y198" si="1743">X196-X197</f>
        <v>-93.322100000000034</v>
      </c>
      <c r="Y198" s="22">
        <f t="shared" si="1743"/>
        <v>49.869500000000187</v>
      </c>
      <c r="Z198" s="22">
        <f t="shared" ref="Z198:AA198" si="1744">Z196-Z197</f>
        <v>-80.020200000000045</v>
      </c>
      <c r="AA198" s="22">
        <f t="shared" si="1744"/>
        <v>16.453399999999746</v>
      </c>
      <c r="AB198" s="21">
        <f t="shared" ref="AA198:AD198" si="1745">AB196-AB197</f>
        <v>-53.331924500878813</v>
      </c>
      <c r="AC198" s="21">
        <f t="shared" si="1745"/>
        <v>-0.51081924535299095</v>
      </c>
      <c r="AD198" s="21">
        <f t="shared" si="1745"/>
        <v>-0.54434979993914112</v>
      </c>
      <c r="AE198" s="21">
        <f t="shared" ref="AE198" si="1746">AE196-AE197</f>
        <v>-0.58403291388606249</v>
      </c>
      <c r="AI198" s="22">
        <f t="shared" ref="AI198" si="1747">AI196-AI197</f>
        <v>0</v>
      </c>
      <c r="AJ198" s="22">
        <f t="shared" ref="AJ198:AL198" si="1748">AJ196-AJ197</f>
        <v>0</v>
      </c>
      <c r="AK198" s="22" t="e">
        <f t="shared" si="1748"/>
        <v>#DIV/0!</v>
      </c>
      <c r="AL198" s="22" t="e">
        <f t="shared" si="1748"/>
        <v>#DIV/0!</v>
      </c>
      <c r="AM198" s="22" t="e">
        <f t="shared" ref="AM198" si="1749">AM196-AM197</f>
        <v>#DIV/0!</v>
      </c>
      <c r="AN198" s="22" t="e">
        <f t="shared" ref="AN198:CD198" si="1750">AN196-AN197</f>
        <v>#DIV/0!</v>
      </c>
      <c r="AO198" s="22" t="e">
        <f t="shared" si="1750"/>
        <v>#DIV/0!</v>
      </c>
      <c r="AP198" s="22" t="e">
        <f t="shared" si="1750"/>
        <v>#DIV/0!</v>
      </c>
      <c r="AQ198" s="22" t="e">
        <f t="shared" si="1750"/>
        <v>#DIV/0!</v>
      </c>
      <c r="AR198" s="22" t="e">
        <f t="shared" si="1750"/>
        <v>#DIV/0!</v>
      </c>
      <c r="AS198" s="22" t="e">
        <f t="shared" si="1750"/>
        <v>#DIV/0!</v>
      </c>
      <c r="AT198" s="22" t="e">
        <f t="shared" si="1750"/>
        <v>#DIV/0!</v>
      </c>
      <c r="AU198" s="22" t="e">
        <f t="shared" si="1750"/>
        <v>#DIV/0!</v>
      </c>
      <c r="AV198" s="22" t="e">
        <f t="shared" si="1750"/>
        <v>#DIV/0!</v>
      </c>
      <c r="AW198" s="22" t="e">
        <f t="shared" si="1750"/>
        <v>#DIV/0!</v>
      </c>
      <c r="AX198" s="22" t="e">
        <f t="shared" si="1750"/>
        <v>#DIV/0!</v>
      </c>
      <c r="AY198" s="22" t="e">
        <f t="shared" si="1750"/>
        <v>#DIV/0!</v>
      </c>
      <c r="AZ198" s="22" t="e">
        <f t="shared" si="1750"/>
        <v>#DIV/0!</v>
      </c>
      <c r="BA198" s="22" t="e">
        <f t="shared" si="1750"/>
        <v>#DIV/0!</v>
      </c>
      <c r="BB198" s="22" t="e">
        <f t="shared" si="1750"/>
        <v>#DIV/0!</v>
      </c>
      <c r="BC198" s="22" t="e">
        <f t="shared" si="1750"/>
        <v>#DIV/0!</v>
      </c>
      <c r="BD198" s="22" t="e">
        <f t="shared" si="1750"/>
        <v>#DIV/0!</v>
      </c>
      <c r="BE198" s="22" t="e">
        <f t="shared" si="1750"/>
        <v>#DIV/0!</v>
      </c>
      <c r="BF198" s="22" t="e">
        <f t="shared" si="1750"/>
        <v>#DIV/0!</v>
      </c>
      <c r="BG198" s="22" t="e">
        <f t="shared" si="1750"/>
        <v>#DIV/0!</v>
      </c>
      <c r="BH198" s="22" t="e">
        <f t="shared" si="1750"/>
        <v>#DIV/0!</v>
      </c>
      <c r="BI198" s="22" t="e">
        <f t="shared" si="1750"/>
        <v>#DIV/0!</v>
      </c>
      <c r="BJ198" s="22" t="e">
        <f t="shared" si="1750"/>
        <v>#DIV/0!</v>
      </c>
      <c r="BK198" s="22" t="e">
        <f t="shared" si="1750"/>
        <v>#DIV/0!</v>
      </c>
      <c r="BL198" s="22" t="e">
        <f t="shared" si="1750"/>
        <v>#DIV/0!</v>
      </c>
      <c r="BM198" s="22">
        <f t="shared" si="1750"/>
        <v>0</v>
      </c>
      <c r="BN198" s="22">
        <f t="shared" si="1750"/>
        <v>17.670999999999992</v>
      </c>
      <c r="BO198" s="22">
        <f t="shared" si="1750"/>
        <v>-0.60591731754070111</v>
      </c>
      <c r="BP198" s="22">
        <f t="shared" si="1750"/>
        <v>94.900917317540717</v>
      </c>
      <c r="BQ198" s="22">
        <f t="shared" si="1750"/>
        <v>0.81311745080171249</v>
      </c>
      <c r="BR198" s="22">
        <f t="shared" si="1750"/>
        <v>-2.0491174508017096</v>
      </c>
      <c r="BS198" s="22">
        <f t="shared" si="1750"/>
        <v>0.16797542210403549</v>
      </c>
      <c r="BT198" s="22">
        <f t="shared" si="1750"/>
        <v>-15.761975422104108</v>
      </c>
      <c r="BU198" s="22">
        <f t="shared" si="1750"/>
        <v>0.61128204362123029</v>
      </c>
      <c r="BV198" s="22">
        <f t="shared" si="1750"/>
        <v>-33.818282043621167</v>
      </c>
      <c r="BW198" s="22">
        <f t="shared" si="1750"/>
        <v>-0.62921636291858363</v>
      </c>
      <c r="BX198" s="22">
        <f t="shared" si="1750"/>
        <v>-1.7417836370814044</v>
      </c>
      <c r="BY198" s="22">
        <f t="shared" si="1750"/>
        <v>-2.1087197260442281E-2</v>
      </c>
      <c r="BZ198" s="22">
        <f t="shared" si="1750"/>
        <v>-101.45991280273958</v>
      </c>
      <c r="CA198" s="22">
        <f t="shared" si="1750"/>
        <v>0.49926006764593467</v>
      </c>
      <c r="CB198" s="22">
        <f t="shared" si="1750"/>
        <v>167.89473993235413</v>
      </c>
      <c r="CC198" s="22">
        <f t="shared" si="1750"/>
        <v>0.21859366082230736</v>
      </c>
      <c r="CD198" s="22">
        <f t="shared" si="1750"/>
        <v>-119.38759366082229</v>
      </c>
      <c r="CE198" s="22">
        <f t="shared" ref="CE198:CF198" si="1751">CE196-CE197</f>
        <v>-1.8078793012932692E-2</v>
      </c>
      <c r="CF198" s="22">
        <f t="shared" si="1751"/>
        <v>-7.0249212069870897</v>
      </c>
      <c r="CG198" s="22">
        <f t="shared" ref="CG198:CH198" si="1752">CG196-CG197</f>
        <v>-3.4159954761094014E-2</v>
      </c>
      <c r="CH198" s="22">
        <f t="shared" si="1752"/>
        <v>10.679259954761164</v>
      </c>
      <c r="CI198" s="22">
        <f t="shared" ref="CI198:CJ198" si="1753">CI196-CI197</f>
        <v>-0.15515274338417839</v>
      </c>
      <c r="CJ198" s="22">
        <f t="shared" si="1753"/>
        <v>-7.350947256615882</v>
      </c>
      <c r="CK198" s="21">
        <f t="shared" ref="CK198:DB198" si="1754">CK196-CK197</f>
        <v>0.7830630677022441</v>
      </c>
      <c r="CL198" s="22">
        <f t="shared" si="1754"/>
        <v>-29.652063067702173</v>
      </c>
      <c r="CM198" s="21">
        <f t="shared" si="1754"/>
        <v>0.28383289256368016</v>
      </c>
      <c r="CN198" s="21">
        <f t="shared" si="1754"/>
        <v>-0.38493492620318648</v>
      </c>
      <c r="CO198" s="21">
        <f t="shared" si="1754"/>
        <v>-0.28392825894451335</v>
      </c>
      <c r="CP198" s="21">
        <f t="shared" si="1754"/>
        <v>-0.11839420829494429</v>
      </c>
      <c r="CQ198" s="21">
        <f t="shared" si="1754"/>
        <v>0.35299294601048814</v>
      </c>
      <c r="CR198" s="21">
        <f t="shared" si="1754"/>
        <v>-0.42046855815300432</v>
      </c>
      <c r="CS198" s="21">
        <f t="shared" si="1754"/>
        <v>-0.31608291102850217</v>
      </c>
      <c r="CT198" s="21">
        <f t="shared" si="1754"/>
        <v>-0.1272607221819726</v>
      </c>
      <c r="CU198" s="21">
        <f t="shared" si="1754"/>
        <v>0.38687720185316721</v>
      </c>
      <c r="CV198" s="21">
        <f t="shared" si="1754"/>
        <v>-0.45431279690478732</v>
      </c>
      <c r="CW198" s="21">
        <f t="shared" si="1754"/>
        <v>-0.34112826314935774</v>
      </c>
      <c r="CX198" s="21">
        <f t="shared" si="1754"/>
        <v>-0.13578594173816327</v>
      </c>
      <c r="CY198" s="21">
        <f t="shared" si="1754"/>
        <v>0.41641603689595286</v>
      </c>
      <c r="CZ198" s="21">
        <f t="shared" si="1754"/>
        <v>-0.48851362612731464</v>
      </c>
      <c r="DA198" s="21">
        <f t="shared" si="1754"/>
        <v>-0.36641806114312203</v>
      </c>
      <c r="DB198" s="21">
        <f t="shared" si="1754"/>
        <v>-0.14551726351157868</v>
      </c>
      <c r="DE198" s="126"/>
      <c r="DF198" s="22">
        <v>-0.41017215875223201</v>
      </c>
    </row>
    <row r="199" spans="1:110" s="22" customFormat="1" x14ac:dyDescent="0.2">
      <c r="A199" s="22" t="s">
        <v>91</v>
      </c>
      <c r="C199" s="22">
        <f t="shared" ref="C199:W199" si="1755">C195+C198</f>
        <v>0</v>
      </c>
      <c r="D199" s="22">
        <f>D195+D198</f>
        <v>0</v>
      </c>
      <c r="E199" s="22">
        <f t="shared" si="1755"/>
        <v>0</v>
      </c>
      <c r="F199" s="22">
        <f t="shared" si="1755"/>
        <v>23.154931999999988</v>
      </c>
      <c r="G199" s="22">
        <f t="shared" si="1755"/>
        <v>50.50750029999999</v>
      </c>
      <c r="H199" s="22">
        <f t="shared" si="1755"/>
        <v>53.907105600000008</v>
      </c>
      <c r="I199" s="22">
        <f t="shared" si="1755"/>
        <v>96.90287600000002</v>
      </c>
      <c r="J199" s="22">
        <f>J195+J198</f>
        <v>38.751417599999968</v>
      </c>
      <c r="K199" s="22">
        <f t="shared" si="1755"/>
        <v>71.342388599999992</v>
      </c>
      <c r="L199" s="22">
        <f t="shared" si="1755"/>
        <v>58.540385500000042</v>
      </c>
      <c r="M199" s="22">
        <f t="shared" si="1755"/>
        <v>75.365299699999994</v>
      </c>
      <c r="N199" s="22">
        <f t="shared" si="1755"/>
        <v>59.49667869999999</v>
      </c>
      <c r="O199" s="22">
        <f t="shared" si="1755"/>
        <v>81.630660999999947</v>
      </c>
      <c r="P199" s="22">
        <f t="shared" si="1755"/>
        <v>104.30485860000006</v>
      </c>
      <c r="Q199" s="22">
        <f t="shared" si="1755"/>
        <v>107.29849999999999</v>
      </c>
      <c r="R199" s="22">
        <f t="shared" si="1755"/>
        <v>142.03810000000001</v>
      </c>
      <c r="S199" s="22">
        <f t="shared" si="1755"/>
        <v>166.26860000000002</v>
      </c>
      <c r="T199" s="22">
        <f t="shared" si="1755"/>
        <v>197.04679999999999</v>
      </c>
      <c r="U199" s="22">
        <f t="shared" si="1755"/>
        <v>300.94399999999996</v>
      </c>
      <c r="V199" s="22">
        <f t="shared" si="1755"/>
        <v>316.43670000000009</v>
      </c>
      <c r="W199" s="22">
        <f t="shared" si="1755"/>
        <v>288.47930000000002</v>
      </c>
      <c r="X199" s="22">
        <f t="shared" ref="X199:Y199" si="1756">X195+X198</f>
        <v>252.17619999999988</v>
      </c>
      <c r="Y199" s="22">
        <f t="shared" si="1756"/>
        <v>473.98790000000025</v>
      </c>
      <c r="Z199" s="22">
        <f t="shared" ref="Z199:AA199" si="1757">Z195+Z198</f>
        <v>467.89370000000019</v>
      </c>
      <c r="AA199" s="22">
        <f t="shared" si="1757"/>
        <v>591.23279999999988</v>
      </c>
      <c r="AB199" s="21">
        <f t="shared" ref="AA199:AD199" si="1758">AB195+AB198</f>
        <v>573.78940520760227</v>
      </c>
      <c r="AC199" s="21">
        <f t="shared" si="1758"/>
        <v>676.65985604949117</v>
      </c>
      <c r="AD199" s="21">
        <f t="shared" si="1758"/>
        <v>737.75186561213536</v>
      </c>
      <c r="AE199" s="21">
        <f t="shared" ref="AE199" si="1759">AE195+AE198</f>
        <v>807.82693569930041</v>
      </c>
      <c r="AI199" s="22">
        <f t="shared" ref="AI199" si="1760">AI195+AI198</f>
        <v>0</v>
      </c>
      <c r="AJ199" s="22">
        <f t="shared" ref="AJ199:AL199" si="1761">AJ195+AJ198</f>
        <v>0</v>
      </c>
      <c r="AK199" s="22" t="e">
        <f t="shared" si="1761"/>
        <v>#DIV/0!</v>
      </c>
      <c r="AL199" s="22" t="e">
        <f t="shared" si="1761"/>
        <v>#DIV/0!</v>
      </c>
      <c r="AM199" s="22" t="e">
        <f t="shared" ref="AM199" si="1762">AM195+AM198</f>
        <v>#DIV/0!</v>
      </c>
      <c r="AN199" s="22" t="e">
        <f t="shared" ref="AN199:CD199" si="1763">AN195+AN198</f>
        <v>#DIV/0!</v>
      </c>
      <c r="AO199" s="22" t="e">
        <f t="shared" si="1763"/>
        <v>#DIV/0!</v>
      </c>
      <c r="AP199" s="22" t="e">
        <f t="shared" si="1763"/>
        <v>#DIV/0!</v>
      </c>
      <c r="AQ199" s="22" t="e">
        <f t="shared" si="1763"/>
        <v>#DIV/0!</v>
      </c>
      <c r="AR199" s="22" t="e">
        <f t="shared" si="1763"/>
        <v>#DIV/0!</v>
      </c>
      <c r="AS199" s="22" t="e">
        <f t="shared" si="1763"/>
        <v>#DIV/0!</v>
      </c>
      <c r="AT199" s="22" t="e">
        <f t="shared" si="1763"/>
        <v>#DIV/0!</v>
      </c>
      <c r="AU199" s="22" t="e">
        <f t="shared" si="1763"/>
        <v>#DIV/0!</v>
      </c>
      <c r="AV199" s="22" t="e">
        <f t="shared" si="1763"/>
        <v>#DIV/0!</v>
      </c>
      <c r="AW199" s="22" t="e">
        <f t="shared" si="1763"/>
        <v>#DIV/0!</v>
      </c>
      <c r="AX199" s="22" t="e">
        <f t="shared" si="1763"/>
        <v>#DIV/0!</v>
      </c>
      <c r="AY199" s="22" t="e">
        <f t="shared" si="1763"/>
        <v>#DIV/0!</v>
      </c>
      <c r="AZ199" s="22" t="e">
        <f t="shared" si="1763"/>
        <v>#DIV/0!</v>
      </c>
      <c r="BA199" s="22" t="e">
        <f t="shared" si="1763"/>
        <v>#DIV/0!</v>
      </c>
      <c r="BB199" s="22" t="e">
        <f t="shared" si="1763"/>
        <v>#DIV/0!</v>
      </c>
      <c r="BC199" s="22" t="e">
        <f t="shared" si="1763"/>
        <v>#DIV/0!</v>
      </c>
      <c r="BD199" s="22" t="e">
        <f t="shared" si="1763"/>
        <v>#DIV/0!</v>
      </c>
      <c r="BE199" s="22" t="e">
        <f t="shared" si="1763"/>
        <v>#DIV/0!</v>
      </c>
      <c r="BF199" s="22" t="e">
        <f t="shared" si="1763"/>
        <v>#DIV/0!</v>
      </c>
      <c r="BG199" s="22" t="e">
        <f t="shared" si="1763"/>
        <v>#DIV/0!</v>
      </c>
      <c r="BH199" s="22" t="e">
        <f t="shared" si="1763"/>
        <v>#DIV/0!</v>
      </c>
      <c r="BI199" s="22" t="e">
        <f t="shared" si="1763"/>
        <v>#DIV/0!</v>
      </c>
      <c r="BJ199" s="22" t="e">
        <f t="shared" si="1763"/>
        <v>#DIV/0!</v>
      </c>
      <c r="BK199" s="22" t="e">
        <f t="shared" si="1763"/>
        <v>#DIV/0!</v>
      </c>
      <c r="BL199" s="22" t="e">
        <f t="shared" si="1763"/>
        <v>#DIV/0!</v>
      </c>
      <c r="BM199" s="22">
        <f t="shared" si="1763"/>
        <v>59.116000000000014</v>
      </c>
      <c r="BN199" s="22">
        <f t="shared" si="1763"/>
        <v>73.913999999999987</v>
      </c>
      <c r="BO199" s="22">
        <f t="shared" si="1763"/>
        <v>50.447082682459282</v>
      </c>
      <c r="BP199" s="22">
        <f t="shared" si="1763"/>
        <v>154.65091731754072</v>
      </c>
      <c r="BQ199" s="22">
        <f t="shared" si="1763"/>
        <v>67.989117450801729</v>
      </c>
      <c r="BR199" s="22">
        <f t="shared" si="1763"/>
        <v>68.674882549198287</v>
      </c>
      <c r="BS199" s="22">
        <f t="shared" si="1763"/>
        <v>74.030975422104021</v>
      </c>
      <c r="BT199" s="22">
        <f t="shared" si="1763"/>
        <v>68.695024577895907</v>
      </c>
      <c r="BU199" s="22">
        <f t="shared" si="1763"/>
        <v>91.339282043621211</v>
      </c>
      <c r="BV199" s="22">
        <f t="shared" si="1763"/>
        <v>55.70271795637882</v>
      </c>
      <c r="BW199" s="22">
        <f t="shared" si="1763"/>
        <v>77.779783637081408</v>
      </c>
      <c r="BX199" s="22">
        <f t="shared" si="1763"/>
        <v>85.120216362918626</v>
      </c>
      <c r="BY199" s="22">
        <f t="shared" si="1763"/>
        <v>89.202912802739576</v>
      </c>
      <c r="BZ199" s="22">
        <f t="shared" si="1763"/>
        <v>-10.454912802739585</v>
      </c>
      <c r="CA199" s="22">
        <f t="shared" si="1763"/>
        <v>93.3432600676459</v>
      </c>
      <c r="CB199" s="22">
        <f t="shared" si="1763"/>
        <v>269.82473993235413</v>
      </c>
      <c r="CC199" s="22">
        <f t="shared" si="1763"/>
        <v>107.96559366082229</v>
      </c>
      <c r="CD199" s="22">
        <f t="shared" si="1763"/>
        <v>2.2094063391777183</v>
      </c>
      <c r="CE199" s="22">
        <f t="shared" ref="CE199:CF199" si="1764">CE195+CE198</f>
        <v>125.17692120698707</v>
      </c>
      <c r="CF199" s="22">
        <f t="shared" si="1764"/>
        <v>133.81207879301297</v>
      </c>
      <c r="CG199" s="22">
        <f t="shared" ref="CG199:CH199" si="1765">CG195+CG198</f>
        <v>144.97584004523893</v>
      </c>
      <c r="CH199" s="22">
        <f t="shared" si="1765"/>
        <v>147.54825995476111</v>
      </c>
      <c r="CI199" s="22">
        <f t="shared" ref="CI199:CJ199" si="1766">CI195+CI198</f>
        <v>129.77884725661579</v>
      </c>
      <c r="CJ199" s="22">
        <f t="shared" si="1766"/>
        <v>132.14905274338409</v>
      </c>
      <c r="CK199" s="21">
        <f t="shared" ref="CK199:DB199" si="1767">CK195+CK198</f>
        <v>151.65206306770224</v>
      </c>
      <c r="CL199" s="22">
        <f t="shared" si="1767"/>
        <v>124.82293693229782</v>
      </c>
      <c r="CM199" s="21">
        <f t="shared" si="1767"/>
        <v>145.88312945357842</v>
      </c>
      <c r="CN199" s="21">
        <f t="shared" si="1767"/>
        <v>154.37752644620787</v>
      </c>
      <c r="CO199" s="21">
        <f t="shared" si="1767"/>
        <v>161.76692887939822</v>
      </c>
      <c r="CP199" s="21">
        <f t="shared" si="1767"/>
        <v>164.59032042841747</v>
      </c>
      <c r="CQ199" s="21">
        <f t="shared" si="1767"/>
        <v>157.45411494506698</v>
      </c>
      <c r="CR199" s="21">
        <f t="shared" si="1767"/>
        <v>166.61209888520895</v>
      </c>
      <c r="CS199" s="21">
        <f t="shared" si="1767"/>
        <v>174.41571036334651</v>
      </c>
      <c r="CT199" s="21">
        <f t="shared" si="1767"/>
        <v>178.17793185586876</v>
      </c>
      <c r="CU199" s="21">
        <f t="shared" si="1767"/>
        <v>171.49774920250556</v>
      </c>
      <c r="CV199" s="21">
        <f t="shared" si="1767"/>
        <v>181.51211813431033</v>
      </c>
      <c r="CW199" s="21">
        <f t="shared" si="1767"/>
        <v>190.14676687531289</v>
      </c>
      <c r="CX199" s="21">
        <f t="shared" si="1767"/>
        <v>194.59523140000655</v>
      </c>
      <c r="CY199" s="21">
        <f t="shared" si="1767"/>
        <v>187.76422267899443</v>
      </c>
      <c r="CZ199" s="21">
        <f t="shared" si="1767"/>
        <v>198.70369022035271</v>
      </c>
      <c r="DA199" s="21">
        <f t="shared" si="1767"/>
        <v>208.18390051786361</v>
      </c>
      <c r="DB199" s="21">
        <f t="shared" si="1767"/>
        <v>213.17512228209</v>
      </c>
      <c r="DE199" s="126"/>
      <c r="DF199" s="22">
        <v>144.79814298383718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</v>
      </c>
      <c r="D201" s="22">
        <f>D202+D203</f>
        <v>0</v>
      </c>
      <c r="E201" s="22">
        <f t="shared" si="1768"/>
        <v>0</v>
      </c>
      <c r="F201" s="22">
        <f t="shared" si="1768"/>
        <v>-22.2368807</v>
      </c>
      <c r="G201" s="22">
        <f t="shared" si="1768"/>
        <v>-12.421244900000001</v>
      </c>
      <c r="H201" s="22">
        <f t="shared" si="1768"/>
        <v>-13.116891099999998</v>
      </c>
      <c r="I201" s="22">
        <f t="shared" si="1768"/>
        <v>-9.3269127999999988</v>
      </c>
      <c r="J201" s="22">
        <f t="shared" si="1768"/>
        <v>3.3069504000000016</v>
      </c>
      <c r="K201" s="22">
        <f t="shared" si="1768"/>
        <v>-4.4383358999999984</v>
      </c>
      <c r="L201" s="22">
        <f t="shared" si="1768"/>
        <v>3.6602556999999933</v>
      </c>
      <c r="M201" s="22">
        <f t="shared" si="1768"/>
        <v>-41.544136700000003</v>
      </c>
      <c r="N201" s="22">
        <f t="shared" si="1768"/>
        <v>0.56346550000001372</v>
      </c>
      <c r="O201" s="22">
        <f t="shared" si="1768"/>
        <v>-112.376755</v>
      </c>
      <c r="P201" s="22">
        <f t="shared" si="1768"/>
        <v>-53.301757300000013</v>
      </c>
      <c r="Q201" s="22">
        <f t="shared" si="1768"/>
        <v>-12.783699999999945</v>
      </c>
      <c r="R201" s="22">
        <f t="shared" si="1768"/>
        <v>-22.321500000000007</v>
      </c>
      <c r="S201" s="22">
        <f t="shared" si="1768"/>
        <v>-42.404900000000019</v>
      </c>
      <c r="T201" s="22">
        <f t="shared" si="1768"/>
        <v>-34.69159999999998</v>
      </c>
      <c r="U201" s="22">
        <f t="shared" si="1768"/>
        <v>-135.87569999999999</v>
      </c>
      <c r="V201" s="22">
        <f t="shared" si="1768"/>
        <v>-18.433200000000102</v>
      </c>
      <c r="W201" s="22">
        <f t="shared" si="1768"/>
        <v>-81.329799999999977</v>
      </c>
      <c r="X201" s="22">
        <f t="shared" ref="X201:Y201" si="1769">X202+X203</f>
        <v>-87.330599999999947</v>
      </c>
      <c r="Y201" s="22">
        <f t="shared" si="1769"/>
        <v>-118.03700000000003</v>
      </c>
      <c r="Z201" s="22">
        <f t="shared" ref="Z201:AA201" si="1770">Z202+Z203</f>
        <v>-138.56819999999993</v>
      </c>
      <c r="AA201" s="22">
        <f t="shared" si="1770"/>
        <v>-143.28980000000016</v>
      </c>
      <c r="AB201" s="21">
        <f t="shared" ref="AA201:AD201" si="1771">AB202+AB203</f>
        <v>52.827400000000068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0</v>
      </c>
      <c r="AJ201" s="22">
        <f t="shared" ref="AJ201:AL201" si="1774">AJ202+AJ203</f>
        <v>0</v>
      </c>
      <c r="AK201" s="22">
        <f t="shared" si="1774"/>
        <v>0</v>
      </c>
      <c r="AL201" s="22">
        <f t="shared" si="1774"/>
        <v>0</v>
      </c>
      <c r="AM201" s="22">
        <f t="shared" ref="AM201" si="1775">AM202+AM203</f>
        <v>0</v>
      </c>
      <c r="AN201" s="22">
        <f t="shared" ref="AN201:CD201" si="1776">AN202+AN203</f>
        <v>0</v>
      </c>
      <c r="AO201" s="22">
        <f t="shared" si="1776"/>
        <v>0</v>
      </c>
      <c r="AP201" s="22">
        <f t="shared" si="1776"/>
        <v>0</v>
      </c>
      <c r="AQ201" s="22">
        <f t="shared" si="1776"/>
        <v>0</v>
      </c>
      <c r="AR201" s="22">
        <f t="shared" si="1776"/>
        <v>0</v>
      </c>
      <c r="AS201" s="22">
        <f t="shared" si="1776"/>
        <v>0</v>
      </c>
      <c r="AT201" s="22">
        <f t="shared" si="1776"/>
        <v>0</v>
      </c>
      <c r="AU201" s="22">
        <f t="shared" si="1776"/>
        <v>0</v>
      </c>
      <c r="AV201" s="22">
        <f t="shared" si="1776"/>
        <v>0</v>
      </c>
      <c r="AW201" s="22">
        <f t="shared" si="1776"/>
        <v>0</v>
      </c>
      <c r="AX201" s="22">
        <f t="shared" si="1776"/>
        <v>0</v>
      </c>
      <c r="AY201" s="22">
        <f t="shared" si="1776"/>
        <v>0</v>
      </c>
      <c r="AZ201" s="22">
        <f t="shared" si="1776"/>
        <v>0</v>
      </c>
      <c r="BA201" s="22">
        <f t="shared" si="1776"/>
        <v>0</v>
      </c>
      <c r="BB201" s="22">
        <f t="shared" si="1776"/>
        <v>0</v>
      </c>
      <c r="BC201" s="22">
        <f t="shared" si="1776"/>
        <v>0</v>
      </c>
      <c r="BD201" s="22">
        <f t="shared" si="1776"/>
        <v>0</v>
      </c>
      <c r="BE201" s="22">
        <f t="shared" si="1776"/>
        <v>0</v>
      </c>
      <c r="BF201" s="22">
        <f t="shared" si="1776"/>
        <v>0</v>
      </c>
      <c r="BG201" s="22">
        <f t="shared" si="1776"/>
        <v>0</v>
      </c>
      <c r="BH201" s="22">
        <f t="shared" si="1776"/>
        <v>0</v>
      </c>
      <c r="BI201" s="22">
        <f t="shared" si="1776"/>
        <v>0</v>
      </c>
      <c r="BJ201" s="22">
        <f t="shared" si="1776"/>
        <v>0</v>
      </c>
      <c r="BK201" s="22">
        <f t="shared" si="1776"/>
        <v>0</v>
      </c>
      <c r="BL201" s="22">
        <f t="shared" si="1776"/>
        <v>-13.57</v>
      </c>
      <c r="BM201" s="22">
        <f t="shared" si="1776"/>
        <v>-12.882999999999999</v>
      </c>
      <c r="BN201" s="22">
        <f t="shared" si="1776"/>
        <v>-223.63899999999998</v>
      </c>
      <c r="BO201" s="22">
        <f t="shared" si="1776"/>
        <v>-11.25800000000001</v>
      </c>
      <c r="BP201" s="22">
        <f t="shared" si="1776"/>
        <v>-1.8130000000000266</v>
      </c>
      <c r="BQ201" s="22">
        <f t="shared" si="1776"/>
        <v>-10.75800000000001</v>
      </c>
      <c r="BR201" s="22">
        <f t="shared" si="1776"/>
        <v>-19.930999999999983</v>
      </c>
      <c r="BS201" s="22">
        <f t="shared" si="1776"/>
        <v>-10.621000000000009</v>
      </c>
      <c r="BT201" s="22">
        <f t="shared" si="1776"/>
        <v>-14.312000000000017</v>
      </c>
      <c r="BU201" s="22">
        <f t="shared" si="1776"/>
        <v>-13.417000000000002</v>
      </c>
      <c r="BV201" s="22">
        <f t="shared" si="1776"/>
        <v>-44.268000000000001</v>
      </c>
      <c r="BW201" s="22">
        <f t="shared" si="1776"/>
        <v>-13.631</v>
      </c>
      <c r="BX201" s="22">
        <f t="shared" si="1776"/>
        <v>-21.259999999999991</v>
      </c>
      <c r="BY201" s="22">
        <f t="shared" si="1776"/>
        <v>-15.506</v>
      </c>
      <c r="BZ201" s="22">
        <f t="shared" si="1776"/>
        <v>-26.405000000000001</v>
      </c>
      <c r="CA201" s="22">
        <f t="shared" si="1776"/>
        <v>-16.503999999999991</v>
      </c>
      <c r="CB201" s="22">
        <f t="shared" si="1776"/>
        <v>-65.133999999999986</v>
      </c>
      <c r="CC201" s="22">
        <f t="shared" si="1776"/>
        <v>-18.452999999999975</v>
      </c>
      <c r="CD201" s="22">
        <f t="shared" si="1776"/>
        <v>-17.301000000000009</v>
      </c>
      <c r="CE201" s="22">
        <f t="shared" ref="CE201:CF201" si="1777">CE202+CE203</f>
        <v>-16.983000000000004</v>
      </c>
      <c r="CF201" s="22">
        <f t="shared" si="1777"/>
        <v>-12.037000000000035</v>
      </c>
      <c r="CG201" s="22">
        <f t="shared" ref="CG201:CH201" si="1778">CG202+CG203</f>
        <v>-19.516999999999996</v>
      </c>
      <c r="CH201" s="22">
        <f t="shared" si="1778"/>
        <v>-173.65329999999989</v>
      </c>
      <c r="CI201" s="22">
        <f t="shared" ref="CI201:CJ201" si="1779">CI202+CI203</f>
        <v>0</v>
      </c>
      <c r="CJ201" s="22">
        <f t="shared" si="1779"/>
        <v>5.3742999999999643</v>
      </c>
      <c r="CK201" s="21">
        <f t="shared" ref="CK201:DB201" si="1780">CK202+CK203</f>
        <v>0</v>
      </c>
      <c r="CL201" s="22">
        <f t="shared" si="1780"/>
        <v>-95.838000000000065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0</v>
      </c>
      <c r="F202" s="23">
        <f t="shared" si="1781"/>
        <v>-4.9259999999999998E-3</v>
      </c>
      <c r="G202" s="23">
        <f t="shared" si="1781"/>
        <v>4.9259999999999998E-3</v>
      </c>
      <c r="H202" s="23">
        <f t="shared" si="1781"/>
        <v>0</v>
      </c>
      <c r="I202" s="23">
        <f t="shared" si="1781"/>
        <v>0</v>
      </c>
      <c r="J202" s="23">
        <f>I140-J140</f>
        <v>0</v>
      </c>
      <c r="K202" s="23">
        <f>J140-K140</f>
        <v>0</v>
      </c>
      <c r="L202" s="23">
        <f t="shared" si="1781"/>
        <v>0</v>
      </c>
      <c r="M202" s="23">
        <f t="shared" si="1781"/>
        <v>-40.936608700000001</v>
      </c>
      <c r="N202" s="23">
        <f t="shared" si="1781"/>
        <v>4.4854000000000838E-3</v>
      </c>
      <c r="O202" s="23">
        <f t="shared" si="1781"/>
        <v>39.356761200000001</v>
      </c>
      <c r="P202" s="23">
        <f t="shared" si="1781"/>
        <v>3.9621000000000794E-3</v>
      </c>
      <c r="Q202" s="23">
        <f t="shared" si="1781"/>
        <v>-8.3300000000000152E-2</v>
      </c>
      <c r="R202" s="23">
        <f t="shared" si="1781"/>
        <v>-0.4043000000000001</v>
      </c>
      <c r="S202" s="23">
        <f t="shared" si="1781"/>
        <v>2.629999999999999E-2</v>
      </c>
      <c r="T202" s="23">
        <f t="shared" si="1781"/>
        <v>-8.099999999999774E-3</v>
      </c>
      <c r="U202" s="23">
        <f t="shared" si="1781"/>
        <v>1.5078</v>
      </c>
      <c r="V202" s="23">
        <f t="shared" si="1781"/>
        <v>2.3000000000000798E-3</v>
      </c>
      <c r="W202" s="23">
        <f t="shared" si="1781"/>
        <v>0.53069999999999995</v>
      </c>
      <c r="X202" s="23">
        <f t="shared" si="1781"/>
        <v>0</v>
      </c>
      <c r="Y202" s="23">
        <f t="shared" si="1781"/>
        <v>0</v>
      </c>
      <c r="Z202" s="23">
        <f t="shared" si="1781"/>
        <v>-5.0000000000000001E-3</v>
      </c>
      <c r="AA202" s="23">
        <f t="shared" si="1781"/>
        <v>-8.299999999999999E-2</v>
      </c>
      <c r="AB202" s="24">
        <f t="shared" ref="AB202" si="1782">AA140-AB140</f>
        <v>0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0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0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0</v>
      </c>
      <c r="AY202" s="23">
        <f t="shared" ref="AY202" si="1802">AX140-AY140</f>
        <v>0</v>
      </c>
      <c r="AZ202" s="23">
        <f t="shared" ref="AZ202" si="1803">AY140-AZ140</f>
        <v>0</v>
      </c>
      <c r="BA202" s="23">
        <f t="shared" ref="BA202" si="1804">AZ140-BA140</f>
        <v>0</v>
      </c>
      <c r="BB202" s="23">
        <f t="shared" ref="BB202" si="1805">BA140-BB140</f>
        <v>0</v>
      </c>
      <c r="BC202" s="23">
        <f t="shared" ref="BC202" si="1806">BB140-BC140</f>
        <v>0</v>
      </c>
      <c r="BD202" s="23">
        <f t="shared" ref="BD202" si="1807">BC140-BD140</f>
        <v>0</v>
      </c>
      <c r="BE202" s="23">
        <f t="shared" ref="BE202" si="1808">BD140-BE140</f>
        <v>0</v>
      </c>
      <c r="BF202" s="23">
        <f t="shared" ref="BF202" si="1809">BE140-BF140</f>
        <v>0</v>
      </c>
      <c r="BG202" s="23">
        <f t="shared" ref="BG202" si="1810">BF140-BG140</f>
        <v>0</v>
      </c>
      <c r="BH202" s="23">
        <f t="shared" ref="BH202" si="1811">BG140-BH140</f>
        <v>0</v>
      </c>
      <c r="BI202" s="23">
        <f t="shared" ref="BI202" si="1812">BH140-BI140</f>
        <v>0</v>
      </c>
      <c r="BJ202" s="23">
        <f t="shared" ref="BJ202" si="1813">BI140-BJ140</f>
        <v>0</v>
      </c>
      <c r="BK202" s="23">
        <f t="shared" ref="BK202" si="1814">BJ140-BK140</f>
        <v>0</v>
      </c>
      <c r="BL202" s="23">
        <f t="shared" ref="BL202" si="1815">BK140-BL140</f>
        <v>0</v>
      </c>
      <c r="BM202" s="23">
        <f t="shared" ref="BM202" si="1816">BL140-BM140</f>
        <v>0</v>
      </c>
      <c r="BN202" s="23">
        <f t="shared" ref="BN202" si="1817">BM140-BN140</f>
        <v>-0.53300000000000003</v>
      </c>
      <c r="BO202" s="23">
        <f t="shared" ref="BO202" si="1818">BN140-BO140</f>
        <v>0</v>
      </c>
      <c r="BP202" s="23">
        <f t="shared" ref="BP202" si="1819">BO140-BP140</f>
        <v>1.4000000000000012E-2</v>
      </c>
      <c r="BQ202" s="23">
        <f t="shared" ref="BQ202" si="1820">BP140-BQ140</f>
        <v>0</v>
      </c>
      <c r="BR202" s="23">
        <f t="shared" ref="BR202" si="1821">BQ140-BR140</f>
        <v>-1.2000000000000011E-2</v>
      </c>
      <c r="BS202" s="23">
        <f t="shared" ref="BS202" si="1822">BR140-BS140</f>
        <v>0</v>
      </c>
      <c r="BT202" s="23">
        <f t="shared" ref="BT202" si="1823">BS140-BT140</f>
        <v>3.1000000000000028E-2</v>
      </c>
      <c r="BU202" s="23">
        <f t="shared" ref="BU202" si="1824">BT140-BU140</f>
        <v>0</v>
      </c>
      <c r="BV202" s="23">
        <f t="shared" ref="BV202" si="1825">BU140-BV140</f>
        <v>0.5</v>
      </c>
      <c r="BW202" s="23">
        <f t="shared" ref="BW202" si="1826">BV140-BW140</f>
        <v>0</v>
      </c>
      <c r="BX202" s="23">
        <f t="shared" ref="BX202" si="1827">BW140-BX140</f>
        <v>0</v>
      </c>
      <c r="BY202" s="23">
        <f t="shared" ref="BY202" si="1828">BX140-BY140</f>
        <v>0</v>
      </c>
      <c r="BZ202" s="23">
        <f t="shared" ref="BZ202" si="1829">BY140-BZ140</f>
        <v>0</v>
      </c>
      <c r="CA202" s="23">
        <f t="shared" ref="CA202" si="1830">BZ140-CA140</f>
        <v>0</v>
      </c>
      <c r="CB202" s="23">
        <f t="shared" ref="CB202" si="1831">CA140-CB140</f>
        <v>-0.1</v>
      </c>
      <c r="CC202" s="23">
        <f t="shared" ref="CC202" si="1832">CB140-CC140</f>
        <v>0</v>
      </c>
      <c r="CD202" s="23">
        <f t="shared" ref="CD202" si="1833">CC140-CD140</f>
        <v>0.1</v>
      </c>
      <c r="CE202" s="23">
        <f t="shared" ref="CE202" si="1834">CD140-CE140</f>
        <v>0</v>
      </c>
      <c r="CF202" s="23">
        <f t="shared" ref="CF202" si="1835">CE140-CF140</f>
        <v>0</v>
      </c>
      <c r="CG202" s="23">
        <f t="shared" ref="CG202" si="1836">CF140-CG140</f>
        <v>0</v>
      </c>
      <c r="CH202" s="23">
        <f t="shared" ref="CH202:CL202" si="1837">CG140-CH140</f>
        <v>-5.0000000000000001E-3</v>
      </c>
      <c r="CI202" s="23">
        <f t="shared" si="1837"/>
        <v>0</v>
      </c>
      <c r="CJ202" s="23">
        <f t="shared" si="1837"/>
        <v>-0.54500000000000004</v>
      </c>
      <c r="CK202" s="24">
        <f t="shared" ref="CK202" si="1838">CJ140-CK140</f>
        <v>0</v>
      </c>
      <c r="CL202" s="23">
        <f t="shared" si="1837"/>
        <v>0.46200000000000008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0</v>
      </c>
      <c r="D203" s="23">
        <f t="shared" si="1855"/>
        <v>0</v>
      </c>
      <c r="E203" s="23">
        <f t="shared" si="1855"/>
        <v>0</v>
      </c>
      <c r="F203" s="23">
        <f t="shared" si="1855"/>
        <v>-22.231954699999999</v>
      </c>
      <c r="G203" s="23">
        <f t="shared" si="1855"/>
        <v>-12.426170900000001</v>
      </c>
      <c r="H203" s="23">
        <f t="shared" si="1855"/>
        <v>-13.116891099999998</v>
      </c>
      <c r="I203" s="23">
        <f t="shared" si="1855"/>
        <v>-9.3269127999999988</v>
      </c>
      <c r="J203" s="23">
        <f t="shared" si="1855"/>
        <v>3.3069504000000016</v>
      </c>
      <c r="K203" s="23">
        <f t="shared" si="1855"/>
        <v>-4.4383358999999984</v>
      </c>
      <c r="L203" s="23">
        <f t="shared" si="1855"/>
        <v>3.6602556999999933</v>
      </c>
      <c r="M203" s="23">
        <f t="shared" si="1855"/>
        <v>-0.60752800000000207</v>
      </c>
      <c r="N203" s="23">
        <f t="shared" si="1855"/>
        <v>0.55898010000001364</v>
      </c>
      <c r="O203" s="23">
        <f t="shared" si="1855"/>
        <v>-151.7335162</v>
      </c>
      <c r="P203" s="23">
        <f t="shared" si="1855"/>
        <v>-53.305719400000015</v>
      </c>
      <c r="Q203" s="23">
        <f t="shared" si="1855"/>
        <v>-12.700399999999945</v>
      </c>
      <c r="R203" s="23">
        <f t="shared" si="1855"/>
        <v>-21.917200000000008</v>
      </c>
      <c r="S203" s="23">
        <f t="shared" si="1855"/>
        <v>-42.431200000000018</v>
      </c>
      <c r="T203" s="23">
        <f t="shared" si="1855"/>
        <v>-34.683499999999981</v>
      </c>
      <c r="U203" s="23">
        <f t="shared" si="1855"/>
        <v>-137.3835</v>
      </c>
      <c r="V203" s="23">
        <f t="shared" si="1855"/>
        <v>-18.435500000000104</v>
      </c>
      <c r="W203" s="23">
        <f t="shared" si="1855"/>
        <v>-81.860499999999973</v>
      </c>
      <c r="X203" s="23">
        <f t="shared" si="1855"/>
        <v>-87.330599999999947</v>
      </c>
      <c r="Y203" s="23">
        <f t="shared" si="1855"/>
        <v>-118.03700000000003</v>
      </c>
      <c r="Z203" s="23">
        <f t="shared" si="1855"/>
        <v>-138.56319999999994</v>
      </c>
      <c r="AA203" s="23">
        <f t="shared" si="1855"/>
        <v>-143.20680000000016</v>
      </c>
      <c r="AB203" s="24">
        <f t="shared" si="1855"/>
        <v>52.827400000000068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0</v>
      </c>
      <c r="AJ203" s="23">
        <f t="shared" si="1856"/>
        <v>0</v>
      </c>
      <c r="AK203" s="23">
        <f t="shared" si="1856"/>
        <v>0</v>
      </c>
      <c r="AL203" s="23">
        <f t="shared" si="1856"/>
        <v>0</v>
      </c>
      <c r="AM203" s="23">
        <f t="shared" si="1856"/>
        <v>0</v>
      </c>
      <c r="AN203" s="23">
        <f t="shared" si="1856"/>
        <v>0</v>
      </c>
      <c r="AO203" s="23">
        <f t="shared" si="1856"/>
        <v>0</v>
      </c>
      <c r="AP203" s="23">
        <f t="shared" si="1856"/>
        <v>0</v>
      </c>
      <c r="AQ203" s="23">
        <f t="shared" si="1856"/>
        <v>0</v>
      </c>
      <c r="AR203" s="23">
        <f t="shared" si="1856"/>
        <v>0</v>
      </c>
      <c r="AS203" s="23">
        <f t="shared" si="1856"/>
        <v>0</v>
      </c>
      <c r="AT203" s="23">
        <f t="shared" si="1856"/>
        <v>0</v>
      </c>
      <c r="AU203" s="23">
        <f t="shared" si="1856"/>
        <v>0</v>
      </c>
      <c r="AV203" s="23">
        <f t="shared" si="1856"/>
        <v>0</v>
      </c>
      <c r="AW203" s="23">
        <f t="shared" si="1856"/>
        <v>0</v>
      </c>
      <c r="AX203" s="23">
        <f t="shared" si="1856"/>
        <v>0</v>
      </c>
      <c r="AY203" s="23">
        <f t="shared" si="1856"/>
        <v>0</v>
      </c>
      <c r="AZ203" s="23">
        <f t="shared" si="1856"/>
        <v>0</v>
      </c>
      <c r="BA203" s="23">
        <f t="shared" si="1856"/>
        <v>0</v>
      </c>
      <c r="BB203" s="23">
        <f t="shared" si="1856"/>
        <v>0</v>
      </c>
      <c r="BC203" s="23">
        <f t="shared" si="1856"/>
        <v>0</v>
      </c>
      <c r="BD203" s="23">
        <f t="shared" si="1856"/>
        <v>0</v>
      </c>
      <c r="BE203" s="23">
        <f t="shared" si="1856"/>
        <v>0</v>
      </c>
      <c r="BF203" s="23">
        <f t="shared" si="1856"/>
        <v>0</v>
      </c>
      <c r="BG203" s="23">
        <f t="shared" si="1856"/>
        <v>0</v>
      </c>
      <c r="BH203" s="23">
        <f t="shared" si="1856"/>
        <v>0</v>
      </c>
      <c r="BI203" s="23">
        <f t="shared" si="1856"/>
        <v>0</v>
      </c>
      <c r="BJ203" s="23">
        <f t="shared" si="1856"/>
        <v>0</v>
      </c>
      <c r="BK203" s="23">
        <f t="shared" si="1856"/>
        <v>0</v>
      </c>
      <c r="BL203" s="23">
        <f t="shared" si="1856"/>
        <v>-13.57</v>
      </c>
      <c r="BM203" s="23">
        <f t="shared" si="1856"/>
        <v>-12.882999999999999</v>
      </c>
      <c r="BN203" s="23">
        <f t="shared" si="1856"/>
        <v>-223.10599999999999</v>
      </c>
      <c r="BO203" s="23">
        <f t="shared" ref="BO203:CT203" si="1857">BN138-BO32-BO138</f>
        <v>-11.25800000000001</v>
      </c>
      <c r="BP203" s="23">
        <f t="shared" si="1857"/>
        <v>-1.8270000000000266</v>
      </c>
      <c r="BQ203" s="23">
        <f t="shared" si="1857"/>
        <v>-10.75800000000001</v>
      </c>
      <c r="BR203" s="23">
        <f t="shared" si="1857"/>
        <v>-19.918999999999983</v>
      </c>
      <c r="BS203" s="23">
        <f t="shared" si="1857"/>
        <v>-10.621000000000009</v>
      </c>
      <c r="BT203" s="23">
        <f t="shared" si="1857"/>
        <v>-14.343000000000018</v>
      </c>
      <c r="BU203" s="23">
        <f t="shared" si="1857"/>
        <v>-13.417000000000002</v>
      </c>
      <c r="BV203" s="23">
        <f t="shared" si="1857"/>
        <v>-44.768000000000001</v>
      </c>
      <c r="BW203" s="23">
        <f t="shared" si="1857"/>
        <v>-13.631</v>
      </c>
      <c r="BX203" s="23">
        <f t="shared" si="1857"/>
        <v>-21.259999999999991</v>
      </c>
      <c r="BY203" s="23">
        <f t="shared" si="1857"/>
        <v>-15.506</v>
      </c>
      <c r="BZ203" s="23">
        <f t="shared" si="1857"/>
        <v>-26.405000000000001</v>
      </c>
      <c r="CA203" s="23">
        <f t="shared" si="1857"/>
        <v>-16.503999999999991</v>
      </c>
      <c r="CB203" s="23">
        <f t="shared" si="1857"/>
        <v>-65.033999999999992</v>
      </c>
      <c r="CC203" s="23">
        <f t="shared" si="1857"/>
        <v>-18.452999999999975</v>
      </c>
      <c r="CD203" s="23">
        <f t="shared" si="1857"/>
        <v>-17.40100000000001</v>
      </c>
      <c r="CE203" s="23">
        <f t="shared" si="1857"/>
        <v>-16.983000000000004</v>
      </c>
      <c r="CF203" s="23">
        <f t="shared" si="1857"/>
        <v>-12.037000000000035</v>
      </c>
      <c r="CG203" s="23">
        <f t="shared" si="1857"/>
        <v>-19.516999999999996</v>
      </c>
      <c r="CH203" s="23">
        <f t="shared" si="1857"/>
        <v>-173.64829999999989</v>
      </c>
      <c r="CI203" s="23">
        <f t="shared" si="1857"/>
        <v>0</v>
      </c>
      <c r="CJ203" s="23">
        <f t="shared" si="1857"/>
        <v>5.9192999999999643</v>
      </c>
      <c r="CK203" s="24">
        <f t="shared" si="1857"/>
        <v>0</v>
      </c>
      <c r="CL203" s="23">
        <f t="shared" si="1857"/>
        <v>-96.300000000000068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0</v>
      </c>
      <c r="D205" s="22">
        <f t="shared" si="1859"/>
        <v>0</v>
      </c>
      <c r="E205" s="22">
        <f t="shared" si="1859"/>
        <v>0</v>
      </c>
      <c r="F205" s="22">
        <f t="shared" si="1859"/>
        <v>24.219929700000009</v>
      </c>
      <c r="G205" s="22">
        <f t="shared" si="1859"/>
        <v>-12.447884899999984</v>
      </c>
      <c r="H205" s="22">
        <f t="shared" si="1859"/>
        <v>-18.096433300000015</v>
      </c>
      <c r="I205" s="22">
        <f t="shared" si="1859"/>
        <v>-13.644217600000005</v>
      </c>
      <c r="J205" s="22">
        <f t="shared" si="1859"/>
        <v>-32.768830600000001</v>
      </c>
      <c r="K205" s="22">
        <f t="shared" si="1859"/>
        <v>-67.029934499999996</v>
      </c>
      <c r="L205" s="22">
        <f t="shared" si="1859"/>
        <v>-51.172585700000013</v>
      </c>
      <c r="M205" s="22">
        <f t="shared" si="1859"/>
        <v>-32.017138799999998</v>
      </c>
      <c r="N205" s="22">
        <f t="shared" si="1859"/>
        <v>-44.024488599999984</v>
      </c>
      <c r="O205" s="22">
        <f t="shared" si="1859"/>
        <v>-22.880697799999989</v>
      </c>
      <c r="P205" s="22">
        <f t="shared" si="1859"/>
        <v>-59.336378700000012</v>
      </c>
      <c r="Q205" s="22">
        <f t="shared" si="1859"/>
        <v>-28.160800000000048</v>
      </c>
      <c r="R205" s="22">
        <f t="shared" si="1859"/>
        <v>-74.083299999999952</v>
      </c>
      <c r="S205" s="22">
        <f t="shared" si="1859"/>
        <v>-115.53760000000005</v>
      </c>
      <c r="T205" s="22">
        <f t="shared" si="1859"/>
        <v>-132.14069999999995</v>
      </c>
      <c r="U205" s="22">
        <f t="shared" si="1859"/>
        <v>-83.005300000000062</v>
      </c>
      <c r="V205" s="22">
        <f t="shared" si="1859"/>
        <v>-238.27600000000012</v>
      </c>
      <c r="W205" s="22">
        <f t="shared" si="1859"/>
        <v>-155.18079999999998</v>
      </c>
      <c r="X205" s="22">
        <f t="shared" ref="X205:Y205" si="1860">X206+X207</f>
        <v>-150.41409999999988</v>
      </c>
      <c r="Y205" s="22">
        <f t="shared" si="1860"/>
        <v>-220.46480000000003</v>
      </c>
      <c r="Z205" s="22">
        <f t="shared" ref="Z205:AA205" si="1861">Z206+Z207</f>
        <v>-266.2743000000001</v>
      </c>
      <c r="AA205" s="22">
        <f t="shared" si="1861"/>
        <v>-274.22520000000026</v>
      </c>
      <c r="AB205" s="21">
        <f t="shared" ref="AA205:AD205" si="1862">AB206+AB207</f>
        <v>1.9999999946993668E-4</v>
      </c>
      <c r="AC205" s="21">
        <f t="shared" si="1862"/>
        <v>0</v>
      </c>
      <c r="AD205" s="21">
        <f t="shared" si="1862"/>
        <v>4.5474735088646412E-13</v>
      </c>
      <c r="AE205" s="21">
        <f t="shared" ref="AE205" si="1863">AE206+AE207</f>
        <v>4.5474735088646412E-13</v>
      </c>
      <c r="AI205" s="22">
        <f t="shared" ref="AI205" si="1864">AI206+AI207</f>
        <v>0</v>
      </c>
      <c r="AJ205" s="22">
        <f t="shared" ref="AJ205:AL205" si="1865">AJ206+AJ207</f>
        <v>0</v>
      </c>
      <c r="AK205" s="22">
        <f t="shared" si="1865"/>
        <v>0</v>
      </c>
      <c r="AL205" s="22">
        <f t="shared" si="1865"/>
        <v>0</v>
      </c>
      <c r="AM205" s="22">
        <f t="shared" ref="AM205" si="1866">AM206+AM207</f>
        <v>0</v>
      </c>
      <c r="AN205" s="22">
        <f t="shared" ref="AN205:CD205" si="1867">AN206+AN207</f>
        <v>0</v>
      </c>
      <c r="AO205" s="22">
        <f t="shared" si="1867"/>
        <v>0</v>
      </c>
      <c r="AP205" s="22">
        <f t="shared" si="1867"/>
        <v>0</v>
      </c>
      <c r="AQ205" s="22">
        <f t="shared" si="1867"/>
        <v>0</v>
      </c>
      <c r="AR205" s="22">
        <f t="shared" si="1867"/>
        <v>0</v>
      </c>
      <c r="AS205" s="22">
        <f t="shared" si="1867"/>
        <v>0</v>
      </c>
      <c r="AT205" s="22">
        <f t="shared" si="1867"/>
        <v>0</v>
      </c>
      <c r="AU205" s="22">
        <f t="shared" si="1867"/>
        <v>0</v>
      </c>
      <c r="AV205" s="22">
        <f t="shared" si="1867"/>
        <v>0</v>
      </c>
      <c r="AW205" s="22">
        <f t="shared" si="1867"/>
        <v>0</v>
      </c>
      <c r="AX205" s="22">
        <f t="shared" si="1867"/>
        <v>0</v>
      </c>
      <c r="AY205" s="22">
        <f t="shared" si="1867"/>
        <v>0</v>
      </c>
      <c r="AZ205" s="22">
        <f t="shared" si="1867"/>
        <v>0</v>
      </c>
      <c r="BA205" s="22">
        <f t="shared" si="1867"/>
        <v>0</v>
      </c>
      <c r="BB205" s="22">
        <f t="shared" si="1867"/>
        <v>0</v>
      </c>
      <c r="BC205" s="22">
        <f t="shared" si="1867"/>
        <v>0</v>
      </c>
      <c r="BD205" s="22">
        <f t="shared" si="1867"/>
        <v>0</v>
      </c>
      <c r="BE205" s="22">
        <f t="shared" si="1867"/>
        <v>0</v>
      </c>
      <c r="BF205" s="22">
        <f t="shared" si="1867"/>
        <v>0</v>
      </c>
      <c r="BG205" s="22">
        <f t="shared" si="1867"/>
        <v>0</v>
      </c>
      <c r="BH205" s="22">
        <f t="shared" si="1867"/>
        <v>0</v>
      </c>
      <c r="BI205" s="22">
        <f t="shared" si="1867"/>
        <v>0</v>
      </c>
      <c r="BJ205" s="22">
        <f t="shared" si="1867"/>
        <v>0</v>
      </c>
      <c r="BK205" s="22">
        <f t="shared" si="1867"/>
        <v>0</v>
      </c>
      <c r="BL205" s="22">
        <f t="shared" si="1867"/>
        <v>-42.605999999999995</v>
      </c>
      <c r="BM205" s="22">
        <f t="shared" si="1867"/>
        <v>0</v>
      </c>
      <c r="BN205" s="22">
        <f t="shared" si="1867"/>
        <v>459.55599999999998</v>
      </c>
      <c r="BO205" s="22">
        <f t="shared" si="1867"/>
        <v>0</v>
      </c>
      <c r="BP205" s="22">
        <f t="shared" si="1867"/>
        <v>-174.75400000000002</v>
      </c>
      <c r="BQ205" s="22">
        <f t="shared" si="1867"/>
        <v>0</v>
      </c>
      <c r="BR205" s="22">
        <f t="shared" si="1867"/>
        <v>-63.519999999999868</v>
      </c>
      <c r="BS205" s="22">
        <f t="shared" si="1867"/>
        <v>0</v>
      </c>
      <c r="BT205" s="22">
        <f t="shared" si="1867"/>
        <v>-71.403000000000077</v>
      </c>
      <c r="BU205" s="22">
        <f t="shared" si="1867"/>
        <v>0</v>
      </c>
      <c r="BV205" s="22">
        <f t="shared" si="1867"/>
        <v>-83.777999999999906</v>
      </c>
      <c r="BW205" s="22">
        <f t="shared" si="1867"/>
        <v>0</v>
      </c>
      <c r="BX205" s="22">
        <f t="shared" si="1867"/>
        <v>-66.646000000000029</v>
      </c>
      <c r="BY205" s="22">
        <f t="shared" si="1867"/>
        <v>0</v>
      </c>
      <c r="BZ205" s="22">
        <f t="shared" si="1867"/>
        <v>-83.769999999999982</v>
      </c>
      <c r="CA205" s="22">
        <f t="shared" si="1867"/>
        <v>0</v>
      </c>
      <c r="CB205" s="22">
        <f t="shared" si="1867"/>
        <v>-139.05400000000003</v>
      </c>
      <c r="CC205" s="22">
        <f t="shared" si="1867"/>
        <v>0</v>
      </c>
      <c r="CD205" s="22">
        <f t="shared" si="1867"/>
        <v>-81.409999999999968</v>
      </c>
      <c r="CE205" s="22">
        <f t="shared" ref="CE205:CF205" si="1868">CE206+CE207</f>
        <v>0</v>
      </c>
      <c r="CF205" s="22">
        <f t="shared" si="1868"/>
        <v>-114.81300000000006</v>
      </c>
      <c r="CG205" s="22">
        <f t="shared" ref="CG205:CH205" si="1869">CG206+CG207</f>
        <v>0</v>
      </c>
      <c r="CH205" s="22">
        <f t="shared" si="1869"/>
        <v>-151.45869999999974</v>
      </c>
      <c r="CI205" s="22">
        <f t="shared" ref="CI205:CJ205" si="1870">CI206+CI207</f>
        <v>0</v>
      </c>
      <c r="CJ205" s="22">
        <f t="shared" si="1870"/>
        <v>-125.81229999999991</v>
      </c>
      <c r="CK205" s="21">
        <f t="shared" ref="CK205:DB205" si="1871">CK206+CK207</f>
        <v>0</v>
      </c>
      <c r="CL205" s="22">
        <f t="shared" si="1871"/>
        <v>-148.41000000000017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2.2737367544323206E-13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0</v>
      </c>
      <c r="F206" s="23">
        <f t="shared" si="1872"/>
        <v>0</v>
      </c>
      <c r="G206" s="23">
        <f t="shared" si="1872"/>
        <v>0</v>
      </c>
      <c r="H206" s="23">
        <f t="shared" si="1872"/>
        <v>0</v>
      </c>
      <c r="I206" s="23">
        <f t="shared" si="1872"/>
        <v>0</v>
      </c>
      <c r="J206" s="23">
        <f>J128-I128</f>
        <v>0</v>
      </c>
      <c r="K206" s="23">
        <f>K128-J128</f>
        <v>0</v>
      </c>
      <c r="L206" s="23">
        <f t="shared" si="1872"/>
        <v>0</v>
      </c>
      <c r="M206" s="23">
        <f t="shared" si="1872"/>
        <v>0</v>
      </c>
      <c r="N206" s="23">
        <f t="shared" si="1872"/>
        <v>0</v>
      </c>
      <c r="O206" s="23">
        <f t="shared" si="1872"/>
        <v>0</v>
      </c>
      <c r="P206" s="23">
        <f t="shared" si="1872"/>
        <v>0</v>
      </c>
      <c r="Q206" s="23">
        <f t="shared" si="1872"/>
        <v>0</v>
      </c>
      <c r="R206" s="23">
        <f t="shared" si="1872"/>
        <v>0</v>
      </c>
      <c r="S206" s="23">
        <f t="shared" si="1872"/>
        <v>0</v>
      </c>
      <c r="T206" s="23">
        <f t="shared" si="1872"/>
        <v>0</v>
      </c>
      <c r="U206" s="23">
        <f t="shared" si="1872"/>
        <v>0</v>
      </c>
      <c r="V206" s="23">
        <f t="shared" si="1872"/>
        <v>0</v>
      </c>
      <c r="W206" s="23">
        <f t="shared" si="1872"/>
        <v>0</v>
      </c>
      <c r="X206" s="23">
        <f t="shared" si="1872"/>
        <v>0</v>
      </c>
      <c r="Y206" s="23">
        <f t="shared" si="1872"/>
        <v>0</v>
      </c>
      <c r="Z206" s="23">
        <f t="shared" si="1872"/>
        <v>0.66</v>
      </c>
      <c r="AA206" s="23">
        <f t="shared" si="1872"/>
        <v>-0.18110000000000004</v>
      </c>
      <c r="AB206" s="24">
        <f t="shared" ref="AB206" si="1873">AB128-AA128</f>
        <v>9.9999999999988987E-5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0</v>
      </c>
      <c r="AK206" s="23">
        <f t="shared" ref="AK206" si="1879">AK128-AJ128</f>
        <v>0</v>
      </c>
      <c r="AL206" s="23">
        <f t="shared" ref="AL206" si="1880">AL128-AK128</f>
        <v>0</v>
      </c>
      <c r="AM206" s="23">
        <f t="shared" ref="AM206" si="1881">AM128-AL128</f>
        <v>0</v>
      </c>
      <c r="AN206" s="23">
        <f t="shared" ref="AN206" si="1882">AN128-AM128</f>
        <v>0</v>
      </c>
      <c r="AO206" s="23">
        <f t="shared" ref="AO206" si="1883">AO128-AN128</f>
        <v>0</v>
      </c>
      <c r="AP206" s="23">
        <f t="shared" ref="AP206" si="1884">AP128-AO128</f>
        <v>0</v>
      </c>
      <c r="AQ206" s="23">
        <f t="shared" ref="AQ206" si="1885">AQ128-AP128</f>
        <v>0</v>
      </c>
      <c r="AR206" s="23">
        <f t="shared" ref="AR206" si="1886">AR128-AQ128</f>
        <v>0</v>
      </c>
      <c r="AS206" s="23">
        <f t="shared" ref="AS206" si="1887">AS128-AR128</f>
        <v>0</v>
      </c>
      <c r="AT206" s="23">
        <f t="shared" ref="AT206" si="1888">AT128-AS128</f>
        <v>0</v>
      </c>
      <c r="AU206" s="23">
        <f t="shared" ref="AU206" si="1889">AU128-AT128</f>
        <v>0</v>
      </c>
      <c r="AV206" s="23">
        <f t="shared" ref="AV206" si="1890">AV128-AU128</f>
        <v>0</v>
      </c>
      <c r="AW206" s="23">
        <f t="shared" ref="AW206" si="1891">AW128-AV128</f>
        <v>0</v>
      </c>
      <c r="AX206" s="23">
        <f t="shared" ref="AX206" si="1892">AX128-AW128</f>
        <v>0</v>
      </c>
      <c r="AY206" s="23">
        <f t="shared" ref="AY206" si="1893">AY128-AX128</f>
        <v>0</v>
      </c>
      <c r="AZ206" s="23">
        <f t="shared" ref="AZ206" si="1894">AZ128-AY128</f>
        <v>0</v>
      </c>
      <c r="BA206" s="23">
        <f t="shared" ref="BA206" si="1895">BA128-AZ128</f>
        <v>0</v>
      </c>
      <c r="BB206" s="23">
        <f t="shared" ref="BB206" si="1896">BB128-BA128</f>
        <v>0</v>
      </c>
      <c r="BC206" s="23">
        <f t="shared" ref="BC206" si="1897">BC128-BB128</f>
        <v>0</v>
      </c>
      <c r="BD206" s="23">
        <f t="shared" ref="BD206" si="1898">BD128-BC128</f>
        <v>0</v>
      </c>
      <c r="BE206" s="23">
        <f t="shared" ref="BE206" si="1899">BE128-BD128</f>
        <v>0</v>
      </c>
      <c r="BF206" s="23">
        <f t="shared" ref="BF206" si="1900">BF128-BE128</f>
        <v>0</v>
      </c>
      <c r="BG206" s="23">
        <f t="shared" ref="BG206" si="1901">BG128-BF128</f>
        <v>0</v>
      </c>
      <c r="BH206" s="23">
        <f t="shared" ref="BH206" si="1902">BH128-BG128</f>
        <v>0</v>
      </c>
      <c r="BI206" s="23">
        <f t="shared" ref="BI206" si="1903">BI128-BH128</f>
        <v>0</v>
      </c>
      <c r="BJ206" s="23">
        <f t="shared" ref="BJ206" si="1904">BJ128-BI128</f>
        <v>0</v>
      </c>
      <c r="BK206" s="23">
        <f t="shared" ref="BK206" si="1905">BK128-BJ128</f>
        <v>0</v>
      </c>
      <c r="BL206" s="23">
        <f t="shared" ref="BL206" si="1906">BL128-BK128</f>
        <v>0</v>
      </c>
      <c r="BM206" s="23">
        <f t="shared" ref="BM206" si="1907">BM128-BL128</f>
        <v>0</v>
      </c>
      <c r="BN206" s="23">
        <f t="shared" ref="BN206" si="1908">BN128-BM128</f>
        <v>0</v>
      </c>
      <c r="BO206" s="23">
        <f t="shared" ref="BO206" si="1909">BO128-BN128</f>
        <v>0</v>
      </c>
      <c r="BP206" s="23">
        <f t="shared" ref="BP206" si="1910">BP128-BO128</f>
        <v>0</v>
      </c>
      <c r="BQ206" s="23">
        <f t="shared" ref="BQ206" si="1911">BQ128-BP128</f>
        <v>0</v>
      </c>
      <c r="BR206" s="23">
        <f t="shared" ref="BR206" si="1912">BR128-BQ128</f>
        <v>0</v>
      </c>
      <c r="BS206" s="23">
        <f t="shared" ref="BS206" si="1913">BS128-BR128</f>
        <v>0</v>
      </c>
      <c r="BT206" s="23">
        <f t="shared" ref="BT206" si="1914">BT128-BS128</f>
        <v>0</v>
      </c>
      <c r="BU206" s="23">
        <f t="shared" ref="BU206" si="1915">BU128-BT128</f>
        <v>0</v>
      </c>
      <c r="BV206" s="23">
        <f t="shared" ref="BV206" si="1916">BV128-BU128</f>
        <v>0</v>
      </c>
      <c r="BW206" s="23">
        <f t="shared" ref="BW206" si="1917">BW128-BV128</f>
        <v>0</v>
      </c>
      <c r="BX206" s="23">
        <f t="shared" ref="BX206" si="1918">BX128-BW128</f>
        <v>0</v>
      </c>
      <c r="BY206" s="23">
        <f t="shared" ref="BY206" si="1919">BY128-BX128</f>
        <v>0</v>
      </c>
      <c r="BZ206" s="23">
        <f t="shared" ref="BZ206" si="1920">BZ128-BY128</f>
        <v>0</v>
      </c>
      <c r="CA206" s="23">
        <f t="shared" ref="CA206" si="1921">CA128-BZ128</f>
        <v>0</v>
      </c>
      <c r="CB206" s="23">
        <f t="shared" ref="CB206" si="1922">CB128-CA128</f>
        <v>0</v>
      </c>
      <c r="CC206" s="23">
        <f t="shared" ref="CC206" si="1923">CC128-CB128</f>
        <v>0</v>
      </c>
      <c r="CD206" s="23">
        <f t="shared" ref="CD206" si="1924">CD128-CC128</f>
        <v>0</v>
      </c>
      <c r="CE206" s="23">
        <f t="shared" ref="CE206" si="1925">CE128-CD128</f>
        <v>0</v>
      </c>
      <c r="CF206" s="23">
        <f t="shared" ref="CF206" si="1926">CF128-CE128</f>
        <v>0.5</v>
      </c>
      <c r="CG206" s="23">
        <f t="shared" ref="CG206" si="1927">CG128-CF128</f>
        <v>0</v>
      </c>
      <c r="CH206" s="23">
        <f t="shared" ref="CH206:CL206" si="1928">CH128-CG128</f>
        <v>0.16000000000000003</v>
      </c>
      <c r="CI206" s="23">
        <f t="shared" si="1928"/>
        <v>0</v>
      </c>
      <c r="CJ206" s="23">
        <f t="shared" si="1928"/>
        <v>4.599999999999993E-2</v>
      </c>
      <c r="CK206" s="24">
        <f t="shared" ref="CK206" si="1929">CK128-CJ128</f>
        <v>0</v>
      </c>
      <c r="CL206" s="23">
        <f t="shared" si="1928"/>
        <v>-0.22699999999999998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0</v>
      </c>
      <c r="E207" s="23">
        <f t="shared" si="1946"/>
        <v>0</v>
      </c>
      <c r="F207" s="23">
        <f t="shared" si="1946"/>
        <v>24.219929700000009</v>
      </c>
      <c r="G207" s="23">
        <f t="shared" si="1946"/>
        <v>-12.447884899999984</v>
      </c>
      <c r="H207" s="23">
        <f t="shared" si="1946"/>
        <v>-18.096433300000015</v>
      </c>
      <c r="I207" s="23">
        <f t="shared" si="1946"/>
        <v>-13.644217600000005</v>
      </c>
      <c r="J207" s="23">
        <f t="shared" si="1946"/>
        <v>-32.768830600000001</v>
      </c>
      <c r="K207" s="23">
        <f t="shared" si="1946"/>
        <v>-67.029934499999996</v>
      </c>
      <c r="L207" s="23">
        <f t="shared" si="1946"/>
        <v>-51.172585700000013</v>
      </c>
      <c r="M207" s="23">
        <f t="shared" si="1946"/>
        <v>-32.017138799999998</v>
      </c>
      <c r="N207" s="23">
        <f t="shared" si="1946"/>
        <v>-44.024488599999984</v>
      </c>
      <c r="O207" s="23">
        <f t="shared" si="1946"/>
        <v>-22.880697799999989</v>
      </c>
      <c r="P207" s="23">
        <f t="shared" si="1946"/>
        <v>-59.336378700000012</v>
      </c>
      <c r="Q207" s="23">
        <f t="shared" si="1946"/>
        <v>-28.160800000000048</v>
      </c>
      <c r="R207" s="23">
        <f t="shared" si="1946"/>
        <v>-74.083299999999952</v>
      </c>
      <c r="S207" s="23">
        <f t="shared" si="1946"/>
        <v>-115.53760000000005</v>
      </c>
      <c r="T207" s="23">
        <f t="shared" si="1946"/>
        <v>-132.14069999999995</v>
      </c>
      <c r="U207" s="23">
        <f t="shared" si="1946"/>
        <v>-83.005300000000062</v>
      </c>
      <c r="V207" s="23">
        <f t="shared" si="1946"/>
        <v>-238.27600000000012</v>
      </c>
      <c r="W207" s="23">
        <f t="shared" si="1946"/>
        <v>-155.18079999999998</v>
      </c>
      <c r="X207" s="23">
        <f t="shared" si="1946"/>
        <v>-150.41409999999988</v>
      </c>
      <c r="Y207" s="23">
        <f t="shared" si="1946"/>
        <v>-220.46480000000003</v>
      </c>
      <c r="Z207" s="23">
        <f t="shared" si="1946"/>
        <v>-266.93430000000012</v>
      </c>
      <c r="AA207" s="23">
        <f t="shared" si="1946"/>
        <v>-274.04410000000024</v>
      </c>
      <c r="AB207" s="24">
        <f t="shared" si="1946"/>
        <v>9.9999999469947698E-5</v>
      </c>
      <c r="AC207" s="24">
        <f t="shared" si="1946"/>
        <v>0</v>
      </c>
      <c r="AD207" s="24">
        <f t="shared" si="1946"/>
        <v>4.5474735088646412E-13</v>
      </c>
      <c r="AE207" s="24">
        <f t="shared" si="1946"/>
        <v>4.5474735088646412E-13</v>
      </c>
      <c r="AI207" s="23">
        <f t="shared" ref="AI207:BN207" si="1947">AI120-AI48-AH120+AI122-AH122</f>
        <v>0</v>
      </c>
      <c r="AJ207" s="23">
        <f t="shared" si="1947"/>
        <v>0</v>
      </c>
      <c r="AK207" s="23">
        <f t="shared" si="1947"/>
        <v>0</v>
      </c>
      <c r="AL207" s="23">
        <f t="shared" si="1947"/>
        <v>0</v>
      </c>
      <c r="AM207" s="23">
        <f t="shared" si="1947"/>
        <v>0</v>
      </c>
      <c r="AN207" s="23">
        <f t="shared" si="1947"/>
        <v>0</v>
      </c>
      <c r="AO207" s="23">
        <f t="shared" si="1947"/>
        <v>0</v>
      </c>
      <c r="AP207" s="23">
        <f t="shared" si="1947"/>
        <v>0</v>
      </c>
      <c r="AQ207" s="23">
        <f t="shared" si="1947"/>
        <v>0</v>
      </c>
      <c r="AR207" s="23">
        <f t="shared" si="1947"/>
        <v>0</v>
      </c>
      <c r="AS207" s="23">
        <f t="shared" si="1947"/>
        <v>0</v>
      </c>
      <c r="AT207" s="23">
        <f t="shared" si="1947"/>
        <v>0</v>
      </c>
      <c r="AU207" s="23">
        <f t="shared" si="1947"/>
        <v>0</v>
      </c>
      <c r="AV207" s="23">
        <f t="shared" si="1947"/>
        <v>0</v>
      </c>
      <c r="AW207" s="23">
        <f t="shared" si="1947"/>
        <v>0</v>
      </c>
      <c r="AX207" s="23">
        <f t="shared" si="1947"/>
        <v>0</v>
      </c>
      <c r="AY207" s="23">
        <f t="shared" si="1947"/>
        <v>0</v>
      </c>
      <c r="AZ207" s="23">
        <f t="shared" si="1947"/>
        <v>0</v>
      </c>
      <c r="BA207" s="23">
        <f t="shared" si="1947"/>
        <v>0</v>
      </c>
      <c r="BB207" s="23">
        <f t="shared" si="1947"/>
        <v>0</v>
      </c>
      <c r="BC207" s="23">
        <f t="shared" si="1947"/>
        <v>0</v>
      </c>
      <c r="BD207" s="23">
        <f t="shared" si="1947"/>
        <v>0</v>
      </c>
      <c r="BE207" s="23">
        <f t="shared" si="1947"/>
        <v>0</v>
      </c>
      <c r="BF207" s="23">
        <f t="shared" si="1947"/>
        <v>0</v>
      </c>
      <c r="BG207" s="23">
        <f t="shared" si="1947"/>
        <v>0</v>
      </c>
      <c r="BH207" s="23">
        <f t="shared" si="1947"/>
        <v>0</v>
      </c>
      <c r="BI207" s="23">
        <f t="shared" si="1947"/>
        <v>0</v>
      </c>
      <c r="BJ207" s="23">
        <f t="shared" si="1947"/>
        <v>0</v>
      </c>
      <c r="BK207" s="23">
        <f t="shared" si="1947"/>
        <v>0</v>
      </c>
      <c r="BL207" s="23">
        <f t="shared" si="1947"/>
        <v>-42.605999999999995</v>
      </c>
      <c r="BM207" s="23">
        <f t="shared" si="1947"/>
        <v>0</v>
      </c>
      <c r="BN207" s="23">
        <f t="shared" si="1947"/>
        <v>459.55599999999998</v>
      </c>
      <c r="BO207" s="23">
        <f t="shared" ref="BO207:CT207" si="1948">BO120-BO48-BN120+BO122-BN122</f>
        <v>0</v>
      </c>
      <c r="BP207" s="23">
        <f t="shared" si="1948"/>
        <v>-174.75400000000002</v>
      </c>
      <c r="BQ207" s="23">
        <f t="shared" si="1948"/>
        <v>0</v>
      </c>
      <c r="BR207" s="23">
        <f t="shared" si="1948"/>
        <v>-63.519999999999868</v>
      </c>
      <c r="BS207" s="23">
        <f t="shared" si="1948"/>
        <v>0</v>
      </c>
      <c r="BT207" s="23">
        <f t="shared" si="1948"/>
        <v>-71.403000000000077</v>
      </c>
      <c r="BU207" s="23">
        <f t="shared" si="1948"/>
        <v>0</v>
      </c>
      <c r="BV207" s="23">
        <f t="shared" si="1948"/>
        <v>-83.777999999999906</v>
      </c>
      <c r="BW207" s="23">
        <f t="shared" si="1948"/>
        <v>0</v>
      </c>
      <c r="BX207" s="23">
        <f t="shared" si="1948"/>
        <v>-66.646000000000029</v>
      </c>
      <c r="BY207" s="23">
        <f t="shared" si="1948"/>
        <v>0</v>
      </c>
      <c r="BZ207" s="23">
        <f t="shared" si="1948"/>
        <v>-83.769999999999982</v>
      </c>
      <c r="CA207" s="23">
        <f t="shared" si="1948"/>
        <v>0</v>
      </c>
      <c r="CB207" s="23">
        <f t="shared" si="1948"/>
        <v>-139.05400000000003</v>
      </c>
      <c r="CC207" s="23">
        <f t="shared" si="1948"/>
        <v>0</v>
      </c>
      <c r="CD207" s="23">
        <f t="shared" si="1948"/>
        <v>-81.409999999999968</v>
      </c>
      <c r="CE207" s="23">
        <f t="shared" si="1948"/>
        <v>0</v>
      </c>
      <c r="CF207" s="23">
        <f t="shared" si="1948"/>
        <v>-115.31300000000006</v>
      </c>
      <c r="CG207" s="23">
        <f t="shared" si="1948"/>
        <v>0</v>
      </c>
      <c r="CH207" s="23">
        <f t="shared" si="1948"/>
        <v>-151.61869999999973</v>
      </c>
      <c r="CI207" s="23">
        <f t="shared" si="1948"/>
        <v>0</v>
      </c>
      <c r="CJ207" s="23">
        <f t="shared" si="1948"/>
        <v>-125.85829999999991</v>
      </c>
      <c r="CK207" s="24">
        <f t="shared" si="1948"/>
        <v>0</v>
      </c>
      <c r="CL207" s="23">
        <f t="shared" si="1948"/>
        <v>-148.18300000000016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2.2737367544323206E-13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</v>
      </c>
      <c r="D209" s="23">
        <f t="shared" ref="D209" si="1951">C161</f>
        <v>0</v>
      </c>
      <c r="E209" s="23">
        <f>D161</f>
        <v>0</v>
      </c>
      <c r="F209" s="23">
        <f t="shared" ref="F209" si="1952">E161</f>
        <v>0</v>
      </c>
      <c r="G209" s="23">
        <f t="shared" ref="G209" si="1953">F161</f>
        <v>25.137981</v>
      </c>
      <c r="H209" s="23">
        <f t="shared" ref="H209" si="1954">G161</f>
        <v>50.776351499999997</v>
      </c>
      <c r="I209" s="23">
        <f t="shared" ref="I209" si="1955">H161</f>
        <v>73.470132700000008</v>
      </c>
      <c r="J209" s="23">
        <f>I161</f>
        <v>147.40187829999999</v>
      </c>
      <c r="K209" s="23">
        <f>J161</f>
        <v>156.69141569999999</v>
      </c>
      <c r="L209" s="23">
        <f t="shared" ref="L209" si="1956">K161</f>
        <v>156.56553389999999</v>
      </c>
      <c r="M209" s="23">
        <f t="shared" ref="M209" si="1957">L161</f>
        <v>167.59358939999998</v>
      </c>
      <c r="N209" s="23">
        <f t="shared" ref="N209" si="1958">M161</f>
        <v>169.3976136</v>
      </c>
      <c r="O209" s="23">
        <f t="shared" ref="O209" si="1959">N161</f>
        <v>185.43326920000001</v>
      </c>
      <c r="P209" s="23">
        <f t="shared" ref="P209" si="1960">O161</f>
        <v>131.80647740000001</v>
      </c>
      <c r="Q209" s="23">
        <f t="shared" ref="Q209" si="1961">P161</f>
        <v>123.47319999999999</v>
      </c>
      <c r="R209" s="23">
        <f t="shared" ref="R209" si="1962">Q161</f>
        <v>189.8272</v>
      </c>
      <c r="S209" s="23">
        <f t="shared" ref="S209" si="1963">R161</f>
        <v>235.4605</v>
      </c>
      <c r="T209" s="23">
        <f t="shared" ref="T209" si="1964">S161</f>
        <v>243.78659999999999</v>
      </c>
      <c r="U209" s="23">
        <f t="shared" ref="U209" si="1965">T161</f>
        <v>274.00110000000001</v>
      </c>
      <c r="V209" s="23">
        <f t="shared" ref="V209" si="1966">U161</f>
        <v>356.0641</v>
      </c>
      <c r="W209" s="23">
        <f t="shared" ref="W209:AA209" si="1967">V161</f>
        <v>415.79160000000002</v>
      </c>
      <c r="X209" s="23">
        <f t="shared" si="1967"/>
        <v>467.76030000000003</v>
      </c>
      <c r="Y209" s="23">
        <f t="shared" si="1967"/>
        <v>482.19180000000006</v>
      </c>
      <c r="Z209" s="23">
        <f t="shared" si="1967"/>
        <v>617.67790000000002</v>
      </c>
      <c r="AA209" s="23">
        <f t="shared" si="1967"/>
        <v>680.72910000000002</v>
      </c>
      <c r="AB209" s="24">
        <f t="shared" ref="AB209" si="1968">AA161</f>
        <v>854.44689999999991</v>
      </c>
      <c r="AC209" s="24">
        <f t="shared" ref="AC209" si="1969">AB161</f>
        <v>1481.0649052076019</v>
      </c>
      <c r="AD209" s="24">
        <f t="shared" ref="AD209" si="1970">AC161</f>
        <v>2157.7247612570932</v>
      </c>
      <c r="AE209" s="24">
        <f t="shared" ref="AE209" si="1971">AD161</f>
        <v>2895.4766268692283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0</v>
      </c>
      <c r="AL209" s="23" t="e">
        <f t="shared" ref="AL209" si="1975">AK161</f>
        <v>#DIV/0!</v>
      </c>
      <c r="AM209" s="23">
        <f t="shared" ref="AM209" si="1976">AL161</f>
        <v>0</v>
      </c>
      <c r="AN209" s="23" t="e">
        <f t="shared" ref="AN209" si="1977">AM161</f>
        <v>#DIV/0!</v>
      </c>
      <c r="AO209" s="23">
        <f t="shared" ref="AO209" si="1978">AN161</f>
        <v>0</v>
      </c>
      <c r="AP209" s="23" t="e">
        <f t="shared" ref="AP209" si="1979">AO161</f>
        <v>#DIV/0!</v>
      </c>
      <c r="AQ209" s="23">
        <f t="shared" ref="AQ209" si="1980">AP161</f>
        <v>0</v>
      </c>
      <c r="AR209" s="23" t="e">
        <f t="shared" ref="AR209" si="1981">AQ161</f>
        <v>#DIV/0!</v>
      </c>
      <c r="AS209" s="23">
        <f t="shared" ref="AS209" si="1982">AR161</f>
        <v>0</v>
      </c>
      <c r="AT209" s="23" t="e">
        <f t="shared" ref="AT209" si="1983">AS161</f>
        <v>#DIV/0!</v>
      </c>
      <c r="AU209" s="23">
        <f t="shared" ref="AU209" si="1984">AT161</f>
        <v>0</v>
      </c>
      <c r="AV209" s="23" t="e">
        <f t="shared" ref="AV209" si="1985">AU161</f>
        <v>#DIV/0!</v>
      </c>
      <c r="AW209" s="23">
        <f t="shared" ref="AW209" si="1986">AV161</f>
        <v>0</v>
      </c>
      <c r="AX209" s="23" t="e">
        <f t="shared" ref="AX209" si="1987">AW161</f>
        <v>#DIV/0!</v>
      </c>
      <c r="AY209" s="23">
        <f t="shared" ref="AY209" si="1988">AX161</f>
        <v>0</v>
      </c>
      <c r="AZ209" s="23" t="e">
        <f t="shared" ref="AZ209" si="1989">AY161</f>
        <v>#DIV/0!</v>
      </c>
      <c r="BA209" s="23">
        <f t="shared" ref="BA209" si="1990">AZ161</f>
        <v>0</v>
      </c>
      <c r="BB209" s="23" t="e">
        <f t="shared" ref="BB209" si="1991">BA161</f>
        <v>#DIV/0!</v>
      </c>
      <c r="BC209" s="23">
        <f t="shared" ref="BC209" si="1992">BB161</f>
        <v>0</v>
      </c>
      <c r="BD209" s="23" t="e">
        <f t="shared" ref="BD209" si="1993">BC161</f>
        <v>#DIV/0!</v>
      </c>
      <c r="BE209" s="23">
        <f t="shared" ref="BE209" si="1994">BD161</f>
        <v>0</v>
      </c>
      <c r="BF209" s="23" t="e">
        <f t="shared" ref="BF209" si="1995">BE161</f>
        <v>#DIV/0!</v>
      </c>
      <c r="BG209" s="23">
        <f t="shared" ref="BG209" si="1996">BF161</f>
        <v>0</v>
      </c>
      <c r="BH209" s="23" t="e">
        <f t="shared" ref="BH209" si="1997">BG161</f>
        <v>#DIV/0!</v>
      </c>
      <c r="BI209" s="23">
        <f t="shared" ref="BI209" si="1998">BH161</f>
        <v>0</v>
      </c>
      <c r="BJ209" s="23" t="e">
        <f t="shared" ref="BJ209" si="1999">BI161</f>
        <v>#DIV/0!</v>
      </c>
      <c r="BK209" s="23">
        <f t="shared" ref="BK209" si="2000">BJ161</f>
        <v>0</v>
      </c>
      <c r="BL209" s="23" t="e">
        <f t="shared" ref="BL209" si="2001">BK161</f>
        <v>#DIV/0!</v>
      </c>
      <c r="BM209" s="23">
        <f t="shared" ref="BM209" si="2002">BL161</f>
        <v>0</v>
      </c>
      <c r="BN209" s="23">
        <f t="shared" ref="BN209" si="2003">BM161</f>
        <v>46.233000000000018</v>
      </c>
      <c r="BO209" s="23">
        <f t="shared" ref="BO209" si="2004">BN161</f>
        <v>356.06400000000002</v>
      </c>
      <c r="BP209" s="23">
        <f t="shared" ref="BP209" si="2005">BO161</f>
        <v>395.25308268245931</v>
      </c>
      <c r="BQ209" s="23">
        <f t="shared" ref="BQ209" si="2006">BP161</f>
        <v>373.33699999999999</v>
      </c>
      <c r="BR209" s="23">
        <f t="shared" ref="BR209" si="2007">BQ161</f>
        <v>430.56811745080165</v>
      </c>
      <c r="BS209" s="23">
        <f t="shared" ref="BS209" si="2008">BR161</f>
        <v>415.791</v>
      </c>
      <c r="BT209" s="23">
        <f t="shared" ref="BT209" si="2009">BS161</f>
        <v>479.20097542210397</v>
      </c>
      <c r="BU209" s="23">
        <f t="shared" ref="BU209" si="2010">BT161</f>
        <v>462.18099999999998</v>
      </c>
      <c r="BV209" s="23">
        <f t="shared" ref="BV209" si="2011">BU161</f>
        <v>540.10328204362122</v>
      </c>
      <c r="BW209" s="23">
        <f t="shared" ref="BW209" si="2012">BV161</f>
        <v>467.76099999999997</v>
      </c>
      <c r="BX209" s="23">
        <f t="shared" ref="BX209" si="2013">BW161</f>
        <v>531.90978363708143</v>
      </c>
      <c r="BY209" s="23">
        <f t="shared" ref="BY209" si="2014">BX161</f>
        <v>529.12300000000005</v>
      </c>
      <c r="BZ209" s="23">
        <f t="shared" ref="BZ209" si="2015">BY161</f>
        <v>602.81991280273962</v>
      </c>
      <c r="CA209" s="23">
        <f t="shared" ref="CA209" si="2016">BZ161</f>
        <v>482.19200000000001</v>
      </c>
      <c r="CB209" s="23">
        <f t="shared" ref="CB209" si="2017">CA161</f>
        <v>559.03126006764592</v>
      </c>
      <c r="CC209" s="23">
        <f t="shared" ref="CC209" si="2018">CB161</f>
        <v>624.66800000000001</v>
      </c>
      <c r="CD209" s="23">
        <f t="shared" ref="CD209" si="2019">CC161</f>
        <v>714.1805936608223</v>
      </c>
      <c r="CE209" s="23">
        <f t="shared" ref="CE209" si="2020">CD161</f>
        <v>617.678</v>
      </c>
      <c r="CF209" s="23">
        <f t="shared" ref="CF209" si="2021">CE161</f>
        <v>725.87192120698705</v>
      </c>
      <c r="CG209" s="23">
        <f t="shared" ref="CG209" si="2022">CF161</f>
        <v>732.83399999999995</v>
      </c>
      <c r="CH209" s="23">
        <f t="shared" ref="CH209:CL209" si="2023">CG161</f>
        <v>858.2928400452389</v>
      </c>
      <c r="CI209" s="23">
        <f t="shared" si="2023"/>
        <v>680.72910000000002</v>
      </c>
      <c r="CJ209" s="23">
        <f t="shared" si="2023"/>
        <v>810.50794725661581</v>
      </c>
      <c r="CK209" s="24">
        <f t="shared" ref="CK209" si="2024">CJ161</f>
        <v>822.22</v>
      </c>
      <c r="CL209" s="23">
        <f t="shared" si="2023"/>
        <v>973.87206306770224</v>
      </c>
      <c r="CM209" s="24">
        <f t="shared" ref="CM209" si="2025">CL161</f>
        <v>854.447</v>
      </c>
      <c r="CN209" s="24">
        <f t="shared" ref="CN209" si="2026">CM161</f>
        <v>1000.3301294535784</v>
      </c>
      <c r="CO209" s="24">
        <f t="shared" ref="CO209" si="2027">CN161</f>
        <v>1154.7076558997862</v>
      </c>
      <c r="CP209" s="24">
        <f t="shared" ref="CP209" si="2028">CO161</f>
        <v>1316.4745847791844</v>
      </c>
      <c r="CQ209" s="24">
        <f t="shared" ref="CQ209" si="2029">CP161</f>
        <v>1481.0649052076019</v>
      </c>
      <c r="CR209" s="24">
        <f t="shared" ref="CR209" si="2030">CQ161</f>
        <v>1638.5190201526689</v>
      </c>
      <c r="CS209" s="24">
        <f t="shared" ref="CS209" si="2031">CR161</f>
        <v>1805.1311190378781</v>
      </c>
      <c r="CT209" s="24">
        <f t="shared" ref="CT209" si="2032">CS161</f>
        <v>1979.5468294012246</v>
      </c>
      <c r="CU209" s="24">
        <f t="shared" ref="CU209" si="2033">CT161</f>
        <v>2157.7247612570932</v>
      </c>
      <c r="CV209" s="24">
        <f t="shared" ref="CV209" si="2034">CU161</f>
        <v>2329.2225104595987</v>
      </c>
      <c r="CW209" s="24">
        <f t="shared" ref="CW209" si="2035">CV161</f>
        <v>2510.7346285939088</v>
      </c>
      <c r="CX209" s="24">
        <f t="shared" ref="CX209" si="2036">CW161</f>
        <v>2700.8813954692218</v>
      </c>
      <c r="CY209" s="24">
        <f t="shared" ref="CY209" si="2037">CX161</f>
        <v>2895.4766268692283</v>
      </c>
      <c r="CZ209" s="24">
        <f t="shared" ref="CZ209" si="2038">CY161</f>
        <v>3083.2408495482227</v>
      </c>
      <c r="DA209" s="24">
        <f t="shared" ref="DA209" si="2039">CZ161</f>
        <v>3281.9445397685754</v>
      </c>
      <c r="DB209" s="24">
        <f t="shared" ref="DB209" si="2040">DA161</f>
        <v>3490.1284402864389</v>
      </c>
      <c r="DE209" s="123"/>
      <c r="DF209" s="23">
        <v>973.87206306770224</v>
      </c>
    </row>
    <row r="210" spans="1:110" s="23" customFormat="1" x14ac:dyDescent="0.2">
      <c r="A210" s="23" t="s">
        <v>443</v>
      </c>
      <c r="C210" s="23">
        <f t="shared" ref="C210:W210" si="2041">C209+C205+C201+C199</f>
        <v>0</v>
      </c>
      <c r="D210" s="23">
        <f t="shared" si="2041"/>
        <v>0</v>
      </c>
      <c r="E210" s="23">
        <f t="shared" si="2041"/>
        <v>0</v>
      </c>
      <c r="F210" s="23">
        <f t="shared" si="2041"/>
        <v>25.137980999999996</v>
      </c>
      <c r="G210" s="23">
        <f t="shared" si="2041"/>
        <v>50.776351500000004</v>
      </c>
      <c r="H210" s="23">
        <f t="shared" si="2041"/>
        <v>73.470132699999994</v>
      </c>
      <c r="I210" s="23">
        <f t="shared" si="2041"/>
        <v>147.40187830000002</v>
      </c>
      <c r="J210" s="23">
        <f>J209+J205+J201+J199</f>
        <v>156.69141569999996</v>
      </c>
      <c r="K210" s="23">
        <f>K209+K205+K201+K199</f>
        <v>156.56553389999999</v>
      </c>
      <c r="L210" s="23">
        <f>L209+L205+L201+L199</f>
        <v>167.59358940000001</v>
      </c>
      <c r="M210" s="23">
        <f>M209+M205+M201+M199</f>
        <v>169.3976136</v>
      </c>
      <c r="N210" s="23">
        <f t="shared" si="2041"/>
        <v>185.43326920000001</v>
      </c>
      <c r="O210" s="23">
        <f t="shared" si="2041"/>
        <v>131.80647739999998</v>
      </c>
      <c r="P210" s="23">
        <f t="shared" si="2041"/>
        <v>123.47320000000005</v>
      </c>
      <c r="Q210" s="23">
        <f t="shared" si="2041"/>
        <v>189.8272</v>
      </c>
      <c r="R210" s="23">
        <f t="shared" si="2041"/>
        <v>235.46050000000005</v>
      </c>
      <c r="S210" s="23">
        <f t="shared" si="2041"/>
        <v>243.78659999999994</v>
      </c>
      <c r="T210" s="23">
        <f t="shared" si="2041"/>
        <v>274.00110000000006</v>
      </c>
      <c r="U210" s="23">
        <f t="shared" si="2041"/>
        <v>356.06409999999994</v>
      </c>
      <c r="V210" s="23">
        <f t="shared" si="2041"/>
        <v>415.79159999999985</v>
      </c>
      <c r="W210" s="23">
        <f t="shared" si="2041"/>
        <v>467.76030000000009</v>
      </c>
      <c r="X210" s="23">
        <f t="shared" ref="X210:Y210" si="2042">X209+X205+X201+X199</f>
        <v>482.19180000000011</v>
      </c>
      <c r="Y210" s="23">
        <f t="shared" si="2042"/>
        <v>617.67790000000025</v>
      </c>
      <c r="Z210" s="23">
        <f t="shared" ref="Z210:AA210" si="2043">Z209+Z205+Z201+Z199</f>
        <v>680.72910000000024</v>
      </c>
      <c r="AA210" s="23">
        <f t="shared" si="2043"/>
        <v>854.44689999999946</v>
      </c>
      <c r="AB210" s="24">
        <f t="shared" ref="AA210:AD210" si="2044">AB209+AB205+AB201+AB199</f>
        <v>1481.0639052076017</v>
      </c>
      <c r="AC210" s="24">
        <f t="shared" si="2044"/>
        <v>2157.7247612570932</v>
      </c>
      <c r="AD210" s="24">
        <f t="shared" si="2044"/>
        <v>2895.4766268692292</v>
      </c>
      <c r="AE210" s="24">
        <f t="shared" ref="AE210" si="2045">AE209+AE205+AE201+AE199</f>
        <v>3703.3035625685293</v>
      </c>
      <c r="AI210" s="23">
        <f t="shared" ref="AI210" si="2046">AI209+AI205+AI201+AI199</f>
        <v>0</v>
      </c>
      <c r="AJ210" s="23">
        <f t="shared" ref="AJ210:AL210" si="2047">AJ209+AJ205+AJ201+AJ199</f>
        <v>0</v>
      </c>
      <c r="AK210" s="23" t="e">
        <f t="shared" si="2047"/>
        <v>#DIV/0!</v>
      </c>
      <c r="AL210" s="23" t="e">
        <f t="shared" si="2047"/>
        <v>#DIV/0!</v>
      </c>
      <c r="AM210" s="23" t="e">
        <f t="shared" ref="AM210" si="2048">AM209+AM205+AM201+AM199</f>
        <v>#DIV/0!</v>
      </c>
      <c r="AN210" s="23" t="e">
        <f t="shared" ref="AN210:CD210" si="2049">AN209+AN205+AN201+AN199</f>
        <v>#DIV/0!</v>
      </c>
      <c r="AO210" s="23" t="e">
        <f t="shared" si="2049"/>
        <v>#DIV/0!</v>
      </c>
      <c r="AP210" s="23" t="e">
        <f t="shared" si="2049"/>
        <v>#DIV/0!</v>
      </c>
      <c r="AQ210" s="23" t="e">
        <f t="shared" si="2049"/>
        <v>#DIV/0!</v>
      </c>
      <c r="AR210" s="23" t="e">
        <f t="shared" si="2049"/>
        <v>#DIV/0!</v>
      </c>
      <c r="AS210" s="23" t="e">
        <f t="shared" si="2049"/>
        <v>#DIV/0!</v>
      </c>
      <c r="AT210" s="23" t="e">
        <f t="shared" si="2049"/>
        <v>#DIV/0!</v>
      </c>
      <c r="AU210" s="23" t="e">
        <f t="shared" si="2049"/>
        <v>#DIV/0!</v>
      </c>
      <c r="AV210" s="23" t="e">
        <f t="shared" si="2049"/>
        <v>#DIV/0!</v>
      </c>
      <c r="AW210" s="23" t="e">
        <f t="shared" si="2049"/>
        <v>#DIV/0!</v>
      </c>
      <c r="AX210" s="23" t="e">
        <f t="shared" si="2049"/>
        <v>#DIV/0!</v>
      </c>
      <c r="AY210" s="23" t="e">
        <f t="shared" si="2049"/>
        <v>#DIV/0!</v>
      </c>
      <c r="AZ210" s="23" t="e">
        <f t="shared" si="2049"/>
        <v>#DIV/0!</v>
      </c>
      <c r="BA210" s="23" t="e">
        <f t="shared" si="2049"/>
        <v>#DIV/0!</v>
      </c>
      <c r="BB210" s="23" t="e">
        <f t="shared" si="2049"/>
        <v>#DIV/0!</v>
      </c>
      <c r="BC210" s="23" t="e">
        <f t="shared" si="2049"/>
        <v>#DIV/0!</v>
      </c>
      <c r="BD210" s="23" t="e">
        <f t="shared" si="2049"/>
        <v>#DIV/0!</v>
      </c>
      <c r="BE210" s="23" t="e">
        <f t="shared" si="2049"/>
        <v>#DIV/0!</v>
      </c>
      <c r="BF210" s="23" t="e">
        <f t="shared" si="2049"/>
        <v>#DIV/0!</v>
      </c>
      <c r="BG210" s="23" t="e">
        <f t="shared" si="2049"/>
        <v>#DIV/0!</v>
      </c>
      <c r="BH210" s="23" t="e">
        <f t="shared" si="2049"/>
        <v>#DIV/0!</v>
      </c>
      <c r="BI210" s="23" t="e">
        <f t="shared" si="2049"/>
        <v>#DIV/0!</v>
      </c>
      <c r="BJ210" s="23" t="e">
        <f t="shared" si="2049"/>
        <v>#DIV/0!</v>
      </c>
      <c r="BK210" s="23" t="e">
        <f t="shared" si="2049"/>
        <v>#DIV/0!</v>
      </c>
      <c r="BL210" s="23" t="e">
        <f t="shared" si="2049"/>
        <v>#DIV/0!</v>
      </c>
      <c r="BM210" s="23">
        <f t="shared" si="2049"/>
        <v>46.233000000000018</v>
      </c>
      <c r="BN210" s="23">
        <f t="shared" si="2049"/>
        <v>356.06399999999996</v>
      </c>
      <c r="BO210" s="23">
        <f t="shared" si="2049"/>
        <v>395.25308268245931</v>
      </c>
      <c r="BP210" s="23">
        <f t="shared" si="2049"/>
        <v>373.33699999999999</v>
      </c>
      <c r="BQ210" s="23">
        <f t="shared" si="2049"/>
        <v>430.56811745080165</v>
      </c>
      <c r="BR210" s="23">
        <f t="shared" si="2049"/>
        <v>415.79200000000009</v>
      </c>
      <c r="BS210" s="23">
        <f t="shared" si="2049"/>
        <v>479.20097542210397</v>
      </c>
      <c r="BT210" s="23">
        <f t="shared" si="2049"/>
        <v>462.18099999999981</v>
      </c>
      <c r="BU210" s="23">
        <f t="shared" si="2049"/>
        <v>540.10328204362122</v>
      </c>
      <c r="BV210" s="23">
        <f t="shared" si="2049"/>
        <v>467.7600000000001</v>
      </c>
      <c r="BW210" s="23">
        <f t="shared" si="2049"/>
        <v>531.90978363708143</v>
      </c>
      <c r="BX210" s="23">
        <f t="shared" si="2049"/>
        <v>529.12400000000002</v>
      </c>
      <c r="BY210" s="23">
        <f t="shared" si="2049"/>
        <v>602.81991280273962</v>
      </c>
      <c r="BZ210" s="23">
        <f t="shared" si="2049"/>
        <v>482.19000000000005</v>
      </c>
      <c r="CA210" s="23">
        <f t="shared" si="2049"/>
        <v>559.03126006764592</v>
      </c>
      <c r="CB210" s="23">
        <f t="shared" si="2049"/>
        <v>624.66800000000012</v>
      </c>
      <c r="CC210" s="23">
        <f t="shared" si="2049"/>
        <v>714.1805936608223</v>
      </c>
      <c r="CD210" s="23">
        <f t="shared" si="2049"/>
        <v>617.67899999999997</v>
      </c>
      <c r="CE210" s="23">
        <f t="shared" ref="CE210:CF210" si="2050">CE209+CE205+CE201+CE199</f>
        <v>725.87192120698705</v>
      </c>
      <c r="CF210" s="23">
        <f t="shared" si="2050"/>
        <v>732.83399999999983</v>
      </c>
      <c r="CG210" s="23">
        <f t="shared" ref="CG210:CH210" si="2051">CG209+CG205+CG201+CG199</f>
        <v>858.2928400452389</v>
      </c>
      <c r="CH210" s="23">
        <f t="shared" si="2051"/>
        <v>680.72910000000024</v>
      </c>
      <c r="CI210" s="23">
        <f t="shared" ref="CI210:CJ210" si="2052">CI209+CI205+CI201+CI199</f>
        <v>810.50794725661581</v>
      </c>
      <c r="CJ210" s="23">
        <f t="shared" si="2052"/>
        <v>822.21899999999994</v>
      </c>
      <c r="CK210" s="24">
        <f t="shared" ref="CK210:DB210" si="2053">CK209+CK205+CK201+CK199</f>
        <v>973.87206306770224</v>
      </c>
      <c r="CL210" s="23">
        <f t="shared" si="2053"/>
        <v>854.44699999999978</v>
      </c>
      <c r="CM210" s="24">
        <f t="shared" si="2053"/>
        <v>1000.3301294535784</v>
      </c>
      <c r="CN210" s="24">
        <f t="shared" si="2053"/>
        <v>1154.7076558997862</v>
      </c>
      <c r="CO210" s="24">
        <f t="shared" si="2053"/>
        <v>1316.4745847791844</v>
      </c>
      <c r="CP210" s="24">
        <f t="shared" si="2053"/>
        <v>1481.0649052076019</v>
      </c>
      <c r="CQ210" s="24">
        <f t="shared" si="2053"/>
        <v>1638.5190201526689</v>
      </c>
      <c r="CR210" s="24">
        <f t="shared" si="2053"/>
        <v>1805.1311190378781</v>
      </c>
      <c r="CS210" s="24">
        <f t="shared" si="2053"/>
        <v>1979.5468294012246</v>
      </c>
      <c r="CT210" s="24">
        <f t="shared" si="2053"/>
        <v>2157.7247612570932</v>
      </c>
      <c r="CU210" s="24">
        <f t="shared" si="2053"/>
        <v>2329.2225104595987</v>
      </c>
      <c r="CV210" s="24">
        <f t="shared" si="2053"/>
        <v>2510.7346285939088</v>
      </c>
      <c r="CW210" s="24">
        <f t="shared" si="2053"/>
        <v>2700.8813954692218</v>
      </c>
      <c r="CX210" s="24">
        <f t="shared" si="2053"/>
        <v>2895.4766268692283</v>
      </c>
      <c r="CY210" s="24">
        <f t="shared" si="2053"/>
        <v>3083.2408495482227</v>
      </c>
      <c r="CZ210" s="24">
        <f t="shared" si="2053"/>
        <v>3281.9445397685754</v>
      </c>
      <c r="DA210" s="24">
        <f t="shared" si="2053"/>
        <v>3490.1284402864389</v>
      </c>
      <c r="DB210" s="24">
        <f t="shared" si="2053"/>
        <v>3703.3035625685288</v>
      </c>
      <c r="DE210" s="123"/>
      <c r="DF210" s="23">
        <v>1118.6702060515395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0</v>
      </c>
      <c r="H211" s="28">
        <f t="shared" si="2054"/>
        <v>0</v>
      </c>
      <c r="I211" s="28">
        <f t="shared" si="2054"/>
        <v>0</v>
      </c>
      <c r="J211" s="28">
        <f>J210-J161</f>
        <v>0</v>
      </c>
      <c r="K211" s="28">
        <f t="shared" si="2054"/>
        <v>0</v>
      </c>
      <c r="L211" s="28">
        <f t="shared" si="2054"/>
        <v>0</v>
      </c>
      <c r="M211" s="28">
        <f t="shared" si="2054"/>
        <v>0</v>
      </c>
      <c r="N211" s="28">
        <f t="shared" si="2054"/>
        <v>0</v>
      </c>
      <c r="O211" s="28">
        <f t="shared" si="2054"/>
        <v>0</v>
      </c>
      <c r="P211" s="28">
        <f t="shared" si="2054"/>
        <v>0</v>
      </c>
      <c r="Q211" s="28">
        <f t="shared" si="2054"/>
        <v>0</v>
      </c>
      <c r="R211" s="28">
        <f t="shared" si="2054"/>
        <v>0</v>
      </c>
      <c r="S211" s="28">
        <f t="shared" si="2054"/>
        <v>0</v>
      </c>
      <c r="T211" s="28">
        <f t="shared" si="2054"/>
        <v>0</v>
      </c>
      <c r="U211" s="28">
        <f t="shared" si="2054"/>
        <v>0</v>
      </c>
      <c r="V211" s="28">
        <f t="shared" si="2054"/>
        <v>0</v>
      </c>
      <c r="W211" s="28">
        <f t="shared" si="2054"/>
        <v>0</v>
      </c>
      <c r="X211" s="28">
        <f t="shared" ref="X211:Y211" si="2055">X210-X161</f>
        <v>0</v>
      </c>
      <c r="Y211" s="28">
        <f t="shared" si="2055"/>
        <v>0</v>
      </c>
      <c r="Z211" s="28">
        <f t="shared" ref="Z211:AA211" si="2056">Z210-Z161</f>
        <v>0</v>
      </c>
      <c r="AA211" s="28">
        <f t="shared" si="2056"/>
        <v>0</v>
      </c>
      <c r="AB211" s="30">
        <f t="shared" ref="AA211:AD211" si="2057">AB210-AB161</f>
        <v>-1.0000000002037268E-3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 t="e">
        <f t="shared" si="2060"/>
        <v>#DIV/0!</v>
      </c>
      <c r="AL211" s="28" t="e">
        <f t="shared" si="2060"/>
        <v>#DIV/0!</v>
      </c>
      <c r="AM211" s="28" t="e">
        <f t="shared" ref="AM211" si="2061">AM210-AM161</f>
        <v>#DIV/0!</v>
      </c>
      <c r="AN211" s="28" t="e">
        <f t="shared" ref="AN211:CD211" si="2062">AN210-AN161</f>
        <v>#DIV/0!</v>
      </c>
      <c r="AO211" s="28" t="e">
        <f t="shared" si="2062"/>
        <v>#DIV/0!</v>
      </c>
      <c r="AP211" s="28" t="e">
        <f t="shared" si="2062"/>
        <v>#DIV/0!</v>
      </c>
      <c r="AQ211" s="28" t="e">
        <f t="shared" si="2062"/>
        <v>#DIV/0!</v>
      </c>
      <c r="AR211" s="28" t="e">
        <f t="shared" si="2062"/>
        <v>#DIV/0!</v>
      </c>
      <c r="AS211" s="28" t="e">
        <f t="shared" si="2062"/>
        <v>#DIV/0!</v>
      </c>
      <c r="AT211" s="28" t="e">
        <f t="shared" si="2062"/>
        <v>#DIV/0!</v>
      </c>
      <c r="AU211" s="28" t="e">
        <f t="shared" si="2062"/>
        <v>#DIV/0!</v>
      </c>
      <c r="AV211" s="28" t="e">
        <f t="shared" si="2062"/>
        <v>#DIV/0!</v>
      </c>
      <c r="AW211" s="28" t="e">
        <f t="shared" si="2062"/>
        <v>#DIV/0!</v>
      </c>
      <c r="AX211" s="28" t="e">
        <f t="shared" si="2062"/>
        <v>#DIV/0!</v>
      </c>
      <c r="AY211" s="28" t="e">
        <f t="shared" si="2062"/>
        <v>#DIV/0!</v>
      </c>
      <c r="AZ211" s="28" t="e">
        <f t="shared" si="2062"/>
        <v>#DIV/0!</v>
      </c>
      <c r="BA211" s="28" t="e">
        <f t="shared" si="2062"/>
        <v>#DIV/0!</v>
      </c>
      <c r="BB211" s="28" t="e">
        <f t="shared" si="2062"/>
        <v>#DIV/0!</v>
      </c>
      <c r="BC211" s="28" t="e">
        <f t="shared" si="2062"/>
        <v>#DIV/0!</v>
      </c>
      <c r="BD211" s="28" t="e">
        <f t="shared" si="2062"/>
        <v>#DIV/0!</v>
      </c>
      <c r="BE211" s="28" t="e">
        <f t="shared" si="2062"/>
        <v>#DIV/0!</v>
      </c>
      <c r="BF211" s="28" t="e">
        <f t="shared" si="2062"/>
        <v>#DIV/0!</v>
      </c>
      <c r="BG211" s="28" t="e">
        <f t="shared" si="2062"/>
        <v>#DIV/0!</v>
      </c>
      <c r="BH211" s="28" t="e">
        <f t="shared" si="2062"/>
        <v>#DIV/0!</v>
      </c>
      <c r="BI211" s="28" t="e">
        <f t="shared" si="2062"/>
        <v>#DIV/0!</v>
      </c>
      <c r="BJ211" s="28" t="e">
        <f t="shared" si="2062"/>
        <v>#DIV/0!</v>
      </c>
      <c r="BK211" s="28" t="e">
        <f t="shared" si="2062"/>
        <v>#DIV/0!</v>
      </c>
      <c r="BL211" s="28" t="e">
        <f t="shared" si="2062"/>
        <v>#DIV/0!</v>
      </c>
      <c r="BM211" s="28">
        <f t="shared" si="2062"/>
        <v>0</v>
      </c>
      <c r="BN211" s="28">
        <f t="shared" si="2062"/>
        <v>0</v>
      </c>
      <c r="BO211" s="28">
        <f t="shared" si="2062"/>
        <v>0</v>
      </c>
      <c r="BP211" s="28">
        <f t="shared" si="2062"/>
        <v>0</v>
      </c>
      <c r="BQ211" s="28">
        <f t="shared" si="2062"/>
        <v>0</v>
      </c>
      <c r="BR211" s="28">
        <f t="shared" si="2062"/>
        <v>1.00000000009004E-3</v>
      </c>
      <c r="BS211" s="28">
        <f t="shared" si="2062"/>
        <v>0</v>
      </c>
      <c r="BT211" s="28">
        <f t="shared" si="2062"/>
        <v>0</v>
      </c>
      <c r="BU211" s="28">
        <f t="shared" si="2062"/>
        <v>0</v>
      </c>
      <c r="BV211" s="28">
        <f t="shared" si="2062"/>
        <v>-9.999999998626663E-4</v>
      </c>
      <c r="BW211" s="28">
        <f t="shared" si="2062"/>
        <v>0</v>
      </c>
      <c r="BX211" s="28">
        <f t="shared" si="2062"/>
        <v>9.9999999997635314E-4</v>
      </c>
      <c r="BY211" s="28">
        <f t="shared" si="2062"/>
        <v>0</v>
      </c>
      <c r="BZ211" s="28">
        <f t="shared" si="2062"/>
        <v>-1.9999999999527063E-3</v>
      </c>
      <c r="CA211" s="28">
        <f t="shared" si="2062"/>
        <v>0</v>
      </c>
      <c r="CB211" s="28">
        <f t="shared" si="2062"/>
        <v>0</v>
      </c>
      <c r="CC211" s="28">
        <f t="shared" si="2062"/>
        <v>0</v>
      </c>
      <c r="CD211" s="28">
        <f t="shared" si="2062"/>
        <v>9.9999999997635314E-4</v>
      </c>
      <c r="CE211" s="28">
        <f t="shared" ref="CE211:CF211" si="2063">CE210-CE161</f>
        <v>0</v>
      </c>
      <c r="CF211" s="28">
        <f t="shared" si="2063"/>
        <v>0</v>
      </c>
      <c r="CG211" s="28">
        <f t="shared" ref="CG211:CH211" si="2064">CG210-CG161</f>
        <v>0</v>
      </c>
      <c r="CH211" s="28">
        <f t="shared" si="2064"/>
        <v>0</v>
      </c>
      <c r="CI211" s="28">
        <f t="shared" ref="CI211:CJ211" si="2065">CI210-CI161</f>
        <v>0</v>
      </c>
      <c r="CJ211" s="28">
        <f t="shared" si="2065"/>
        <v>-1.00000000009004E-3</v>
      </c>
      <c r="CK211" s="30">
        <f t="shared" ref="CK211:DB211" si="2066">CK210-CK161</f>
        <v>0</v>
      </c>
      <c r="CL211" s="28">
        <f t="shared" si="2066"/>
        <v>0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0</v>
      </c>
      <c r="D213" s="22">
        <f t="shared" si="2067"/>
        <v>0</v>
      </c>
      <c r="E213" s="22">
        <f t="shared" si="2067"/>
        <v>0</v>
      </c>
      <c r="F213" s="22">
        <f t="shared" si="2067"/>
        <v>0.91805129999998769</v>
      </c>
      <c r="G213" s="22">
        <f t="shared" si="2067"/>
        <v>38.086255399999985</v>
      </c>
      <c r="H213" s="22">
        <f t="shared" si="2067"/>
        <v>40.790214500000012</v>
      </c>
      <c r="I213" s="22">
        <f t="shared" si="2067"/>
        <v>87.575963200000018</v>
      </c>
      <c r="J213" s="22">
        <f>J199+J201</f>
        <v>42.058367999999973</v>
      </c>
      <c r="K213" s="22">
        <f t="shared" si="2067"/>
        <v>66.904052699999994</v>
      </c>
      <c r="L213" s="22">
        <f t="shared" si="2067"/>
        <v>62.200641200000035</v>
      </c>
      <c r="M213" s="22">
        <f t="shared" si="2067"/>
        <v>33.821162999999991</v>
      </c>
      <c r="N213" s="22">
        <f t="shared" si="2067"/>
        <v>60.060144200000003</v>
      </c>
      <c r="O213" s="22">
        <f t="shared" si="2067"/>
        <v>-30.746094000000056</v>
      </c>
      <c r="P213" s="22">
        <f t="shared" si="2067"/>
        <v>51.003101300000047</v>
      </c>
      <c r="Q213" s="22">
        <f t="shared" si="2067"/>
        <v>94.514800000000051</v>
      </c>
      <c r="R213" s="22">
        <f t="shared" si="2067"/>
        <v>119.7166</v>
      </c>
      <c r="S213" s="22">
        <f t="shared" si="2067"/>
        <v>123.86369999999999</v>
      </c>
      <c r="T213" s="22">
        <f t="shared" si="2067"/>
        <v>162.35520000000002</v>
      </c>
      <c r="U213" s="22">
        <f t="shared" si="2067"/>
        <v>165.06829999999997</v>
      </c>
      <c r="V213" s="22">
        <f t="shared" si="2067"/>
        <v>298.00349999999997</v>
      </c>
      <c r="W213" s="22">
        <f t="shared" si="2067"/>
        <v>207.14950000000005</v>
      </c>
      <c r="X213" s="22">
        <f t="shared" ref="X213:Y213" si="2068">X199+X201</f>
        <v>164.84559999999993</v>
      </c>
      <c r="Y213" s="22">
        <f t="shared" si="2068"/>
        <v>355.95090000000022</v>
      </c>
      <c r="Z213" s="22">
        <f t="shared" ref="Z213:AA213" si="2069">Z199+Z201</f>
        <v>329.32550000000026</v>
      </c>
      <c r="AA213" s="22">
        <f t="shared" si="2069"/>
        <v>447.94299999999976</v>
      </c>
      <c r="AB213" s="21">
        <f t="shared" ref="AA213:AD213" si="2070">AB199+AB201</f>
        <v>626.61680520760228</v>
      </c>
      <c r="AC213" s="21">
        <f t="shared" si="2070"/>
        <v>676.65985604949117</v>
      </c>
      <c r="AD213" s="21">
        <f t="shared" si="2070"/>
        <v>737.75186561213536</v>
      </c>
      <c r="AE213" s="21">
        <f t="shared" ref="AE213" si="2071">AE199+AE201</f>
        <v>807.82693569930041</v>
      </c>
      <c r="AI213" s="22">
        <f t="shared" ref="AI213" si="2072">AI199+AI201</f>
        <v>0</v>
      </c>
      <c r="AJ213" s="22">
        <f t="shared" ref="AJ213:AL213" si="2073">AJ199+AJ201</f>
        <v>0</v>
      </c>
      <c r="AK213" s="22" t="e">
        <f t="shared" si="2073"/>
        <v>#DIV/0!</v>
      </c>
      <c r="AL213" s="22" t="e">
        <f t="shared" si="2073"/>
        <v>#DIV/0!</v>
      </c>
      <c r="AM213" s="22" t="e">
        <f t="shared" ref="AM213" si="2074">AM199+AM201</f>
        <v>#DIV/0!</v>
      </c>
      <c r="AN213" s="22" t="e">
        <f t="shared" ref="AN213:CD213" si="2075">AN199+AN201</f>
        <v>#DIV/0!</v>
      </c>
      <c r="AO213" s="22" t="e">
        <f t="shared" si="2075"/>
        <v>#DIV/0!</v>
      </c>
      <c r="AP213" s="22" t="e">
        <f t="shared" si="2075"/>
        <v>#DIV/0!</v>
      </c>
      <c r="AQ213" s="22" t="e">
        <f t="shared" si="2075"/>
        <v>#DIV/0!</v>
      </c>
      <c r="AR213" s="22" t="e">
        <f t="shared" si="2075"/>
        <v>#DIV/0!</v>
      </c>
      <c r="AS213" s="22" t="e">
        <f t="shared" si="2075"/>
        <v>#DIV/0!</v>
      </c>
      <c r="AT213" s="22" t="e">
        <f t="shared" si="2075"/>
        <v>#DIV/0!</v>
      </c>
      <c r="AU213" s="22" t="e">
        <f t="shared" si="2075"/>
        <v>#DIV/0!</v>
      </c>
      <c r="AV213" s="22" t="e">
        <f t="shared" si="2075"/>
        <v>#DIV/0!</v>
      </c>
      <c r="AW213" s="22" t="e">
        <f t="shared" si="2075"/>
        <v>#DIV/0!</v>
      </c>
      <c r="AX213" s="22" t="e">
        <f t="shared" si="2075"/>
        <v>#DIV/0!</v>
      </c>
      <c r="AY213" s="22" t="e">
        <f t="shared" si="2075"/>
        <v>#DIV/0!</v>
      </c>
      <c r="AZ213" s="22" t="e">
        <f t="shared" si="2075"/>
        <v>#DIV/0!</v>
      </c>
      <c r="BA213" s="22" t="e">
        <f t="shared" si="2075"/>
        <v>#DIV/0!</v>
      </c>
      <c r="BB213" s="22" t="e">
        <f t="shared" si="2075"/>
        <v>#DIV/0!</v>
      </c>
      <c r="BC213" s="22" t="e">
        <f t="shared" si="2075"/>
        <v>#DIV/0!</v>
      </c>
      <c r="BD213" s="22" t="e">
        <f t="shared" si="2075"/>
        <v>#DIV/0!</v>
      </c>
      <c r="BE213" s="22" t="e">
        <f t="shared" si="2075"/>
        <v>#DIV/0!</v>
      </c>
      <c r="BF213" s="22" t="e">
        <f t="shared" si="2075"/>
        <v>#DIV/0!</v>
      </c>
      <c r="BG213" s="22" t="e">
        <f t="shared" si="2075"/>
        <v>#DIV/0!</v>
      </c>
      <c r="BH213" s="22" t="e">
        <f t="shared" si="2075"/>
        <v>#DIV/0!</v>
      </c>
      <c r="BI213" s="22" t="e">
        <f t="shared" si="2075"/>
        <v>#DIV/0!</v>
      </c>
      <c r="BJ213" s="22" t="e">
        <f t="shared" si="2075"/>
        <v>#DIV/0!</v>
      </c>
      <c r="BK213" s="22" t="e">
        <f t="shared" si="2075"/>
        <v>#DIV/0!</v>
      </c>
      <c r="BL213" s="22" t="e">
        <f t="shared" si="2075"/>
        <v>#DIV/0!</v>
      </c>
      <c r="BM213" s="22">
        <f t="shared" si="2075"/>
        <v>46.233000000000018</v>
      </c>
      <c r="BN213" s="22">
        <f t="shared" si="2075"/>
        <v>-149.72499999999999</v>
      </c>
      <c r="BO213" s="22">
        <f t="shared" si="2075"/>
        <v>39.189082682459272</v>
      </c>
      <c r="BP213" s="22">
        <f t="shared" si="2075"/>
        <v>152.8379173175407</v>
      </c>
      <c r="BQ213" s="22">
        <f t="shared" si="2075"/>
        <v>57.231117450801719</v>
      </c>
      <c r="BR213" s="22">
        <f t="shared" si="2075"/>
        <v>48.743882549198304</v>
      </c>
      <c r="BS213" s="22">
        <f t="shared" si="2075"/>
        <v>63.409975422104011</v>
      </c>
      <c r="BT213" s="22">
        <f t="shared" si="2075"/>
        <v>54.383024577895888</v>
      </c>
      <c r="BU213" s="22">
        <f t="shared" si="2075"/>
        <v>77.922282043621209</v>
      </c>
      <c r="BV213" s="22">
        <f t="shared" si="2075"/>
        <v>11.434717956378819</v>
      </c>
      <c r="BW213" s="22">
        <f t="shared" si="2075"/>
        <v>64.148783637081408</v>
      </c>
      <c r="BX213" s="22">
        <f t="shared" si="2075"/>
        <v>63.860216362918635</v>
      </c>
      <c r="BY213" s="22">
        <f t="shared" si="2075"/>
        <v>73.696912802739575</v>
      </c>
      <c r="BZ213" s="22">
        <f t="shared" si="2075"/>
        <v>-36.859912802739586</v>
      </c>
      <c r="CA213" s="22">
        <f t="shared" si="2075"/>
        <v>76.83926006764591</v>
      </c>
      <c r="CB213" s="22">
        <f t="shared" si="2075"/>
        <v>204.69073993235415</v>
      </c>
      <c r="CC213" s="22">
        <f t="shared" si="2075"/>
        <v>89.512593660822318</v>
      </c>
      <c r="CD213" s="22">
        <f t="shared" si="2075"/>
        <v>-15.091593660822291</v>
      </c>
      <c r="CE213" s="22">
        <f t="shared" ref="CE213:CF213" si="2076">CE199+CE201</f>
        <v>108.19392120698707</v>
      </c>
      <c r="CF213" s="22">
        <f t="shared" si="2076"/>
        <v>121.77507879301294</v>
      </c>
      <c r="CG213" s="22">
        <f t="shared" ref="CG213:CH213" si="2077">CG199+CG201</f>
        <v>125.45884004523893</v>
      </c>
      <c r="CH213" s="22">
        <f t="shared" si="2077"/>
        <v>-26.105040045238781</v>
      </c>
      <c r="CI213" s="22">
        <f t="shared" ref="CI213:CJ213" si="2078">CI199+CI201</f>
        <v>129.77884725661579</v>
      </c>
      <c r="CJ213" s="22">
        <f t="shared" si="2078"/>
        <v>137.52335274338407</v>
      </c>
      <c r="CK213" s="21">
        <f t="shared" ref="CK213:DB213" si="2079">CK199+CK201</f>
        <v>151.65206306770224</v>
      </c>
      <c r="CL213" s="22">
        <f t="shared" si="2079"/>
        <v>28.984936932297757</v>
      </c>
      <c r="CM213" s="21">
        <f t="shared" si="2079"/>
        <v>145.88312945357842</v>
      </c>
      <c r="CN213" s="21">
        <f t="shared" si="2079"/>
        <v>154.37752644620787</v>
      </c>
      <c r="CO213" s="21">
        <f t="shared" si="2079"/>
        <v>161.76692887939822</v>
      </c>
      <c r="CP213" s="21">
        <f t="shared" si="2079"/>
        <v>164.59032042841747</v>
      </c>
      <c r="CQ213" s="21">
        <f t="shared" si="2079"/>
        <v>157.45411494506698</v>
      </c>
      <c r="CR213" s="21">
        <f t="shared" si="2079"/>
        <v>166.61209888520895</v>
      </c>
      <c r="CS213" s="21">
        <f t="shared" si="2079"/>
        <v>174.41571036334651</v>
      </c>
      <c r="CT213" s="21">
        <f t="shared" si="2079"/>
        <v>178.17793185586876</v>
      </c>
      <c r="CU213" s="21">
        <f t="shared" si="2079"/>
        <v>171.49774920250556</v>
      </c>
      <c r="CV213" s="21">
        <f t="shared" si="2079"/>
        <v>181.51211813431033</v>
      </c>
      <c r="CW213" s="21">
        <f t="shared" si="2079"/>
        <v>190.14676687531289</v>
      </c>
      <c r="CX213" s="21">
        <f t="shared" si="2079"/>
        <v>194.59523140000655</v>
      </c>
      <c r="CY213" s="21">
        <f t="shared" si="2079"/>
        <v>187.76422267899443</v>
      </c>
      <c r="CZ213" s="21">
        <f t="shared" si="2079"/>
        <v>198.70369022035271</v>
      </c>
      <c r="DA213" s="21">
        <f t="shared" si="2079"/>
        <v>208.18390051786361</v>
      </c>
      <c r="DB213" s="21">
        <f t="shared" si="2079"/>
        <v>213.17512228209</v>
      </c>
      <c r="DE213" s="126"/>
      <c r="DF213" s="22">
        <v>144.79814298383718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0</v>
      </c>
      <c r="AM225" s="66">
        <f t="shared" si="2080"/>
        <v>0</v>
      </c>
      <c r="AN225" s="66">
        <f t="shared" si="2080"/>
        <v>0</v>
      </c>
      <c r="AO225" s="66">
        <f t="shared" si="2080"/>
        <v>0</v>
      </c>
      <c r="AP225" s="66">
        <f t="shared" si="2080"/>
        <v>0</v>
      </c>
      <c r="AQ225" s="66">
        <f t="shared" si="2080"/>
        <v>0</v>
      </c>
      <c r="AR225" s="66">
        <f t="shared" si="2080"/>
        <v>0</v>
      </c>
      <c r="AS225" s="66">
        <f t="shared" si="2080"/>
        <v>0</v>
      </c>
      <c r="AT225" s="66">
        <f t="shared" si="2080"/>
        <v>0</v>
      </c>
      <c r="AU225" s="66">
        <f t="shared" si="2080"/>
        <v>0</v>
      </c>
      <c r="AV225" s="66">
        <f t="shared" si="2080"/>
        <v>0</v>
      </c>
      <c r="AW225" s="66">
        <f t="shared" si="2080"/>
        <v>0</v>
      </c>
      <c r="AX225" s="66">
        <f t="shared" si="2080"/>
        <v>0</v>
      </c>
      <c r="AY225" s="66">
        <f t="shared" si="2080"/>
        <v>0</v>
      </c>
      <c r="AZ225" s="66">
        <f t="shared" si="2080"/>
        <v>0</v>
      </c>
      <c r="BA225" s="66">
        <f t="shared" si="2080"/>
        <v>0</v>
      </c>
      <c r="BB225" s="66">
        <f t="shared" si="2080"/>
        <v>0</v>
      </c>
      <c r="BC225" s="66">
        <f t="shared" si="2080"/>
        <v>0</v>
      </c>
      <c r="BD225" s="66">
        <f t="shared" si="2080"/>
        <v>0</v>
      </c>
      <c r="BE225" s="66">
        <f t="shared" si="2080"/>
        <v>0</v>
      </c>
      <c r="BF225" s="66">
        <f t="shared" si="2080"/>
        <v>0</v>
      </c>
      <c r="BG225" s="66">
        <f t="shared" si="2080"/>
        <v>0</v>
      </c>
      <c r="BH225" s="66">
        <f t="shared" si="2080"/>
        <v>0</v>
      </c>
      <c r="BI225" s="66">
        <f t="shared" si="2080"/>
        <v>0</v>
      </c>
      <c r="BJ225" s="66">
        <f t="shared" si="2080"/>
        <v>0</v>
      </c>
      <c r="BK225" s="66">
        <f t="shared" si="2080"/>
        <v>0</v>
      </c>
      <c r="BL225" s="66">
        <f t="shared" si="2080"/>
        <v>173.827</v>
      </c>
      <c r="BM225" s="66">
        <f t="shared" si="2080"/>
        <v>349.85900000000004</v>
      </c>
      <c r="BN225" s="66">
        <f t="shared" si="2080"/>
        <v>524.62400000000002</v>
      </c>
      <c r="BO225" s="66">
        <f t="shared" si="2080"/>
        <v>673.24900000000002</v>
      </c>
      <c r="BP225" s="66">
        <f t="shared" si="2080"/>
        <v>670.56600000000003</v>
      </c>
      <c r="BQ225" s="66">
        <f t="shared" si="2080"/>
        <v>680.48699999999997</v>
      </c>
      <c r="BR225" s="66">
        <f t="shared" ref="BR225:CW225" si="2081">SUM(BO10:BR10)</f>
        <v>705.495</v>
      </c>
      <c r="BS225" s="66">
        <f t="shared" si="2081"/>
        <v>758.04600000000005</v>
      </c>
      <c r="BT225" s="66">
        <f t="shared" si="2081"/>
        <v>814.49800000000005</v>
      </c>
      <c r="BU225" s="66">
        <f t="shared" si="2081"/>
        <v>866.25699999999995</v>
      </c>
      <c r="BV225" s="66">
        <f t="shared" si="2081"/>
        <v>909.66799999999989</v>
      </c>
      <c r="BW225" s="66">
        <f t="shared" si="2081"/>
        <v>945.13799999999992</v>
      </c>
      <c r="BX225" s="66">
        <f t="shared" si="2081"/>
        <v>959.91199999999992</v>
      </c>
      <c r="BY225" s="66">
        <f t="shared" si="2081"/>
        <v>965.77200000000005</v>
      </c>
      <c r="BZ225" s="66">
        <f t="shared" si="2081"/>
        <v>971.827</v>
      </c>
      <c r="CA225" s="66">
        <f t="shared" si="2081"/>
        <v>996.48</v>
      </c>
      <c r="CB225" s="66">
        <f t="shared" si="2081"/>
        <v>1029.193</v>
      </c>
      <c r="CC225" s="66">
        <f t="shared" si="2081"/>
        <v>1075.299</v>
      </c>
      <c r="CD225" s="66">
        <f t="shared" si="2081"/>
        <v>1136.519</v>
      </c>
      <c r="CE225" s="66">
        <f t="shared" si="2081"/>
        <v>1206.6220000000001</v>
      </c>
      <c r="CF225" s="66">
        <f t="shared" si="2081"/>
        <v>1296.711</v>
      </c>
      <c r="CG225" s="66">
        <f t="shared" si="2081"/>
        <v>1376.7760000000001</v>
      </c>
      <c r="CH225" s="66">
        <f t="shared" si="2081"/>
        <v>1422.4829999999999</v>
      </c>
      <c r="CI225" s="66">
        <f t="shared" si="2081"/>
        <v>1445.2329999999999</v>
      </c>
      <c r="CJ225" s="66">
        <f t="shared" si="2081"/>
        <v>1456.799</v>
      </c>
      <c r="CK225" s="50">
        <f t="shared" si="2081"/>
        <v>1477.1950000000002</v>
      </c>
      <c r="CL225" s="66">
        <f t="shared" si="2081"/>
        <v>1516.249</v>
      </c>
      <c r="CM225" s="50">
        <f t="shared" si="2081"/>
        <v>1539.7234561168477</v>
      </c>
      <c r="CN225" s="50">
        <f t="shared" si="2081"/>
        <v>1564.4723233902239</v>
      </c>
      <c r="CO225" s="50">
        <f t="shared" si="2081"/>
        <v>1593.4196458863116</v>
      </c>
      <c r="CP225" s="50">
        <f t="shared" si="2081"/>
        <v>1624.6247009737413</v>
      </c>
      <c r="CQ225" s="50">
        <f t="shared" si="2081"/>
        <v>1651.5428306654198</v>
      </c>
      <c r="CR225" s="50">
        <f t="shared" si="2081"/>
        <v>1680.6635328193352</v>
      </c>
      <c r="CS225" s="50">
        <f t="shared" si="2081"/>
        <v>1711.7773594394725</v>
      </c>
      <c r="CT225" s="50">
        <f t="shared" si="2081"/>
        <v>1743.440781984697</v>
      </c>
      <c r="CU225" s="50">
        <f t="shared" si="2081"/>
        <v>1773.00386958731</v>
      </c>
      <c r="CV225" s="50">
        <f t="shared" si="2081"/>
        <v>1804.6648116503143</v>
      </c>
      <c r="CW225" s="50">
        <f t="shared" si="2081"/>
        <v>1837.8782041627087</v>
      </c>
      <c r="CX225" s="50">
        <f t="shared" ref="CX225:DB225" si="2082">SUM(CU10:CX10)</f>
        <v>1871.6200372762548</v>
      </c>
      <c r="CY225" s="50">
        <f t="shared" si="2082"/>
        <v>1903.5308888362215</v>
      </c>
      <c r="CZ225" s="50">
        <f t="shared" si="2082"/>
        <v>1937.5616983204923</v>
      </c>
      <c r="DA225" s="50">
        <f t="shared" si="2082"/>
        <v>1973.1601103710982</v>
      </c>
      <c r="DB225" s="50">
        <f t="shared" si="2082"/>
        <v>2009.3617239573682</v>
      </c>
      <c r="DE225" s="138"/>
      <c r="DF225" s="66">
        <v>1504.1484924709757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0</v>
      </c>
      <c r="AM226" s="66">
        <f t="shared" si="2083"/>
        <v>0</v>
      </c>
      <c r="AN226" s="66">
        <f t="shared" si="2083"/>
        <v>0</v>
      </c>
      <c r="AO226" s="66">
        <f t="shared" si="2083"/>
        <v>0</v>
      </c>
      <c r="AP226" s="66">
        <f t="shared" si="2083"/>
        <v>0</v>
      </c>
      <c r="AQ226" s="66">
        <f t="shared" si="2083"/>
        <v>0</v>
      </c>
      <c r="AR226" s="66">
        <f t="shared" si="2083"/>
        <v>0</v>
      </c>
      <c r="AS226" s="66">
        <f t="shared" si="2083"/>
        <v>0</v>
      </c>
      <c r="AT226" s="66">
        <f t="shared" si="2083"/>
        <v>0</v>
      </c>
      <c r="AU226" s="66">
        <f t="shared" si="2083"/>
        <v>0</v>
      </c>
      <c r="AV226" s="66">
        <f t="shared" si="2083"/>
        <v>0</v>
      </c>
      <c r="AW226" s="66">
        <f t="shared" si="2083"/>
        <v>0</v>
      </c>
      <c r="AX226" s="66">
        <f t="shared" si="2083"/>
        <v>0</v>
      </c>
      <c r="AY226" s="66">
        <f t="shared" si="2083"/>
        <v>0</v>
      </c>
      <c r="AZ226" s="66">
        <f t="shared" si="2083"/>
        <v>0</v>
      </c>
      <c r="BA226" s="66">
        <f t="shared" si="2083"/>
        <v>0</v>
      </c>
      <c r="BB226" s="66">
        <f t="shared" si="2083"/>
        <v>0</v>
      </c>
      <c r="BC226" s="66">
        <f t="shared" si="2083"/>
        <v>0</v>
      </c>
      <c r="BD226" s="66">
        <f t="shared" si="2083"/>
        <v>0</v>
      </c>
      <c r="BE226" s="66">
        <f t="shared" si="2083"/>
        <v>0</v>
      </c>
      <c r="BF226" s="66">
        <f t="shared" si="2083"/>
        <v>0</v>
      </c>
      <c r="BG226" s="66">
        <f t="shared" si="2083"/>
        <v>0</v>
      </c>
      <c r="BH226" s="66">
        <f t="shared" si="2083"/>
        <v>0</v>
      </c>
      <c r="BI226" s="66">
        <f t="shared" si="2083"/>
        <v>0</v>
      </c>
      <c r="BJ226" s="66">
        <f t="shared" si="2083"/>
        <v>0</v>
      </c>
      <c r="BK226" s="66">
        <f t="shared" si="2083"/>
        <v>0</v>
      </c>
      <c r="BL226" s="66">
        <f t="shared" si="2083"/>
        <v>69.503999999999991</v>
      </c>
      <c r="BM226" s="66">
        <f t="shared" si="2083"/>
        <v>139.214</v>
      </c>
      <c r="BN226" s="66">
        <f t="shared" si="2083"/>
        <v>218.62699999999998</v>
      </c>
      <c r="BO226" s="66">
        <f t="shared" si="2083"/>
        <v>269.995</v>
      </c>
      <c r="BP226" s="66">
        <f t="shared" si="2083"/>
        <v>274.27099999999996</v>
      </c>
      <c r="BQ226" s="66">
        <f t="shared" si="2083"/>
        <v>286.37900000000002</v>
      </c>
      <c r="BR226" s="66">
        <f t="shared" ref="BR226:CW226" si="2084">SUM(BO28:BR28)</f>
        <v>296.012</v>
      </c>
      <c r="BS226" s="66">
        <f t="shared" si="2084"/>
        <v>337.53699999999998</v>
      </c>
      <c r="BT226" s="66">
        <f t="shared" si="2084"/>
        <v>369.50400000000002</v>
      </c>
      <c r="BU226" s="66">
        <f t="shared" si="2084"/>
        <v>401.01</v>
      </c>
      <c r="BV226" s="66">
        <f t="shared" si="2084"/>
        <v>424.12999999999994</v>
      </c>
      <c r="BW226" s="66">
        <f t="shared" si="2084"/>
        <v>429.10999999999996</v>
      </c>
      <c r="BX226" s="66">
        <f t="shared" si="2084"/>
        <v>429.42699999999996</v>
      </c>
      <c r="BY226" s="66">
        <f t="shared" si="2084"/>
        <v>424.30900000000003</v>
      </c>
      <c r="BZ226" s="66">
        <f t="shared" si="2084"/>
        <v>421.23200000000003</v>
      </c>
      <c r="CA226" s="66">
        <f t="shared" si="2084"/>
        <v>433.41300000000001</v>
      </c>
      <c r="CB226" s="66">
        <f t="shared" si="2084"/>
        <v>449.46600000000001</v>
      </c>
      <c r="CC226" s="66">
        <f t="shared" si="2084"/>
        <v>470.63799999999998</v>
      </c>
      <c r="CD226" s="66">
        <f t="shared" si="2084"/>
        <v>504.89</v>
      </c>
      <c r="CE226" s="66">
        <f t="shared" si="2084"/>
        <v>544.63900000000001</v>
      </c>
      <c r="CF226" s="66">
        <f t="shared" si="2084"/>
        <v>592.726</v>
      </c>
      <c r="CG226" s="66">
        <f t="shared" si="2084"/>
        <v>636.17500000000007</v>
      </c>
      <c r="CH226" s="66">
        <f t="shared" si="2084"/>
        <v>652.2170000000001</v>
      </c>
      <c r="CI226" s="66">
        <f t="shared" si="2084"/>
        <v>656.69399999999996</v>
      </c>
      <c r="CJ226" s="66">
        <f t="shared" si="2084"/>
        <v>654.09899999999993</v>
      </c>
      <c r="CK226" s="50">
        <f t="shared" si="2084"/>
        <v>660.17099999999994</v>
      </c>
      <c r="CL226" s="66">
        <f t="shared" si="2084"/>
        <v>683.90300000000002</v>
      </c>
      <c r="CM226" s="50">
        <f t="shared" si="2084"/>
        <v>699.78183287725915</v>
      </c>
      <c r="CN226" s="50">
        <f t="shared" si="2084"/>
        <v>714.58563074551193</v>
      </c>
      <c r="CO226" s="50">
        <f t="shared" si="2084"/>
        <v>727.08547405405</v>
      </c>
      <c r="CP226" s="50">
        <f t="shared" si="2084"/>
        <v>738.52406321117383</v>
      </c>
      <c r="CQ226" s="50">
        <f t="shared" si="2084"/>
        <v>752.21986732090568</v>
      </c>
      <c r="CR226" s="50">
        <f t="shared" si="2084"/>
        <v>765.92347931710901</v>
      </c>
      <c r="CS226" s="50">
        <f t="shared" si="2084"/>
        <v>779.68789666422754</v>
      </c>
      <c r="CT226" s="50">
        <f t="shared" si="2084"/>
        <v>793.77909571806674</v>
      </c>
      <c r="CU226" s="50">
        <f t="shared" si="2084"/>
        <v>807.56264016328953</v>
      </c>
      <c r="CV226" s="50">
        <f t="shared" si="2084"/>
        <v>821.99794637517618</v>
      </c>
      <c r="CW226" s="50">
        <f t="shared" si="2084"/>
        <v>837.02151387041931</v>
      </c>
      <c r="CX226" s="50">
        <f t="shared" ref="CX226:DB226" si="2085">SUM(CU28:CX28)</f>
        <v>852.36868941228113</v>
      </c>
      <c r="CY226" s="50">
        <f t="shared" si="2085"/>
        <v>866.96211913951902</v>
      </c>
      <c r="CZ226" s="50">
        <f t="shared" si="2085"/>
        <v>882.44969625373676</v>
      </c>
      <c r="DA226" s="50">
        <f t="shared" si="2085"/>
        <v>898.64332419235916</v>
      </c>
      <c r="DB226" s="50">
        <f t="shared" si="2085"/>
        <v>915.13459588358751</v>
      </c>
      <c r="DE226" s="138"/>
      <c r="DF226" s="66">
        <v>671.90601240078627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0</v>
      </c>
      <c r="AM227" s="66">
        <f t="shared" si="2086"/>
        <v>0</v>
      </c>
      <c r="AN227" s="66">
        <f t="shared" si="2086"/>
        <v>0</v>
      </c>
      <c r="AO227" s="66">
        <f t="shared" si="2086"/>
        <v>0</v>
      </c>
      <c r="AP227" s="66">
        <f t="shared" si="2086"/>
        <v>0</v>
      </c>
      <c r="AQ227" s="66">
        <f t="shared" si="2086"/>
        <v>0</v>
      </c>
      <c r="AR227" s="66">
        <f t="shared" si="2086"/>
        <v>0</v>
      </c>
      <c r="AS227" s="66">
        <f t="shared" si="2086"/>
        <v>0</v>
      </c>
      <c r="AT227" s="66">
        <f t="shared" si="2086"/>
        <v>0</v>
      </c>
      <c r="AU227" s="66">
        <f t="shared" si="2086"/>
        <v>0</v>
      </c>
      <c r="AV227" s="66">
        <f t="shared" si="2086"/>
        <v>0</v>
      </c>
      <c r="AW227" s="66">
        <f t="shared" si="2086"/>
        <v>0</v>
      </c>
      <c r="AX227" s="66">
        <f t="shared" si="2086"/>
        <v>0</v>
      </c>
      <c r="AY227" s="66">
        <f t="shared" si="2086"/>
        <v>0</v>
      </c>
      <c r="AZ227" s="66">
        <f t="shared" si="2086"/>
        <v>0</v>
      </c>
      <c r="BA227" s="66">
        <f t="shared" si="2086"/>
        <v>0</v>
      </c>
      <c r="BB227" s="66">
        <f t="shared" si="2086"/>
        <v>0</v>
      </c>
      <c r="BC227" s="66">
        <f t="shared" si="2086"/>
        <v>0</v>
      </c>
      <c r="BD227" s="66">
        <f t="shared" si="2086"/>
        <v>0</v>
      </c>
      <c r="BE227" s="66">
        <f t="shared" si="2086"/>
        <v>0</v>
      </c>
      <c r="BF227" s="66">
        <f t="shared" si="2086"/>
        <v>0</v>
      </c>
      <c r="BG227" s="66">
        <f t="shared" si="2086"/>
        <v>0</v>
      </c>
      <c r="BH227" s="66">
        <f t="shared" si="2086"/>
        <v>0</v>
      </c>
      <c r="BI227" s="66">
        <f t="shared" si="2086"/>
        <v>0</v>
      </c>
      <c r="BJ227" s="66">
        <f t="shared" si="2086"/>
        <v>0</v>
      </c>
      <c r="BK227" s="66">
        <f t="shared" si="2086"/>
        <v>0</v>
      </c>
      <c r="BL227" s="66">
        <f t="shared" si="2086"/>
        <v>42.605999999999995</v>
      </c>
      <c r="BM227" s="66">
        <f t="shared" si="2086"/>
        <v>88.838999999999999</v>
      </c>
      <c r="BN227" s="66">
        <f t="shared" si="2086"/>
        <v>131.90600000000001</v>
      </c>
      <c r="BO227" s="66">
        <f t="shared" si="2086"/>
        <v>171.70099999999999</v>
      </c>
      <c r="BP227" s="66">
        <f t="shared" si="2086"/>
        <v>178.04599999999999</v>
      </c>
      <c r="BQ227" s="66">
        <f t="shared" si="2086"/>
        <v>188.23099999999999</v>
      </c>
      <c r="BR227" s="66">
        <f t="shared" ref="BR227:CW227" si="2087">SUM(BO41:BR41)</f>
        <v>205.29000000000002</v>
      </c>
      <c r="BS227" s="66">
        <f t="shared" si="2087"/>
        <v>228.73699999999999</v>
      </c>
      <c r="BT227" s="66">
        <f t="shared" si="2087"/>
        <v>252.34500000000003</v>
      </c>
      <c r="BU227" s="66">
        <f t="shared" si="2087"/>
        <v>273.238</v>
      </c>
      <c r="BV227" s="66">
        <f t="shared" si="2087"/>
        <v>286.947</v>
      </c>
      <c r="BW227" s="66">
        <f t="shared" si="2087"/>
        <v>288.31099999999998</v>
      </c>
      <c r="BX227" s="66">
        <f t="shared" si="2087"/>
        <v>287.85199999999998</v>
      </c>
      <c r="BY227" s="66">
        <f t="shared" si="2087"/>
        <v>284.11099999999999</v>
      </c>
      <c r="BZ227" s="66">
        <f t="shared" si="2087"/>
        <v>284.63700000000006</v>
      </c>
      <c r="CA227" s="66">
        <f t="shared" si="2087"/>
        <v>295.70799999999997</v>
      </c>
      <c r="CB227" s="66">
        <f t="shared" si="2087"/>
        <v>307.38799999999998</v>
      </c>
      <c r="CC227" s="66">
        <f t="shared" si="2087"/>
        <v>322.35399999999998</v>
      </c>
      <c r="CD227" s="66">
        <f t="shared" si="2087"/>
        <v>350.97699999999998</v>
      </c>
      <c r="CE227" s="66">
        <f t="shared" si="2087"/>
        <v>382.25200000000001</v>
      </c>
      <c r="CF227" s="66">
        <f t="shared" si="2087"/>
        <v>419.30300000000005</v>
      </c>
      <c r="CG227" s="66">
        <f t="shared" si="2087"/>
        <v>454.87300000000005</v>
      </c>
      <c r="CH227" s="66">
        <f t="shared" si="2087"/>
        <v>464.69299999999998</v>
      </c>
      <c r="CI227" s="66">
        <f t="shared" si="2087"/>
        <v>466.03899999999999</v>
      </c>
      <c r="CJ227" s="66">
        <f t="shared" si="2087"/>
        <v>459.18599999999992</v>
      </c>
      <c r="CK227" s="50">
        <f t="shared" si="2087"/>
        <v>459.7299999999999</v>
      </c>
      <c r="CL227" s="66">
        <f t="shared" si="2087"/>
        <v>472.77799999999991</v>
      </c>
      <c r="CM227" s="50">
        <f t="shared" si="2087"/>
        <v>470.52807672614887</v>
      </c>
      <c r="CN227" s="50">
        <f t="shared" si="2087"/>
        <v>477.4572790098706</v>
      </c>
      <c r="CO227" s="50">
        <f t="shared" si="2087"/>
        <v>485.86628408870348</v>
      </c>
      <c r="CP227" s="50">
        <f t="shared" si="2087"/>
        <v>499.88369072045424</v>
      </c>
      <c r="CQ227" s="50">
        <f t="shared" si="2087"/>
        <v>529.64301280610152</v>
      </c>
      <c r="CR227" s="50">
        <f t="shared" si="2087"/>
        <v>557.50199694135335</v>
      </c>
      <c r="CS227" s="50">
        <f t="shared" si="2087"/>
        <v>583.49325288705745</v>
      </c>
      <c r="CT227" s="50">
        <f t="shared" si="2087"/>
        <v>608.4545392966495</v>
      </c>
      <c r="CU227" s="50">
        <f t="shared" si="2087"/>
        <v>632.16795332487845</v>
      </c>
      <c r="CV227" s="50">
        <f t="shared" si="2087"/>
        <v>655.38713862917905</v>
      </c>
      <c r="CW227" s="50">
        <f t="shared" si="2087"/>
        <v>678.21753298872909</v>
      </c>
      <c r="CX227" s="50">
        <f t="shared" ref="CX227:DB227" si="2088">SUM(CU41:CX41)</f>
        <v>700.68363179609537</v>
      </c>
      <c r="CY227" s="50">
        <f t="shared" si="2088"/>
        <v>722.07795999259497</v>
      </c>
      <c r="CZ227" s="50">
        <f t="shared" si="2088"/>
        <v>743.70729276116992</v>
      </c>
      <c r="DA227" s="50">
        <f t="shared" si="2088"/>
        <v>765.5296269346627</v>
      </c>
      <c r="DB227" s="50">
        <f t="shared" si="2088"/>
        <v>787.32959013322966</v>
      </c>
      <c r="DE227" s="138"/>
      <c r="DF227" s="66">
        <v>468.87010860043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0</v>
      </c>
      <c r="F231" s="64">
        <f t="shared" si="2089"/>
        <v>91.985366600000006</v>
      </c>
      <c r="G231" s="64">
        <f t="shared" si="2089"/>
        <v>158.56693999999999</v>
      </c>
      <c r="H231" s="64">
        <f t="shared" si="2089"/>
        <v>218.19200000000001</v>
      </c>
      <c r="I231" s="64">
        <f t="shared" si="2089"/>
        <v>284.45330000000001</v>
      </c>
      <c r="J231" s="64">
        <f t="shared" si="2089"/>
        <v>246.6319</v>
      </c>
      <c r="K231" s="64">
        <f t="shared" si="2089"/>
        <v>311.17829999999998</v>
      </c>
      <c r="L231" s="64">
        <f t="shared" si="2089"/>
        <v>317.60000000000002</v>
      </c>
      <c r="M231" s="64">
        <f t="shared" si="2089"/>
        <v>272.76</v>
      </c>
      <c r="N231" s="64">
        <f t="shared" si="2089"/>
        <v>295.3</v>
      </c>
      <c r="O231" s="64">
        <f t="shared" si="2089"/>
        <v>322.41179069999998</v>
      </c>
      <c r="P231" s="64">
        <f t="shared" si="2089"/>
        <v>383.649</v>
      </c>
      <c r="Q231" s="64">
        <f t="shared" si="2089"/>
        <v>397.9248</v>
      </c>
      <c r="R231" s="64">
        <f t="shared" si="2089"/>
        <v>478.30849999999998</v>
      </c>
      <c r="S231" s="64">
        <f t="shared" si="2089"/>
        <v>641.53589999999997</v>
      </c>
      <c r="T231" s="64">
        <f t="shared" si="2089"/>
        <v>693.64390000000003</v>
      </c>
      <c r="U231" s="64">
        <f t="shared" si="2089"/>
        <v>699.62990000000002</v>
      </c>
      <c r="V231" s="64">
        <f t="shared" si="2089"/>
        <v>705.49580000000003</v>
      </c>
      <c r="W231" s="64">
        <f t="shared" si="2089"/>
        <v>909.66750000000002</v>
      </c>
      <c r="X231" s="64">
        <f t="shared" si="2089"/>
        <v>971.82719999999995</v>
      </c>
      <c r="Y231" s="64">
        <f t="shared" si="2089"/>
        <v>1136.5181</v>
      </c>
      <c r="Z231" s="64">
        <f t="shared" si="2089"/>
        <v>1422.4833000000001</v>
      </c>
      <c r="AA231" s="64">
        <f t="shared" ref="AA231" si="2090">AA8-AA237</f>
        <v>1516.249</v>
      </c>
      <c r="AB231" s="30"/>
      <c r="AC231" s="30"/>
      <c r="AD231" s="30"/>
      <c r="AE231" s="30"/>
      <c r="AI231" s="64">
        <f t="shared" ref="AI231:BN231" si="2091">AI8-AI237</f>
        <v>0</v>
      </c>
      <c r="AJ231" s="64">
        <f t="shared" si="2091"/>
        <v>0</v>
      </c>
      <c r="AK231" s="64">
        <f t="shared" si="2091"/>
        <v>0</v>
      </c>
      <c r="AL231" s="64">
        <f t="shared" si="2091"/>
        <v>0</v>
      </c>
      <c r="AM231" s="64">
        <f t="shared" si="2091"/>
        <v>0</v>
      </c>
      <c r="AN231" s="64">
        <f t="shared" si="2091"/>
        <v>0</v>
      </c>
      <c r="AO231" s="64">
        <f t="shared" si="2091"/>
        <v>0</v>
      </c>
      <c r="AP231" s="64">
        <f t="shared" si="2091"/>
        <v>0</v>
      </c>
      <c r="AQ231" s="64">
        <f t="shared" si="2091"/>
        <v>0</v>
      </c>
      <c r="AR231" s="64">
        <f t="shared" si="2091"/>
        <v>0</v>
      </c>
      <c r="AS231" s="64">
        <f t="shared" si="2091"/>
        <v>0</v>
      </c>
      <c r="AT231" s="64">
        <f t="shared" si="2091"/>
        <v>0</v>
      </c>
      <c r="AU231" s="64">
        <f t="shared" si="2091"/>
        <v>0</v>
      </c>
      <c r="AV231" s="64">
        <f t="shared" si="2091"/>
        <v>0</v>
      </c>
      <c r="AW231" s="64">
        <f t="shared" si="2091"/>
        <v>0</v>
      </c>
      <c r="AX231" s="64">
        <f t="shared" si="2091"/>
        <v>0</v>
      </c>
      <c r="AY231" s="64">
        <f t="shared" si="2091"/>
        <v>0</v>
      </c>
      <c r="AZ231" s="64">
        <f t="shared" si="2091"/>
        <v>0</v>
      </c>
      <c r="BA231" s="64">
        <f t="shared" si="2091"/>
        <v>0</v>
      </c>
      <c r="BB231" s="64">
        <f t="shared" si="2091"/>
        <v>0</v>
      </c>
      <c r="BC231" s="64">
        <f t="shared" si="2091"/>
        <v>0</v>
      </c>
      <c r="BD231" s="64">
        <f t="shared" si="2091"/>
        <v>0</v>
      </c>
      <c r="BE231" s="64">
        <f t="shared" si="2091"/>
        <v>0</v>
      </c>
      <c r="BF231" s="64">
        <f t="shared" si="2091"/>
        <v>0</v>
      </c>
      <c r="BG231" s="64">
        <f t="shared" si="2091"/>
        <v>0</v>
      </c>
      <c r="BH231" s="64">
        <f t="shared" si="2091"/>
        <v>0</v>
      </c>
      <c r="BI231" s="64">
        <f t="shared" si="2091"/>
        <v>0</v>
      </c>
      <c r="BJ231" s="64">
        <f t="shared" si="2091"/>
        <v>0</v>
      </c>
      <c r="BK231" s="64">
        <f t="shared" si="2091"/>
        <v>0</v>
      </c>
      <c r="BL231" s="64">
        <f t="shared" si="2091"/>
        <v>173.827</v>
      </c>
      <c r="BM231" s="64">
        <f t="shared" si="2091"/>
        <v>176.03200000000001</v>
      </c>
      <c r="BN231" s="64">
        <f t="shared" si="2091"/>
        <v>174.76499999999999</v>
      </c>
      <c r="BO231" s="64">
        <f t="shared" ref="BO231:CT231" si="2092">BO8-BO237</f>
        <v>148.625</v>
      </c>
      <c r="BP231" s="64">
        <f t="shared" si="2092"/>
        <v>171.14400000000001</v>
      </c>
      <c r="BQ231" s="64">
        <f t="shared" si="2092"/>
        <v>185.953</v>
      </c>
      <c r="BR231" s="64">
        <f t="shared" si="2092"/>
        <v>199.773</v>
      </c>
      <c r="BS231" s="64">
        <f t="shared" si="2092"/>
        <v>201.17599999999999</v>
      </c>
      <c r="BT231" s="64">
        <f t="shared" si="2092"/>
        <v>227.596</v>
      </c>
      <c r="BU231" s="64">
        <f t="shared" si="2092"/>
        <v>237.71199999999999</v>
      </c>
      <c r="BV231" s="64">
        <f t="shared" si="2092"/>
        <v>243.184</v>
      </c>
      <c r="BW231" s="64">
        <f t="shared" si="2092"/>
        <v>236.64599999999999</v>
      </c>
      <c r="BX231" s="64">
        <f t="shared" si="2092"/>
        <v>242.37</v>
      </c>
      <c r="BY231" s="64">
        <f t="shared" si="2092"/>
        <v>243.572</v>
      </c>
      <c r="BZ231" s="64">
        <f t="shared" si="2092"/>
        <v>249.239</v>
      </c>
      <c r="CA231" s="64">
        <f t="shared" si="2092"/>
        <v>261.29899999999998</v>
      </c>
      <c r="CB231" s="64">
        <f t="shared" si="2092"/>
        <v>275.08300000000003</v>
      </c>
      <c r="CC231" s="64">
        <f t="shared" si="2092"/>
        <v>289.678</v>
      </c>
      <c r="CD231" s="64">
        <f t="shared" si="2092"/>
        <v>310.459</v>
      </c>
      <c r="CE231" s="64">
        <f t="shared" si="2092"/>
        <v>331.40199999999999</v>
      </c>
      <c r="CF231" s="64">
        <f t="shared" si="2092"/>
        <v>365.17200000000003</v>
      </c>
      <c r="CG231" s="64">
        <f t="shared" si="2092"/>
        <v>369.74299999999999</v>
      </c>
      <c r="CH231" s="64">
        <f t="shared" si="2092"/>
        <v>356.166</v>
      </c>
      <c r="CI231" s="64">
        <f t="shared" si="2092"/>
        <v>354.15199999999999</v>
      </c>
      <c r="CJ231" s="64">
        <f t="shared" si="2092"/>
        <v>376.738</v>
      </c>
      <c r="CK231" s="30">
        <f t="shared" si="2092"/>
        <v>390.13900000000001</v>
      </c>
      <c r="CL231" s="64">
        <f t="shared" ref="CL231" si="2093">CL8-CL237</f>
        <v>395.22</v>
      </c>
      <c r="CM231" s="30">
        <f t="shared" si="2092"/>
        <v>377.62645611684781</v>
      </c>
      <c r="CN231" s="30">
        <f t="shared" si="2092"/>
        <v>401.48686727337605</v>
      </c>
      <c r="CO231" s="30">
        <f t="shared" si="2092"/>
        <v>419.08632249608786</v>
      </c>
      <c r="CP231" s="30">
        <f t="shared" si="2092"/>
        <v>426.42505508742937</v>
      </c>
      <c r="CQ231" s="30">
        <f t="shared" si="2092"/>
        <v>404.54458580852656</v>
      </c>
      <c r="CR231" s="30">
        <f t="shared" si="2092"/>
        <v>430.6075694272912</v>
      </c>
      <c r="CS231" s="30">
        <f t="shared" si="2092"/>
        <v>450.20014911622553</v>
      </c>
      <c r="CT231" s="30">
        <f t="shared" si="2092"/>
        <v>458.08847763265373</v>
      </c>
      <c r="CU231" s="30">
        <f t="shared" ref="CU231:DB231" si="2094">CU8-CU237</f>
        <v>434.10767341113922</v>
      </c>
      <c r="CV231" s="30">
        <f t="shared" si="2094"/>
        <v>462.26851149029562</v>
      </c>
      <c r="CW231" s="30">
        <f t="shared" si="2094"/>
        <v>483.41354162862024</v>
      </c>
      <c r="CX231" s="30">
        <f t="shared" si="2094"/>
        <v>491.83031074619981</v>
      </c>
      <c r="CY231" s="30">
        <f t="shared" si="2094"/>
        <v>466.01852497110565</v>
      </c>
      <c r="CZ231" s="30">
        <f t="shared" si="2094"/>
        <v>496.29932097456634</v>
      </c>
      <c r="DA231" s="30">
        <f t="shared" si="2094"/>
        <v>519.01195367922639</v>
      </c>
      <c r="DB231" s="30">
        <f t="shared" si="2094"/>
        <v>528.03192433246988</v>
      </c>
      <c r="DE231" s="139"/>
      <c r="DF231" s="64">
        <v>383.11949247097573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0</v>
      </c>
      <c r="C232" s="64">
        <f t="shared" si="2095"/>
        <v>0</v>
      </c>
      <c r="D232" s="64">
        <f t="shared" si="2095"/>
        <v>0</v>
      </c>
      <c r="E232" s="64">
        <f t="shared" si="2095"/>
        <v>0</v>
      </c>
      <c r="F232" s="64">
        <f t="shared" si="2095"/>
        <v>38.140095199999998</v>
      </c>
      <c r="G232" s="64">
        <f t="shared" si="2095"/>
        <v>54.128704499999984</v>
      </c>
      <c r="H232" s="64">
        <f t="shared" si="2095"/>
        <v>89.227200000000011</v>
      </c>
      <c r="I232" s="64">
        <f t="shared" si="2095"/>
        <v>118.66430000000003</v>
      </c>
      <c r="J232" s="64">
        <f t="shared" si="2095"/>
        <v>74.360199999999992</v>
      </c>
      <c r="K232" s="64">
        <f t="shared" si="2095"/>
        <v>116.42059999999998</v>
      </c>
      <c r="L232" s="64">
        <f t="shared" si="2095"/>
        <v>85.137000000000029</v>
      </c>
      <c r="M232" s="64">
        <f t="shared" si="2095"/>
        <v>72.169999999999987</v>
      </c>
      <c r="N232" s="64">
        <f t="shared" si="2095"/>
        <v>90.97</v>
      </c>
      <c r="O232" s="64">
        <f t="shared" si="2095"/>
        <v>89.03459799999996</v>
      </c>
      <c r="P232" s="64">
        <f t="shared" si="2095"/>
        <v>136.00670000000002</v>
      </c>
      <c r="Q232" s="64">
        <f t="shared" si="2095"/>
        <v>152.77140000000003</v>
      </c>
      <c r="R232" s="64">
        <f t="shared" si="2095"/>
        <v>186.09179999999998</v>
      </c>
      <c r="S232" s="64">
        <f t="shared" si="2095"/>
        <v>232.61180000000002</v>
      </c>
      <c r="T232" s="64">
        <f t="shared" si="2095"/>
        <v>217.90949999999998</v>
      </c>
      <c r="U232" s="64">
        <f t="shared" si="2095"/>
        <v>286.39240000000007</v>
      </c>
      <c r="V232" s="64">
        <f t="shared" si="2095"/>
        <v>274.89670000000001</v>
      </c>
      <c r="W232" s="64">
        <f t="shared" si="2095"/>
        <v>416.46409999999997</v>
      </c>
      <c r="X232" s="64">
        <f t="shared" si="2095"/>
        <v>421.23179999999991</v>
      </c>
      <c r="Y232" s="64">
        <f t="shared" si="2095"/>
        <v>504.88830000000007</v>
      </c>
      <c r="Z232" s="64">
        <f t="shared" si="2095"/>
        <v>652.2193000000002</v>
      </c>
      <c r="AA232" s="64">
        <f t="shared" ref="AA232" si="2096">AA28-AA238</f>
        <v>683.89960000000008</v>
      </c>
      <c r="AB232" s="30"/>
      <c r="AC232" s="30"/>
      <c r="AD232" s="30"/>
      <c r="AE232" s="30"/>
      <c r="AI232" s="64">
        <f t="shared" ref="AI232:BN232" si="2097">AI28-AI238</f>
        <v>0</v>
      </c>
      <c r="AJ232" s="64">
        <f t="shared" si="2097"/>
        <v>0</v>
      </c>
      <c r="AK232" s="64">
        <f t="shared" si="2097"/>
        <v>0</v>
      </c>
      <c r="AL232" s="64">
        <f t="shared" si="2097"/>
        <v>0</v>
      </c>
      <c r="AM232" s="64">
        <f t="shared" si="2097"/>
        <v>0</v>
      </c>
      <c r="AN232" s="64">
        <f t="shared" si="2097"/>
        <v>0</v>
      </c>
      <c r="AO232" s="64">
        <f t="shared" si="2097"/>
        <v>0</v>
      </c>
      <c r="AP232" s="64">
        <f t="shared" si="2097"/>
        <v>0</v>
      </c>
      <c r="AQ232" s="64">
        <f t="shared" si="2097"/>
        <v>0</v>
      </c>
      <c r="AR232" s="64">
        <f t="shared" si="2097"/>
        <v>0</v>
      </c>
      <c r="AS232" s="64">
        <f t="shared" si="2097"/>
        <v>0</v>
      </c>
      <c r="AT232" s="64">
        <f t="shared" si="2097"/>
        <v>0</v>
      </c>
      <c r="AU232" s="64">
        <f t="shared" si="2097"/>
        <v>0</v>
      </c>
      <c r="AV232" s="64">
        <f t="shared" si="2097"/>
        <v>0</v>
      </c>
      <c r="AW232" s="64">
        <f t="shared" si="2097"/>
        <v>0</v>
      </c>
      <c r="AX232" s="64">
        <f t="shared" si="2097"/>
        <v>0</v>
      </c>
      <c r="AY232" s="64">
        <f t="shared" si="2097"/>
        <v>0</v>
      </c>
      <c r="AZ232" s="64">
        <f t="shared" si="2097"/>
        <v>0</v>
      </c>
      <c r="BA232" s="64">
        <f t="shared" si="2097"/>
        <v>0</v>
      </c>
      <c r="BB232" s="64">
        <f t="shared" si="2097"/>
        <v>0</v>
      </c>
      <c r="BC232" s="64">
        <f t="shared" si="2097"/>
        <v>0</v>
      </c>
      <c r="BD232" s="64">
        <f t="shared" si="2097"/>
        <v>0</v>
      </c>
      <c r="BE232" s="64">
        <f t="shared" si="2097"/>
        <v>0</v>
      </c>
      <c r="BF232" s="64">
        <f t="shared" si="2097"/>
        <v>0</v>
      </c>
      <c r="BG232" s="64">
        <f t="shared" si="2097"/>
        <v>0</v>
      </c>
      <c r="BH232" s="64">
        <f t="shared" si="2097"/>
        <v>0</v>
      </c>
      <c r="BI232" s="64">
        <f t="shared" si="2097"/>
        <v>0</v>
      </c>
      <c r="BJ232" s="64">
        <f t="shared" si="2097"/>
        <v>0</v>
      </c>
      <c r="BK232" s="64">
        <f t="shared" si="2097"/>
        <v>0</v>
      </c>
      <c r="BL232" s="64">
        <f t="shared" si="2097"/>
        <v>69.503999999999991</v>
      </c>
      <c r="BM232" s="64">
        <f t="shared" si="2097"/>
        <v>69.710000000000008</v>
      </c>
      <c r="BN232" s="64">
        <f t="shared" si="2097"/>
        <v>79.412999999999982</v>
      </c>
      <c r="BO232" s="64">
        <f t="shared" ref="BO232:CT232" si="2098">BO28-BO238</f>
        <v>51.367999999999995</v>
      </c>
      <c r="BP232" s="64">
        <f t="shared" si="2098"/>
        <v>73.78</v>
      </c>
      <c r="BQ232" s="64">
        <f t="shared" si="2098"/>
        <v>81.818000000000012</v>
      </c>
      <c r="BR232" s="64">
        <f t="shared" si="2098"/>
        <v>89.045999999999992</v>
      </c>
      <c r="BS232" s="64">
        <f t="shared" si="2098"/>
        <v>92.892999999999986</v>
      </c>
      <c r="BT232" s="64">
        <f t="shared" si="2098"/>
        <v>105.74700000000001</v>
      </c>
      <c r="BU232" s="64">
        <f t="shared" si="2098"/>
        <v>113.32399999999998</v>
      </c>
      <c r="BV232" s="64">
        <f t="shared" si="2098"/>
        <v>112.166</v>
      </c>
      <c r="BW232" s="64">
        <f t="shared" si="2098"/>
        <v>97.87299999999999</v>
      </c>
      <c r="BX232" s="64">
        <f t="shared" si="2098"/>
        <v>106.06400000000002</v>
      </c>
      <c r="BY232" s="64">
        <f t="shared" si="2098"/>
        <v>108.20600000000002</v>
      </c>
      <c r="BZ232" s="64">
        <f t="shared" si="2098"/>
        <v>109.089</v>
      </c>
      <c r="CA232" s="64">
        <f t="shared" si="2098"/>
        <v>110.05399999999997</v>
      </c>
      <c r="CB232" s="64">
        <f t="shared" si="2098"/>
        <v>122.11700000000002</v>
      </c>
      <c r="CC232" s="64">
        <f t="shared" si="2098"/>
        <v>129.37799999999999</v>
      </c>
      <c r="CD232" s="64">
        <f t="shared" si="2098"/>
        <v>143.34100000000001</v>
      </c>
      <c r="CE232" s="64">
        <f t="shared" si="2098"/>
        <v>149.803</v>
      </c>
      <c r="CF232" s="64">
        <f t="shared" si="2098"/>
        <v>170.20400000000004</v>
      </c>
      <c r="CG232" s="64">
        <f t="shared" si="2098"/>
        <v>172.827</v>
      </c>
      <c r="CH232" s="64">
        <f t="shared" si="2098"/>
        <v>159.38299999999998</v>
      </c>
      <c r="CI232" s="64">
        <f t="shared" si="2098"/>
        <v>154.27999999999997</v>
      </c>
      <c r="CJ232" s="64">
        <f t="shared" si="2098"/>
        <v>167.60899999999998</v>
      </c>
      <c r="CK232" s="30">
        <f t="shared" si="2098"/>
        <v>178.899</v>
      </c>
      <c r="CL232" s="64">
        <f t="shared" ref="CL232" si="2099">CL28-CL238</f>
        <v>183.11500000000001</v>
      </c>
      <c r="CM232" s="30">
        <f t="shared" si="2098"/>
        <v>170.15883287725916</v>
      </c>
      <c r="CN232" s="30">
        <f t="shared" si="2098"/>
        <v>182.41279786825271</v>
      </c>
      <c r="CO232" s="30">
        <f t="shared" si="2098"/>
        <v>191.39884330853815</v>
      </c>
      <c r="CP232" s="30">
        <f t="shared" si="2098"/>
        <v>194.55358915712387</v>
      </c>
      <c r="CQ232" s="30">
        <f t="shared" si="2098"/>
        <v>183.85463698699095</v>
      </c>
      <c r="CR232" s="30">
        <f t="shared" si="2098"/>
        <v>196.11640986445605</v>
      </c>
      <c r="CS232" s="30">
        <f t="shared" si="2098"/>
        <v>205.16326065565664</v>
      </c>
      <c r="CT232" s="30">
        <f t="shared" si="2098"/>
        <v>208.64478821096318</v>
      </c>
      <c r="CU232" s="30">
        <f t="shared" ref="CU232:DB232" si="2100">CU28-CU238</f>
        <v>197.6381814322136</v>
      </c>
      <c r="CV232" s="30">
        <f t="shared" si="2100"/>
        <v>210.5517160763427</v>
      </c>
      <c r="CW232" s="30">
        <f t="shared" si="2100"/>
        <v>220.18682815089977</v>
      </c>
      <c r="CX232" s="30">
        <f t="shared" si="2100"/>
        <v>223.99196375282509</v>
      </c>
      <c r="CY232" s="30">
        <f t="shared" si="2100"/>
        <v>212.2316111594514</v>
      </c>
      <c r="CZ232" s="30">
        <f t="shared" si="2100"/>
        <v>226.03929319056044</v>
      </c>
      <c r="DA232" s="30">
        <f t="shared" si="2100"/>
        <v>236.38045608952223</v>
      </c>
      <c r="DB232" s="30">
        <f t="shared" si="2100"/>
        <v>240.48323544405343</v>
      </c>
      <c r="DE232" s="139"/>
      <c r="DF232" s="64">
        <v>171.11801240078634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 t="e">
        <f t="shared" ref="E233" si="2103">+E232/E231</f>
        <v>#DIV/0!</v>
      </c>
      <c r="F233" s="86">
        <f t="shared" ref="F233" si="2104">+F232/F231</f>
        <v>0.41463220303130255</v>
      </c>
      <c r="G233" s="86">
        <f t="shared" ref="G233" si="2105">+G232/G231</f>
        <v>0.34136185323371937</v>
      </c>
      <c r="H233" s="86">
        <f t="shared" ref="H233" si="2106">+H232/H231</f>
        <v>0.40893891618391143</v>
      </c>
      <c r="I233" s="86">
        <f t="shared" ref="I233" si="2107">+I232/I231</f>
        <v>0.41716619213065914</v>
      </c>
      <c r="J233" s="86">
        <f t="shared" ref="J233" si="2108">+J232/J231</f>
        <v>0.30150276586281011</v>
      </c>
      <c r="K233" s="86">
        <f t="shared" ref="K233" si="2109">+K232/K231</f>
        <v>0.37412827308330943</v>
      </c>
      <c r="L233" s="86">
        <f t="shared" ref="L233" si="2110">+L232/L231</f>
        <v>0.26806360201511342</v>
      </c>
      <c r="M233" s="86">
        <f t="shared" ref="M233" si="2111">+M232/M231</f>
        <v>0.26459158234345209</v>
      </c>
      <c r="N233" s="86">
        <f t="shared" ref="N233" si="2112">+N232/N231</f>
        <v>0.30805960040636637</v>
      </c>
      <c r="O233" s="86">
        <f t="shared" ref="O233" si="2113">+O232/O231</f>
        <v>0.27615180513930243</v>
      </c>
      <c r="P233" s="86">
        <f t="shared" ref="P233" si="2114">+P232/P231</f>
        <v>0.35450815719577017</v>
      </c>
      <c r="Q233" s="86">
        <f t="shared" ref="Q233" si="2115">+Q232/Q231</f>
        <v>0.38392027840436188</v>
      </c>
      <c r="R233" s="86">
        <f t="shared" ref="R233" si="2116">+R232/R231</f>
        <v>0.38906228929655229</v>
      </c>
      <c r="S233" s="86">
        <f t="shared" ref="S233" si="2117">+S232/S231</f>
        <v>0.36258578826220017</v>
      </c>
      <c r="T233" s="86">
        <f t="shared" ref="T233" si="2118">+T232/T231</f>
        <v>0.31415182920227508</v>
      </c>
      <c r="U233" s="86">
        <f t="shared" ref="U233" si="2119">+U232/U231</f>
        <v>0.40934842836190971</v>
      </c>
      <c r="V233" s="86">
        <f t="shared" ref="V233" si="2120">+V232/V231</f>
        <v>0.38965037070383696</v>
      </c>
      <c r="W233" s="86">
        <f t="shared" ref="W233" si="2121">+W232/W231</f>
        <v>0.45782013757774126</v>
      </c>
      <c r="X233" s="86">
        <f t="shared" ref="X233:Y233" si="2122">+X232/X231</f>
        <v>0.43344310593488217</v>
      </c>
      <c r="Y233" s="86">
        <f t="shared" si="2122"/>
        <v>0.44424131916596848</v>
      </c>
      <c r="Z233" s="86">
        <f t="shared" ref="Z233:AA233" si="2123">+Z232/Z231</f>
        <v>0.45850752694249569</v>
      </c>
      <c r="AA233" s="86">
        <f t="shared" si="2123"/>
        <v>0.45104702459820256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24">+AI232/AI231</f>
        <v>#DIV/0!</v>
      </c>
      <c r="AJ233" s="86" t="e">
        <f t="shared" ref="AJ233" si="2125">+AJ232/AJ231</f>
        <v>#DIV/0!</v>
      </c>
      <c r="AK233" s="86" t="e">
        <f t="shared" ref="AK233" si="2126">+AK232/AK231</f>
        <v>#DIV/0!</v>
      </c>
      <c r="AL233" s="86" t="e">
        <f t="shared" ref="AL233" si="2127">+AL232/AL231</f>
        <v>#DIV/0!</v>
      </c>
      <c r="AM233" s="86" t="e">
        <f t="shared" ref="AM233" si="2128">+AM232/AM231</f>
        <v>#DIV/0!</v>
      </c>
      <c r="AN233" s="86" t="e">
        <f t="shared" ref="AN233" si="2129">+AN232/AN231</f>
        <v>#DIV/0!</v>
      </c>
      <c r="AO233" s="86" t="e">
        <f t="shared" ref="AO233" si="2130">+AO232/AO231</f>
        <v>#DIV/0!</v>
      </c>
      <c r="AP233" s="86" t="e">
        <f t="shared" ref="AP233" si="2131">+AP232/AP231</f>
        <v>#DIV/0!</v>
      </c>
      <c r="AQ233" s="86" t="e">
        <f t="shared" ref="AQ233" si="2132">+AQ232/AQ231</f>
        <v>#DIV/0!</v>
      </c>
      <c r="AR233" s="86" t="e">
        <f t="shared" ref="AR233" si="2133">+AR232/AR231</f>
        <v>#DIV/0!</v>
      </c>
      <c r="AS233" s="86" t="e">
        <f t="shared" ref="AS233" si="2134">+AS232/AS231</f>
        <v>#DIV/0!</v>
      </c>
      <c r="AT233" s="86" t="e">
        <f t="shared" ref="AT233" si="2135">+AT232/AT231</f>
        <v>#DIV/0!</v>
      </c>
      <c r="AU233" s="86" t="e">
        <f t="shared" ref="AU233" si="2136">+AU232/AU231</f>
        <v>#DIV/0!</v>
      </c>
      <c r="AV233" s="86" t="e">
        <f t="shared" ref="AV233" si="2137">+AV232/AV231</f>
        <v>#DIV/0!</v>
      </c>
      <c r="AW233" s="86" t="e">
        <f t="shared" ref="AW233" si="2138">+AW232/AW231</f>
        <v>#DIV/0!</v>
      </c>
      <c r="AX233" s="86" t="e">
        <f t="shared" ref="AX233" si="2139">+AX232/AX231</f>
        <v>#DIV/0!</v>
      </c>
      <c r="AY233" s="86" t="e">
        <f t="shared" ref="AY233" si="2140">+AY232/AY231</f>
        <v>#DIV/0!</v>
      </c>
      <c r="AZ233" s="86" t="e">
        <f t="shared" ref="AZ233" si="2141">+AZ232/AZ231</f>
        <v>#DIV/0!</v>
      </c>
      <c r="BA233" s="86" t="e">
        <f t="shared" ref="BA233" si="2142">+BA232/BA231</f>
        <v>#DIV/0!</v>
      </c>
      <c r="BB233" s="86" t="e">
        <f t="shared" ref="BB233" si="2143">+BB232/BB231</f>
        <v>#DIV/0!</v>
      </c>
      <c r="BC233" s="86" t="e">
        <f t="shared" ref="BC233" si="2144">+BC232/BC231</f>
        <v>#DIV/0!</v>
      </c>
      <c r="BD233" s="86" t="e">
        <f t="shared" ref="BD233" si="2145">+BD232/BD231</f>
        <v>#DIV/0!</v>
      </c>
      <c r="BE233" s="86" t="e">
        <f t="shared" ref="BE233" si="2146">+BE232/BE231</f>
        <v>#DIV/0!</v>
      </c>
      <c r="BF233" s="86" t="e">
        <f t="shared" ref="BF233" si="2147">+BF232/BF231</f>
        <v>#DIV/0!</v>
      </c>
      <c r="BG233" s="86" t="e">
        <f t="shared" ref="BG233" si="2148">+BG232/BG231</f>
        <v>#DIV/0!</v>
      </c>
      <c r="BH233" s="86" t="e">
        <f t="shared" ref="BH233" si="2149">+BH232/BH231</f>
        <v>#DIV/0!</v>
      </c>
      <c r="BI233" s="86" t="e">
        <f t="shared" ref="BI233" si="2150">+BI232/BI231</f>
        <v>#DIV/0!</v>
      </c>
      <c r="BJ233" s="86" t="e">
        <f t="shared" ref="BJ233" si="2151">+BJ232/BJ231</f>
        <v>#DIV/0!</v>
      </c>
      <c r="BK233" s="86" t="e">
        <f t="shared" ref="BK233" si="2152">+BK232/BK231</f>
        <v>#DIV/0!</v>
      </c>
      <c r="BL233" s="86">
        <f t="shared" ref="BL233" si="2153">+BL232/BL231</f>
        <v>0.39984582372128608</v>
      </c>
      <c r="BM233" s="86">
        <f t="shared" ref="BM233" si="2154">+BM232/BM231</f>
        <v>0.39600754408289401</v>
      </c>
      <c r="BN233" s="86">
        <f t="shared" ref="BN233" si="2155">+BN232/BN231</f>
        <v>0.45439876405458751</v>
      </c>
      <c r="BO233" s="86">
        <f t="shared" ref="BO233" si="2156">+BO232/BO231</f>
        <v>0.34562153069806556</v>
      </c>
      <c r="BP233" s="86">
        <f t="shared" ref="BP233" si="2157">+BP232/BP231</f>
        <v>0.43109895760295425</v>
      </c>
      <c r="BQ233" s="86">
        <f t="shared" ref="BQ233" si="2158">+BQ232/BQ231</f>
        <v>0.43999290143208236</v>
      </c>
      <c r="BR233" s="86">
        <f t="shared" ref="BR233" si="2159">+BR232/BR231</f>
        <v>0.44573591025814296</v>
      </c>
      <c r="BS233" s="86">
        <f t="shared" ref="BS233" si="2160">+BS232/BS231</f>
        <v>0.46174991052610648</v>
      </c>
      <c r="BT233" s="86">
        <f t="shared" ref="BT233" si="2161">+BT232/BT231</f>
        <v>0.46462591609694376</v>
      </c>
      <c r="BU233" s="86">
        <f t="shared" ref="BU233" si="2162">+BU232/BU231</f>
        <v>0.47672814161674626</v>
      </c>
      <c r="BV233" s="86">
        <f t="shared" ref="BV233" si="2163">+BV232/BV231</f>
        <v>0.46123922626488584</v>
      </c>
      <c r="BW233" s="86">
        <f t="shared" ref="BW233" si="2164">+BW232/BW231</f>
        <v>0.41358400311013072</v>
      </c>
      <c r="BX233" s="86">
        <f t="shared" ref="BX233" si="2165">+BX232/BX231</f>
        <v>0.43761191566613039</v>
      </c>
      <c r="BY233" s="86">
        <f t="shared" ref="BY233" si="2166">+BY232/BY231</f>
        <v>0.44424646511093235</v>
      </c>
      <c r="BZ233" s="86">
        <f t="shared" ref="BZ233" si="2167">+BZ232/BZ231</f>
        <v>0.43768832325599122</v>
      </c>
      <c r="CA233" s="86">
        <f t="shared" ref="CA233" si="2168">+CA232/CA231</f>
        <v>0.42118033364077162</v>
      </c>
      <c r="CB233" s="86">
        <f t="shared" ref="CB233:CC233" si="2169">+CB232/CB231</f>
        <v>0.44392783269049707</v>
      </c>
      <c r="CC233" s="86">
        <f t="shared" si="2169"/>
        <v>0.44662694440033412</v>
      </c>
      <c r="CD233" s="86">
        <f t="shared" ref="CD233" si="2170">+CD232/CD231</f>
        <v>0.46170669879114473</v>
      </c>
      <c r="CE233" s="86">
        <f t="shared" ref="CE233:CF233" si="2171">+CE232/CE231</f>
        <v>0.45202805052474038</v>
      </c>
      <c r="CF233" s="86">
        <f t="shared" si="2171"/>
        <v>0.46609269056773256</v>
      </c>
      <c r="CG233" s="86">
        <f t="shared" ref="CG233:CH233" si="2172">+CG232/CG231</f>
        <v>0.46742467064961341</v>
      </c>
      <c r="CH233" s="86">
        <f t="shared" si="2172"/>
        <v>0.44749639213175874</v>
      </c>
      <c r="CI233" s="86">
        <f t="shared" ref="CI233:CJ233" si="2173">+CI232/CI231</f>
        <v>0.43563215794348181</v>
      </c>
      <c r="CJ233" s="86">
        <f t="shared" si="2173"/>
        <v>0.44489539149223062</v>
      </c>
      <c r="CK233" s="47">
        <f t="shared" ref="CK233:DB233" si="2174">+CK232/CK231</f>
        <v>0.4585519519965961</v>
      </c>
      <c r="CL233" s="86">
        <f t="shared" si="2174"/>
        <v>0.46332422448256666</v>
      </c>
      <c r="CM233" s="47">
        <f t="shared" si="2174"/>
        <v>0.45060093147871882</v>
      </c>
      <c r="CN233" s="47">
        <f t="shared" si="2174"/>
        <v>0.45434312486252804</v>
      </c>
      <c r="CO233" s="47">
        <f t="shared" si="2174"/>
        <v>0.45670505820510249</v>
      </c>
      <c r="CP233" s="47">
        <f t="shared" si="2174"/>
        <v>0.456243334757229</v>
      </c>
      <c r="CQ233" s="47">
        <f t="shared" si="2174"/>
        <v>0.45447311232589449</v>
      </c>
      <c r="CR233" s="47">
        <f t="shared" si="2174"/>
        <v>0.45544115753768843</v>
      </c>
      <c r="CS233" s="47">
        <f t="shared" si="2174"/>
        <v>0.45571566570647859</v>
      </c>
      <c r="CT233" s="47">
        <f t="shared" si="2174"/>
        <v>0.45546831758182266</v>
      </c>
      <c r="CU233" s="47">
        <f t="shared" si="2174"/>
        <v>0.45527456328797111</v>
      </c>
      <c r="CV233" s="47">
        <f t="shared" si="2174"/>
        <v>0.45547492602849027</v>
      </c>
      <c r="CW233" s="47">
        <f t="shared" si="2174"/>
        <v>0.45548336815119067</v>
      </c>
      <c r="CX233" s="47">
        <f t="shared" si="2174"/>
        <v>0.45542529376236862</v>
      </c>
      <c r="CY233" s="47">
        <f t="shared" si="2174"/>
        <v>0.45541453780750524</v>
      </c>
      <c r="CZ233" s="47">
        <f t="shared" si="2174"/>
        <v>0.45544953143738875</v>
      </c>
      <c r="DA233" s="47">
        <f t="shared" si="2174"/>
        <v>0.45544318278961332</v>
      </c>
      <c r="DB233" s="47">
        <f t="shared" si="2174"/>
        <v>0.45543313644921901</v>
      </c>
      <c r="DE233" s="130"/>
      <c r="DF233" s="89">
        <v>0.4466439733910168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0</v>
      </c>
      <c r="C234" s="64">
        <f t="shared" si="2175"/>
        <v>0</v>
      </c>
      <c r="D234" s="64">
        <f t="shared" si="2175"/>
        <v>0</v>
      </c>
      <c r="E234" s="64">
        <f t="shared" si="2175"/>
        <v>0</v>
      </c>
      <c r="F234" s="64">
        <f t="shared" si="2175"/>
        <v>23.630810699999991</v>
      </c>
      <c r="G234" s="64">
        <f t="shared" si="2175"/>
        <v>31.619440699999984</v>
      </c>
      <c r="H234" s="64">
        <f t="shared" si="2175"/>
        <v>52.975600000000014</v>
      </c>
      <c r="I234" s="64">
        <f t="shared" si="2175"/>
        <v>72.815600000000018</v>
      </c>
      <c r="J234" s="64">
        <f t="shared" si="2175"/>
        <v>49.231999999999992</v>
      </c>
      <c r="K234" s="64">
        <f t="shared" si="2175"/>
        <v>80.609799999999979</v>
      </c>
      <c r="L234" s="64">
        <f t="shared" si="2175"/>
        <v>58.914100000000033</v>
      </c>
      <c r="M234" s="64">
        <f t="shared" si="2175"/>
        <v>50.559999999999988</v>
      </c>
      <c r="N234" s="64">
        <f t="shared" si="2175"/>
        <v>65.33</v>
      </c>
      <c r="O234" s="64">
        <f t="shared" si="2175"/>
        <v>65.618362299999959</v>
      </c>
      <c r="P234" s="64">
        <f t="shared" si="2175"/>
        <v>79.981100000000026</v>
      </c>
      <c r="Q234" s="64">
        <f t="shared" si="2175"/>
        <v>98.482300000000009</v>
      </c>
      <c r="R234" s="64">
        <f t="shared" si="2175"/>
        <v>127.13049999999998</v>
      </c>
      <c r="S234" s="64">
        <f t="shared" si="2175"/>
        <v>149.71630000000005</v>
      </c>
      <c r="T234" s="64">
        <f t="shared" si="2175"/>
        <v>135.1773</v>
      </c>
      <c r="U234" s="64">
        <f t="shared" si="2175"/>
        <v>171.89220000000003</v>
      </c>
      <c r="V234" s="64">
        <f t="shared" si="2175"/>
        <v>205.29130000000004</v>
      </c>
      <c r="W234" s="64">
        <f t="shared" si="2175"/>
        <v>286.94690000000003</v>
      </c>
      <c r="X234" s="64">
        <f t="shared" si="2175"/>
        <v>284.63439999999991</v>
      </c>
      <c r="Y234" s="64">
        <f t="shared" si="2175"/>
        <v>350.97730000000007</v>
      </c>
      <c r="Z234" s="64">
        <f t="shared" si="2175"/>
        <v>464.69550000000021</v>
      </c>
      <c r="AA234" s="64">
        <f t="shared" ref="AA234" si="2176">AA41-AA240</f>
        <v>472.78030000000012</v>
      </c>
      <c r="AB234" s="30"/>
      <c r="AC234" s="30"/>
      <c r="AD234" s="30"/>
      <c r="AE234" s="30"/>
      <c r="AI234" s="64">
        <f t="shared" ref="AI234:BN234" si="2177">AI41-AI240</f>
        <v>0</v>
      </c>
      <c r="AJ234" s="64">
        <f t="shared" si="2177"/>
        <v>0</v>
      </c>
      <c r="AK234" s="64">
        <f t="shared" si="2177"/>
        <v>0</v>
      </c>
      <c r="AL234" s="64">
        <f t="shared" si="2177"/>
        <v>0</v>
      </c>
      <c r="AM234" s="64">
        <f t="shared" si="2177"/>
        <v>0</v>
      </c>
      <c r="AN234" s="64">
        <f t="shared" si="2177"/>
        <v>0</v>
      </c>
      <c r="AO234" s="64">
        <f t="shared" si="2177"/>
        <v>0</v>
      </c>
      <c r="AP234" s="64">
        <f t="shared" si="2177"/>
        <v>0</v>
      </c>
      <c r="AQ234" s="64">
        <f t="shared" si="2177"/>
        <v>0</v>
      </c>
      <c r="AR234" s="64">
        <f t="shared" si="2177"/>
        <v>0</v>
      </c>
      <c r="AS234" s="64">
        <f t="shared" si="2177"/>
        <v>0</v>
      </c>
      <c r="AT234" s="64">
        <f t="shared" si="2177"/>
        <v>0</v>
      </c>
      <c r="AU234" s="64">
        <f t="shared" si="2177"/>
        <v>0</v>
      </c>
      <c r="AV234" s="64">
        <f t="shared" si="2177"/>
        <v>0</v>
      </c>
      <c r="AW234" s="64">
        <f t="shared" si="2177"/>
        <v>0</v>
      </c>
      <c r="AX234" s="64">
        <f t="shared" si="2177"/>
        <v>0</v>
      </c>
      <c r="AY234" s="64">
        <f t="shared" si="2177"/>
        <v>0</v>
      </c>
      <c r="AZ234" s="64">
        <f t="shared" si="2177"/>
        <v>0</v>
      </c>
      <c r="BA234" s="64">
        <f t="shared" si="2177"/>
        <v>0</v>
      </c>
      <c r="BB234" s="64">
        <f t="shared" si="2177"/>
        <v>0</v>
      </c>
      <c r="BC234" s="64">
        <f t="shared" si="2177"/>
        <v>0</v>
      </c>
      <c r="BD234" s="64">
        <f t="shared" si="2177"/>
        <v>0</v>
      </c>
      <c r="BE234" s="64">
        <f t="shared" si="2177"/>
        <v>0</v>
      </c>
      <c r="BF234" s="64">
        <f t="shared" si="2177"/>
        <v>0</v>
      </c>
      <c r="BG234" s="64">
        <f t="shared" si="2177"/>
        <v>0</v>
      </c>
      <c r="BH234" s="64">
        <f t="shared" si="2177"/>
        <v>0</v>
      </c>
      <c r="BI234" s="64">
        <f t="shared" si="2177"/>
        <v>0</v>
      </c>
      <c r="BJ234" s="64">
        <f t="shared" si="2177"/>
        <v>0</v>
      </c>
      <c r="BK234" s="64">
        <f t="shared" si="2177"/>
        <v>0</v>
      </c>
      <c r="BL234" s="64">
        <f t="shared" si="2177"/>
        <v>42.605999999999995</v>
      </c>
      <c r="BM234" s="64">
        <f t="shared" si="2177"/>
        <v>46.233000000000011</v>
      </c>
      <c r="BN234" s="64">
        <f t="shared" si="2177"/>
        <v>43.066999999999993</v>
      </c>
      <c r="BO234" s="64">
        <f t="shared" ref="BO234:CT234" si="2178">BO41-BO240</f>
        <v>39.794999999999987</v>
      </c>
      <c r="BP234" s="64">
        <f t="shared" si="2178"/>
        <v>48.951000000000008</v>
      </c>
      <c r="BQ234" s="64">
        <f t="shared" si="2178"/>
        <v>56.418000000000021</v>
      </c>
      <c r="BR234" s="64">
        <f t="shared" si="2178"/>
        <v>60.125999999999991</v>
      </c>
      <c r="BS234" s="64">
        <f t="shared" si="2178"/>
        <v>63.24199999999999</v>
      </c>
      <c r="BT234" s="64">
        <f t="shared" si="2178"/>
        <v>72.559000000000026</v>
      </c>
      <c r="BU234" s="64">
        <f t="shared" si="2178"/>
        <v>77.310999999999979</v>
      </c>
      <c r="BV234" s="64">
        <f t="shared" si="2178"/>
        <v>73.83499999999998</v>
      </c>
      <c r="BW234" s="64">
        <f t="shared" si="2178"/>
        <v>64.605999999999995</v>
      </c>
      <c r="BX234" s="64">
        <f t="shared" si="2178"/>
        <v>72.100000000000023</v>
      </c>
      <c r="BY234" s="64">
        <f t="shared" si="2178"/>
        <v>73.570000000000022</v>
      </c>
      <c r="BZ234" s="64">
        <f t="shared" si="2178"/>
        <v>74.36099999999999</v>
      </c>
      <c r="CA234" s="64">
        <f t="shared" si="2178"/>
        <v>75.676999999999964</v>
      </c>
      <c r="CB234" s="64">
        <f t="shared" si="2178"/>
        <v>83.780000000000015</v>
      </c>
      <c r="CC234" s="64">
        <f t="shared" si="2178"/>
        <v>88.535999999999987</v>
      </c>
      <c r="CD234" s="64">
        <f t="shared" si="2178"/>
        <v>102.98400000000001</v>
      </c>
      <c r="CE234" s="64">
        <f t="shared" si="2178"/>
        <v>106.952</v>
      </c>
      <c r="CF234" s="64">
        <f t="shared" si="2178"/>
        <v>120.83100000000007</v>
      </c>
      <c r="CG234" s="64">
        <f t="shared" si="2178"/>
        <v>124.10600000000001</v>
      </c>
      <c r="CH234" s="64">
        <f t="shared" si="2178"/>
        <v>112.80399999999995</v>
      </c>
      <c r="CI234" s="64">
        <f t="shared" si="2178"/>
        <v>108.29799999999997</v>
      </c>
      <c r="CJ234" s="64">
        <f t="shared" si="2178"/>
        <v>113.97799999999998</v>
      </c>
      <c r="CK234" s="30">
        <f t="shared" si="2178"/>
        <v>124.65</v>
      </c>
      <c r="CL234" s="64">
        <f t="shared" ref="CL234" si="2179">CL41-CL240</f>
        <v>125.85199999999999</v>
      </c>
      <c r="CM234" s="30">
        <f t="shared" si="2178"/>
        <v>106.04807672614891</v>
      </c>
      <c r="CN234" s="30">
        <f t="shared" si="2178"/>
        <v>120.90720228372166</v>
      </c>
      <c r="CO234" s="30">
        <f t="shared" si="2178"/>
        <v>133.05900507883297</v>
      </c>
      <c r="CP234" s="30">
        <f t="shared" si="2178"/>
        <v>139.86940663175068</v>
      </c>
      <c r="CQ234" s="30">
        <f t="shared" si="2178"/>
        <v>135.80739881179628</v>
      </c>
      <c r="CR234" s="30">
        <f t="shared" si="2178"/>
        <v>148.76618641897346</v>
      </c>
      <c r="CS234" s="30">
        <f t="shared" si="2178"/>
        <v>159.05026102453706</v>
      </c>
      <c r="CT234" s="30">
        <f t="shared" si="2178"/>
        <v>164.83069304134276</v>
      </c>
      <c r="CU234" s="30">
        <f t="shared" ref="CU234:DB234" si="2180">CU41-CU240</f>
        <v>159.52081284002514</v>
      </c>
      <c r="CV234" s="30">
        <f t="shared" si="2180"/>
        <v>171.98537172327414</v>
      </c>
      <c r="CW234" s="30">
        <f t="shared" si="2180"/>
        <v>181.88065538408705</v>
      </c>
      <c r="CX234" s="30">
        <f t="shared" si="2180"/>
        <v>187.29679184870912</v>
      </c>
      <c r="CY234" s="30">
        <f t="shared" si="2180"/>
        <v>180.91514103652463</v>
      </c>
      <c r="CZ234" s="30">
        <f t="shared" si="2180"/>
        <v>193.6147044918491</v>
      </c>
      <c r="DA234" s="30">
        <f t="shared" si="2180"/>
        <v>203.70298955757988</v>
      </c>
      <c r="DB234" s="30">
        <f t="shared" si="2180"/>
        <v>209.09675504727596</v>
      </c>
      <c r="DE234" s="139"/>
      <c r="DF234" s="64">
        <v>121.94410860043007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5">E10/(E161+E148+E138)</f>
        <v>#DIV/0!</v>
      </c>
      <c r="F244" s="84">
        <f t="shared" si="2235"/>
        <v>1.3102949560550177</v>
      </c>
      <c r="G244" s="84">
        <f t="shared" si="2235"/>
        <v>1.3066067016911203</v>
      </c>
      <c r="H244" s="84">
        <f t="shared" si="2235"/>
        <v>1.3731201491804368</v>
      </c>
      <c r="I244" s="84">
        <f t="shared" si="2235"/>
        <v>1.0885753831132896</v>
      </c>
      <c r="J244" s="84">
        <f t="shared" si="2235"/>
        <v>0.86112089818892912</v>
      </c>
      <c r="K244" s="84">
        <f t="shared" si="2235"/>
        <v>1.2267596510199408</v>
      </c>
      <c r="L244" s="84">
        <f t="shared" si="2235"/>
        <v>0.84260583715570436</v>
      </c>
      <c r="M244" s="84">
        <f t="shared" si="2235"/>
        <v>1.1467011923670243</v>
      </c>
      <c r="N244" s="84">
        <f t="shared" si="2235"/>
        <v>1.1499106031537887</v>
      </c>
      <c r="O244" s="84">
        <f t="shared" si="2235"/>
        <v>0.88794283505516614</v>
      </c>
      <c r="P244" s="84">
        <f t="shared" si="2235"/>
        <v>1.0091777146464647</v>
      </c>
      <c r="Q244" s="84">
        <f t="shared" si="2235"/>
        <v>0.90837324577212741</v>
      </c>
      <c r="R244" s="84">
        <f t="shared" si="2235"/>
        <v>0.65574926831033842</v>
      </c>
      <c r="S244" s="84">
        <f t="shared" si="2235"/>
        <v>0.72290541004979481</v>
      </c>
      <c r="T244" s="84">
        <f t="shared" si="2235"/>
        <v>0.69000522643889717</v>
      </c>
      <c r="U244" s="84">
        <f t="shared" si="2235"/>
        <v>0.56222389746425838</v>
      </c>
      <c r="V244" s="84">
        <f t="shared" si="2235"/>
        <v>0.52780920171057588</v>
      </c>
      <c r="W244" s="84">
        <f t="shared" si="2235"/>
        <v>0.58701556740627558</v>
      </c>
      <c r="X244" s="84">
        <f t="shared" si="2235"/>
        <v>0.89374860671821144</v>
      </c>
      <c r="Y244" s="84">
        <f t="shared" si="2235"/>
        <v>0.81150012673909244</v>
      </c>
      <c r="Z244" s="84">
        <f>Z10/(Z161+Z148+Z138)</f>
        <v>0.62435031691472442</v>
      </c>
      <c r="AA244" s="84">
        <f>AA10/(AA161+AA148+AA138)</f>
        <v>0.60948613079980951</v>
      </c>
      <c r="AB244" s="50">
        <f t="shared" ref="AA244:AE244" si="2236">AB10/(AB161+AB148+AB138)</f>
        <v>0.6971169939604771</v>
      </c>
      <c r="AC244" s="50">
        <f t="shared" si="2236"/>
        <v>0.58498072393883516</v>
      </c>
      <c r="AD244" s="50">
        <f t="shared" si="2236"/>
        <v>0.50245098177623371</v>
      </c>
      <c r="AE244" s="50">
        <f t="shared" si="2236"/>
        <v>0.44071690027730454</v>
      </c>
      <c r="AL244" s="84" t="e">
        <f>SUM(AI10:AL10)/(AL161+AL148+AL138)</f>
        <v>#DIV/0!</v>
      </c>
      <c r="AM244" s="84" t="e">
        <f t="shared" ref="AM244:CL244" si="2237">SUM(AJ10:AM10)/(AM161+AM148+AM138)</f>
        <v>#DIV/0!</v>
      </c>
      <c r="AN244" s="84" t="e">
        <f t="shared" si="2237"/>
        <v>#DIV/0!</v>
      </c>
      <c r="AO244" s="84" t="e">
        <f t="shared" si="2237"/>
        <v>#DIV/0!</v>
      </c>
      <c r="AP244" s="84" t="e">
        <f t="shared" si="2237"/>
        <v>#DIV/0!</v>
      </c>
      <c r="AQ244" s="84" t="e">
        <f t="shared" si="2237"/>
        <v>#DIV/0!</v>
      </c>
      <c r="AR244" s="84" t="e">
        <f t="shared" si="2237"/>
        <v>#DIV/0!</v>
      </c>
      <c r="AS244" s="84" t="e">
        <f t="shared" si="2237"/>
        <v>#DIV/0!</v>
      </c>
      <c r="AT244" s="84" t="e">
        <f t="shared" si="2237"/>
        <v>#DIV/0!</v>
      </c>
      <c r="AU244" s="84" t="e">
        <f t="shared" si="2237"/>
        <v>#DIV/0!</v>
      </c>
      <c r="AV244" s="84" t="e">
        <f t="shared" si="2237"/>
        <v>#DIV/0!</v>
      </c>
      <c r="AW244" s="84" t="e">
        <f t="shared" si="2237"/>
        <v>#DIV/0!</v>
      </c>
      <c r="AX244" s="84" t="e">
        <f t="shared" si="2237"/>
        <v>#DIV/0!</v>
      </c>
      <c r="AY244" s="84" t="e">
        <f t="shared" si="2237"/>
        <v>#DIV/0!</v>
      </c>
      <c r="AZ244" s="84" t="e">
        <f t="shared" si="2237"/>
        <v>#DIV/0!</v>
      </c>
      <c r="BA244" s="84" t="e">
        <f t="shared" si="2237"/>
        <v>#DIV/0!</v>
      </c>
      <c r="BB244" s="84" t="e">
        <f t="shared" si="2237"/>
        <v>#DIV/0!</v>
      </c>
      <c r="BC244" s="84" t="e">
        <f t="shared" si="2237"/>
        <v>#DIV/0!</v>
      </c>
      <c r="BD244" s="84" t="e">
        <f t="shared" si="2237"/>
        <v>#DIV/0!</v>
      </c>
      <c r="BE244" s="84" t="e">
        <f t="shared" si="2237"/>
        <v>#DIV/0!</v>
      </c>
      <c r="BF244" s="84" t="e">
        <f t="shared" si="2237"/>
        <v>#DIV/0!</v>
      </c>
      <c r="BG244" s="84" t="e">
        <f t="shared" si="2237"/>
        <v>#DIV/0!</v>
      </c>
      <c r="BH244" s="84" t="e">
        <f t="shared" si="2237"/>
        <v>#DIV/0!</v>
      </c>
      <c r="BI244" s="84" t="e">
        <f t="shared" si="2237"/>
        <v>#DIV/0!</v>
      </c>
      <c r="BJ244" s="84" t="e">
        <f t="shared" si="2237"/>
        <v>#DIV/0!</v>
      </c>
      <c r="BK244" s="84" t="e">
        <f t="shared" si="2237"/>
        <v>#DIV/0!</v>
      </c>
      <c r="BL244" s="84" t="e">
        <f t="shared" si="2237"/>
        <v>#DIV/0!</v>
      </c>
      <c r="BM244" s="84">
        <f t="shared" si="2237"/>
        <v>7.5673004131248218</v>
      </c>
      <c r="BN244" s="84">
        <f t="shared" si="2237"/>
        <v>0.65987535139962383</v>
      </c>
      <c r="BO244" s="84">
        <f t="shared" si="2237"/>
        <v>0.81169774066291289</v>
      </c>
      <c r="BP244" s="84">
        <f t="shared" si="2237"/>
        <v>0.84166675034391358</v>
      </c>
      <c r="BQ244" s="84">
        <f t="shared" si="2237"/>
        <v>0.7934573924556716</v>
      </c>
      <c r="BR244" s="84">
        <f t="shared" si="2237"/>
        <v>0.84873621019453094</v>
      </c>
      <c r="BS244" s="84">
        <f t="shared" si="2237"/>
        <v>0.84712683229475028</v>
      </c>
      <c r="BT244" s="84">
        <f t="shared" si="2237"/>
        <v>0.9059762321084549</v>
      </c>
      <c r="BU244" s="84">
        <f t="shared" si="2237"/>
        <v>0.88519720525740586</v>
      </c>
      <c r="BV244" s="84">
        <f t="shared" si="2237"/>
        <v>0.96093584943928456</v>
      </c>
      <c r="BW244" s="84">
        <f t="shared" si="2237"/>
        <v>0.93567833624504593</v>
      </c>
      <c r="BX244" s="84">
        <f t="shared" si="2237"/>
        <v>0.9170280980240052</v>
      </c>
      <c r="BY244" s="84">
        <f t="shared" si="2237"/>
        <v>0.86172398390650284</v>
      </c>
      <c r="BZ244" s="84">
        <f t="shared" si="2237"/>
        <v>0.89374743645630428</v>
      </c>
      <c r="CA244" s="84">
        <f t="shared" si="2237"/>
        <v>0.85476129995789996</v>
      </c>
      <c r="CB244" s="84">
        <f t="shared" si="2237"/>
        <v>0.8332912312747045</v>
      </c>
      <c r="CC244" s="84">
        <f t="shared" si="2237"/>
        <v>0.81003802918550061</v>
      </c>
      <c r="CD244" s="84">
        <f t="shared" si="2237"/>
        <v>0.81150076935984272</v>
      </c>
      <c r="CE244" s="84">
        <f t="shared" si="2237"/>
        <v>0.79745842155404278</v>
      </c>
      <c r="CF244" s="84">
        <f t="shared" si="2237"/>
        <v>0.86707986401799553</v>
      </c>
      <c r="CG244" s="84">
        <f t="shared" si="2237"/>
        <v>0.84889306691572564</v>
      </c>
      <c r="CH244" s="84">
        <f t="shared" si="2237"/>
        <v>0.62435018524000097</v>
      </c>
      <c r="CI244" s="84">
        <f t="shared" si="2237"/>
        <v>0.60704038307344266</v>
      </c>
      <c r="CJ244" s="84">
        <f t="shared" si="2237"/>
        <v>0.85387767877343501</v>
      </c>
      <c r="CK244" s="50">
        <f t="shared" ref="CK244" si="2238">SUM(CH10:CK10)/(CK161+CK148+CK138)</f>
        <v>0.79861911749785575</v>
      </c>
      <c r="CL244" s="84">
        <f t="shared" si="2237"/>
        <v>0.84717107531153291</v>
      </c>
      <c r="CM244" s="50">
        <f t="shared" ref="CM244:DB244" si="2239">SUM(CJ10:CM10)/(CM161+CM148+CM138)</f>
        <v>0.82131612268840182</v>
      </c>
      <c r="CN244" s="50">
        <f t="shared" si="2239"/>
        <v>0.77233856946704083</v>
      </c>
      <c r="CO244" s="50">
        <f t="shared" si="2239"/>
        <v>0.73059633987828509</v>
      </c>
      <c r="CP244" s="50">
        <f t="shared" si="2239"/>
        <v>0.6971169939604771</v>
      </c>
      <c r="CQ244" s="50">
        <f t="shared" si="2239"/>
        <v>0.67689384599848479</v>
      </c>
      <c r="CR244" s="50">
        <f t="shared" si="2239"/>
        <v>0.64113482590924631</v>
      </c>
      <c r="CS244" s="50">
        <f t="shared" si="2239"/>
        <v>0.61021716245021984</v>
      </c>
      <c r="CT244" s="50">
        <f t="shared" si="2239"/>
        <v>0.58498072393883516</v>
      </c>
      <c r="CU244" s="50">
        <f t="shared" si="2239"/>
        <v>0.569941069523629</v>
      </c>
      <c r="CV244" s="50">
        <f t="shared" si="2239"/>
        <v>0.54387413598302381</v>
      </c>
      <c r="CW244" s="50">
        <f t="shared" si="2239"/>
        <v>0.52113002627600269</v>
      </c>
      <c r="CX244" s="50">
        <f t="shared" si="2239"/>
        <v>0.50245098177623371</v>
      </c>
      <c r="CY244" s="50">
        <f t="shared" si="2239"/>
        <v>0.49128049281834918</v>
      </c>
      <c r="CZ244" s="50">
        <f t="shared" si="2239"/>
        <v>0.47186385939280451</v>
      </c>
      <c r="DA244" s="50">
        <f t="shared" si="2239"/>
        <v>0.45480287402715558</v>
      </c>
      <c r="DB244" s="50">
        <f t="shared" si="2239"/>
        <v>0.44071690027730454</v>
      </c>
      <c r="DE244" s="138"/>
      <c r="DF244" s="84">
        <v>0.76622561076520446</v>
      </c>
    </row>
    <row r="245" spans="1:110" s="84" customFormat="1" x14ac:dyDescent="0.2">
      <c r="A245" s="84" t="s">
        <v>513</v>
      </c>
      <c r="E245" s="181" t="e">
        <f>+E42</f>
        <v>#DIV/0!</v>
      </c>
      <c r="F245" s="181">
        <f t="shared" ref="F245:AE245" si="2240">+F42</f>
        <v>0.25689749982471655</v>
      </c>
      <c r="G245" s="181">
        <f t="shared" si="2240"/>
        <v>0.19940752277870777</v>
      </c>
      <c r="H245" s="181">
        <f t="shared" si="2240"/>
        <v>0.24279350296986146</v>
      </c>
      <c r="I245" s="181">
        <f t="shared" si="2240"/>
        <v>0.25598437423647402</v>
      </c>
      <c r="J245" s="181">
        <f t="shared" si="2240"/>
        <v>0.1996173244418098</v>
      </c>
      <c r="K245" s="181">
        <f t="shared" si="2240"/>
        <v>0.2590469836746328</v>
      </c>
      <c r="L245" s="181">
        <f t="shared" si="2240"/>
        <v>0.18549779596977339</v>
      </c>
      <c r="M245" s="181">
        <f t="shared" si="2240"/>
        <v>0.18536442293591432</v>
      </c>
      <c r="N245" s="181">
        <f t="shared" si="2240"/>
        <v>0.2212326447680325</v>
      </c>
      <c r="O245" s="181">
        <f t="shared" si="2240"/>
        <v>0.20352345724557264</v>
      </c>
      <c r="P245" s="181">
        <f t="shared" si="2240"/>
        <v>0.20847467346454709</v>
      </c>
      <c r="Q245" s="181">
        <f t="shared" si="2240"/>
        <v>0.24748972670213068</v>
      </c>
      <c r="R245" s="181">
        <f t="shared" si="2240"/>
        <v>0.26579184773007375</v>
      </c>
      <c r="S245" s="181">
        <f t="shared" si="2240"/>
        <v>0.23337166322258826</v>
      </c>
      <c r="T245" s="181">
        <f t="shared" si="2240"/>
        <v>0.19487996650731015</v>
      </c>
      <c r="U245" s="181">
        <f t="shared" si="2240"/>
        <v>0.24569018562528563</v>
      </c>
      <c r="V245" s="181">
        <f t="shared" si="2240"/>
        <v>0.29098869192417592</v>
      </c>
      <c r="W245" s="181">
        <f t="shared" si="2240"/>
        <v>0.31544152121516933</v>
      </c>
      <c r="X245" s="181">
        <f t="shared" si="2240"/>
        <v>0.2928858134450239</v>
      </c>
      <c r="Y245" s="181">
        <f t="shared" si="2240"/>
        <v>0.30881804698051007</v>
      </c>
      <c r="Z245" s="181">
        <f t="shared" si="2240"/>
        <v>0.32667905486131205</v>
      </c>
      <c r="AA245" s="181">
        <f t="shared" ref="AA245" si="2241">+AA42</f>
        <v>0.31180914216596356</v>
      </c>
      <c r="AB245" s="182">
        <f t="shared" si="2240"/>
        <v>0.30769179517019668</v>
      </c>
      <c r="AC245" s="182">
        <f t="shared" si="2240"/>
        <v>0.34899639011770589</v>
      </c>
      <c r="AD245" s="182">
        <f t="shared" si="2240"/>
        <v>0.37437279888058456</v>
      </c>
      <c r="AE245" s="182">
        <f t="shared" si="2240"/>
        <v>0.39183068968916701</v>
      </c>
      <c r="AL245" s="181" t="e">
        <f t="shared" ref="AL245:CW245" si="2242">+AL42</f>
        <v>#DIV/0!</v>
      </c>
      <c r="AM245" s="181" t="e">
        <f t="shared" si="2242"/>
        <v>#DIV/0!</v>
      </c>
      <c r="AN245" s="181" t="e">
        <f t="shared" si="2242"/>
        <v>#DIV/0!</v>
      </c>
      <c r="AO245" s="181" t="e">
        <f t="shared" si="2242"/>
        <v>#DIV/0!</v>
      </c>
      <c r="AP245" s="181" t="e">
        <f t="shared" si="2242"/>
        <v>#DIV/0!</v>
      </c>
      <c r="AQ245" s="181" t="e">
        <f t="shared" si="2242"/>
        <v>#DIV/0!</v>
      </c>
      <c r="AR245" s="181" t="e">
        <f t="shared" si="2242"/>
        <v>#DIV/0!</v>
      </c>
      <c r="AS245" s="181" t="e">
        <f t="shared" si="2242"/>
        <v>#DIV/0!</v>
      </c>
      <c r="AT245" s="181" t="e">
        <f t="shared" si="2242"/>
        <v>#DIV/0!</v>
      </c>
      <c r="AU245" s="181" t="e">
        <f t="shared" si="2242"/>
        <v>#DIV/0!</v>
      </c>
      <c r="AV245" s="181" t="e">
        <f t="shared" si="2242"/>
        <v>#DIV/0!</v>
      </c>
      <c r="AW245" s="181" t="e">
        <f t="shared" si="2242"/>
        <v>#DIV/0!</v>
      </c>
      <c r="AX245" s="181" t="e">
        <f t="shared" si="2242"/>
        <v>#DIV/0!</v>
      </c>
      <c r="AY245" s="181" t="e">
        <f t="shared" si="2242"/>
        <v>#DIV/0!</v>
      </c>
      <c r="AZ245" s="181" t="e">
        <f t="shared" si="2242"/>
        <v>#DIV/0!</v>
      </c>
      <c r="BA245" s="181" t="e">
        <f t="shared" si="2242"/>
        <v>#DIV/0!</v>
      </c>
      <c r="BB245" s="181" t="e">
        <f t="shared" si="2242"/>
        <v>#DIV/0!</v>
      </c>
      <c r="BC245" s="181" t="e">
        <f t="shared" si="2242"/>
        <v>#DIV/0!</v>
      </c>
      <c r="BD245" s="181" t="e">
        <f t="shared" si="2242"/>
        <v>#DIV/0!</v>
      </c>
      <c r="BE245" s="181" t="e">
        <f t="shared" si="2242"/>
        <v>#DIV/0!</v>
      </c>
      <c r="BF245" s="181" t="e">
        <f t="shared" si="2242"/>
        <v>#DIV/0!</v>
      </c>
      <c r="BG245" s="181" t="e">
        <f t="shared" si="2242"/>
        <v>#DIV/0!</v>
      </c>
      <c r="BH245" s="181" t="e">
        <f t="shared" si="2242"/>
        <v>#DIV/0!</v>
      </c>
      <c r="BI245" s="181" t="e">
        <f t="shared" si="2242"/>
        <v>#DIV/0!</v>
      </c>
      <c r="BJ245" s="181" t="e">
        <f t="shared" si="2242"/>
        <v>#DIV/0!</v>
      </c>
      <c r="BK245" s="181" t="e">
        <f t="shared" si="2242"/>
        <v>#DIV/0!</v>
      </c>
      <c r="BL245" s="181">
        <f t="shared" si="2242"/>
        <v>0.24510576607776693</v>
      </c>
      <c r="BM245" s="181">
        <f t="shared" si="2242"/>
        <v>0.2626397473186694</v>
      </c>
      <c r="BN245" s="181">
        <f t="shared" si="2242"/>
        <v>0.2464280605384373</v>
      </c>
      <c r="BO245" s="181">
        <f t="shared" si="2242"/>
        <v>0.26775441547518913</v>
      </c>
      <c r="BP245" s="181">
        <f t="shared" si="2242"/>
        <v>0.28602229701304166</v>
      </c>
      <c r="BQ245" s="181">
        <f t="shared" si="2242"/>
        <v>0.30339924604604401</v>
      </c>
      <c r="BR245" s="181">
        <f t="shared" si="2242"/>
        <v>0.30097160276914292</v>
      </c>
      <c r="BS245" s="181">
        <f t="shared" si="2242"/>
        <v>0.31436155406211475</v>
      </c>
      <c r="BT245" s="181">
        <f t="shared" si="2242"/>
        <v>0.31880613016045989</v>
      </c>
      <c r="BU245" s="181">
        <f t="shared" si="2242"/>
        <v>0.32522968970855481</v>
      </c>
      <c r="BV245" s="181">
        <f t="shared" si="2242"/>
        <v>0.30361783669978282</v>
      </c>
      <c r="BW245" s="181">
        <f t="shared" si="2242"/>
        <v>0.27300693863407788</v>
      </c>
      <c r="BX245" s="181">
        <f t="shared" si="2242"/>
        <v>0.29747906093988541</v>
      </c>
      <c r="BY245" s="181">
        <f t="shared" si="2242"/>
        <v>0.30204621220829991</v>
      </c>
      <c r="BZ245" s="181">
        <f t="shared" si="2242"/>
        <v>0.29835218404824282</v>
      </c>
      <c r="CA245" s="181">
        <f t="shared" si="2242"/>
        <v>0.28961840649983339</v>
      </c>
      <c r="CB245" s="181">
        <f t="shared" si="2242"/>
        <v>0.30456262291744673</v>
      </c>
      <c r="CC245" s="181">
        <f t="shared" si="2242"/>
        <v>0.30563591297923898</v>
      </c>
      <c r="CD245" s="181">
        <f t="shared" si="2242"/>
        <v>0.33171529896057128</v>
      </c>
      <c r="CE245" s="181">
        <f t="shared" si="2242"/>
        <v>0.322725873712289</v>
      </c>
      <c r="CF245" s="181">
        <f t="shared" si="2242"/>
        <v>0.33088791035457282</v>
      </c>
      <c r="CG245" s="181">
        <f t="shared" si="2242"/>
        <v>0.33565476560746249</v>
      </c>
      <c r="CH245" s="181">
        <f t="shared" si="2242"/>
        <v>0.3167174856667957</v>
      </c>
      <c r="CI245" s="181">
        <f t="shared" si="2242"/>
        <v>0.30579525175630795</v>
      </c>
      <c r="CJ245" s="181">
        <f t="shared" si="2242"/>
        <v>0.30253916514925489</v>
      </c>
      <c r="CK245" s="182">
        <f t="shared" si="2242"/>
        <v>0.31950151099992569</v>
      </c>
      <c r="CL245" s="181">
        <f t="shared" ref="CL245" si="2243">+CL42</f>
        <v>0.31843530185719343</v>
      </c>
      <c r="CM245" s="182">
        <f t="shared" si="2242"/>
        <v>0.28082798492628591</v>
      </c>
      <c r="CN245" s="182">
        <f t="shared" si="2242"/>
        <v>0.30114858576780007</v>
      </c>
      <c r="CO245" s="182">
        <f t="shared" si="2242"/>
        <v>0.3174978469503143</v>
      </c>
      <c r="CP245" s="182">
        <f t="shared" si="2242"/>
        <v>0.32800466333544459</v>
      </c>
      <c r="CQ245" s="182">
        <f t="shared" si="2242"/>
        <v>0.33570440336105439</v>
      </c>
      <c r="CR245" s="182">
        <f t="shared" si="2242"/>
        <v>0.34547972906475549</v>
      </c>
      <c r="CS245" s="182">
        <f t="shared" si="2242"/>
        <v>0.35328789058991622</v>
      </c>
      <c r="CT245" s="182">
        <f t="shared" si="2242"/>
        <v>0.35982283137346738</v>
      </c>
      <c r="CU245" s="182">
        <f t="shared" si="2242"/>
        <v>0.36746830938633168</v>
      </c>
      <c r="CV245" s="182">
        <f t="shared" si="2242"/>
        <v>0.37204647828772697</v>
      </c>
      <c r="CW245" s="182">
        <f t="shared" si="2242"/>
        <v>0.37624236750036233</v>
      </c>
      <c r="CX245" s="182">
        <f t="shared" ref="CX245:DB245" si="2244">+CX42</f>
        <v>0.38081587847756754</v>
      </c>
      <c r="CY245" s="182">
        <f t="shared" si="2244"/>
        <v>0.38821448363612121</v>
      </c>
      <c r="CZ245" s="182">
        <f t="shared" si="2244"/>
        <v>0.39011680312528818</v>
      </c>
      <c r="DA245" s="182">
        <f t="shared" si="2244"/>
        <v>0.39248226965400074</v>
      </c>
      <c r="DB245" s="182">
        <f t="shared" si="2244"/>
        <v>0.39599263872466228</v>
      </c>
      <c r="DE245" s="138"/>
      <c r="DF245" s="84">
        <v>0.31829262409473535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>
        <f t="shared" ref="F246:AE246" si="2245">(F161+F148+F138+F140)/F120</f>
        <v>1.4672073203699059</v>
      </c>
      <c r="G246" s="84">
        <f t="shared" si="2245"/>
        <v>1.8107081699776202</v>
      </c>
      <c r="H246" s="84">
        <f t="shared" si="2245"/>
        <v>1.5593724758979886</v>
      </c>
      <c r="I246" s="84">
        <f t="shared" si="2245"/>
        <v>1.6222961481391303</v>
      </c>
      <c r="J246" s="84">
        <f t="shared" si="2245"/>
        <v>1.6132387785316213</v>
      </c>
      <c r="K246" s="84">
        <f t="shared" si="2245"/>
        <v>1.3272509523256248</v>
      </c>
      <c r="L246" s="84">
        <f t="shared" si="2245"/>
        <v>1.8954585231679679</v>
      </c>
      <c r="M246" s="84">
        <f t="shared" si="2245"/>
        <v>1.2824342768240822</v>
      </c>
      <c r="N246" s="84">
        <f t="shared" si="2245"/>
        <v>1.2472873970207485</v>
      </c>
      <c r="O246" s="84">
        <f t="shared" si="2245"/>
        <v>1.3625576691365289</v>
      </c>
      <c r="P246" s="84">
        <f t="shared" si="2245"/>
        <v>1.2942026052118474</v>
      </c>
      <c r="Q246" s="84">
        <f t="shared" si="2245"/>
        <v>1.2078291187379535</v>
      </c>
      <c r="R246" s="84">
        <f t="shared" si="2245"/>
        <v>1.7602770944644157</v>
      </c>
      <c r="S246" s="84">
        <f t="shared" si="2245"/>
        <v>1.9775675622196278</v>
      </c>
      <c r="T246" s="84">
        <f t="shared" si="2245"/>
        <v>2.2298158905955692</v>
      </c>
      <c r="U246" s="84">
        <f t="shared" si="2245"/>
        <v>2.2682258966097506</v>
      </c>
      <c r="V246" s="84">
        <f t="shared" si="2245"/>
        <v>2.592078611794367</v>
      </c>
      <c r="W246" s="84">
        <f t="shared" si="2245"/>
        <v>2.3927695387761494</v>
      </c>
      <c r="X246" s="84">
        <f t="shared" si="2245"/>
        <v>1.3909768222721917</v>
      </c>
      <c r="Y246" s="84">
        <f t="shared" si="2245"/>
        <v>1.5313992531050549</v>
      </c>
      <c r="Z246" s="84">
        <f t="shared" si="2245"/>
        <v>2.0368681417022585</v>
      </c>
      <c r="AA246" s="84">
        <f t="shared" ref="AA246" si="2246">(AA161+AA148+AA138+AA140)/AA120</f>
        <v>1.8834204812771029</v>
      </c>
      <c r="AB246" s="50">
        <f t="shared" si="2245"/>
        <v>1.2783416284339384</v>
      </c>
      <c r="AC246" s="50">
        <f t="shared" si="2245"/>
        <v>1.224543142348385</v>
      </c>
      <c r="AD246" s="50">
        <f t="shared" si="2245"/>
        <v>1.1874919772306869</v>
      </c>
      <c r="AE246" s="50">
        <f t="shared" si="2245"/>
        <v>1.1611612219289422</v>
      </c>
      <c r="AL246" s="84" t="e">
        <f t="shared" ref="AL246:CW246" si="2247">(AL161+AL148+AL138+AL140)/AL120</f>
        <v>#DIV/0!</v>
      </c>
      <c r="AM246" s="84" t="e">
        <f t="shared" si="2247"/>
        <v>#DIV/0!</v>
      </c>
      <c r="AN246" s="84" t="e">
        <f t="shared" si="2247"/>
        <v>#DIV/0!</v>
      </c>
      <c r="AO246" s="84" t="e">
        <f t="shared" si="2247"/>
        <v>#DIV/0!</v>
      </c>
      <c r="AP246" s="84" t="e">
        <f t="shared" si="2247"/>
        <v>#DIV/0!</v>
      </c>
      <c r="AQ246" s="84" t="e">
        <f t="shared" si="2247"/>
        <v>#DIV/0!</v>
      </c>
      <c r="AR246" s="84" t="e">
        <f t="shared" si="2247"/>
        <v>#DIV/0!</v>
      </c>
      <c r="AS246" s="84" t="e">
        <f t="shared" si="2247"/>
        <v>#DIV/0!</v>
      </c>
      <c r="AT246" s="84" t="e">
        <f t="shared" si="2247"/>
        <v>#DIV/0!</v>
      </c>
      <c r="AU246" s="84" t="e">
        <f t="shared" si="2247"/>
        <v>#DIV/0!</v>
      </c>
      <c r="AV246" s="84" t="e">
        <f t="shared" si="2247"/>
        <v>#DIV/0!</v>
      </c>
      <c r="AW246" s="84" t="e">
        <f t="shared" si="2247"/>
        <v>#DIV/0!</v>
      </c>
      <c r="AX246" s="84" t="e">
        <f t="shared" si="2247"/>
        <v>#DIV/0!</v>
      </c>
      <c r="AY246" s="84" t="e">
        <f t="shared" si="2247"/>
        <v>#DIV/0!</v>
      </c>
      <c r="AZ246" s="84" t="e">
        <f t="shared" si="2247"/>
        <v>#DIV/0!</v>
      </c>
      <c r="BA246" s="84" t="e">
        <f t="shared" si="2247"/>
        <v>#DIV/0!</v>
      </c>
      <c r="BB246" s="84" t="e">
        <f t="shared" si="2247"/>
        <v>#DIV/0!</v>
      </c>
      <c r="BC246" s="84" t="e">
        <f t="shared" si="2247"/>
        <v>#DIV/0!</v>
      </c>
      <c r="BD246" s="84" t="e">
        <f t="shared" si="2247"/>
        <v>#DIV/0!</v>
      </c>
      <c r="BE246" s="84" t="e">
        <f t="shared" si="2247"/>
        <v>#DIV/0!</v>
      </c>
      <c r="BF246" s="84" t="e">
        <f t="shared" si="2247"/>
        <v>#DIV/0!</v>
      </c>
      <c r="BG246" s="84" t="e">
        <f t="shared" si="2247"/>
        <v>#DIV/0!</v>
      </c>
      <c r="BH246" s="84" t="e">
        <f t="shared" si="2247"/>
        <v>#DIV/0!</v>
      </c>
      <c r="BI246" s="84" t="e">
        <f t="shared" si="2247"/>
        <v>#DIV/0!</v>
      </c>
      <c r="BJ246" s="84" t="e">
        <f t="shared" si="2247"/>
        <v>#DIV/0!</v>
      </c>
      <c r="BK246" s="84" t="e">
        <f t="shared" si="2247"/>
        <v>#DIV/0!</v>
      </c>
      <c r="BL246" s="84" t="e">
        <f t="shared" si="2247"/>
        <v>#DIV/0!</v>
      </c>
      <c r="BM246" s="84">
        <f t="shared" si="2247"/>
        <v>1.0000000000000002</v>
      </c>
      <c r="BN246" s="84">
        <f t="shared" si="2247"/>
        <v>1.4495022373810253</v>
      </c>
      <c r="BO246" s="84">
        <f t="shared" si="2247"/>
        <v>1.4099460170673994</v>
      </c>
      <c r="BP246" s="84">
        <f t="shared" si="2247"/>
        <v>1.722446677959071</v>
      </c>
      <c r="BQ246" s="84">
        <f t="shared" si="2247"/>
        <v>1.6526050428866865</v>
      </c>
      <c r="BR246" s="84">
        <f t="shared" si="2247"/>
        <v>1.6123398827616151</v>
      </c>
      <c r="BS246" s="84">
        <f t="shared" si="2247"/>
        <v>1.5461110789127634</v>
      </c>
      <c r="BT246" s="84">
        <f t="shared" si="2247"/>
        <v>1.5501887052578973</v>
      </c>
      <c r="BU246" s="84">
        <f t="shared" si="2247"/>
        <v>1.4889472261932455</v>
      </c>
      <c r="BV246" s="84">
        <f t="shared" si="2247"/>
        <v>1.4616931063340941</v>
      </c>
      <c r="BW246" s="84">
        <f t="shared" si="2247"/>
        <v>1.4178653381386399</v>
      </c>
      <c r="BX246" s="84">
        <f t="shared" si="2247"/>
        <v>1.4603964747260965</v>
      </c>
      <c r="BY246" s="84">
        <f t="shared" si="2247"/>
        <v>1.4177928965745632</v>
      </c>
      <c r="BZ246" s="84">
        <f t="shared" si="2247"/>
        <v>1.3909776455914804</v>
      </c>
      <c r="CA246" s="84">
        <f t="shared" si="2247"/>
        <v>1.3586373451608957</v>
      </c>
      <c r="CB246" s="84">
        <f t="shared" si="2247"/>
        <v>1.5373568833522309</v>
      </c>
      <c r="CC246" s="84">
        <f t="shared" si="2247"/>
        <v>1.4870588257984072</v>
      </c>
      <c r="CD246" s="84">
        <f t="shared" si="2247"/>
        <v>1.531399085653552</v>
      </c>
      <c r="CE246" s="84">
        <f t="shared" si="2247"/>
        <v>1.4794347846057212</v>
      </c>
      <c r="CF246" s="84">
        <f t="shared" si="2247"/>
        <v>1.4517422942213454</v>
      </c>
      <c r="CG246" s="84">
        <f t="shared" si="2247"/>
        <v>1.4034335951713504</v>
      </c>
      <c r="CH246" s="84">
        <f t="shared" si="2247"/>
        <v>2.0368681417022585</v>
      </c>
      <c r="CI246" s="84">
        <f t="shared" si="2247"/>
        <v>1.9393170850139636</v>
      </c>
      <c r="CJ246" s="84">
        <f t="shared" si="2247"/>
        <v>1.4025464715023819</v>
      </c>
      <c r="CK246" s="50">
        <f t="shared" si="2247"/>
        <v>1.3783480261243855</v>
      </c>
      <c r="CL246" s="84">
        <f t="shared" ref="CL246" si="2248">(CL161+CL148+CL138+CL140)/CL120</f>
        <v>1.3550205728604794</v>
      </c>
      <c r="CM246" s="50">
        <f t="shared" si="2247"/>
        <v>1.3132969409512221</v>
      </c>
      <c r="CN246" s="50">
        <f t="shared" si="2247"/>
        <v>1.3077297369579097</v>
      </c>
      <c r="CO246" s="50">
        <f t="shared" si="2247"/>
        <v>1.2961936290338671</v>
      </c>
      <c r="CP246" s="50">
        <f t="shared" si="2247"/>
        <v>1.2783416284339384</v>
      </c>
      <c r="CQ246" s="50">
        <f t="shared" si="2247"/>
        <v>1.2451913785805515</v>
      </c>
      <c r="CR246" s="50">
        <f t="shared" si="2247"/>
        <v>1.2430750732116151</v>
      </c>
      <c r="CS246" s="50">
        <f t="shared" si="2247"/>
        <v>1.2366259707969893</v>
      </c>
      <c r="CT246" s="50">
        <f t="shared" si="2247"/>
        <v>1.224543142348385</v>
      </c>
      <c r="CU246" s="50">
        <f t="shared" si="2247"/>
        <v>1.1992784437615962</v>
      </c>
      <c r="CV246" s="50">
        <f t="shared" si="2247"/>
        <v>1.1994068378320537</v>
      </c>
      <c r="CW246" s="50">
        <f t="shared" si="2247"/>
        <v>1.1959155116495865</v>
      </c>
      <c r="CX246" s="50">
        <f t="shared" ref="CX246:DB246" si="2249">(CX161+CX148+CX138+CX140)/CX120</f>
        <v>1.1874919772306869</v>
      </c>
      <c r="CY246" s="50">
        <f t="shared" si="2249"/>
        <v>1.1676405833426928</v>
      </c>
      <c r="CZ246" s="50">
        <f t="shared" si="2249"/>
        <v>1.1690083605462089</v>
      </c>
      <c r="DA246" s="50">
        <f t="shared" si="2249"/>
        <v>1.167258631540907</v>
      </c>
      <c r="DB246" s="50">
        <f t="shared" si="2249"/>
        <v>1.1611612219289422</v>
      </c>
      <c r="DE246" s="138"/>
      <c r="DF246" s="84">
        <v>1.3401765924712905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0">B161/B120</f>
        <v>#DIV/0!</v>
      </c>
      <c r="C248" s="88" t="e">
        <f t="shared" si="2250"/>
        <v>#DIV/0!</v>
      </c>
      <c r="D248" s="88" t="e">
        <f t="shared" si="2250"/>
        <v>#DIV/0!</v>
      </c>
      <c r="F248" s="88">
        <f t="shared" si="2250"/>
        <v>0.52534152637688336</v>
      </c>
      <c r="G248" s="88">
        <f t="shared" si="2250"/>
        <v>0.7576038777973112</v>
      </c>
      <c r="H248" s="88">
        <f t="shared" si="2250"/>
        <v>0.72099193288421382</v>
      </c>
      <c r="I248" s="88">
        <f t="shared" si="2250"/>
        <v>0.91512556337762774</v>
      </c>
      <c r="J248" s="88">
        <f t="shared" si="2250"/>
        <v>0.88258946200170607</v>
      </c>
      <c r="K248" s="88">
        <f t="shared" si="2250"/>
        <v>0.81921781557951356</v>
      </c>
      <c r="L248" s="88">
        <f t="shared" si="2250"/>
        <v>0.84278278824577468</v>
      </c>
      <c r="M248" s="88">
        <f t="shared" si="2250"/>
        <v>0.77919693817545033</v>
      </c>
      <c r="N248" s="88">
        <f t="shared" si="2250"/>
        <v>0.7768277719168688</v>
      </c>
      <c r="O248" s="88">
        <f t="shared" si="2250"/>
        <v>0.49247655708866078</v>
      </c>
      <c r="P248" s="88">
        <f t="shared" si="2250"/>
        <v>0.41861721910705668</v>
      </c>
      <c r="Q248" s="88">
        <f t="shared" si="2250"/>
        <v>0.52142264809041905</v>
      </c>
      <c r="R248" s="88">
        <f t="shared" si="2250"/>
        <v>0.56663656932679984</v>
      </c>
      <c r="S248" s="88">
        <f t="shared" si="2250"/>
        <v>0.54201093552716795</v>
      </c>
      <c r="T248" s="88">
        <f t="shared" si="2250"/>
        <v>0.6065356835242327</v>
      </c>
      <c r="U248" s="88">
        <f t="shared" si="2250"/>
        <v>0.64873817632444475</v>
      </c>
      <c r="V248" s="88">
        <f t="shared" si="2250"/>
        <v>0.8059980805304886</v>
      </c>
      <c r="W248" s="88">
        <f t="shared" si="2250"/>
        <v>0.72225602026317803</v>
      </c>
      <c r="X248" s="88">
        <f t="shared" si="2250"/>
        <v>0.61683078669904978</v>
      </c>
      <c r="Y248" s="88">
        <f t="shared" si="2250"/>
        <v>0.6754026016997311</v>
      </c>
      <c r="Z248" s="88">
        <f t="shared" si="2250"/>
        <v>0.60857966778173744</v>
      </c>
      <c r="AA248" s="88">
        <f t="shared" ref="AA248" si="2251">AA161/AA120</f>
        <v>0.64686001298948359</v>
      </c>
      <c r="AB248" s="42">
        <f t="shared" si="2250"/>
        <v>0.81237629438814374</v>
      </c>
      <c r="AC248" s="42">
        <f t="shared" si="2250"/>
        <v>0.88652638917102522</v>
      </c>
      <c r="AD248" s="42">
        <f t="shared" si="2250"/>
        <v>0.92303145486290272</v>
      </c>
      <c r="AE248" s="42">
        <f t="shared" si="2250"/>
        <v>0.94313754529284344</v>
      </c>
      <c r="AL248" s="88" t="e">
        <f t="shared" ref="AL248:CW248" si="2252">AL161/AL120</f>
        <v>#DIV/0!</v>
      </c>
      <c r="AM248" s="88" t="e">
        <f t="shared" si="2252"/>
        <v>#DIV/0!</v>
      </c>
      <c r="AN248" s="88" t="e">
        <f t="shared" si="2252"/>
        <v>#DIV/0!</v>
      </c>
      <c r="AO248" s="88" t="e">
        <f t="shared" si="2252"/>
        <v>#DIV/0!</v>
      </c>
      <c r="AP248" s="88" t="e">
        <f t="shared" si="2252"/>
        <v>#DIV/0!</v>
      </c>
      <c r="AQ248" s="88" t="e">
        <f t="shared" si="2252"/>
        <v>#DIV/0!</v>
      </c>
      <c r="AR248" s="88" t="e">
        <f t="shared" si="2252"/>
        <v>#DIV/0!</v>
      </c>
      <c r="AS248" s="88" t="e">
        <f t="shared" si="2252"/>
        <v>#DIV/0!</v>
      </c>
      <c r="AT248" s="88" t="e">
        <f t="shared" si="2252"/>
        <v>#DIV/0!</v>
      </c>
      <c r="AU248" s="88" t="e">
        <f t="shared" si="2252"/>
        <v>#DIV/0!</v>
      </c>
      <c r="AV248" s="88" t="e">
        <f t="shared" si="2252"/>
        <v>#DIV/0!</v>
      </c>
      <c r="AW248" s="88" t="e">
        <f t="shared" si="2252"/>
        <v>#DIV/0!</v>
      </c>
      <c r="AX248" s="88" t="e">
        <f t="shared" si="2252"/>
        <v>#DIV/0!</v>
      </c>
      <c r="AY248" s="88" t="e">
        <f t="shared" si="2252"/>
        <v>#DIV/0!</v>
      </c>
      <c r="AZ248" s="88" t="e">
        <f t="shared" si="2252"/>
        <v>#DIV/0!</v>
      </c>
      <c r="BA248" s="88" t="e">
        <f t="shared" si="2252"/>
        <v>#DIV/0!</v>
      </c>
      <c r="BB248" s="88" t="e">
        <f t="shared" si="2252"/>
        <v>#DIV/0!</v>
      </c>
      <c r="BC248" s="88" t="e">
        <f t="shared" si="2252"/>
        <v>#DIV/0!</v>
      </c>
      <c r="BD248" s="88" t="e">
        <f t="shared" si="2252"/>
        <v>#DIV/0!</v>
      </c>
      <c r="BE248" s="88" t="e">
        <f t="shared" si="2252"/>
        <v>#DIV/0!</v>
      </c>
      <c r="BF248" s="88" t="e">
        <f t="shared" si="2252"/>
        <v>#DIV/0!</v>
      </c>
      <c r="BG248" s="88" t="e">
        <f t="shared" si="2252"/>
        <v>#DIV/0!</v>
      </c>
      <c r="BH248" s="88" t="e">
        <f t="shared" si="2252"/>
        <v>#DIV/0!</v>
      </c>
      <c r="BI248" s="88" t="e">
        <f t="shared" si="2252"/>
        <v>#DIV/0!</v>
      </c>
      <c r="BJ248" s="88" t="e">
        <f t="shared" si="2252"/>
        <v>#DIV/0!</v>
      </c>
      <c r="BK248" s="88" t="e">
        <f t="shared" si="2252"/>
        <v>#DIV/0!</v>
      </c>
      <c r="BL248" s="88" t="e">
        <f t="shared" si="2252"/>
        <v>#DIV/0!</v>
      </c>
      <c r="BM248" s="88">
        <f t="shared" si="2252"/>
        <v>1.0000000000000002</v>
      </c>
      <c r="BN248" s="88">
        <f t="shared" si="2252"/>
        <v>0.64873846692028514</v>
      </c>
      <c r="BO248" s="88">
        <f t="shared" si="2252"/>
        <v>0.67145572280087751</v>
      </c>
      <c r="BP248" s="88">
        <f t="shared" si="2252"/>
        <v>0.80660821695243368</v>
      </c>
      <c r="BQ248" s="88">
        <f t="shared" si="2252"/>
        <v>0.82918603846737837</v>
      </c>
      <c r="BR248" s="88">
        <f t="shared" si="2252"/>
        <v>0.80599644873146814</v>
      </c>
      <c r="BS248" s="88">
        <f t="shared" si="2252"/>
        <v>0.82747261406580386</v>
      </c>
      <c r="BT248" s="88">
        <f t="shared" si="2252"/>
        <v>0.79649301187378285</v>
      </c>
      <c r="BU248" s="88">
        <f t="shared" si="2252"/>
        <v>0.8213486734617047</v>
      </c>
      <c r="BV248" s="88">
        <f t="shared" si="2252"/>
        <v>0.72225687807077399</v>
      </c>
      <c r="BW248" s="88">
        <f t="shared" si="2252"/>
        <v>0.74662807072985637</v>
      </c>
      <c r="BX248" s="88">
        <f t="shared" si="2252"/>
        <v>0.73820781369678012</v>
      </c>
      <c r="BY248" s="88">
        <f t="shared" si="2252"/>
        <v>0.76259500534828573</v>
      </c>
      <c r="BZ248" s="88">
        <f t="shared" si="2252"/>
        <v>0.61683072691803387</v>
      </c>
      <c r="CA248" s="88">
        <f t="shared" si="2252"/>
        <v>0.6515022289309621</v>
      </c>
      <c r="CB248" s="88">
        <f t="shared" si="2252"/>
        <v>0.77747920537977955</v>
      </c>
      <c r="CC248" s="88">
        <f t="shared" si="2252"/>
        <v>0.79998095055018092</v>
      </c>
      <c r="CD248" s="88">
        <f t="shared" si="2252"/>
        <v>0.67540263719297167</v>
      </c>
      <c r="CE248" s="88">
        <f t="shared" si="2252"/>
        <v>0.70972913209743094</v>
      </c>
      <c r="CF248" s="88">
        <f t="shared" si="2252"/>
        <v>0.71139538857005291</v>
      </c>
      <c r="CG248" s="88">
        <f t="shared" si="2252"/>
        <v>0.74270621457685726</v>
      </c>
      <c r="CH248" s="88">
        <f t="shared" si="2252"/>
        <v>0.60857966778173744</v>
      </c>
      <c r="CI248" s="88">
        <f t="shared" si="2252"/>
        <v>0.66021426349940904</v>
      </c>
      <c r="CJ248" s="88">
        <f t="shared" si="2252"/>
        <v>0.67571154672708633</v>
      </c>
      <c r="CK248" s="42">
        <f t="shared" si="2252"/>
        <v>0.72549354424654389</v>
      </c>
      <c r="CL248" s="88">
        <f t="shared" ref="CL248" si="2253">CL161/CL120</f>
        <v>0.64685994178277939</v>
      </c>
      <c r="CM248" s="42">
        <f t="shared" si="2252"/>
        <v>0.70073453074258008</v>
      </c>
      <c r="CN248" s="42">
        <f t="shared" si="2252"/>
        <v>0.74543712269418949</v>
      </c>
      <c r="CO248" s="42">
        <f t="shared" si="2252"/>
        <v>0.78236995410089205</v>
      </c>
      <c r="CP248" s="42">
        <f t="shared" si="2252"/>
        <v>0.81237629438814374</v>
      </c>
      <c r="CQ248" s="42">
        <f t="shared" si="2252"/>
        <v>0.83618554035133963</v>
      </c>
      <c r="CR248" s="42">
        <f t="shared" si="2252"/>
        <v>0.85597311293238909</v>
      </c>
      <c r="CS248" s="42">
        <f t="shared" si="2252"/>
        <v>0.87262501711386842</v>
      </c>
      <c r="CT248" s="42">
        <f t="shared" si="2252"/>
        <v>0.88652638917102522</v>
      </c>
      <c r="CU248" s="42">
        <f t="shared" si="2252"/>
        <v>0.89792278215259069</v>
      </c>
      <c r="CV248" s="42">
        <f t="shared" si="2252"/>
        <v>0.90752306453299569</v>
      </c>
      <c r="CW248" s="42">
        <f t="shared" si="2252"/>
        <v>0.91585041223292663</v>
      </c>
      <c r="CX248" s="42">
        <f t="shared" ref="CX248:DB248" si="2254">CX161/CX120</f>
        <v>0.92303145486290272</v>
      </c>
      <c r="CY248" s="42">
        <f t="shared" si="2254"/>
        <v>0.92912973799577359</v>
      </c>
      <c r="CZ248" s="42">
        <f t="shared" si="2254"/>
        <v>0.93433092246329097</v>
      </c>
      <c r="DA248" s="42">
        <f t="shared" si="2254"/>
        <v>0.93898913742496193</v>
      </c>
      <c r="DB248" s="42">
        <f t="shared" si="2254"/>
        <v>0.94313754529284344</v>
      </c>
      <c r="DE248" s="125"/>
      <c r="DF248" s="88">
        <v>0.76349885450630284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 t="e">
        <f t="shared" si="2255"/>
        <v>#DIV/0!</v>
      </c>
      <c r="G249" s="89" t="e">
        <f t="shared" si="2255"/>
        <v>#DIV/0!</v>
      </c>
      <c r="H249" s="89" t="e">
        <f t="shared" si="2255"/>
        <v>#DIV/0!</v>
      </c>
      <c r="I249" s="89" t="e">
        <f t="shared" si="2255"/>
        <v>#DIV/0!</v>
      </c>
      <c r="J249" s="89" t="e">
        <f t="shared" si="2255"/>
        <v>#DIV/0!</v>
      </c>
      <c r="K249" s="89" t="e">
        <f>K128/J128-1</f>
        <v>#DIV/0!</v>
      </c>
      <c r="L249" s="89" t="e">
        <f t="shared" si="2255"/>
        <v>#DIV/0!</v>
      </c>
      <c r="M249" s="89" t="e">
        <f t="shared" si="2255"/>
        <v>#DIV/0!</v>
      </c>
      <c r="N249" s="89" t="e">
        <f t="shared" si="2255"/>
        <v>#DIV/0!</v>
      </c>
      <c r="O249" s="89" t="e">
        <f t="shared" si="2255"/>
        <v>#DIV/0!</v>
      </c>
      <c r="P249" s="89" t="e">
        <f t="shared" si="2255"/>
        <v>#DIV/0!</v>
      </c>
      <c r="Q249" s="89" t="e">
        <f t="shared" si="2255"/>
        <v>#DIV/0!</v>
      </c>
      <c r="R249" s="89" t="e">
        <f t="shared" si="2255"/>
        <v>#DIV/0!</v>
      </c>
      <c r="S249" s="89" t="e">
        <f t="shared" si="2255"/>
        <v>#DIV/0!</v>
      </c>
      <c r="T249" s="89" t="e">
        <f t="shared" si="2255"/>
        <v>#DIV/0!</v>
      </c>
      <c r="U249" s="89" t="e">
        <f t="shared" si="2255"/>
        <v>#DIV/0!</v>
      </c>
      <c r="V249" s="89" t="e">
        <f t="shared" si="2255"/>
        <v>#DIV/0!</v>
      </c>
      <c r="W249" s="89" t="e">
        <f t="shared" si="2255"/>
        <v>#DIV/0!</v>
      </c>
      <c r="X249" s="89" t="e">
        <f t="shared" si="2255"/>
        <v>#DIV/0!</v>
      </c>
      <c r="Y249" s="89" t="e">
        <f t="shared" si="2255"/>
        <v>#DIV/0!</v>
      </c>
      <c r="Z249" s="89" t="e">
        <f t="shared" si="2255"/>
        <v>#DIV/0!</v>
      </c>
      <c r="AA249" s="89">
        <f t="shared" si="2255"/>
        <v>-0.27439393939393941</v>
      </c>
      <c r="AB249" s="47">
        <f t="shared" si="2255"/>
        <v>2.0881186051369127E-4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 t="e">
        <f t="shared" ref="AL249:CW249" si="2256">AL128/AK128-1</f>
        <v>#DIV/0!</v>
      </c>
      <c r="AM249" s="89" t="e">
        <f t="shared" si="2256"/>
        <v>#DIV/0!</v>
      </c>
      <c r="AN249" s="89" t="e">
        <f t="shared" si="2256"/>
        <v>#DIV/0!</v>
      </c>
      <c r="AO249" s="89" t="e">
        <f t="shared" si="2256"/>
        <v>#DIV/0!</v>
      </c>
      <c r="AP249" s="89" t="e">
        <f t="shared" si="2256"/>
        <v>#DIV/0!</v>
      </c>
      <c r="AQ249" s="89" t="e">
        <f t="shared" si="2256"/>
        <v>#DIV/0!</v>
      </c>
      <c r="AR249" s="89" t="e">
        <f t="shared" si="2256"/>
        <v>#DIV/0!</v>
      </c>
      <c r="AS249" s="89" t="e">
        <f t="shared" si="2256"/>
        <v>#DIV/0!</v>
      </c>
      <c r="AT249" s="89" t="e">
        <f t="shared" si="2256"/>
        <v>#DIV/0!</v>
      </c>
      <c r="AU249" s="89" t="e">
        <f t="shared" si="2256"/>
        <v>#DIV/0!</v>
      </c>
      <c r="AV249" s="89" t="e">
        <f t="shared" si="2256"/>
        <v>#DIV/0!</v>
      </c>
      <c r="AW249" s="89" t="e">
        <f t="shared" si="2256"/>
        <v>#DIV/0!</v>
      </c>
      <c r="AX249" s="89" t="e">
        <f t="shared" si="2256"/>
        <v>#DIV/0!</v>
      </c>
      <c r="AY249" s="89" t="e">
        <f t="shared" si="2256"/>
        <v>#DIV/0!</v>
      </c>
      <c r="AZ249" s="89" t="e">
        <f t="shared" si="2256"/>
        <v>#DIV/0!</v>
      </c>
      <c r="BA249" s="89" t="e">
        <f t="shared" si="2256"/>
        <v>#DIV/0!</v>
      </c>
      <c r="BB249" s="89" t="e">
        <f t="shared" si="2256"/>
        <v>#DIV/0!</v>
      </c>
      <c r="BC249" s="89" t="e">
        <f t="shared" si="2256"/>
        <v>#DIV/0!</v>
      </c>
      <c r="BD249" s="89" t="e">
        <f t="shared" si="2256"/>
        <v>#DIV/0!</v>
      </c>
      <c r="BE249" s="89" t="e">
        <f t="shared" si="2256"/>
        <v>#DIV/0!</v>
      </c>
      <c r="BF249" s="89" t="e">
        <f t="shared" si="2256"/>
        <v>#DIV/0!</v>
      </c>
      <c r="BG249" s="89" t="e">
        <f t="shared" si="2256"/>
        <v>#DIV/0!</v>
      </c>
      <c r="BH249" s="89" t="e">
        <f t="shared" si="2256"/>
        <v>#DIV/0!</v>
      </c>
      <c r="BI249" s="89" t="e">
        <f t="shared" si="2256"/>
        <v>#DIV/0!</v>
      </c>
      <c r="BJ249" s="89" t="e">
        <f t="shared" si="2256"/>
        <v>#DIV/0!</v>
      </c>
      <c r="BK249" s="89" t="e">
        <f t="shared" si="2256"/>
        <v>#DIV/0!</v>
      </c>
      <c r="BL249" s="89" t="e">
        <f t="shared" si="2256"/>
        <v>#DIV/0!</v>
      </c>
      <c r="BM249" s="89" t="e">
        <f t="shared" si="2256"/>
        <v>#DIV/0!</v>
      </c>
      <c r="BN249" s="89" t="e">
        <f t="shared" si="2256"/>
        <v>#DIV/0!</v>
      </c>
      <c r="BO249" s="89" t="e">
        <f t="shared" si="2256"/>
        <v>#DIV/0!</v>
      </c>
      <c r="BP249" s="89" t="e">
        <f t="shared" si="2256"/>
        <v>#DIV/0!</v>
      </c>
      <c r="BQ249" s="89" t="e">
        <f t="shared" si="2256"/>
        <v>#DIV/0!</v>
      </c>
      <c r="BR249" s="89" t="e">
        <f t="shared" si="2256"/>
        <v>#DIV/0!</v>
      </c>
      <c r="BS249" s="89" t="e">
        <f t="shared" si="2256"/>
        <v>#DIV/0!</v>
      </c>
      <c r="BT249" s="89" t="e">
        <f t="shared" si="2256"/>
        <v>#DIV/0!</v>
      </c>
      <c r="BU249" s="89" t="e">
        <f t="shared" si="2256"/>
        <v>#DIV/0!</v>
      </c>
      <c r="BV249" s="89" t="e">
        <f t="shared" si="2256"/>
        <v>#DIV/0!</v>
      </c>
      <c r="BW249" s="89" t="e">
        <f t="shared" si="2256"/>
        <v>#DIV/0!</v>
      </c>
      <c r="BX249" s="89" t="e">
        <f t="shared" si="2256"/>
        <v>#DIV/0!</v>
      </c>
      <c r="BY249" s="89" t="e">
        <f t="shared" si="2256"/>
        <v>#DIV/0!</v>
      </c>
      <c r="BZ249" s="89" t="e">
        <f t="shared" si="2256"/>
        <v>#DIV/0!</v>
      </c>
      <c r="CA249" s="89" t="e">
        <f t="shared" si="2256"/>
        <v>#DIV/0!</v>
      </c>
      <c r="CB249" s="89" t="e">
        <f t="shared" si="2256"/>
        <v>#DIV/0!</v>
      </c>
      <c r="CC249" s="89" t="e">
        <f t="shared" si="2256"/>
        <v>#DIV/0!</v>
      </c>
      <c r="CD249" s="89" t="e">
        <f t="shared" si="2256"/>
        <v>#DIV/0!</v>
      </c>
      <c r="CE249" s="89" t="e">
        <f t="shared" si="2256"/>
        <v>#DIV/0!</v>
      </c>
      <c r="CF249" s="89" t="e">
        <f t="shared" si="2256"/>
        <v>#DIV/0!</v>
      </c>
      <c r="CG249" s="89">
        <f t="shared" si="2256"/>
        <v>0</v>
      </c>
      <c r="CH249" s="89">
        <f t="shared" si="2256"/>
        <v>0.32000000000000006</v>
      </c>
      <c r="CI249" s="89">
        <f t="shared" si="2256"/>
        <v>0</v>
      </c>
      <c r="CJ249" s="89">
        <f t="shared" si="2256"/>
        <v>6.9696969696969591E-2</v>
      </c>
      <c r="CK249" s="47">
        <f t="shared" si="2256"/>
        <v>0</v>
      </c>
      <c r="CL249" s="89">
        <f t="shared" si="2256"/>
        <v>-0.32152974504249288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8">F28/E28-1</f>
        <v>#DIV/0!</v>
      </c>
      <c r="G250" s="89">
        <f t="shared" si="2258"/>
        <v>0.41920737785678064</v>
      </c>
      <c r="H250" s="89">
        <f t="shared" si="2258"/>
        <v>0.64842666796135928</v>
      </c>
      <c r="I250" s="89">
        <f t="shared" si="2258"/>
        <v>0.32991173095199677</v>
      </c>
      <c r="J250" s="89">
        <f t="shared" si="2258"/>
        <v>-0.37335660346035016</v>
      </c>
      <c r="K250" s="89">
        <f t="shared" si="2258"/>
        <v>0.56563053891732396</v>
      </c>
      <c r="L250" s="89">
        <f t="shared" si="2258"/>
        <v>-0.2687118946303314</v>
      </c>
      <c r="M250" s="89">
        <f t="shared" si="2258"/>
        <v>-0.15230745739220364</v>
      </c>
      <c r="N250" s="89">
        <f t="shared" si="2258"/>
        <v>0.2604960509907166</v>
      </c>
      <c r="O250" s="89">
        <f t="shared" si="2258"/>
        <v>-2.1275167637683223E-2</v>
      </c>
      <c r="P250" s="89">
        <f t="shared" si="2258"/>
        <v>0.52757133805445022</v>
      </c>
      <c r="Q250" s="89">
        <f t="shared" si="2258"/>
        <v>0.1232637803872898</v>
      </c>
      <c r="R250" s="89">
        <f t="shared" si="2258"/>
        <v>0.21810626858168436</v>
      </c>
      <c r="S250" s="89">
        <f t="shared" si="2258"/>
        <v>0.24998414760886845</v>
      </c>
      <c r="T250" s="89">
        <f t="shared" si="2258"/>
        <v>-6.3205306007691919E-2</v>
      </c>
      <c r="U250" s="89">
        <f t="shared" si="2258"/>
        <v>0.31427220933460953</v>
      </c>
      <c r="V250" s="89">
        <f t="shared" si="2258"/>
        <v>-4.0139682477607797E-2</v>
      </c>
      <c r="W250" s="89">
        <f t="shared" si="2258"/>
        <v>0.5149839921686945</v>
      </c>
      <c r="X250" s="89">
        <f t="shared" si="2258"/>
        <v>1.1448045581839983E-2</v>
      </c>
      <c r="Y250" s="89">
        <f t="shared" si="2258"/>
        <v>0.19859967837186132</v>
      </c>
      <c r="Z250" s="89">
        <f t="shared" si="2258"/>
        <v>0.29180909916114151</v>
      </c>
      <c r="AA250" s="89">
        <f t="shared" si="2258"/>
        <v>4.8573079637477479E-2</v>
      </c>
      <c r="AB250" s="47">
        <f t="shared" si="2258"/>
        <v>7.9872050241254655E-2</v>
      </c>
      <c r="AC250" s="47">
        <f t="shared" si="2258"/>
        <v>7.4818188410325392E-2</v>
      </c>
      <c r="AD250" s="47">
        <f t="shared" si="2258"/>
        <v>7.3810955730968519E-2</v>
      </c>
      <c r="AE250" s="47">
        <f t="shared" si="2258"/>
        <v>7.3637039054759379E-2</v>
      </c>
      <c r="AL250" s="89" t="e">
        <f t="shared" ref="AL250:CW250" si="2259">AL28/AK28-1</f>
        <v>#DIV/0!</v>
      </c>
      <c r="AM250" s="89" t="e">
        <f t="shared" si="2259"/>
        <v>#DIV/0!</v>
      </c>
      <c r="AN250" s="89" t="e">
        <f t="shared" si="2259"/>
        <v>#DIV/0!</v>
      </c>
      <c r="AO250" s="89" t="e">
        <f t="shared" si="2259"/>
        <v>#DIV/0!</v>
      </c>
      <c r="AP250" s="89" t="e">
        <f t="shared" si="2259"/>
        <v>#DIV/0!</v>
      </c>
      <c r="AQ250" s="89" t="e">
        <f t="shared" si="2259"/>
        <v>#DIV/0!</v>
      </c>
      <c r="AR250" s="89" t="e">
        <f t="shared" si="2259"/>
        <v>#DIV/0!</v>
      </c>
      <c r="AS250" s="89" t="e">
        <f t="shared" si="2259"/>
        <v>#DIV/0!</v>
      </c>
      <c r="AT250" s="89" t="e">
        <f t="shared" si="2259"/>
        <v>#DIV/0!</v>
      </c>
      <c r="AU250" s="89" t="e">
        <f t="shared" si="2259"/>
        <v>#DIV/0!</v>
      </c>
      <c r="AV250" s="89" t="e">
        <f t="shared" si="2259"/>
        <v>#DIV/0!</v>
      </c>
      <c r="AW250" s="89" t="e">
        <f t="shared" si="2259"/>
        <v>#DIV/0!</v>
      </c>
      <c r="AX250" s="89" t="e">
        <f t="shared" si="2259"/>
        <v>#DIV/0!</v>
      </c>
      <c r="AY250" s="89" t="e">
        <f t="shared" si="2259"/>
        <v>#DIV/0!</v>
      </c>
      <c r="AZ250" s="89" t="e">
        <f t="shared" si="2259"/>
        <v>#DIV/0!</v>
      </c>
      <c r="BA250" s="89" t="e">
        <f t="shared" si="2259"/>
        <v>#DIV/0!</v>
      </c>
      <c r="BB250" s="89" t="e">
        <f t="shared" si="2259"/>
        <v>#DIV/0!</v>
      </c>
      <c r="BC250" s="89" t="e">
        <f t="shared" si="2259"/>
        <v>#DIV/0!</v>
      </c>
      <c r="BD250" s="89" t="e">
        <f t="shared" si="2259"/>
        <v>#DIV/0!</v>
      </c>
      <c r="BE250" s="89" t="e">
        <f t="shared" si="2259"/>
        <v>#DIV/0!</v>
      </c>
      <c r="BF250" s="89" t="e">
        <f t="shared" si="2259"/>
        <v>#DIV/0!</v>
      </c>
      <c r="BG250" s="89" t="e">
        <f t="shared" si="2259"/>
        <v>#DIV/0!</v>
      </c>
      <c r="BH250" s="89" t="e">
        <f t="shared" si="2259"/>
        <v>#DIV/0!</v>
      </c>
      <c r="BI250" s="89" t="e">
        <f t="shared" si="2259"/>
        <v>#DIV/0!</v>
      </c>
      <c r="BJ250" s="89" t="e">
        <f t="shared" si="2259"/>
        <v>#DIV/0!</v>
      </c>
      <c r="BK250" s="89" t="e">
        <f t="shared" si="2259"/>
        <v>#DIV/0!</v>
      </c>
      <c r="BL250" s="89" t="e">
        <f t="shared" si="2259"/>
        <v>#DIV/0!</v>
      </c>
      <c r="BM250" s="89">
        <f t="shared" si="2259"/>
        <v>2.9638581952120546E-3</v>
      </c>
      <c r="BN250" s="89">
        <f t="shared" si="2259"/>
        <v>0.13919093386888504</v>
      </c>
      <c r="BO250" s="89">
        <f t="shared" si="2259"/>
        <v>-0.35315376575623636</v>
      </c>
      <c r="BP250" s="89">
        <f t="shared" si="2259"/>
        <v>0.4363027565799722</v>
      </c>
      <c r="BQ250" s="89">
        <f t="shared" si="2259"/>
        <v>0.10894551368934691</v>
      </c>
      <c r="BR250" s="89">
        <f t="shared" si="2259"/>
        <v>8.8342418538707612E-2</v>
      </c>
      <c r="BS250" s="89">
        <f t="shared" si="2259"/>
        <v>4.3202389776070715E-2</v>
      </c>
      <c r="BT250" s="89">
        <f t="shared" si="2259"/>
        <v>0.13837425855554275</v>
      </c>
      <c r="BU250" s="89">
        <f t="shared" si="2259"/>
        <v>7.1652150888440902E-2</v>
      </c>
      <c r="BV250" s="89">
        <f t="shared" si="2259"/>
        <v>-1.0218488581412499E-2</v>
      </c>
      <c r="BW250" s="89">
        <f t="shared" si="2259"/>
        <v>-0.12742720610523695</v>
      </c>
      <c r="BX250" s="89">
        <f t="shared" si="2259"/>
        <v>8.3690088175492949E-2</v>
      </c>
      <c r="BY250" s="89">
        <f t="shared" si="2259"/>
        <v>2.0195353748680089E-2</v>
      </c>
      <c r="BZ250" s="89">
        <f t="shared" si="2259"/>
        <v>8.1603607933014022E-3</v>
      </c>
      <c r="CA250" s="89">
        <f t="shared" si="2259"/>
        <v>8.8459881381255379E-3</v>
      </c>
      <c r="CB250" s="89">
        <f t="shared" si="2259"/>
        <v>0.10960982790266649</v>
      </c>
      <c r="CC250" s="89">
        <f t="shared" si="2259"/>
        <v>5.9459370931155942E-2</v>
      </c>
      <c r="CD250" s="89">
        <f t="shared" si="2259"/>
        <v>0.10792406746123784</v>
      </c>
      <c r="CE250" s="89">
        <f t="shared" si="2259"/>
        <v>4.5081309604369846E-2</v>
      </c>
      <c r="CF250" s="89">
        <f t="shared" si="2259"/>
        <v>0.13618552365439962</v>
      </c>
      <c r="CG250" s="89">
        <f t="shared" si="2259"/>
        <v>1.5410918662310813E-2</v>
      </c>
      <c r="CH250" s="89">
        <f t="shared" si="2259"/>
        <v>-7.778877143038998E-2</v>
      </c>
      <c r="CI250" s="89">
        <f t="shared" si="2259"/>
        <v>-3.201721639070676E-2</v>
      </c>
      <c r="CJ250" s="89">
        <f t="shared" si="2259"/>
        <v>8.6394866476536158E-2</v>
      </c>
      <c r="CK250" s="47">
        <f t="shared" si="2259"/>
        <v>6.7359151358220792E-2</v>
      </c>
      <c r="CL250" s="89">
        <f t="shared" si="2259"/>
        <v>2.3566369851145019E-2</v>
      </c>
      <c r="CM250" s="47">
        <f t="shared" si="2259"/>
        <v>-7.0754264384353283E-2</v>
      </c>
      <c r="CN250" s="47">
        <f t="shared" si="2259"/>
        <v>7.2014862724362416E-2</v>
      </c>
      <c r="CO250" s="47">
        <f t="shared" si="2259"/>
        <v>4.9262143584769769E-2</v>
      </c>
      <c r="CP250" s="47">
        <f t="shared" si="2259"/>
        <v>1.6482575307418257E-2</v>
      </c>
      <c r="CQ250" s="47">
        <f t="shared" si="2259"/>
        <v>-5.4992314541636667E-2</v>
      </c>
      <c r="CR250" s="47">
        <f t="shared" si="2259"/>
        <v>6.6692758357422832E-2</v>
      </c>
      <c r="CS250" s="47">
        <f t="shared" si="2259"/>
        <v>4.6130004100387367E-2</v>
      </c>
      <c r="CT250" s="47">
        <f t="shared" si="2259"/>
        <v>1.6969546809600944E-2</v>
      </c>
      <c r="CU250" s="47">
        <f t="shared" si="2259"/>
        <v>-5.2752847905410793E-2</v>
      </c>
      <c r="CV250" s="47">
        <f t="shared" si="2259"/>
        <v>6.533927073478063E-2</v>
      </c>
      <c r="CW250" s="47">
        <f t="shared" si="2259"/>
        <v>4.576126119562729E-2</v>
      </c>
      <c r="CX250" s="47">
        <f t="shared" ref="CX250:DB250" si="2260">CX28/CW28-1</f>
        <v>1.7281395230951624E-2</v>
      </c>
      <c r="CY250" s="47">
        <f t="shared" si="2260"/>
        <v>-5.2503457697041345E-2</v>
      </c>
      <c r="CZ250" s="47">
        <f t="shared" si="2260"/>
        <v>6.5059497761317031E-2</v>
      </c>
      <c r="DA250" s="47">
        <f t="shared" si="2260"/>
        <v>4.574940380053194E-2</v>
      </c>
      <c r="DB250" s="47">
        <f t="shared" si="2260"/>
        <v>1.7356677546037869E-2</v>
      </c>
      <c r="DE250" s="130"/>
      <c r="DF250" s="89">
        <v>-4.349374562861541E-2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e">
        <f t="shared" si="2261"/>
        <v>#DIV/0!</v>
      </c>
      <c r="G251" s="103" t="e">
        <f t="shared" si="2261"/>
        <v>#DIV/0!</v>
      </c>
      <c r="H251" s="103" t="e">
        <f t="shared" si="2261"/>
        <v>#DIV/0!</v>
      </c>
      <c r="I251" s="103" t="e">
        <f t="shared" si="2261"/>
        <v>#DIV/0!</v>
      </c>
      <c r="J251" s="103" t="e">
        <f t="shared" si="2261"/>
        <v>#DIV/0!</v>
      </c>
      <c r="K251" s="103" t="e">
        <f t="shared" si="2261"/>
        <v>#DIV/0!</v>
      </c>
      <c r="L251" s="103" t="e">
        <f t="shared" si="2261"/>
        <v>#DIV/0!</v>
      </c>
      <c r="M251" s="103" t="e">
        <f t="shared" si="2261"/>
        <v>#DIV/0!</v>
      </c>
      <c r="N251" s="103" t="e">
        <f t="shared" si="2261"/>
        <v>#DIV/0!</v>
      </c>
      <c r="O251" s="103" t="e">
        <f t="shared" si="2261"/>
        <v>#DIV/0!</v>
      </c>
      <c r="P251" s="103" t="e">
        <f t="shared" si="2261"/>
        <v>#DIV/0!</v>
      </c>
      <c r="Q251" s="103" t="e">
        <f t="shared" si="2261"/>
        <v>#DIV/0!</v>
      </c>
      <c r="R251" s="103" t="e">
        <f t="shared" si="2261"/>
        <v>#DIV/0!</v>
      </c>
      <c r="S251" s="103" t="e">
        <f t="shared" si="2261"/>
        <v>#DIV/0!</v>
      </c>
      <c r="T251" s="103" t="e">
        <f t="shared" si="2261"/>
        <v>#DIV/0!</v>
      </c>
      <c r="U251" s="103" t="e">
        <f t="shared" si="2261"/>
        <v>#DIV/0!</v>
      </c>
      <c r="V251" s="103" t="e">
        <f>IF(V249&gt;V250,"RF",0)</f>
        <v>#DIV/0!</v>
      </c>
      <c r="W251" s="103" t="e">
        <f t="shared" ref="W251:AE251" si="2262">IF(W249&gt;W250,"RF",0)</f>
        <v>#DIV/0!</v>
      </c>
      <c r="X251" s="103" t="e">
        <f t="shared" si="2262"/>
        <v>#DIV/0!</v>
      </c>
      <c r="Y251" s="103" t="e">
        <f t="shared" si="2262"/>
        <v>#DIV/0!</v>
      </c>
      <c r="Z251" s="103" t="e">
        <f t="shared" si="2262"/>
        <v>#DIV/0!</v>
      </c>
      <c r="AA251" s="103">
        <f t="shared" ref="AA251" si="2263">IF(AA249&gt;AA250,"RF",0)</f>
        <v>0</v>
      </c>
      <c r="AB251" s="73">
        <f t="shared" si="2262"/>
        <v>0</v>
      </c>
      <c r="AC251" s="73">
        <f t="shared" si="2262"/>
        <v>0</v>
      </c>
      <c r="AD251" s="73">
        <f t="shared" si="2262"/>
        <v>0</v>
      </c>
      <c r="AE251" s="73">
        <f t="shared" si="2262"/>
        <v>0</v>
      </c>
      <c r="AL251" s="103" t="e">
        <f t="shared" ref="AL251:CW251" si="2264">IF(AL249&gt;AL250,"RF",0)</f>
        <v>#DIV/0!</v>
      </c>
      <c r="AM251" s="103" t="e">
        <f t="shared" si="2264"/>
        <v>#DIV/0!</v>
      </c>
      <c r="AN251" s="103" t="e">
        <f t="shared" si="2264"/>
        <v>#DIV/0!</v>
      </c>
      <c r="AO251" s="103" t="e">
        <f t="shared" si="2264"/>
        <v>#DIV/0!</v>
      </c>
      <c r="AP251" s="103" t="e">
        <f t="shared" si="2264"/>
        <v>#DIV/0!</v>
      </c>
      <c r="AQ251" s="103" t="e">
        <f t="shared" si="2264"/>
        <v>#DIV/0!</v>
      </c>
      <c r="AR251" s="103" t="e">
        <f t="shared" si="2264"/>
        <v>#DIV/0!</v>
      </c>
      <c r="AS251" s="103" t="e">
        <f t="shared" si="2264"/>
        <v>#DIV/0!</v>
      </c>
      <c r="AT251" s="103" t="e">
        <f t="shared" si="2264"/>
        <v>#DIV/0!</v>
      </c>
      <c r="AU251" s="103" t="e">
        <f t="shared" si="2264"/>
        <v>#DIV/0!</v>
      </c>
      <c r="AV251" s="103" t="e">
        <f t="shared" si="2264"/>
        <v>#DIV/0!</v>
      </c>
      <c r="AW251" s="103" t="e">
        <f t="shared" si="2264"/>
        <v>#DIV/0!</v>
      </c>
      <c r="AX251" s="103" t="e">
        <f t="shared" si="2264"/>
        <v>#DIV/0!</v>
      </c>
      <c r="AY251" s="103" t="e">
        <f t="shared" si="2264"/>
        <v>#DIV/0!</v>
      </c>
      <c r="AZ251" s="103" t="e">
        <f t="shared" si="2264"/>
        <v>#DIV/0!</v>
      </c>
      <c r="BA251" s="103" t="e">
        <f t="shared" si="2264"/>
        <v>#DIV/0!</v>
      </c>
      <c r="BB251" s="103" t="e">
        <f t="shared" si="2264"/>
        <v>#DIV/0!</v>
      </c>
      <c r="BC251" s="103" t="e">
        <f t="shared" si="2264"/>
        <v>#DIV/0!</v>
      </c>
      <c r="BD251" s="103" t="e">
        <f t="shared" si="2264"/>
        <v>#DIV/0!</v>
      </c>
      <c r="BE251" s="103" t="e">
        <f t="shared" si="2264"/>
        <v>#DIV/0!</v>
      </c>
      <c r="BF251" s="103" t="e">
        <f t="shared" si="2264"/>
        <v>#DIV/0!</v>
      </c>
      <c r="BG251" s="103" t="e">
        <f t="shared" si="2264"/>
        <v>#DIV/0!</v>
      </c>
      <c r="BH251" s="103" t="e">
        <f t="shared" si="2264"/>
        <v>#DIV/0!</v>
      </c>
      <c r="BI251" s="103" t="e">
        <f t="shared" si="2264"/>
        <v>#DIV/0!</v>
      </c>
      <c r="BJ251" s="103" t="e">
        <f t="shared" si="2264"/>
        <v>#DIV/0!</v>
      </c>
      <c r="BK251" s="103" t="e">
        <f t="shared" si="2264"/>
        <v>#DIV/0!</v>
      </c>
      <c r="BL251" s="103" t="e">
        <f t="shared" si="2264"/>
        <v>#DIV/0!</v>
      </c>
      <c r="BM251" s="103" t="e">
        <f t="shared" si="2264"/>
        <v>#DIV/0!</v>
      </c>
      <c r="BN251" s="103" t="e">
        <f t="shared" si="2264"/>
        <v>#DIV/0!</v>
      </c>
      <c r="BO251" s="103" t="e">
        <f t="shared" si="2264"/>
        <v>#DIV/0!</v>
      </c>
      <c r="BP251" s="103" t="e">
        <f t="shared" si="2264"/>
        <v>#DIV/0!</v>
      </c>
      <c r="BQ251" s="103" t="e">
        <f t="shared" si="2264"/>
        <v>#DIV/0!</v>
      </c>
      <c r="BR251" s="103" t="e">
        <f t="shared" si="2264"/>
        <v>#DIV/0!</v>
      </c>
      <c r="BS251" s="103" t="e">
        <f t="shared" si="2264"/>
        <v>#DIV/0!</v>
      </c>
      <c r="BT251" s="103" t="e">
        <f t="shared" si="2264"/>
        <v>#DIV/0!</v>
      </c>
      <c r="BU251" s="103" t="e">
        <f t="shared" si="2264"/>
        <v>#DIV/0!</v>
      </c>
      <c r="BV251" s="103" t="e">
        <f t="shared" si="2264"/>
        <v>#DIV/0!</v>
      </c>
      <c r="BW251" s="103" t="e">
        <f t="shared" si="2264"/>
        <v>#DIV/0!</v>
      </c>
      <c r="BX251" s="103" t="e">
        <f t="shared" si="2264"/>
        <v>#DIV/0!</v>
      </c>
      <c r="BY251" s="103" t="e">
        <f t="shared" si="2264"/>
        <v>#DIV/0!</v>
      </c>
      <c r="BZ251" s="103" t="e">
        <f t="shared" si="2264"/>
        <v>#DIV/0!</v>
      </c>
      <c r="CA251" s="103" t="e">
        <f t="shared" si="2264"/>
        <v>#DIV/0!</v>
      </c>
      <c r="CB251" s="103" t="e">
        <f t="shared" si="2264"/>
        <v>#DIV/0!</v>
      </c>
      <c r="CC251" s="103" t="e">
        <f t="shared" si="2264"/>
        <v>#DIV/0!</v>
      </c>
      <c r="CD251" s="103" t="e">
        <f t="shared" si="2264"/>
        <v>#DIV/0!</v>
      </c>
      <c r="CE251" s="103" t="e">
        <f t="shared" si="2264"/>
        <v>#DIV/0!</v>
      </c>
      <c r="CF251" s="103" t="e">
        <f t="shared" si="2264"/>
        <v>#DIV/0!</v>
      </c>
      <c r="CG251" s="103">
        <f t="shared" si="2264"/>
        <v>0</v>
      </c>
      <c r="CH251" s="103" t="str">
        <f t="shared" si="2264"/>
        <v>RF</v>
      </c>
      <c r="CI251" s="103" t="str">
        <f t="shared" si="2264"/>
        <v>RF</v>
      </c>
      <c r="CJ251" s="103">
        <f t="shared" si="2264"/>
        <v>0</v>
      </c>
      <c r="CK251" s="73">
        <f t="shared" si="2264"/>
        <v>0</v>
      </c>
      <c r="CL251" s="103">
        <f t="shared" ref="CL251" si="2265">IF(CL249&gt;CL250,"RF",0)</f>
        <v>0</v>
      </c>
      <c r="CM251" s="73" t="str">
        <f t="shared" si="2264"/>
        <v>RF</v>
      </c>
      <c r="CN251" s="73">
        <f t="shared" si="2264"/>
        <v>0</v>
      </c>
      <c r="CO251" s="73">
        <f t="shared" si="2264"/>
        <v>0</v>
      </c>
      <c r="CP251" s="73">
        <f t="shared" si="2264"/>
        <v>0</v>
      </c>
      <c r="CQ251" s="73" t="str">
        <f t="shared" si="2264"/>
        <v>RF</v>
      </c>
      <c r="CR251" s="73">
        <f t="shared" si="2264"/>
        <v>0</v>
      </c>
      <c r="CS251" s="73">
        <f t="shared" si="2264"/>
        <v>0</v>
      </c>
      <c r="CT251" s="73">
        <f t="shared" si="2264"/>
        <v>0</v>
      </c>
      <c r="CU251" s="73" t="str">
        <f t="shared" si="2264"/>
        <v>RF</v>
      </c>
      <c r="CV251" s="73">
        <f t="shared" si="2264"/>
        <v>0</v>
      </c>
      <c r="CW251" s="73">
        <f t="shared" si="2264"/>
        <v>0</v>
      </c>
      <c r="CX251" s="73">
        <f t="shared" ref="CX251:DB251" si="2266">IF(CX249&gt;CX250,"RF",0)</f>
        <v>0</v>
      </c>
      <c r="CY251" s="73" t="str">
        <f t="shared" si="2266"/>
        <v>RF</v>
      </c>
      <c r="CZ251" s="73">
        <f t="shared" si="2266"/>
        <v>0</v>
      </c>
      <c r="DA251" s="73">
        <f t="shared" si="2266"/>
        <v>0</v>
      </c>
      <c r="DB251" s="73">
        <f t="shared" si="2266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>
        <f t="shared" ref="F252:AE252" si="2267">F36/F8</f>
        <v>3.289762395750456E-4</v>
      </c>
      <c r="G252" s="86">
        <f t="shared" si="2267"/>
        <v>0</v>
      </c>
      <c r="H252" s="86">
        <f t="shared" si="2267"/>
        <v>0</v>
      </c>
      <c r="I252" s="86">
        <f t="shared" si="2267"/>
        <v>0</v>
      </c>
      <c r="J252" s="86">
        <f t="shared" si="2267"/>
        <v>0</v>
      </c>
      <c r="K252" s="86">
        <f t="shared" si="2267"/>
        <v>0</v>
      </c>
      <c r="L252" s="86">
        <f t="shared" si="2267"/>
        <v>0</v>
      </c>
      <c r="M252" s="86">
        <f t="shared" si="2267"/>
        <v>0</v>
      </c>
      <c r="N252" s="86">
        <f t="shared" si="2267"/>
        <v>0</v>
      </c>
      <c r="O252" s="86">
        <f t="shared" si="2267"/>
        <v>3.7430951187604944E-4</v>
      </c>
      <c r="P252" s="86">
        <f t="shared" si="2267"/>
        <v>3.6569885494292962E-4</v>
      </c>
      <c r="Q252" s="86">
        <f t="shared" si="2267"/>
        <v>2.7640900994358735E-3</v>
      </c>
      <c r="R252" s="86">
        <f t="shared" si="2267"/>
        <v>2.067703166471012E-4</v>
      </c>
      <c r="S252" s="86">
        <f t="shared" si="2267"/>
        <v>4.380113412203433E-4</v>
      </c>
      <c r="T252" s="86">
        <f t="shared" si="2267"/>
        <v>4.0092618128696874E-4</v>
      </c>
      <c r="U252" s="86">
        <f t="shared" si="2267"/>
        <v>1.3898634120697244E-2</v>
      </c>
      <c r="V252" s="86">
        <f t="shared" si="2267"/>
        <v>1.120346853943E-2</v>
      </c>
      <c r="W252" s="86">
        <f t="shared" si="2267"/>
        <v>7.8423160110699785E-3</v>
      </c>
      <c r="X252" s="86">
        <f t="shared" si="2267"/>
        <v>7.8280377416890586E-3</v>
      </c>
      <c r="Y252" s="86">
        <f t="shared" si="2267"/>
        <v>7.2268976622545649E-3</v>
      </c>
      <c r="Z252" s="86">
        <f t="shared" si="2267"/>
        <v>5.9565549908389085E-3</v>
      </c>
      <c r="AA252" s="86">
        <f t="shared" ref="AA252" si="2268">AA36/AA8</f>
        <v>4.6059057582230889E-3</v>
      </c>
      <c r="AB252" s="87">
        <f t="shared" si="2267"/>
        <v>-3.1211295591400338E-2</v>
      </c>
      <c r="AC252" s="87">
        <f t="shared" si="2267"/>
        <v>-4.6426326858412512E-2</v>
      </c>
      <c r="AD252" s="87">
        <f t="shared" si="2267"/>
        <v>-6.075453768039548E-2</v>
      </c>
      <c r="AE252" s="87">
        <f t="shared" si="2267"/>
        <v>-7.4402671014931393E-2</v>
      </c>
      <c r="AL252" s="86" t="e">
        <f t="shared" ref="AL252:CW252" si="2269">AL36/AL8</f>
        <v>#DIV/0!</v>
      </c>
      <c r="AM252" s="86" t="e">
        <f t="shared" si="2269"/>
        <v>#DIV/0!</v>
      </c>
      <c r="AN252" s="86" t="e">
        <f t="shared" si="2269"/>
        <v>#DIV/0!</v>
      </c>
      <c r="AO252" s="86" t="e">
        <f t="shared" si="2269"/>
        <v>#DIV/0!</v>
      </c>
      <c r="AP252" s="86" t="e">
        <f t="shared" si="2269"/>
        <v>#DIV/0!</v>
      </c>
      <c r="AQ252" s="86" t="e">
        <f t="shared" si="2269"/>
        <v>#DIV/0!</v>
      </c>
      <c r="AR252" s="86" t="e">
        <f t="shared" si="2269"/>
        <v>#DIV/0!</v>
      </c>
      <c r="AS252" s="86" t="e">
        <f t="shared" si="2269"/>
        <v>#DIV/0!</v>
      </c>
      <c r="AT252" s="86" t="e">
        <f t="shared" si="2269"/>
        <v>#DIV/0!</v>
      </c>
      <c r="AU252" s="86" t="e">
        <f t="shared" si="2269"/>
        <v>#DIV/0!</v>
      </c>
      <c r="AV252" s="86" t="e">
        <f t="shared" si="2269"/>
        <v>#DIV/0!</v>
      </c>
      <c r="AW252" s="86" t="e">
        <f t="shared" si="2269"/>
        <v>#DIV/0!</v>
      </c>
      <c r="AX252" s="86" t="e">
        <f t="shared" si="2269"/>
        <v>#DIV/0!</v>
      </c>
      <c r="AY252" s="86" t="e">
        <f t="shared" si="2269"/>
        <v>#DIV/0!</v>
      </c>
      <c r="AZ252" s="86" t="e">
        <f t="shared" si="2269"/>
        <v>#DIV/0!</v>
      </c>
      <c r="BA252" s="86" t="e">
        <f t="shared" si="2269"/>
        <v>#DIV/0!</v>
      </c>
      <c r="BB252" s="86" t="e">
        <f t="shared" si="2269"/>
        <v>#DIV/0!</v>
      </c>
      <c r="BC252" s="86" t="e">
        <f t="shared" si="2269"/>
        <v>#DIV/0!</v>
      </c>
      <c r="BD252" s="86" t="e">
        <f t="shared" si="2269"/>
        <v>#DIV/0!</v>
      </c>
      <c r="BE252" s="86" t="e">
        <f t="shared" si="2269"/>
        <v>#DIV/0!</v>
      </c>
      <c r="BF252" s="86" t="e">
        <f t="shared" si="2269"/>
        <v>#DIV/0!</v>
      </c>
      <c r="BG252" s="86" t="e">
        <f t="shared" si="2269"/>
        <v>#DIV/0!</v>
      </c>
      <c r="BH252" s="86" t="e">
        <f t="shared" si="2269"/>
        <v>#DIV/0!</v>
      </c>
      <c r="BI252" s="86" t="e">
        <f t="shared" si="2269"/>
        <v>#DIV/0!</v>
      </c>
      <c r="BJ252" s="86" t="e">
        <f t="shared" si="2269"/>
        <v>#DIV/0!</v>
      </c>
      <c r="BK252" s="86" t="e">
        <f t="shared" si="2269"/>
        <v>#DIV/0!</v>
      </c>
      <c r="BL252" s="86">
        <f t="shared" si="2269"/>
        <v>1.4980411558618628E-2</v>
      </c>
      <c r="BM252" s="86">
        <f t="shared" si="2269"/>
        <v>1.4497364115615342E-2</v>
      </c>
      <c r="BN252" s="86">
        <f t="shared" si="2269"/>
        <v>1.3910107859125113E-2</v>
      </c>
      <c r="BO252" s="86">
        <f t="shared" si="2269"/>
        <v>1.5804878048780488E-2</v>
      </c>
      <c r="BP252" s="86">
        <f t="shared" si="2269"/>
        <v>1.1399756929836862E-2</v>
      </c>
      <c r="BQ252" s="86">
        <f t="shared" si="2269"/>
        <v>9.9917721144590303E-3</v>
      </c>
      <c r="BR252" s="86">
        <f t="shared" si="2269"/>
        <v>8.7399198089831969E-3</v>
      </c>
      <c r="BS252" s="86">
        <f t="shared" si="2269"/>
        <v>8.967272438064184E-3</v>
      </c>
      <c r="BT252" s="86">
        <f t="shared" si="2269"/>
        <v>7.7637568322817619E-3</v>
      </c>
      <c r="BU252" s="86">
        <f t="shared" si="2269"/>
        <v>7.4586053712054927E-3</v>
      </c>
      <c r="BV252" s="86">
        <f t="shared" si="2269"/>
        <v>7.3606816237910388E-3</v>
      </c>
      <c r="BW252" s="86">
        <f t="shared" si="2269"/>
        <v>7.4964292656541842E-3</v>
      </c>
      <c r="BX252" s="86">
        <f t="shared" si="2269"/>
        <v>7.4720468704872712E-3</v>
      </c>
      <c r="BY252" s="86">
        <f t="shared" si="2269"/>
        <v>8.1700688092227348E-3</v>
      </c>
      <c r="BZ252" s="86">
        <f t="shared" si="2269"/>
        <v>8.1528171754821684E-3</v>
      </c>
      <c r="CA252" s="86">
        <f t="shared" si="2269"/>
        <v>7.7420885652069093E-3</v>
      </c>
      <c r="CB252" s="86">
        <f t="shared" si="2269"/>
        <v>7.1578396338559634E-3</v>
      </c>
      <c r="CC252" s="86">
        <f t="shared" si="2269"/>
        <v>7.3046624182713221E-3</v>
      </c>
      <c r="CD252" s="86">
        <f t="shared" si="2269"/>
        <v>6.7835044240946466E-3</v>
      </c>
      <c r="CE252" s="86">
        <f t="shared" si="2269"/>
        <v>6.4393093584227011E-3</v>
      </c>
      <c r="CF252" s="86">
        <f t="shared" si="2269"/>
        <v>5.9150208668791691E-3</v>
      </c>
      <c r="CG252" s="86">
        <f t="shared" si="2269"/>
        <v>5.8067360301614903E-3</v>
      </c>
      <c r="CH252" s="86">
        <f t="shared" si="2269"/>
        <v>5.7052048763778689E-3</v>
      </c>
      <c r="CI252" s="86">
        <f t="shared" si="2269"/>
        <v>5.4694029682170369E-3</v>
      </c>
      <c r="CJ252" s="86">
        <f t="shared" si="2269"/>
        <v>4.8893395410072784E-3</v>
      </c>
      <c r="CK252" s="87">
        <f t="shared" si="2269"/>
        <v>4.3035943599588865E-3</v>
      </c>
      <c r="CL252" s="86">
        <f t="shared" ref="CL252" si="2270">CL36/CL8</f>
        <v>3.8611406305348915E-3</v>
      </c>
      <c r="CM252" s="87">
        <f t="shared" si="2269"/>
        <v>-2.6518807551756497E-2</v>
      </c>
      <c r="CN252" s="87">
        <f t="shared" si="2269"/>
        <v>-2.9203762309177463E-2</v>
      </c>
      <c r="CO252" s="87">
        <f t="shared" si="2269"/>
        <v>-3.2297073551664619E-2</v>
      </c>
      <c r="CP252" s="87">
        <f t="shared" si="2269"/>
        <v>-3.618982853515143E-2</v>
      </c>
      <c r="CQ252" s="87">
        <f t="shared" si="2269"/>
        <v>-4.2918251953456825E-2</v>
      </c>
      <c r="CR252" s="87">
        <f t="shared" si="2269"/>
        <v>-4.4608503683274341E-2</v>
      </c>
      <c r="CS252" s="87">
        <f t="shared" si="2269"/>
        <v>-4.700701444957487E-2</v>
      </c>
      <c r="CT252" s="87">
        <f t="shared" si="2269"/>
        <v>-5.0662441895408278E-2</v>
      </c>
      <c r="CU252" s="87">
        <f t="shared" si="2269"/>
        <v>-5.8274287088706245E-2</v>
      </c>
      <c r="CV252" s="87">
        <f t="shared" si="2269"/>
        <v>-5.9074785540278368E-2</v>
      </c>
      <c r="CW252" s="87">
        <f t="shared" si="2269"/>
        <v>-6.089392179090887E-2</v>
      </c>
      <c r="CX252" s="87">
        <f t="shared" ref="CX252:DB252" si="2271">CX36/CX8</f>
        <v>-6.438548951437241E-2</v>
      </c>
      <c r="CY252" s="87">
        <f t="shared" si="2271"/>
        <v>-7.2848369974651286E-2</v>
      </c>
      <c r="CZ252" s="87">
        <f t="shared" si="2271"/>
        <v>-7.2840195416208856E-2</v>
      </c>
      <c r="DA252" s="87">
        <f t="shared" si="2271"/>
        <v>-7.4142170350723555E-2</v>
      </c>
      <c r="DB252" s="87">
        <f t="shared" si="2271"/>
        <v>-7.7499058828168044E-2</v>
      </c>
      <c r="DE252" s="141"/>
      <c r="DF252" s="86">
        <v>-3.463335265014595E-2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>
        <f t="shared" ref="F253:AE253" si="2272">F32/F8</f>
        <v>4.9262049687803275E-2</v>
      </c>
      <c r="G253" s="86">
        <f t="shared" si="2272"/>
        <v>3.6411924200593145E-2</v>
      </c>
      <c r="H253" s="86">
        <f t="shared" si="2272"/>
        <v>4.1776508762924394E-2</v>
      </c>
      <c r="I253" s="86">
        <f t="shared" si="2272"/>
        <v>2.6675028906326625E-2</v>
      </c>
      <c r="J253" s="86">
        <f t="shared" si="2272"/>
        <v>0</v>
      </c>
      <c r="K253" s="86">
        <f t="shared" si="2272"/>
        <v>0</v>
      </c>
      <c r="L253" s="86">
        <f t="shared" si="2272"/>
        <v>0</v>
      </c>
      <c r="M253" s="86">
        <f t="shared" si="2272"/>
        <v>0</v>
      </c>
      <c r="N253" s="86">
        <f t="shared" si="2272"/>
        <v>0</v>
      </c>
      <c r="O253" s="86">
        <f t="shared" si="2272"/>
        <v>3.5081619302578443E-2</v>
      </c>
      <c r="P253" s="86">
        <f t="shared" si="2272"/>
        <v>6.1830214597196918E-2</v>
      </c>
      <c r="Q253" s="86">
        <f t="shared" si="2272"/>
        <v>4.6417061716183566E-2</v>
      </c>
      <c r="R253" s="86">
        <f t="shared" si="2272"/>
        <v>3.5373822543400338E-2</v>
      </c>
      <c r="S253" s="86">
        <f t="shared" si="2272"/>
        <v>3.5330524760968172E-2</v>
      </c>
      <c r="T253" s="86">
        <f t="shared" si="2272"/>
        <v>4.0995963490776749E-2</v>
      </c>
      <c r="U253" s="86">
        <f t="shared" si="2272"/>
        <v>7.3254159091828405E-2</v>
      </c>
      <c r="V253" s="86">
        <f t="shared" si="2272"/>
        <v>6.1535731325402646E-2</v>
      </c>
      <c r="W253" s="86">
        <f t="shared" si="2272"/>
        <v>5.6747877658595035E-2</v>
      </c>
      <c r="X253" s="86">
        <f t="shared" si="2272"/>
        <v>6.1996618328855176E-2</v>
      </c>
      <c r="Y253" s="86">
        <f t="shared" si="2272"/>
        <v>6.2012034828129885E-2</v>
      </c>
      <c r="Z253" s="86">
        <f t="shared" si="2272"/>
        <v>5.4636915596829851E-2</v>
      </c>
      <c r="AA253" s="86">
        <f t="shared" ref="AA253" si="2273">AA32/AA8</f>
        <v>6.5143455989088869E-2</v>
      </c>
      <c r="AB253" s="87">
        <f t="shared" si="2272"/>
        <v>7.6885227039303533E-2</v>
      </c>
      <c r="AC253" s="87">
        <f t="shared" si="2272"/>
        <v>3.8078801806287706E-2</v>
      </c>
      <c r="AD253" s="87">
        <f t="shared" si="2272"/>
        <v>1.8852428865491377E-2</v>
      </c>
      <c r="AE253" s="87">
        <f t="shared" si="2272"/>
        <v>9.3330027422952044E-3</v>
      </c>
      <c r="AL253" s="86" t="e">
        <f t="shared" ref="AL253:CW253" si="2274">AL32/AL8</f>
        <v>#DIV/0!</v>
      </c>
      <c r="AM253" s="86" t="e">
        <f t="shared" si="2274"/>
        <v>#DIV/0!</v>
      </c>
      <c r="AN253" s="86" t="e">
        <f t="shared" si="2274"/>
        <v>#DIV/0!</v>
      </c>
      <c r="AO253" s="86" t="e">
        <f t="shared" si="2274"/>
        <v>#DIV/0!</v>
      </c>
      <c r="AP253" s="86" t="e">
        <f t="shared" si="2274"/>
        <v>#DIV/0!</v>
      </c>
      <c r="AQ253" s="86" t="e">
        <f t="shared" si="2274"/>
        <v>#DIV/0!</v>
      </c>
      <c r="AR253" s="86" t="e">
        <f t="shared" si="2274"/>
        <v>#DIV/0!</v>
      </c>
      <c r="AS253" s="86" t="e">
        <f t="shared" si="2274"/>
        <v>#DIV/0!</v>
      </c>
      <c r="AT253" s="86" t="e">
        <f t="shared" si="2274"/>
        <v>#DIV/0!</v>
      </c>
      <c r="AU253" s="86" t="e">
        <f t="shared" si="2274"/>
        <v>#DIV/0!</v>
      </c>
      <c r="AV253" s="86" t="e">
        <f t="shared" si="2274"/>
        <v>#DIV/0!</v>
      </c>
      <c r="AW253" s="86" t="e">
        <f t="shared" si="2274"/>
        <v>#DIV/0!</v>
      </c>
      <c r="AX253" s="86" t="e">
        <f t="shared" si="2274"/>
        <v>#DIV/0!</v>
      </c>
      <c r="AY253" s="86" t="e">
        <f t="shared" si="2274"/>
        <v>#DIV/0!</v>
      </c>
      <c r="AZ253" s="86" t="e">
        <f t="shared" si="2274"/>
        <v>#DIV/0!</v>
      </c>
      <c r="BA253" s="86" t="e">
        <f t="shared" si="2274"/>
        <v>#DIV/0!</v>
      </c>
      <c r="BB253" s="86" t="e">
        <f t="shared" si="2274"/>
        <v>#DIV/0!</v>
      </c>
      <c r="BC253" s="86" t="e">
        <f t="shared" si="2274"/>
        <v>#DIV/0!</v>
      </c>
      <c r="BD253" s="86" t="e">
        <f t="shared" si="2274"/>
        <v>#DIV/0!</v>
      </c>
      <c r="BE253" s="86" t="e">
        <f t="shared" si="2274"/>
        <v>#DIV/0!</v>
      </c>
      <c r="BF253" s="86" t="e">
        <f t="shared" si="2274"/>
        <v>#DIV/0!</v>
      </c>
      <c r="BG253" s="86" t="e">
        <f t="shared" si="2274"/>
        <v>#DIV/0!</v>
      </c>
      <c r="BH253" s="86" t="e">
        <f t="shared" si="2274"/>
        <v>#DIV/0!</v>
      </c>
      <c r="BI253" s="86" t="e">
        <f t="shared" si="2274"/>
        <v>#DIV/0!</v>
      </c>
      <c r="BJ253" s="86" t="e">
        <f t="shared" si="2274"/>
        <v>#DIV/0!</v>
      </c>
      <c r="BK253" s="86" t="e">
        <f t="shared" si="2274"/>
        <v>#DIV/0!</v>
      </c>
      <c r="BL253" s="86">
        <f t="shared" si="2274"/>
        <v>7.8066123214460353E-2</v>
      </c>
      <c r="BM253" s="86">
        <f t="shared" si="2274"/>
        <v>7.3185557171423374E-2</v>
      </c>
      <c r="BN253" s="86">
        <f t="shared" si="2274"/>
        <v>7.5392670157068076E-2</v>
      </c>
      <c r="BO253" s="86">
        <f t="shared" si="2274"/>
        <v>7.5747687132043731E-2</v>
      </c>
      <c r="BP253" s="86">
        <f t="shared" si="2274"/>
        <v>6.3098910858692084E-2</v>
      </c>
      <c r="BQ253" s="86">
        <f t="shared" si="2274"/>
        <v>5.7853328529252013E-2</v>
      </c>
      <c r="BR253" s="86">
        <f t="shared" si="2274"/>
        <v>5.3050211990609344E-2</v>
      </c>
      <c r="BS253" s="86">
        <f t="shared" si="2274"/>
        <v>5.279456794050981E-2</v>
      </c>
      <c r="BT253" s="86">
        <f t="shared" si="2274"/>
        <v>5.2276841420763102E-2</v>
      </c>
      <c r="BU253" s="86">
        <f t="shared" si="2274"/>
        <v>5.6442249444706202E-2</v>
      </c>
      <c r="BV253" s="86">
        <f t="shared" si="2274"/>
        <v>6.4502598855187845E-2</v>
      </c>
      <c r="BW253" s="86">
        <f t="shared" si="2274"/>
        <v>5.7600804577301122E-2</v>
      </c>
      <c r="BX253" s="86">
        <f t="shared" si="2274"/>
        <v>6.0729463217394891E-2</v>
      </c>
      <c r="BY253" s="86">
        <f t="shared" si="2274"/>
        <v>6.3660847716486293E-2</v>
      </c>
      <c r="BZ253" s="86">
        <f t="shared" si="2274"/>
        <v>6.5776222822270983E-2</v>
      </c>
      <c r="CA253" s="86">
        <f t="shared" si="2274"/>
        <v>6.3161359209181825E-2</v>
      </c>
      <c r="CB253" s="86">
        <f t="shared" si="2274"/>
        <v>6.3337247303541094E-2</v>
      </c>
      <c r="CC253" s="86">
        <f t="shared" si="2274"/>
        <v>6.3701765408488042E-2</v>
      </c>
      <c r="CD253" s="86">
        <f t="shared" si="2274"/>
        <v>5.8294331940771563E-2</v>
      </c>
      <c r="CE253" s="86">
        <f t="shared" si="2274"/>
        <v>5.1245918853839147E-2</v>
      </c>
      <c r="CF253" s="86">
        <f t="shared" si="2274"/>
        <v>5.0310538595511149E-2</v>
      </c>
      <c r="CG253" s="86">
        <f t="shared" si="2274"/>
        <v>5.2785313041761442E-2</v>
      </c>
      <c r="CH253" s="86">
        <f t="shared" si="2274"/>
        <v>6.4149862704469263E-2</v>
      </c>
      <c r="CI253" s="86">
        <f t="shared" si="2274"/>
        <v>5.8856084393141932E-2</v>
      </c>
      <c r="CJ253" s="86">
        <f t="shared" si="2274"/>
        <v>6.5185885150953707E-2</v>
      </c>
      <c r="CK253" s="87">
        <f t="shared" si="2274"/>
        <v>6.4930704184918711E-2</v>
      </c>
      <c r="CL253" s="86">
        <f t="shared" ref="CL253" si="2275">CL32/CL8</f>
        <v>7.095035676332169E-2</v>
      </c>
      <c r="CM253" s="87">
        <f t="shared" si="2274"/>
        <v>0.10319515278560812</v>
      </c>
      <c r="CN253" s="87">
        <f t="shared" si="2274"/>
        <v>8.2875087084812005E-2</v>
      </c>
      <c r="CO253" s="87">
        <f t="shared" si="2274"/>
        <v>6.7789976752999276E-2</v>
      </c>
      <c r="CP253" s="87">
        <f t="shared" si="2274"/>
        <v>5.6885278469362636E-2</v>
      </c>
      <c r="CQ253" s="87">
        <f t="shared" si="2274"/>
        <v>5.119762793479378E-2</v>
      </c>
      <c r="CR253" s="87">
        <f t="shared" si="2274"/>
        <v>4.1068439758057969E-2</v>
      </c>
      <c r="CS253" s="87">
        <f t="shared" si="2274"/>
        <v>3.3539598508528605E-2</v>
      </c>
      <c r="CT253" s="87">
        <f t="shared" si="2274"/>
        <v>2.8144125351798492E-2</v>
      </c>
      <c r="CU253" s="87">
        <f t="shared" si="2274"/>
        <v>2.5357900435456261E-2</v>
      </c>
      <c r="CV253" s="87">
        <f t="shared" si="2274"/>
        <v>2.0332466898166084E-2</v>
      </c>
      <c r="CW253" s="87">
        <f t="shared" si="2274"/>
        <v>1.6601189381948506E-2</v>
      </c>
      <c r="CX253" s="87">
        <f t="shared" ref="CX253:DB253" si="2276">CX32/CX8</f>
        <v>1.3932092722466502E-2</v>
      </c>
      <c r="CY253" s="87">
        <f t="shared" si="2276"/>
        <v>1.2554577322728923E-2</v>
      </c>
      <c r="CZ253" s="87">
        <f t="shared" si="2276"/>
        <v>1.0065497056940162E-2</v>
      </c>
      <c r="DA253" s="87">
        <f t="shared" si="2276"/>
        <v>8.2181710675261043E-3</v>
      </c>
      <c r="DB253" s="87">
        <f t="shared" si="2276"/>
        <v>6.8970915024306797E-3</v>
      </c>
      <c r="DE253" s="141"/>
      <c r="DF253" s="86">
        <v>5.8407904014057953E-2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210036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Computer Age Management Services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173.827</v>
      </c>
      <c r="AG6">
        <f>_xll.EQNXTDZ($A$1,$B6,AG$1,$B$1)</f>
        <v>176.03200000000001</v>
      </c>
      <c r="AH6">
        <f>_xll.EQNXTDZ($A$1,$B6,AH$1,$B$1)</f>
        <v>174.76499999999999</v>
      </c>
      <c r="AI6">
        <f>_xll.EQNXTDZ($A$1,$B6,AI$1,$B$1)</f>
        <v>148.625</v>
      </c>
      <c r="AJ6">
        <f>_xll.EQNXTDZ($A$1,$B6,AJ$1,$B$1)</f>
        <v>171.14400000000001</v>
      </c>
      <c r="AK6">
        <f>_xll.EQNXTDZ($A$1,$B6,AK$1,$B$1)</f>
        <v>185.953</v>
      </c>
      <c r="AL6">
        <f>_xll.EQNXTDZ($A$1,$B6,AL$1,$B$1)</f>
        <v>199.773</v>
      </c>
      <c r="AM6">
        <f>_xll.EQNXTDZ($A$1,$B6,AM$1,$B$1)</f>
        <v>201.17599999999999</v>
      </c>
      <c r="AN6">
        <f>_xll.EQNXTDZ($A$1,$B6,AN$1,$B$1)</f>
        <v>227.596</v>
      </c>
      <c r="AO6">
        <f>_xll.EQNXTDZ($A$1,$B6,AO$1,$B$1)</f>
        <v>237.71199999999999</v>
      </c>
      <c r="AP6">
        <f>_xll.EQNXTDZ($A$1,$B6,AP$1,$B$1)</f>
        <v>243.184</v>
      </c>
      <c r="AQ6">
        <f>_xll.EQNXTDZ($A$1,$B6,AQ$1,$B$1)</f>
        <v>236.64599999999999</v>
      </c>
      <c r="AR6">
        <f>_xll.EQNXTDZ($A$1,$B6,AR$1,$B$1)</f>
        <v>242.37</v>
      </c>
      <c r="AS6">
        <f>_xll.EQNXTDZ($A$1,$B6,AS$1,$B$1)</f>
        <v>243.572</v>
      </c>
      <c r="AT6">
        <f>_xll.EQNXTDZ($A$1,$B6,AT$1,$B$1)</f>
        <v>249.239</v>
      </c>
      <c r="AU6">
        <f>_xll.EQNXTDZ($A$1,$B6,AU$1,$B$1)</f>
        <v>261.29899999999998</v>
      </c>
      <c r="AV6">
        <f>_xll.EQNXTDZ($A$1,$B6,AV$1,$B$1)</f>
        <v>275.08300000000003</v>
      </c>
      <c r="AW6">
        <f>_xll.EQNXTDZ($A$1,$B6,AW$1,$B$1)</f>
        <v>289.678</v>
      </c>
      <c r="AX6">
        <f>_xll.EQNXTDZ($A$1,$B6,AX$1,$B$1)</f>
        <v>310.459</v>
      </c>
      <c r="AY6">
        <f>_xll.EQNXTDZ($A$1,$B6,AY$1,$B$1)</f>
        <v>331.40199999999999</v>
      </c>
      <c r="AZ6">
        <f>_xll.EQNXTDZ($A$1,$B6,AZ$1,$B$1)</f>
        <v>365.17200000000003</v>
      </c>
      <c r="BA6">
        <f>_xll.EQNXTDZ($A$1,$B6,BA$1,$B$1)</f>
        <v>369.74299999999999</v>
      </c>
      <c r="BB6">
        <f>_xll.EQNXTDZ($A$1,$B6,BB$1,$B$1)</f>
        <v>356.166</v>
      </c>
      <c r="BC6">
        <f>_xll.EQNXTDZ($A$1,$B6,BC$1,$B$1)</f>
        <v>354.15199999999999</v>
      </c>
      <c r="BD6">
        <f>_xll.EQNXTDZ($A$1,$B6,BD$1,$B$1)</f>
        <v>376.738</v>
      </c>
      <c r="BE6">
        <f>_xll.EQNXTDZ($A$1,$B6,BE$1,$B$1)</f>
        <v>390.13900000000001</v>
      </c>
      <c r="BF6">
        <f>_xll.EQNXTDZ($A$1,$B6,BF$1,$B$1)</f>
        <v>395.22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173.827</v>
      </c>
      <c r="AG9">
        <f>_xll.EQNXTDZ($A$1,$B9,AG$1,$B$1)</f>
        <v>176.03200000000001</v>
      </c>
      <c r="AH9">
        <f>_xll.EQNXTDZ($A$1,$B9,AH$1,$B$1)</f>
        <v>174.76499999999999</v>
      </c>
      <c r="AI9">
        <f>_xll.EQNXTDZ($A$1,$B9,AI$1,$B$1)</f>
        <v>148.625</v>
      </c>
      <c r="AJ9">
        <f>_xll.EQNXTDZ($A$1,$B9,AJ$1,$B$1)</f>
        <v>171.14400000000001</v>
      </c>
      <c r="AK9">
        <f>_xll.EQNXTDZ($A$1,$B9,AK$1,$B$1)</f>
        <v>185.953</v>
      </c>
      <c r="AL9">
        <f>_xll.EQNXTDZ($A$1,$B9,AL$1,$B$1)</f>
        <v>199.773</v>
      </c>
      <c r="AM9">
        <f>_xll.EQNXTDZ($A$1,$B9,AM$1,$B$1)</f>
        <v>201.17599999999999</v>
      </c>
      <c r="AN9">
        <f>_xll.EQNXTDZ($A$1,$B9,AN$1,$B$1)</f>
        <v>227.596</v>
      </c>
      <c r="AO9">
        <f>_xll.EQNXTDZ($A$1,$B9,AO$1,$B$1)</f>
        <v>237.71199999999999</v>
      </c>
      <c r="AP9">
        <f>_xll.EQNXTDZ($A$1,$B9,AP$1,$B$1)</f>
        <v>243.184</v>
      </c>
      <c r="AQ9">
        <f>_xll.EQNXTDZ($A$1,$B9,AQ$1,$B$1)</f>
        <v>236.64599999999999</v>
      </c>
      <c r="AR9">
        <f>_xll.EQNXTDZ($A$1,$B9,AR$1,$B$1)</f>
        <v>242.37</v>
      </c>
      <c r="AS9">
        <f>_xll.EQNXTDZ($A$1,$B9,AS$1,$B$1)</f>
        <v>243.572</v>
      </c>
      <c r="AT9">
        <f>_xll.EQNXTDZ($A$1,$B9,AT$1,$B$1)</f>
        <v>249.239</v>
      </c>
      <c r="AU9">
        <f>_xll.EQNXTDZ($A$1,$B9,AU$1,$B$1)</f>
        <v>261.29899999999998</v>
      </c>
      <c r="AV9">
        <f>_xll.EQNXTDZ($A$1,$B9,AV$1,$B$1)</f>
        <v>275.08300000000003</v>
      </c>
      <c r="AW9">
        <f>_xll.EQNXTDZ($A$1,$B9,AW$1,$B$1)</f>
        <v>289.678</v>
      </c>
      <c r="AX9">
        <f>_xll.EQNXTDZ($A$1,$B9,AX$1,$B$1)</f>
        <v>310.459</v>
      </c>
      <c r="AY9">
        <f>_xll.EQNXTDZ($A$1,$B9,AY$1,$B$1)</f>
        <v>331.40199999999999</v>
      </c>
      <c r="AZ9">
        <f>_xll.EQNXTDZ($A$1,$B9,AZ$1,$B$1)</f>
        <v>365.17200000000003</v>
      </c>
      <c r="BA9">
        <f>_xll.EQNXTDZ($A$1,$B9,BA$1,$B$1)</f>
        <v>369.74299999999999</v>
      </c>
      <c r="BB9">
        <f>_xll.EQNXTDZ($A$1,$B9,BB$1,$B$1)</f>
        <v>356.166</v>
      </c>
      <c r="BC9">
        <f>_xll.EQNXTDZ($A$1,$B9,BC$1,$B$1)</f>
        <v>354.15199999999999</v>
      </c>
      <c r="BD9">
        <f>_xll.EQNXTDZ($A$1,$B9,BD$1,$B$1)</f>
        <v>376.738</v>
      </c>
      <c r="BE9">
        <f>_xll.EQNXTDZ($A$1,$B9,BE$1,$B$1)</f>
        <v>390.13900000000001</v>
      </c>
      <c r="BF9">
        <f>_xll.EQNXTDZ($A$1,$B9,BF$1,$B$1)</f>
        <v>395.22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39.981000000000002</v>
      </c>
      <c r="AG14">
        <f>_xll.EQNXTDZ($A$1,$B14,AG$1,$B$1)</f>
        <v>41.738</v>
      </c>
      <c r="AH14">
        <f>_xll.EQNXTDZ($A$1,$B14,AH$1,$B$1)</f>
        <v>31.378</v>
      </c>
      <c r="AI14">
        <f>_xll.EQNXTDZ($A$1,$B14,AI$1,$B$1)</f>
        <v>32.710999999999999</v>
      </c>
      <c r="AJ14">
        <f>_xll.EQNXTDZ($A$1,$B14,AJ$1,$B$1)</f>
        <v>34.956000000000003</v>
      </c>
      <c r="AK14">
        <f>_xll.EQNXTDZ($A$1,$B14,AK$1,$B$1)</f>
        <v>39.805999999999997</v>
      </c>
      <c r="AL14">
        <f>_xll.EQNXTDZ($A$1,$B14,AL$1,$B$1)</f>
        <v>39.648000000000003</v>
      </c>
      <c r="AM14">
        <f>_xll.EQNXTDZ($A$1,$B14,AM$1,$B$1)</f>
        <v>35.902000000000001</v>
      </c>
      <c r="AN14">
        <f>_xll.EQNXTDZ($A$1,$B14,AN$1,$B$1)</f>
        <v>40.939</v>
      </c>
      <c r="AO14">
        <f>_xll.EQNXTDZ($A$1,$B14,AO$1,$B$1)</f>
        <v>41.182000000000002</v>
      </c>
      <c r="AP14">
        <f>_xll.EQNXTDZ($A$1,$B14,AP$1,$B$1)</f>
        <v>45.762</v>
      </c>
      <c r="AQ14">
        <f>_xll.EQNXTDZ($A$1,$B14,AQ$1,$B$1)</f>
        <v>45.505000000000003</v>
      </c>
      <c r="AR14">
        <f>_xll.EQNXTDZ($A$1,$B14,AR$1,$B$1)</f>
        <v>46.241</v>
      </c>
      <c r="AS14">
        <f>_xll.EQNXTDZ($A$1,$B14,AS$1,$B$1)</f>
        <v>48.235999999999997</v>
      </c>
      <c r="AT14">
        <f>_xll.EQNXTDZ($A$1,$B14,AT$1,$B$1)</f>
        <v>52.530999999999999</v>
      </c>
      <c r="AU14">
        <f>_xll.EQNXTDZ($A$1,$B14,AU$1,$B$1)</f>
        <v>56.292999999999999</v>
      </c>
      <c r="AV14">
        <f>_xll.EQNXTDZ($A$1,$B14,AV$1,$B$1)</f>
        <v>55.283999999999999</v>
      </c>
      <c r="AW14">
        <f>_xll.EQNXTDZ($A$1,$B14,AW$1,$B$1)</f>
        <v>60.555</v>
      </c>
      <c r="AX14">
        <f>_xll.EQNXTDZ($A$1,$B14,AX$1,$B$1)</f>
        <v>62.34</v>
      </c>
      <c r="AY14">
        <f>_xll.EQNXTDZ($A$1,$B14,AY$1,$B$1)</f>
        <v>68.599999999999994</v>
      </c>
      <c r="AZ14">
        <f>_xll.EQNXTDZ($A$1,$B14,AZ$1,$B$1)</f>
        <v>76.397999999999996</v>
      </c>
      <c r="BA14">
        <f>_xll.EQNXTDZ($A$1,$B14,BA$1,$B$1)</f>
        <v>77.212000000000003</v>
      </c>
      <c r="BB14">
        <f>_xll.EQNXTDZ($A$1,$B14,BB$1,$B$1)</f>
        <v>78.977000000000004</v>
      </c>
      <c r="BC14">
        <f>_xll.EQNXTDZ($A$1,$B14,BC$1,$B$1)</f>
        <v>77.435000000000002</v>
      </c>
      <c r="BD14">
        <f>_xll.EQNXTDZ($A$1,$B14,BD$1,$B$1)</f>
        <v>84.337000000000003</v>
      </c>
      <c r="BE14">
        <f>_xll.EQNXTDZ($A$1,$B14,BE$1,$B$1)</f>
        <v>86.781999999999996</v>
      </c>
      <c r="BF14">
        <f>_xll.EQNXTDZ($A$1,$B14,BF$1,$B$1)</f>
        <v>86.771000000000001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64.341999999999999</v>
      </c>
      <c r="AG16">
        <f>_xll.EQNXTDZ($A$1,$B16,AG$1,$B$1)</f>
        <v>64.584000000000003</v>
      </c>
      <c r="AH16">
        <f>_xll.EQNXTDZ($A$1,$B16,AH$1,$B$1)</f>
        <v>63.973999999999997</v>
      </c>
      <c r="AI16">
        <f>_xll.EQNXTDZ($A$1,$B16,AI$1,$B$1)</f>
        <v>64.546000000000006</v>
      </c>
      <c r="AJ16">
        <f>_xll.EQNXTDZ($A$1,$B16,AJ$1,$B$1)</f>
        <v>62.408000000000001</v>
      </c>
      <c r="AK16">
        <f>_xll.EQNXTDZ($A$1,$B16,AK$1,$B$1)</f>
        <v>64.328999999999994</v>
      </c>
      <c r="AL16">
        <f>_xll.EQNXTDZ($A$1,$B16,AL$1,$B$1)</f>
        <v>71.078999999999994</v>
      </c>
      <c r="AM16">
        <f>_xll.EQNXTDZ($A$1,$B16,AM$1,$B$1)</f>
        <v>72.381</v>
      </c>
      <c r="AN16">
        <f>_xll.EQNXTDZ($A$1,$B16,AN$1,$B$1)</f>
        <v>80.91</v>
      </c>
      <c r="AO16">
        <f>_xll.EQNXTDZ($A$1,$B16,AO$1,$B$1)</f>
        <v>83.206000000000003</v>
      </c>
      <c r="AP16">
        <f>_xll.EQNXTDZ($A$1,$B16,AP$1,$B$1)</f>
        <v>85.256</v>
      </c>
      <c r="AQ16">
        <f>_xll.EQNXTDZ($A$1,$B16,AQ$1,$B$1)</f>
        <v>93.268000000000001</v>
      </c>
      <c r="AR16">
        <f>_xll.EQNXTDZ($A$1,$B16,AR$1,$B$1)</f>
        <v>90.064999999999998</v>
      </c>
      <c r="AS16">
        <f>_xll.EQNXTDZ($A$1,$B16,AS$1,$B$1)</f>
        <v>87.13</v>
      </c>
      <c r="AT16">
        <f>_xll.EQNXTDZ($A$1,$B16,AT$1,$B$1)</f>
        <v>87.619</v>
      </c>
      <c r="AU16">
        <f>_xll.EQNXTDZ($A$1,$B16,AU$1,$B$1)</f>
        <v>94.951999999999998</v>
      </c>
      <c r="AV16">
        <f>_xll.EQNXTDZ($A$1,$B16,AV$1,$B$1)</f>
        <v>97.682000000000002</v>
      </c>
      <c r="AW16">
        <f>_xll.EQNXTDZ($A$1,$B16,AW$1,$B$1)</f>
        <v>99.745000000000005</v>
      </c>
      <c r="AX16">
        <f>_xll.EQNXTDZ($A$1,$B16,AX$1,$B$1)</f>
        <v>104.77800000000001</v>
      </c>
      <c r="AY16">
        <f>_xll.EQNXTDZ($A$1,$B16,AY$1,$B$1)</f>
        <v>112.999</v>
      </c>
      <c r="AZ16">
        <f>_xll.EQNXTDZ($A$1,$B16,AZ$1,$B$1)</f>
        <v>118.57</v>
      </c>
      <c r="BA16">
        <f>_xll.EQNXTDZ($A$1,$B16,BA$1,$B$1)</f>
        <v>119.70399999999999</v>
      </c>
      <c r="BB16">
        <f>_xll.EQNXTDZ($A$1,$B16,BB$1,$B$1)</f>
        <v>117.806</v>
      </c>
      <c r="BC16">
        <f>_xll.EQNXTDZ($A$1,$B16,BC$1,$B$1)</f>
        <v>122.437</v>
      </c>
      <c r="BD16">
        <f>_xll.EQNXTDZ($A$1,$B16,BD$1,$B$1)</f>
        <v>124.792</v>
      </c>
      <c r="BE16">
        <f>_xll.EQNXTDZ($A$1,$B16,BE$1,$B$1)</f>
        <v>124.458</v>
      </c>
      <c r="BF16">
        <f>_xll.EQNXTDZ($A$1,$B16,BF$1,$B$1)</f>
        <v>125.334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69.504000000000005</v>
      </c>
      <c r="AG22">
        <f>_xll.EQNXTDZ($A$1,$B22,AG$1,$B$1)</f>
        <v>69.709999999999994</v>
      </c>
      <c r="AH22">
        <f>_xll.EQNXTDZ($A$1,$B22,AH$1,$B$1)</f>
        <v>79.412999999999997</v>
      </c>
      <c r="AI22">
        <f>_xll.EQNXTDZ($A$1,$B22,AI$1,$B$1)</f>
        <v>51.368000000000002</v>
      </c>
      <c r="AJ22">
        <f>_xll.EQNXTDZ($A$1,$B22,AJ$1,$B$1)</f>
        <v>73.78</v>
      </c>
      <c r="AK22">
        <f>_xll.EQNXTDZ($A$1,$B22,AK$1,$B$1)</f>
        <v>81.817999999999998</v>
      </c>
      <c r="AL22">
        <f>_xll.EQNXTDZ($A$1,$B22,AL$1,$B$1)</f>
        <v>89.046000000000006</v>
      </c>
      <c r="AM22">
        <f>_xll.EQNXTDZ($A$1,$B22,AM$1,$B$1)</f>
        <v>92.893000000000001</v>
      </c>
      <c r="AN22">
        <f>_xll.EQNXTDZ($A$1,$B22,AN$1,$B$1)</f>
        <v>105.747</v>
      </c>
      <c r="AO22">
        <f>_xll.EQNXTDZ($A$1,$B22,AO$1,$B$1)</f>
        <v>113.324</v>
      </c>
      <c r="AP22">
        <f>_xll.EQNXTDZ($A$1,$B22,AP$1,$B$1)</f>
        <v>112.166</v>
      </c>
      <c r="AQ22">
        <f>_xll.EQNXTDZ($A$1,$B22,AQ$1,$B$1)</f>
        <v>97.873000000000005</v>
      </c>
      <c r="AR22">
        <f>_xll.EQNXTDZ($A$1,$B22,AR$1,$B$1)</f>
        <v>106.06399999999999</v>
      </c>
      <c r="AS22">
        <f>_xll.EQNXTDZ($A$1,$B22,AS$1,$B$1)</f>
        <v>108.206</v>
      </c>
      <c r="AT22">
        <f>_xll.EQNXTDZ($A$1,$B22,AT$1,$B$1)</f>
        <v>109.089</v>
      </c>
      <c r="AU22">
        <f>_xll.EQNXTDZ($A$1,$B22,AU$1,$B$1)</f>
        <v>110.054</v>
      </c>
      <c r="AV22">
        <f>_xll.EQNXTDZ($A$1,$B22,AV$1,$B$1)</f>
        <v>122.117</v>
      </c>
      <c r="AW22">
        <f>_xll.EQNXTDZ($A$1,$B22,AW$1,$B$1)</f>
        <v>129.37799999999999</v>
      </c>
      <c r="AX22">
        <f>_xll.EQNXTDZ($A$1,$B22,AX$1,$B$1)</f>
        <v>143.34100000000001</v>
      </c>
      <c r="AY22">
        <f>_xll.EQNXTDZ($A$1,$B22,AY$1,$B$1)</f>
        <v>149.803</v>
      </c>
      <c r="AZ22">
        <f>_xll.EQNXTDZ($A$1,$B22,AZ$1,$B$1)</f>
        <v>170.20400000000001</v>
      </c>
      <c r="BA22">
        <f>_xll.EQNXTDZ($A$1,$B22,BA$1,$B$1)</f>
        <v>172.827</v>
      </c>
      <c r="BB22">
        <f>_xll.EQNXTDZ($A$1,$B22,BB$1,$B$1)</f>
        <v>159.38300000000001</v>
      </c>
      <c r="BC22">
        <f>_xll.EQNXTDZ($A$1,$B22,BC$1,$B$1)</f>
        <v>154.28</v>
      </c>
      <c r="BD22">
        <f>_xll.EQNXTDZ($A$1,$B22,BD$1,$B$1)</f>
        <v>167.60900000000001</v>
      </c>
      <c r="BE22">
        <f>_xll.EQNXTDZ($A$1,$B22,BE$1,$B$1)</f>
        <v>178.899</v>
      </c>
      <c r="BF22">
        <f>_xll.EQNXTDZ($A$1,$B22,BF$1,$B$1)</f>
        <v>183.11500000000001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5.7249999999999996</v>
      </c>
      <c r="AG23">
        <f>_xll.EQNXTDZ($A$1,$B23,AG$1,$B$1)</f>
        <v>6.726</v>
      </c>
      <c r="AH23">
        <f>_xll.EQNXTDZ($A$1,$B23,AH$1,$B$1)</f>
        <v>3.6709999999999998</v>
      </c>
      <c r="AI23">
        <f>_xll.EQNXTDZ($A$1,$B23,AI$1,$B$1)</f>
        <v>14.135999999999999</v>
      </c>
      <c r="AJ23">
        <f>_xll.EQNXTDZ($A$1,$B23,AJ$1,$B$1)</f>
        <v>5.069</v>
      </c>
      <c r="AK23">
        <f>_xll.EQNXTDZ($A$1,$B23,AK$1,$B$1)</f>
        <v>6.391</v>
      </c>
      <c r="AL23">
        <f>_xll.EQNXTDZ($A$1,$B23,AL$1,$B$1)</f>
        <v>4.1630000000000003</v>
      </c>
      <c r="AM23">
        <f>_xll.EQNXTDZ($A$1,$B23,AM$1,$B$1)</f>
        <v>4.5229999999999997</v>
      </c>
      <c r="AN23">
        <f>_xll.EQNXTDZ($A$1,$B23,AN$1,$B$1)</f>
        <v>4.3879999999999999</v>
      </c>
      <c r="AO23">
        <f>_xll.EQNXTDZ($A$1,$B23,AO$1,$B$1)</f>
        <v>4.1130000000000004</v>
      </c>
      <c r="AP23">
        <f>_xll.EQNXTDZ($A$1,$B23,AP$1,$B$1)</f>
        <v>4.25</v>
      </c>
      <c r="AQ23">
        <f>_xll.EQNXTDZ($A$1,$B23,AQ$1,$B$1)</f>
        <v>4.4370000000000003</v>
      </c>
      <c r="AR23">
        <f>_xll.EQNXTDZ($A$1,$B23,AR$1,$B$1)</f>
        <v>7.4160000000000004</v>
      </c>
      <c r="AS23">
        <f>_xll.EQNXTDZ($A$1,$B23,AS$1,$B$1)</f>
        <v>7.08</v>
      </c>
      <c r="AT23">
        <f>_xll.EQNXTDZ($A$1,$B23,AT$1,$B$1)</f>
        <v>7.8810000000000002</v>
      </c>
      <c r="AU23">
        <f>_xll.EQNXTDZ($A$1,$B23,AU$1,$B$1)</f>
        <v>9.6780000000000008</v>
      </c>
      <c r="AV23">
        <f>_xll.EQNXTDZ($A$1,$B23,AV$1,$B$1)</f>
        <v>9.6270000000000007</v>
      </c>
      <c r="AW23">
        <f>_xll.EQNXTDZ($A$1,$B23,AW$1,$B$1)</f>
        <v>9.9120000000000008</v>
      </c>
      <c r="AX23">
        <f>_xll.EQNXTDZ($A$1,$B23,AX$1,$B$1)</f>
        <v>11.43</v>
      </c>
      <c r="AY23">
        <f>_xll.EQNXTDZ($A$1,$B23,AY$1,$B$1)</f>
        <v>11.706</v>
      </c>
      <c r="AZ23">
        <f>_xll.EQNXTDZ($A$1,$B23,AZ$1,$B$1)</f>
        <v>12.574</v>
      </c>
      <c r="BA23">
        <f>_xll.EQNXTDZ($A$1,$B23,BA$1,$B$1)</f>
        <v>14.94</v>
      </c>
      <c r="BB23">
        <f>_xll.EQNXTDZ($A$1,$B23,BB$1,$B$1)</f>
        <v>13.416</v>
      </c>
      <c r="BC23">
        <f>_xll.EQNXTDZ($A$1,$B23,BC$1,$B$1)</f>
        <v>13.148</v>
      </c>
      <c r="BD23">
        <f>_xll.EQNXTDZ($A$1,$B23,BD$1,$B$1)</f>
        <v>12.202</v>
      </c>
      <c r="BE23">
        <f>_xll.EQNXTDZ($A$1,$B23,BE$1,$B$1)</f>
        <v>12.88</v>
      </c>
      <c r="BF23">
        <f>_xll.EQNXTDZ($A$1,$B23,BF$1,$B$1)</f>
        <v>12.938000000000001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75.228999999999999</v>
      </c>
      <c r="AG24">
        <f>_xll.EQNXTDZ($A$1,$B24,AG$1,$B$1)</f>
        <v>76.436000000000007</v>
      </c>
      <c r="AH24">
        <f>_xll.EQNXTDZ($A$1,$B24,AH$1,$B$1)</f>
        <v>83.084000000000003</v>
      </c>
      <c r="AI24">
        <f>_xll.EQNXTDZ($A$1,$B24,AI$1,$B$1)</f>
        <v>65.504000000000005</v>
      </c>
      <c r="AJ24">
        <f>_xll.EQNXTDZ($A$1,$B24,AJ$1,$B$1)</f>
        <v>78.849999999999994</v>
      </c>
      <c r="AK24">
        <f>_xll.EQNXTDZ($A$1,$B24,AK$1,$B$1)</f>
        <v>88.209000000000003</v>
      </c>
      <c r="AL24">
        <f>_xll.EQNXTDZ($A$1,$B24,AL$1,$B$1)</f>
        <v>93.207999999999998</v>
      </c>
      <c r="AM24">
        <f>_xll.EQNXTDZ($A$1,$B24,AM$1,$B$1)</f>
        <v>97.415999999999997</v>
      </c>
      <c r="AN24">
        <f>_xll.EQNXTDZ($A$1,$B24,AN$1,$B$1)</f>
        <v>110.134</v>
      </c>
      <c r="AO24">
        <f>_xll.EQNXTDZ($A$1,$B24,AO$1,$B$1)</f>
        <v>117.437</v>
      </c>
      <c r="AP24">
        <f>_xll.EQNXTDZ($A$1,$B24,AP$1,$B$1)</f>
        <v>116.416</v>
      </c>
      <c r="AQ24">
        <f>_xll.EQNXTDZ($A$1,$B24,AQ$1,$B$1)</f>
        <v>102.31</v>
      </c>
      <c r="AR24">
        <f>_xll.EQNXTDZ($A$1,$B24,AR$1,$B$1)</f>
        <v>113.48</v>
      </c>
      <c r="AS24">
        <f>_xll.EQNXTDZ($A$1,$B24,AS$1,$B$1)</f>
        <v>115.286</v>
      </c>
      <c r="AT24">
        <f>_xll.EQNXTDZ($A$1,$B24,AT$1,$B$1)</f>
        <v>116.97</v>
      </c>
      <c r="AU24">
        <f>_xll.EQNXTDZ($A$1,$B24,AU$1,$B$1)</f>
        <v>119.732</v>
      </c>
      <c r="AV24">
        <f>_xll.EQNXTDZ($A$1,$B24,AV$1,$B$1)</f>
        <v>131.744</v>
      </c>
      <c r="AW24">
        <f>_xll.EQNXTDZ($A$1,$B24,AW$1,$B$1)</f>
        <v>139.29</v>
      </c>
      <c r="AX24">
        <f>_xll.EQNXTDZ($A$1,$B24,AX$1,$B$1)</f>
        <v>154.77099999999999</v>
      </c>
      <c r="AY24">
        <f>_xll.EQNXTDZ($A$1,$B24,AY$1,$B$1)</f>
        <v>161.51</v>
      </c>
      <c r="AZ24">
        <f>_xll.EQNXTDZ($A$1,$B24,AZ$1,$B$1)</f>
        <v>182.77799999999999</v>
      </c>
      <c r="BA24">
        <f>_xll.EQNXTDZ($A$1,$B24,BA$1,$B$1)</f>
        <v>187.767</v>
      </c>
      <c r="BB24">
        <f>_xll.EQNXTDZ($A$1,$B24,BB$1,$B$1)</f>
        <v>172.79900000000001</v>
      </c>
      <c r="BC24">
        <f>_xll.EQNXTDZ($A$1,$B24,BC$1,$B$1)</f>
        <v>167.428</v>
      </c>
      <c r="BD24">
        <f>_xll.EQNXTDZ($A$1,$B24,BD$1,$B$1)</f>
        <v>179.81100000000001</v>
      </c>
      <c r="BE24">
        <f>_xll.EQNXTDZ($A$1,$B24,BE$1,$B$1)</f>
        <v>191.779</v>
      </c>
      <c r="BF24">
        <f>_xll.EQNXTDZ($A$1,$B24,BF$1,$B$1)</f>
        <v>196.053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2.6040000000000001</v>
      </c>
      <c r="AG25">
        <f>_xll.EQNXTDZ($A$1,$B25,AG$1,$B$1)</f>
        <v>2.552</v>
      </c>
      <c r="AH25">
        <f>_xll.EQNXTDZ($A$1,$B25,AH$1,$B$1)</f>
        <v>2.431</v>
      </c>
      <c r="AI25">
        <f>_xll.EQNXTDZ($A$1,$B25,AI$1,$B$1)</f>
        <v>2.3490000000000002</v>
      </c>
      <c r="AJ25">
        <f>_xll.EQNXTDZ($A$1,$B25,AJ$1,$B$1)</f>
        <v>1.9510000000000001</v>
      </c>
      <c r="AK25">
        <f>_xll.EQNXTDZ($A$1,$B25,AK$1,$B$1)</f>
        <v>1.8580000000000001</v>
      </c>
      <c r="AL25">
        <f>_xll.EQNXTDZ($A$1,$B25,AL$1,$B$1)</f>
        <v>1.746</v>
      </c>
      <c r="AM25">
        <f>_xll.EQNXTDZ($A$1,$B25,AM$1,$B$1)</f>
        <v>1.804</v>
      </c>
      <c r="AN25">
        <f>_xll.EQNXTDZ($A$1,$B25,AN$1,$B$1)</f>
        <v>1.7669999999999999</v>
      </c>
      <c r="AO25">
        <f>_xll.EQNXTDZ($A$1,$B25,AO$1,$B$1)</f>
        <v>1.7729999999999999</v>
      </c>
      <c r="AP25">
        <f>_xll.EQNXTDZ($A$1,$B25,AP$1,$B$1)</f>
        <v>1.79</v>
      </c>
      <c r="AQ25">
        <f>_xll.EQNXTDZ($A$1,$B25,AQ$1,$B$1)</f>
        <v>1.774</v>
      </c>
      <c r="AR25">
        <f>_xll.EQNXTDZ($A$1,$B25,AR$1,$B$1)</f>
        <v>1.8109999999999999</v>
      </c>
      <c r="AS25">
        <f>_xll.EQNXTDZ($A$1,$B25,AS$1,$B$1)</f>
        <v>1.99</v>
      </c>
      <c r="AT25">
        <f>_xll.EQNXTDZ($A$1,$B25,AT$1,$B$1)</f>
        <v>2.032</v>
      </c>
      <c r="AU25">
        <f>_xll.EQNXTDZ($A$1,$B25,AU$1,$B$1)</f>
        <v>2.0230000000000001</v>
      </c>
      <c r="AV25">
        <f>_xll.EQNXTDZ($A$1,$B25,AV$1,$B$1)</f>
        <v>1.9690000000000001</v>
      </c>
      <c r="AW25">
        <f>_xll.EQNXTDZ($A$1,$B25,AW$1,$B$1)</f>
        <v>2.1160000000000001</v>
      </c>
      <c r="AX25">
        <f>_xll.EQNXTDZ($A$1,$B25,AX$1,$B$1)</f>
        <v>2.1059999999999999</v>
      </c>
      <c r="AY25">
        <f>_xll.EQNXTDZ($A$1,$B25,AY$1,$B$1)</f>
        <v>2.1339999999999999</v>
      </c>
      <c r="AZ25">
        <f>_xll.EQNXTDZ($A$1,$B25,AZ$1,$B$1)</f>
        <v>2.16</v>
      </c>
      <c r="BA25">
        <f>_xll.EQNXTDZ($A$1,$B25,BA$1,$B$1)</f>
        <v>2.1469999999999998</v>
      </c>
      <c r="BB25">
        <f>_xll.EQNXTDZ($A$1,$B25,BB$1,$B$1)</f>
        <v>2.032</v>
      </c>
      <c r="BC25">
        <f>_xll.EQNXTDZ($A$1,$B25,BC$1,$B$1)</f>
        <v>1.9370000000000001</v>
      </c>
      <c r="BD25">
        <f>_xll.EQNXTDZ($A$1,$B25,BD$1,$B$1)</f>
        <v>1.8420000000000001</v>
      </c>
      <c r="BE25">
        <f>_xll.EQNXTDZ($A$1,$B25,BE$1,$B$1)</f>
        <v>1.679</v>
      </c>
      <c r="BF25">
        <f>_xll.EQNXTDZ($A$1,$B25,BF$1,$B$1)</f>
        <v>1.526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72.625</v>
      </c>
      <c r="AG27">
        <f>_xll.EQNXTDZ($A$1,$B27,AG$1,$B$1)</f>
        <v>73.884</v>
      </c>
      <c r="AH27">
        <f>_xll.EQNXTDZ($A$1,$B27,AH$1,$B$1)</f>
        <v>80.653000000000006</v>
      </c>
      <c r="AI27">
        <f>_xll.EQNXTDZ($A$1,$B27,AI$1,$B$1)</f>
        <v>63.155000000000001</v>
      </c>
      <c r="AJ27">
        <f>_xll.EQNXTDZ($A$1,$B27,AJ$1,$B$1)</f>
        <v>76.899000000000001</v>
      </c>
      <c r="AK27">
        <f>_xll.EQNXTDZ($A$1,$B27,AK$1,$B$1)</f>
        <v>86.350999999999999</v>
      </c>
      <c r="AL27">
        <f>_xll.EQNXTDZ($A$1,$B27,AL$1,$B$1)</f>
        <v>91.462000000000003</v>
      </c>
      <c r="AM27">
        <f>_xll.EQNXTDZ($A$1,$B27,AM$1,$B$1)</f>
        <v>95.611999999999995</v>
      </c>
      <c r="AN27">
        <f>_xll.EQNXTDZ($A$1,$B27,AN$1,$B$1)</f>
        <v>108.367</v>
      </c>
      <c r="AO27">
        <f>_xll.EQNXTDZ($A$1,$B27,AO$1,$B$1)</f>
        <v>115.664</v>
      </c>
      <c r="AP27">
        <f>_xll.EQNXTDZ($A$1,$B27,AP$1,$B$1)</f>
        <v>114.626</v>
      </c>
      <c r="AQ27">
        <f>_xll.EQNXTDZ($A$1,$B27,AQ$1,$B$1)</f>
        <v>100.536</v>
      </c>
      <c r="AR27">
        <f>_xll.EQNXTDZ($A$1,$B27,AR$1,$B$1)</f>
        <v>111.669</v>
      </c>
      <c r="AS27">
        <f>_xll.EQNXTDZ($A$1,$B27,AS$1,$B$1)</f>
        <v>113.29600000000001</v>
      </c>
      <c r="AT27">
        <f>_xll.EQNXTDZ($A$1,$B27,AT$1,$B$1)</f>
        <v>114.938</v>
      </c>
      <c r="AU27">
        <f>_xll.EQNXTDZ($A$1,$B27,AU$1,$B$1)</f>
        <v>117.709</v>
      </c>
      <c r="AV27">
        <f>_xll.EQNXTDZ($A$1,$B27,AV$1,$B$1)</f>
        <v>129.77500000000001</v>
      </c>
      <c r="AW27">
        <f>_xll.EQNXTDZ($A$1,$B27,AW$1,$B$1)</f>
        <v>137.17400000000001</v>
      </c>
      <c r="AX27">
        <f>_xll.EQNXTDZ($A$1,$B27,AX$1,$B$1)</f>
        <v>152.66499999999999</v>
      </c>
      <c r="AY27">
        <f>_xll.EQNXTDZ($A$1,$B27,AY$1,$B$1)</f>
        <v>159.376</v>
      </c>
      <c r="AZ27">
        <f>_xll.EQNXTDZ($A$1,$B27,AZ$1,$B$1)</f>
        <v>180.61799999999999</v>
      </c>
      <c r="BA27">
        <f>_xll.EQNXTDZ($A$1,$B27,BA$1,$B$1)</f>
        <v>185.62</v>
      </c>
      <c r="BB27">
        <f>_xll.EQNXTDZ($A$1,$B27,BB$1,$B$1)</f>
        <v>170.767</v>
      </c>
      <c r="BC27">
        <f>_xll.EQNXTDZ($A$1,$B27,BC$1,$B$1)</f>
        <v>165.49100000000001</v>
      </c>
      <c r="BD27">
        <f>_xll.EQNXTDZ($A$1,$B27,BD$1,$B$1)</f>
        <v>177.96899999999999</v>
      </c>
      <c r="BE27">
        <f>_xll.EQNXTDZ($A$1,$B27,BE$1,$B$1)</f>
        <v>190.1</v>
      </c>
      <c r="BF27">
        <f>_xll.EQNXTDZ($A$1,$B27,BF$1,$B$1)</f>
        <v>194.52699999999999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13.57</v>
      </c>
      <c r="AG28">
        <f>_xll.EQNXTDZ($A$1,$B28,AG$1,$B$1)</f>
        <v>12.882999999999999</v>
      </c>
      <c r="AH28">
        <f>_xll.EQNXTDZ($A$1,$B28,AH$1,$B$1)</f>
        <v>13.176</v>
      </c>
      <c r="AI28">
        <f>_xll.EQNXTDZ($A$1,$B28,AI$1,$B$1)</f>
        <v>11.257999999999999</v>
      </c>
      <c r="AJ28">
        <f>_xll.EQNXTDZ($A$1,$B28,AJ$1,$B$1)</f>
        <v>10.798999999999999</v>
      </c>
      <c r="AK28">
        <f>_xll.EQNXTDZ($A$1,$B28,AK$1,$B$1)</f>
        <v>10.757999999999999</v>
      </c>
      <c r="AL28">
        <f>_xll.EQNXTDZ($A$1,$B28,AL$1,$B$1)</f>
        <v>10.598000000000001</v>
      </c>
      <c r="AM28">
        <f>_xll.EQNXTDZ($A$1,$B28,AM$1,$B$1)</f>
        <v>10.621</v>
      </c>
      <c r="AN28">
        <f>_xll.EQNXTDZ($A$1,$B28,AN$1,$B$1)</f>
        <v>11.898</v>
      </c>
      <c r="AO28">
        <f>_xll.EQNXTDZ($A$1,$B28,AO$1,$B$1)</f>
        <v>13.417</v>
      </c>
      <c r="AP28">
        <f>_xll.EQNXTDZ($A$1,$B28,AP$1,$B$1)</f>
        <v>15.686</v>
      </c>
      <c r="AQ28">
        <f>_xll.EQNXTDZ($A$1,$B28,AQ$1,$B$1)</f>
        <v>13.631</v>
      </c>
      <c r="AR28">
        <f>_xll.EQNXTDZ($A$1,$B28,AR$1,$B$1)</f>
        <v>14.718999999999999</v>
      </c>
      <c r="AS28">
        <f>_xll.EQNXTDZ($A$1,$B28,AS$1,$B$1)</f>
        <v>15.506</v>
      </c>
      <c r="AT28">
        <f>_xll.EQNXTDZ($A$1,$B28,AT$1,$B$1)</f>
        <v>16.393999999999998</v>
      </c>
      <c r="AU28">
        <f>_xll.EQNXTDZ($A$1,$B28,AU$1,$B$1)</f>
        <v>16.504000000000001</v>
      </c>
      <c r="AV28">
        <f>_xll.EQNXTDZ($A$1,$B28,AV$1,$B$1)</f>
        <v>17.422999999999998</v>
      </c>
      <c r="AW28">
        <f>_xll.EQNXTDZ($A$1,$B28,AW$1,$B$1)</f>
        <v>18.452999999999999</v>
      </c>
      <c r="AX28">
        <f>_xll.EQNXTDZ($A$1,$B28,AX$1,$B$1)</f>
        <v>18.097999999999999</v>
      </c>
      <c r="AY28">
        <f>_xll.EQNXTDZ($A$1,$B28,AY$1,$B$1)</f>
        <v>16.983000000000001</v>
      </c>
      <c r="AZ28">
        <f>_xll.EQNXTDZ($A$1,$B28,AZ$1,$B$1)</f>
        <v>18.372</v>
      </c>
      <c r="BA28">
        <f>_xll.EQNXTDZ($A$1,$B28,BA$1,$B$1)</f>
        <v>19.516999999999999</v>
      </c>
      <c r="BB28">
        <f>_xll.EQNXTDZ($A$1,$B28,BB$1,$B$1)</f>
        <v>22.847999999999999</v>
      </c>
      <c r="BC28">
        <f>_xll.EQNXTDZ($A$1,$B28,BC$1,$B$1)</f>
        <v>20.844000000000001</v>
      </c>
      <c r="BD28">
        <f>_xll.EQNXTDZ($A$1,$B28,BD$1,$B$1)</f>
        <v>24.558</v>
      </c>
      <c r="BE28">
        <f>_xll.EQNXTDZ($A$1,$B28,BE$1,$B$1)</f>
        <v>25.332000000000001</v>
      </c>
      <c r="BF28">
        <f>_xll.EQNXTDZ($A$1,$B28,BF$1,$B$1)</f>
        <v>28.041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16.449000000000002</v>
      </c>
      <c r="AG29">
        <f>_xll.EQNXTDZ($A$1,$B29,AG$1,$B$1)</f>
        <v>14.768000000000001</v>
      </c>
      <c r="AH29">
        <f>_xll.EQNXTDZ($A$1,$B29,AH$1,$B$1)</f>
        <v>24.41</v>
      </c>
      <c r="AI29">
        <f>_xll.EQNXTDZ($A$1,$B29,AI$1,$B$1)</f>
        <v>12.102</v>
      </c>
      <c r="AJ29">
        <f>_xll.EQNXTDZ($A$1,$B29,AJ$1,$B$1)</f>
        <v>17.148</v>
      </c>
      <c r="AK29">
        <f>_xll.EQNXTDZ($A$1,$B29,AK$1,$B$1)</f>
        <v>19.175000000000001</v>
      </c>
      <c r="AL29">
        <f>_xll.EQNXTDZ($A$1,$B29,AL$1,$B$1)</f>
        <v>20.739000000000001</v>
      </c>
      <c r="AM29">
        <f>_xll.EQNXTDZ($A$1,$B29,AM$1,$B$1)</f>
        <v>21.748999999999999</v>
      </c>
      <c r="AN29">
        <f>_xll.EQNXTDZ($A$1,$B29,AN$1,$B$1)</f>
        <v>23.911000000000001</v>
      </c>
      <c r="AO29">
        <f>_xll.EQNXTDZ($A$1,$B29,AO$1,$B$1)</f>
        <v>24.936</v>
      </c>
      <c r="AP29">
        <f>_xll.EQNXTDZ($A$1,$B29,AP$1,$B$1)</f>
        <v>25.105</v>
      </c>
      <c r="AQ29">
        <f>_xll.EQNXTDZ($A$1,$B29,AQ$1,$B$1)</f>
        <v>22.298999999999999</v>
      </c>
      <c r="AR29">
        <f>_xll.EQNXTDZ($A$1,$B29,AR$1,$B$1)</f>
        <v>24.85</v>
      </c>
      <c r="AS29">
        <f>_xll.EQNXTDZ($A$1,$B29,AS$1,$B$1)</f>
        <v>24.22</v>
      </c>
      <c r="AT29">
        <f>_xll.EQNXTDZ($A$1,$B29,AT$1,$B$1)</f>
        <v>24.183</v>
      </c>
      <c r="AU29">
        <f>_xll.EQNXTDZ($A$1,$B29,AU$1,$B$1)</f>
        <v>25.527999999999999</v>
      </c>
      <c r="AV29">
        <f>_xll.EQNXTDZ($A$1,$B29,AV$1,$B$1)</f>
        <v>28.571999999999999</v>
      </c>
      <c r="AW29">
        <f>_xll.EQNXTDZ($A$1,$B29,AW$1,$B$1)</f>
        <v>30.184999999999999</v>
      </c>
      <c r="AX29">
        <f>_xll.EQNXTDZ($A$1,$B29,AX$1,$B$1)</f>
        <v>31.582999999999998</v>
      </c>
      <c r="AY29">
        <f>_xll.EQNXTDZ($A$1,$B29,AY$1,$B$1)</f>
        <v>35.44</v>
      </c>
      <c r="AZ29">
        <f>_xll.EQNXTDZ($A$1,$B29,AZ$1,$B$1)</f>
        <v>41.414999999999999</v>
      </c>
      <c r="BA29">
        <f>_xll.EQNXTDZ($A$1,$B29,BA$1,$B$1)</f>
        <v>41.997</v>
      </c>
      <c r="BB29">
        <f>_xll.EQNXTDZ($A$1,$B29,BB$1,$B$1)</f>
        <v>35.115000000000002</v>
      </c>
      <c r="BC29">
        <f>_xll.EQNXTDZ($A$1,$B29,BC$1,$B$1)</f>
        <v>36.348999999999997</v>
      </c>
      <c r="BD29">
        <f>_xll.EQNXTDZ($A$1,$B29,BD$1,$B$1)</f>
        <v>39.433</v>
      </c>
      <c r="BE29">
        <f>_xll.EQNXTDZ($A$1,$B29,BE$1,$B$1)</f>
        <v>40.118000000000002</v>
      </c>
      <c r="BF29">
        <f>_xll.EQNXTDZ($A$1,$B29,BF$1,$B$1)</f>
        <v>40.634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42.606000000000002</v>
      </c>
      <c r="AG30">
        <f>_xll.EQNXTDZ($A$1,$B30,AG$1,$B$1)</f>
        <v>46.232999999999997</v>
      </c>
      <c r="AH30">
        <f>_xll.EQNXTDZ($A$1,$B30,AH$1,$B$1)</f>
        <v>43.067</v>
      </c>
      <c r="AI30">
        <f>_xll.EQNXTDZ($A$1,$B30,AI$1,$B$1)</f>
        <v>39.795000000000002</v>
      </c>
      <c r="AJ30">
        <f>_xll.EQNXTDZ($A$1,$B30,AJ$1,$B$1)</f>
        <v>48.951999999999998</v>
      </c>
      <c r="AK30">
        <f>_xll.EQNXTDZ($A$1,$B30,AK$1,$B$1)</f>
        <v>56.417999999999999</v>
      </c>
      <c r="AL30">
        <f>_xll.EQNXTDZ($A$1,$B30,AL$1,$B$1)</f>
        <v>60.125</v>
      </c>
      <c r="AM30">
        <f>_xll.EQNXTDZ($A$1,$B30,AM$1,$B$1)</f>
        <v>63.241999999999997</v>
      </c>
      <c r="AN30">
        <f>_xll.EQNXTDZ($A$1,$B30,AN$1,$B$1)</f>
        <v>72.558000000000007</v>
      </c>
      <c r="AO30">
        <f>_xll.EQNXTDZ($A$1,$B30,AO$1,$B$1)</f>
        <v>77.311000000000007</v>
      </c>
      <c r="AP30">
        <f>_xll.EQNXTDZ($A$1,$B30,AP$1,$B$1)</f>
        <v>73.834999999999994</v>
      </c>
      <c r="AQ30">
        <f>_xll.EQNXTDZ($A$1,$B30,AQ$1,$B$1)</f>
        <v>64.605999999999995</v>
      </c>
      <c r="AR30">
        <f>_xll.EQNXTDZ($A$1,$B30,AR$1,$B$1)</f>
        <v>72.099999999999994</v>
      </c>
      <c r="AS30">
        <f>_xll.EQNXTDZ($A$1,$B30,AS$1,$B$1)</f>
        <v>73.569999999999993</v>
      </c>
      <c r="AT30">
        <f>_xll.EQNXTDZ($A$1,$B30,AT$1,$B$1)</f>
        <v>74.361000000000004</v>
      </c>
      <c r="AU30">
        <f>_xll.EQNXTDZ($A$1,$B30,AU$1,$B$1)</f>
        <v>75.677000000000007</v>
      </c>
      <c r="AV30">
        <f>_xll.EQNXTDZ($A$1,$B30,AV$1,$B$1)</f>
        <v>83.78</v>
      </c>
      <c r="AW30">
        <f>_xll.EQNXTDZ($A$1,$B30,AW$1,$B$1)</f>
        <v>88.536000000000001</v>
      </c>
      <c r="AX30">
        <f>_xll.EQNXTDZ($A$1,$B30,AX$1,$B$1)</f>
        <v>102.98399999999999</v>
      </c>
      <c r="AY30">
        <f>_xll.EQNXTDZ($A$1,$B30,AY$1,$B$1)</f>
        <v>106.953</v>
      </c>
      <c r="AZ30">
        <f>_xll.EQNXTDZ($A$1,$B30,AZ$1,$B$1)</f>
        <v>120.831</v>
      </c>
      <c r="BA30">
        <f>_xll.EQNXTDZ($A$1,$B30,BA$1,$B$1)</f>
        <v>124.10599999999999</v>
      </c>
      <c r="BB30">
        <f>_xll.EQNXTDZ($A$1,$B30,BB$1,$B$1)</f>
        <v>112.804</v>
      </c>
      <c r="BC30">
        <f>_xll.EQNXTDZ($A$1,$B30,BC$1,$B$1)</f>
        <v>108.298</v>
      </c>
      <c r="BD30">
        <f>_xll.EQNXTDZ($A$1,$B30,BD$1,$B$1)</f>
        <v>113.97799999999999</v>
      </c>
      <c r="BE30">
        <f>_xll.EQNXTDZ($A$1,$B30,BE$1,$B$1)</f>
        <v>124.65</v>
      </c>
      <c r="BF30">
        <f>_xll.EQNXTDZ($A$1,$B30,BF$1,$B$1)</f>
        <v>125.852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0.17199999999999999</v>
      </c>
      <c r="AR34">
        <f>_xll.EQNXTDZ($A$1,$B34,AR$1,$B$1)</f>
        <v>4.2999999999999997E-2</v>
      </c>
      <c r="AS34">
        <f>_xll.EQNXTDZ($A$1,$B34,AS$1,$B$1)</f>
        <v>0.14799999999999999</v>
      </c>
      <c r="AT34">
        <f>_xll.EQNXTDZ($A$1,$B34,AT$1,$B$1)</f>
        <v>0.25</v>
      </c>
      <c r="AU34">
        <f>_xll.EQNXTDZ($A$1,$B34,AU$1,$B$1)</f>
        <v>0.66300000000000003</v>
      </c>
      <c r="AV34">
        <f>_xll.EQNXTDZ($A$1,$B34,AV$1,$B$1)</f>
        <v>0.72699999999999998</v>
      </c>
      <c r="AW34">
        <f>_xll.EQNXTDZ($A$1,$B34,AW$1,$B$1)</f>
        <v>0.75800000000000001</v>
      </c>
      <c r="AX34">
        <f>_xll.EQNXTDZ($A$1,$B34,AX$1,$B$1)</f>
        <v>0.51500000000000001</v>
      </c>
      <c r="AY34">
        <f>_xll.EQNXTDZ($A$1,$B34,AY$1,$B$1)</f>
        <v>1.26</v>
      </c>
      <c r="AZ34">
        <f>_xll.EQNXTDZ($A$1,$B34,AZ$1,$B$1)</f>
        <v>1.6339999999999999</v>
      </c>
      <c r="BA34">
        <f>_xll.EQNXTDZ($A$1,$B34,BA$1,$B$1)</f>
        <v>1.387</v>
      </c>
      <c r="BB34">
        <f>_xll.EQNXTDZ($A$1,$B34,BB$1,$B$1)</f>
        <v>1.2170000000000001</v>
      </c>
      <c r="BC34">
        <f>_xll.EQNXTDZ($A$1,$B34,BC$1,$B$1)</f>
        <v>1.0489999999999999</v>
      </c>
      <c r="BD34">
        <f>_xll.EQNXTDZ($A$1,$B34,BD$1,$B$1)</f>
        <v>1.0069999999999999</v>
      </c>
      <c r="BE34">
        <f>_xll.EQNXTDZ($A$1,$B34,BE$1,$B$1)</f>
        <v>0.94099999999999995</v>
      </c>
      <c r="BF34">
        <f>_xll.EQNXTDZ($A$1,$B34,BF$1,$B$1)</f>
        <v>0.99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-0.25700000000000001</v>
      </c>
      <c r="BD35">
        <f>_xll.EQNXTDZ($A$1,$B35,BD$1,$B$1)</f>
        <v>-4.2999999999999997E-2</v>
      </c>
      <c r="BE35">
        <f>_xll.EQNXTDZ($A$1,$B35,BE$1,$B$1)</f>
        <v>-5.3999999999999999E-2</v>
      </c>
      <c r="BF35">
        <f>_xll.EQNXTDZ($A$1,$B35,BF$1,$B$1)</f>
        <v>-0.40799999999999997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42.606000000000002</v>
      </c>
      <c r="AG38">
        <f>_xll.EQNXTDZ($A$1,$B38,AG$1,$B$1)</f>
        <v>46.234999999999999</v>
      </c>
      <c r="AH38">
        <f>_xll.EQNXTDZ($A$1,$B38,AH$1,$B$1)</f>
        <v>43.067</v>
      </c>
      <c r="AI38">
        <f>_xll.EQNXTDZ($A$1,$B38,AI$1,$B$1)</f>
        <v>39.795000000000002</v>
      </c>
      <c r="AJ38">
        <f>_xll.EQNXTDZ($A$1,$B38,AJ$1,$B$1)</f>
        <v>48.951000000000001</v>
      </c>
      <c r="AK38">
        <f>_xll.EQNXTDZ($A$1,$B38,AK$1,$B$1)</f>
        <v>56.417999999999999</v>
      </c>
      <c r="AL38">
        <f>_xll.EQNXTDZ($A$1,$B38,AL$1,$B$1)</f>
        <v>60.127000000000002</v>
      </c>
      <c r="AM38">
        <f>_xll.EQNXTDZ($A$1,$B38,AM$1,$B$1)</f>
        <v>63.241</v>
      </c>
      <c r="AN38">
        <f>_xll.EQNXTDZ($A$1,$B38,AN$1,$B$1)</f>
        <v>72.558000000000007</v>
      </c>
      <c r="AO38">
        <f>_xll.EQNXTDZ($A$1,$B38,AO$1,$B$1)</f>
        <v>77.311999999999998</v>
      </c>
      <c r="AP38">
        <f>_xll.EQNXTDZ($A$1,$B38,AP$1,$B$1)</f>
        <v>73.835999999999999</v>
      </c>
      <c r="AQ38">
        <f>_xll.EQNXTDZ($A$1,$B38,AQ$1,$B$1)</f>
        <v>64.777000000000001</v>
      </c>
      <c r="AR38">
        <f>_xll.EQNXTDZ($A$1,$B38,AR$1,$B$1)</f>
        <v>72.143000000000001</v>
      </c>
      <c r="AS38">
        <f>_xll.EQNXTDZ($A$1,$B38,AS$1,$B$1)</f>
        <v>73.716999999999999</v>
      </c>
      <c r="AT38">
        <f>_xll.EQNXTDZ($A$1,$B38,AT$1,$B$1)</f>
        <v>74.611000000000004</v>
      </c>
      <c r="AU38">
        <f>_xll.EQNXTDZ($A$1,$B38,AU$1,$B$1)</f>
        <v>76.34</v>
      </c>
      <c r="AV38">
        <f>_xll.EQNXTDZ($A$1,$B38,AV$1,$B$1)</f>
        <v>84.507000000000005</v>
      </c>
      <c r="AW38">
        <f>_xll.EQNXTDZ($A$1,$B38,AW$1,$B$1)</f>
        <v>89.293000000000006</v>
      </c>
      <c r="AX38">
        <f>_xll.EQNXTDZ($A$1,$B38,AX$1,$B$1)</f>
        <v>103.5</v>
      </c>
      <c r="AY38">
        <f>_xll.EQNXTDZ($A$1,$B38,AY$1,$B$1)</f>
        <v>108.214</v>
      </c>
      <c r="AZ38">
        <f>_xll.EQNXTDZ($A$1,$B38,AZ$1,$B$1)</f>
        <v>122.46599999999999</v>
      </c>
      <c r="BA38">
        <f>_xll.EQNXTDZ($A$1,$B38,BA$1,$B$1)</f>
        <v>125.49299999999999</v>
      </c>
      <c r="BB38">
        <f>_xll.EQNXTDZ($A$1,$B38,BB$1,$B$1)</f>
        <v>114.021</v>
      </c>
      <c r="BC38">
        <f>_xll.EQNXTDZ($A$1,$B38,BC$1,$B$1)</f>
        <v>109.09</v>
      </c>
      <c r="BD38">
        <f>_xll.EQNXTDZ($A$1,$B38,BD$1,$B$1)</f>
        <v>114.943</v>
      </c>
      <c r="BE38">
        <f>_xll.EQNXTDZ($A$1,$B38,BE$1,$B$1)</f>
        <v>125.539</v>
      </c>
      <c r="BF38">
        <f>_xll.EQNXTDZ($A$1,$B38,BF$1,$B$1)</f>
        <v>126.43300000000001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1.2999999999999999E-2</v>
      </c>
      <c r="AG40">
        <f>_xll.EQNXTDZ($A$1,$B40,AG$1,$B$1)</f>
        <v>0.22</v>
      </c>
      <c r="AH40">
        <f>_xll.EQNXTDZ($A$1,$B40,AH$1,$B$1)</f>
        <v>-0.755</v>
      </c>
      <c r="AI40">
        <f>_xll.EQNXTDZ($A$1,$B40,AI$1,$B$1)</f>
        <v>-0.22800000000000001</v>
      </c>
      <c r="AJ40">
        <f>_xll.EQNXTDZ($A$1,$B40,AJ$1,$B$1)</f>
        <v>0.96499999999999997</v>
      </c>
      <c r="AK40">
        <f>_xll.EQNXTDZ($A$1,$B40,AK$1,$B$1)</f>
        <v>-4.1000000000000002E-2</v>
      </c>
      <c r="AL40">
        <f>_xll.EQNXTDZ($A$1,$B40,AL$1,$B$1)</f>
        <v>-0.27600000000000002</v>
      </c>
      <c r="AM40">
        <f>_xll.EQNXTDZ($A$1,$B40,AM$1,$B$1)</f>
        <v>0.317</v>
      </c>
      <c r="AN40">
        <f>_xll.EQNXTDZ($A$1,$B40,AN$1,$B$1)</f>
        <v>-6.8000000000000005E-2</v>
      </c>
      <c r="AO40">
        <f>_xll.EQNXTDZ($A$1,$B40,AO$1,$B$1)</f>
        <v>0.33600000000000002</v>
      </c>
      <c r="AP40">
        <f>_xll.EQNXTDZ($A$1,$B40,AP$1,$B$1)</f>
        <v>-0.17</v>
      </c>
      <c r="AQ40">
        <f>_xll.EQNXTDZ($A$1,$B40,AQ$1,$B$1)</f>
        <v>0.3</v>
      </c>
      <c r="AR40">
        <f>_xll.EQNXTDZ($A$1,$B40,AR$1,$B$1)</f>
        <v>0.39700000000000002</v>
      </c>
      <c r="AS40">
        <f>_xll.EQNXTDZ($A$1,$B40,AS$1,$B$1)</f>
        <v>-0.53200000000000003</v>
      </c>
      <c r="AT40">
        <f>_xll.EQNXTDZ($A$1,$B40,AT$1,$B$1)</f>
        <v>-0.374</v>
      </c>
      <c r="AU40">
        <f>_xll.EQNXTDZ($A$1,$B40,AU$1,$B$1)</f>
        <v>-0.94299999999999995</v>
      </c>
      <c r="AV40">
        <f>_xll.EQNXTDZ($A$1,$B40,AV$1,$B$1)</f>
        <v>0.127</v>
      </c>
      <c r="AW40">
        <f>_xll.EQNXTDZ($A$1,$B40,AW$1,$B$1)</f>
        <v>-0.251</v>
      </c>
      <c r="AX40">
        <f>_xll.EQNXTDZ($A$1,$B40,AX$1,$B$1)</f>
        <v>-0.40799999999999997</v>
      </c>
      <c r="AY40">
        <f>_xll.EQNXTDZ($A$1,$B40,AY$1,$B$1)</f>
        <v>-1.032</v>
      </c>
      <c r="AZ40">
        <f>_xll.EQNXTDZ($A$1,$B40,AZ$1,$B$1)</f>
        <v>-0.68700000000000006</v>
      </c>
      <c r="BA40">
        <f>_xll.EQNXTDZ($A$1,$B40,BA$1,$B$1)</f>
        <v>-0.51600000000000001</v>
      </c>
      <c r="BB40">
        <f>_xll.EQNXTDZ($A$1,$B40,BB$1,$B$1)</f>
        <v>-0.34499999999999997</v>
      </c>
      <c r="BC40">
        <f>_xll.EQNXTDZ($A$1,$B40,BC$1,$B$1)</f>
        <v>-1.411</v>
      </c>
      <c r="BD40">
        <f>_xll.EQNXTDZ($A$1,$B40,BD$1,$B$1)</f>
        <v>0.22</v>
      </c>
      <c r="BE40">
        <f>_xll.EQNXTDZ($A$1,$B40,BE$1,$B$1)</f>
        <v>-0.10100000000000001</v>
      </c>
      <c r="BF40">
        <f>_xll.EQNXTDZ($A$1,$B40,BF$1,$B$1)</f>
        <v>1.1679999999999999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42.619</v>
      </c>
      <c r="AG41">
        <f>_xll.EQNXTDZ($A$1,$B41,AG$1,$B$1)</f>
        <v>46.454999999999998</v>
      </c>
      <c r="AH41">
        <f>_xll.EQNXTDZ($A$1,$B41,AH$1,$B$1)</f>
        <v>42.313000000000002</v>
      </c>
      <c r="AI41">
        <f>_xll.EQNXTDZ($A$1,$B41,AI$1,$B$1)</f>
        <v>39.567</v>
      </c>
      <c r="AJ41">
        <f>_xll.EQNXTDZ($A$1,$B41,AJ$1,$B$1)</f>
        <v>49.915999999999997</v>
      </c>
      <c r="AK41">
        <f>_xll.EQNXTDZ($A$1,$B41,AK$1,$B$1)</f>
        <v>56.377000000000002</v>
      </c>
      <c r="AL41">
        <f>_xll.EQNXTDZ($A$1,$B41,AL$1,$B$1)</f>
        <v>59.850999999999999</v>
      </c>
      <c r="AM41">
        <f>_xll.EQNXTDZ($A$1,$B41,AM$1,$B$1)</f>
        <v>63.558</v>
      </c>
      <c r="AN41">
        <f>_xll.EQNXTDZ($A$1,$B41,AN$1,$B$1)</f>
        <v>72.489999999999995</v>
      </c>
      <c r="AO41">
        <f>_xll.EQNXTDZ($A$1,$B41,AO$1,$B$1)</f>
        <v>77.647000000000006</v>
      </c>
      <c r="AP41">
        <f>_xll.EQNXTDZ($A$1,$B41,AP$1,$B$1)</f>
        <v>73.665000000000006</v>
      </c>
      <c r="AQ41">
        <f>_xll.EQNXTDZ($A$1,$B41,AQ$1,$B$1)</f>
        <v>65.075999999999993</v>
      </c>
      <c r="AR41">
        <f>_xll.EQNXTDZ($A$1,$B41,AR$1,$B$1)</f>
        <v>72.540000000000006</v>
      </c>
      <c r="AS41">
        <f>_xll.EQNXTDZ($A$1,$B41,AS$1,$B$1)</f>
        <v>73.185000000000002</v>
      </c>
      <c r="AT41">
        <f>_xll.EQNXTDZ($A$1,$B41,AT$1,$B$1)</f>
        <v>74.236999999999995</v>
      </c>
      <c r="AU41">
        <f>_xll.EQNXTDZ($A$1,$B41,AU$1,$B$1)</f>
        <v>75.399000000000001</v>
      </c>
      <c r="AV41">
        <f>_xll.EQNXTDZ($A$1,$B41,AV$1,$B$1)</f>
        <v>84.587999999999994</v>
      </c>
      <c r="AW41">
        <f>_xll.EQNXTDZ($A$1,$B41,AW$1,$B$1)</f>
        <v>89.037999999999997</v>
      </c>
      <c r="AX41">
        <f>_xll.EQNXTDZ($A$1,$B41,AX$1,$B$1)</f>
        <v>103.09399999999999</v>
      </c>
      <c r="AY41">
        <f>_xll.EQNXTDZ($A$1,$B41,AY$1,$B$1)</f>
        <v>107.182</v>
      </c>
      <c r="AZ41">
        <f>_xll.EQNXTDZ($A$1,$B41,AZ$1,$B$1)</f>
        <v>121.741</v>
      </c>
      <c r="BA41">
        <f>_xll.EQNXTDZ($A$1,$B41,BA$1,$B$1)</f>
        <v>124.949</v>
      </c>
      <c r="BB41">
        <f>_xll.EQNXTDZ($A$1,$B41,BB$1,$B$1)</f>
        <v>113.67100000000001</v>
      </c>
      <c r="BC41">
        <f>_xll.EQNXTDZ($A$1,$B41,BC$1,$B$1)</f>
        <v>107.708</v>
      </c>
      <c r="BD41">
        <f>_xll.EQNXTDZ($A$1,$B41,BD$1,$B$1)</f>
        <v>115.10599999999999</v>
      </c>
      <c r="BE41">
        <f>_xll.EQNXTDZ($A$1,$B41,BE$1,$B$1)</f>
        <v>125.40900000000001</v>
      </c>
      <c r="BF41">
        <f>_xll.EQNXTDZ($A$1,$B41,BF$1,$B$1)</f>
        <v>127.52200000000001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42.606000000000002</v>
      </c>
      <c r="AG42">
        <f>_xll.EQNXTDZ($A$1,$B42,AG$1,$B$1)</f>
        <v>46.234999999999999</v>
      </c>
      <c r="AH42">
        <f>_xll.EQNXTDZ($A$1,$B42,AH$1,$B$1)</f>
        <v>43.067</v>
      </c>
      <c r="AI42">
        <f>_xll.EQNXTDZ($A$1,$B42,AI$1,$B$1)</f>
        <v>39.795000000000002</v>
      </c>
      <c r="AJ42">
        <f>_xll.EQNXTDZ($A$1,$B42,AJ$1,$B$1)</f>
        <v>48.951000000000001</v>
      </c>
      <c r="AK42">
        <f>_xll.EQNXTDZ($A$1,$B42,AK$1,$B$1)</f>
        <v>56.417999999999999</v>
      </c>
      <c r="AL42">
        <f>_xll.EQNXTDZ($A$1,$B42,AL$1,$B$1)</f>
        <v>60.127000000000002</v>
      </c>
      <c r="AM42">
        <f>_xll.EQNXTDZ($A$1,$B42,AM$1,$B$1)</f>
        <v>63.241</v>
      </c>
      <c r="AN42">
        <f>_xll.EQNXTDZ($A$1,$B42,AN$1,$B$1)</f>
        <v>72.558000000000007</v>
      </c>
      <c r="AO42">
        <f>_xll.EQNXTDZ($A$1,$B42,AO$1,$B$1)</f>
        <v>77.311999999999998</v>
      </c>
      <c r="AP42">
        <f>_xll.EQNXTDZ($A$1,$B42,AP$1,$B$1)</f>
        <v>73.835999999999999</v>
      </c>
      <c r="AQ42">
        <f>_xll.EQNXTDZ($A$1,$B42,AQ$1,$B$1)</f>
        <v>64.777000000000001</v>
      </c>
      <c r="AR42">
        <f>_xll.EQNXTDZ($A$1,$B42,AR$1,$B$1)</f>
        <v>72.143000000000001</v>
      </c>
      <c r="AS42">
        <f>_xll.EQNXTDZ($A$1,$B42,AS$1,$B$1)</f>
        <v>73.716999999999999</v>
      </c>
      <c r="AT42">
        <f>_xll.EQNXTDZ($A$1,$B42,AT$1,$B$1)</f>
        <v>74.611000000000004</v>
      </c>
      <c r="AU42">
        <f>_xll.EQNXTDZ($A$1,$B42,AU$1,$B$1)</f>
        <v>76.34</v>
      </c>
      <c r="AV42">
        <f>_xll.EQNXTDZ($A$1,$B42,AV$1,$B$1)</f>
        <v>84.507000000000005</v>
      </c>
      <c r="AW42">
        <f>_xll.EQNXTDZ($A$1,$B42,AW$1,$B$1)</f>
        <v>89.293000000000006</v>
      </c>
      <c r="AX42">
        <f>_xll.EQNXTDZ($A$1,$B42,AX$1,$B$1)</f>
        <v>103.5</v>
      </c>
      <c r="AY42">
        <f>_xll.EQNXTDZ($A$1,$B42,AY$1,$B$1)</f>
        <v>108.214</v>
      </c>
      <c r="AZ42">
        <f>_xll.EQNXTDZ($A$1,$B42,AZ$1,$B$1)</f>
        <v>122.46599999999999</v>
      </c>
      <c r="BA42">
        <f>_xll.EQNXTDZ($A$1,$B42,BA$1,$B$1)</f>
        <v>125.49299999999999</v>
      </c>
      <c r="BB42">
        <f>_xll.EQNXTDZ($A$1,$B42,BB$1,$B$1)</f>
        <v>114.021</v>
      </c>
      <c r="BC42">
        <f>_xll.EQNXTDZ($A$1,$B42,BC$1,$B$1)</f>
        <v>109.09</v>
      </c>
      <c r="BD42">
        <f>_xll.EQNXTDZ($A$1,$B42,BD$1,$B$1)</f>
        <v>114.943</v>
      </c>
      <c r="BE42">
        <f>_xll.EQNXTDZ($A$1,$B42,BE$1,$B$1)</f>
        <v>125.539</v>
      </c>
      <c r="BF42">
        <f>_xll.EQNXTDZ($A$1,$B42,BF$1,$B$1)</f>
        <v>126.43300000000001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48.76</v>
      </c>
      <c r="AG45">
        <f>_xll.EQNXTDZ($A$1,$B45,AG$1,$B$1)</f>
        <v>48.76</v>
      </c>
      <c r="AH45">
        <f>_xll.EQNXTDZ($A$1,$B45,AH$1,$B$1)</f>
        <v>48.76</v>
      </c>
      <c r="AI45">
        <f>_xll.EQNXTDZ($A$1,$B45,AI$1,$B$1)</f>
        <v>48.786999999999999</v>
      </c>
      <c r="AJ45">
        <f>_xll.EQNXTDZ($A$1,$B45,AJ$1,$B$1)</f>
        <v>48.786999999999999</v>
      </c>
      <c r="AK45">
        <f>_xll.EQNXTDZ($A$1,$B45,AK$1,$B$1)</f>
        <v>48.786999999999999</v>
      </c>
      <c r="AL45">
        <f>_xll.EQNXTDZ($A$1,$B45,AL$1,$B$1)</f>
        <v>48.790999999999997</v>
      </c>
      <c r="AM45">
        <f>_xll.EQNXTDZ($A$1,$B45,AM$1,$B$1)</f>
        <v>48.826000000000001</v>
      </c>
      <c r="AN45">
        <f>_xll.EQNXTDZ($A$1,$B45,AN$1,$B$1)</f>
        <v>48.826000000000001</v>
      </c>
      <c r="AO45">
        <f>_xll.EQNXTDZ($A$1,$B45,AO$1,$B$1)</f>
        <v>48.902999999999999</v>
      </c>
      <c r="AP45">
        <f>_xll.EQNXTDZ($A$1,$B45,AP$1,$B$1)</f>
        <v>48.904000000000003</v>
      </c>
      <c r="AQ45">
        <f>_xll.EQNXTDZ($A$1,$B45,AQ$1,$B$1)</f>
        <v>48.930999999999997</v>
      </c>
      <c r="AR45">
        <f>_xll.EQNXTDZ($A$1,$B45,AR$1,$B$1)</f>
        <v>48.994</v>
      </c>
      <c r="AS45">
        <f>_xll.EQNXTDZ($A$1,$B45,AS$1,$B$1)</f>
        <v>48.994</v>
      </c>
      <c r="AT45">
        <f>_xll.EQNXTDZ($A$1,$B45,AT$1,$B$1)</f>
        <v>48.994</v>
      </c>
      <c r="AU45">
        <f>_xll.EQNXTDZ($A$1,$B45,AU$1,$B$1)</f>
        <v>49.012999999999998</v>
      </c>
      <c r="AV45">
        <f>_xll.EQNXTDZ($A$1,$B45,AV$1,$B$1)</f>
        <v>49.122</v>
      </c>
      <c r="AW45">
        <f>_xll.EQNXTDZ($A$1,$B45,AW$1,$B$1)</f>
        <v>49.143000000000001</v>
      </c>
      <c r="AX45">
        <f>_xll.EQNXTDZ($A$1,$B45,AX$1,$B$1)</f>
        <v>49.143000000000001</v>
      </c>
      <c r="AY45">
        <f>_xll.EQNXTDZ($A$1,$B45,AY$1,$B$1)</f>
        <v>49.192999999999998</v>
      </c>
      <c r="AZ45">
        <f>_xll.EQNXTDZ($A$1,$B45,AZ$1,$B$1)</f>
        <v>49.283000000000001</v>
      </c>
      <c r="BA45">
        <f>_xll.EQNXTDZ($A$1,$B45,BA$1,$B$1)</f>
        <v>49.366</v>
      </c>
      <c r="BB45">
        <f>_xll.EQNXTDZ($A$1,$B45,BB$1,$B$1)</f>
        <v>49.43</v>
      </c>
      <c r="BC45">
        <f>_xll.EQNXTDZ($A$1,$B45,BC$1,$B$1)</f>
        <v>49.475000000000001</v>
      </c>
      <c r="BD45">
        <f>_xll.EQNXTDZ($A$1,$B45,BD$1,$B$1)</f>
        <v>49.497999999999998</v>
      </c>
      <c r="BE45">
        <f>_xll.EQNXTDZ($A$1,$B45,BE$1,$B$1)</f>
        <v>49.53</v>
      </c>
      <c r="BF45">
        <f>_xll.EQNXTDZ($A$1,$B45,BF$1,$B$1)</f>
        <v>49.597000000000001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361.09</v>
      </c>
      <c r="AL48" s="55">
        <f>_xll.EQNXTDZ($A$1,$B48,AL$5)</f>
        <v>370.54</v>
      </c>
      <c r="AM48" s="55">
        <f>_xll.EQNXTDZ($A$1,$B48,AM$5)</f>
        <v>557.91</v>
      </c>
      <c r="AN48" s="55">
        <f>_xll.EQNXTDZ($A$1,$B48,AN$5)</f>
        <v>607.04999999999995</v>
      </c>
      <c r="AO48" s="55">
        <f>_xll.EQNXTDZ($A$1,$B48,AO$5)</f>
        <v>533.4</v>
      </c>
      <c r="AP48" s="55">
        <f>_xll.EQNXTDZ($A$1,$B48,AP$5)</f>
        <v>462.84</v>
      </c>
      <c r="AQ48" s="55">
        <f>_xll.EQNXTDZ($A$1,$B48,AQ$5)</f>
        <v>451.47</v>
      </c>
      <c r="AR48" s="55">
        <f>_xll.EQNXTDZ($A$1,$B48,AR$5)</f>
        <v>504.83</v>
      </c>
      <c r="AS48" s="55">
        <f>_xll.EQNXTDZ($A$1,$B48,AS$5)</f>
        <v>444.08</v>
      </c>
      <c r="AT48" s="55">
        <f>_xll.EQNXTDZ($A$1,$B48,AT$5)</f>
        <v>406.38</v>
      </c>
      <c r="AU48" s="55">
        <f>_xll.EQNXTDZ($A$1,$B48,AU$5)</f>
        <v>439.91</v>
      </c>
      <c r="AV48" s="55">
        <f>_xll.EQNXTDZ($A$1,$B48,AV$5)</f>
        <v>502.19</v>
      </c>
      <c r="AW48" s="55">
        <f>_xll.EQNXTDZ($A$1,$B48,AW$5)</f>
        <v>530.51</v>
      </c>
      <c r="AX48" s="55">
        <f>_xll.EQNXTDZ($A$1,$B48,AX$5)</f>
        <v>583.07000000000005</v>
      </c>
      <c r="AY48" s="55">
        <f>_xll.EQNXTDZ($A$1,$B48,AY$5)</f>
        <v>722.51</v>
      </c>
      <c r="AZ48" s="55">
        <f>_xll.EQNXTDZ($A$1,$B48,AZ$5)</f>
        <v>881.64</v>
      </c>
      <c r="BA48" s="55">
        <f>_xll.EQNXTDZ($A$1,$B48,BA$5)</f>
        <v>1015.11</v>
      </c>
      <c r="BB48" s="55">
        <f>_xll.EQNXTDZ($A$1,$B48,BB$5)</f>
        <v>743</v>
      </c>
      <c r="BC48" s="55">
        <f>_xll.EQNXTDZ($A$1,$B48,BC$5)</f>
        <v>859.89</v>
      </c>
      <c r="BD48" s="55">
        <f>_xll.EQNXTDZ($A$1,$B48,BD$5)</f>
        <v>751.98</v>
      </c>
      <c r="BE48" s="55">
        <f>_xll.EQNXTDZ($A$1,$B48,BE$5)</f>
        <v>740.95</v>
      </c>
      <c r="BF48" s="55">
        <f>_xll.EQNXTDZ($A$1,$B48,BF$5)</f>
        <v>625.9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30.98</v>
      </c>
      <c r="AK49" s="55">
        <f>_xll.EQNXTDZ($A$1,$B49,AK$5)</f>
        <v>30.98</v>
      </c>
      <c r="AL49" s="55">
        <f>_xll.EQNXTDZ($A$1,$B49,AL$5)</f>
        <v>30.98</v>
      </c>
      <c r="AM49" s="55">
        <f>_xll.EQNXTDZ($A$1,$B49,AM$5)</f>
        <v>30.96</v>
      </c>
      <c r="AN49" s="55">
        <f>_xll.EQNXTDZ($A$1,$B49,AN$5)</f>
        <v>30.96</v>
      </c>
      <c r="AO49" s="55">
        <f>_xll.EQNXTDZ($A$1,$B49,AO$5)</f>
        <v>23.75</v>
      </c>
      <c r="AP49" s="55">
        <f>_xll.EQNXTDZ($A$1,$B49,AP$5)</f>
        <v>23.75</v>
      </c>
      <c r="AQ49" s="55">
        <f>_xll.EQNXTDZ($A$1,$B49,AQ$5)</f>
        <v>23.74</v>
      </c>
      <c r="AR49" s="55">
        <f>_xll.EQNXTDZ($A$1,$B49,AR$5)</f>
        <v>19.920000000000002</v>
      </c>
      <c r="AS49" s="55">
        <f>_xll.EQNXTDZ($A$1,$B49,AS$5)</f>
        <v>19.920000000000002</v>
      </c>
      <c r="AT49" s="55">
        <f>_xll.EQNXTDZ($A$1,$B49,AT$5)</f>
        <v>19.920000000000002</v>
      </c>
      <c r="AU49" s="55">
        <f>_xll.EQNXTDZ($A$1,$B49,AU$5)</f>
        <v>19.91</v>
      </c>
      <c r="AV49" s="55">
        <f>_xll.EQNXTDZ($A$1,$B49,AV$5)</f>
        <v>19.87</v>
      </c>
      <c r="AW49" s="55">
        <f>_xll.EQNXTDZ($A$1,$B49,AW$5)</f>
        <v>0</v>
      </c>
      <c r="AX49" s="55">
        <f>_xll.EQNXTDZ($A$1,$B49,AX$5)</f>
        <v>0</v>
      </c>
      <c r="AY49" s="55">
        <f>_xll.EQNXTDZ($A$1,$B49,AY$5)</f>
        <v>0</v>
      </c>
      <c r="AZ49" s="55">
        <f>_xll.EQNXTDZ($A$1,$B49,AZ$5)</f>
        <v>0</v>
      </c>
      <c r="BA49" s="55">
        <f>_xll.EQNXTDZ($A$1,$B49,BA$5)</f>
        <v>0</v>
      </c>
      <c r="BB49" s="55">
        <f>_xll.EQNXTDZ($A$1,$B49,BB$5)</f>
        <v>0</v>
      </c>
      <c r="BC49" s="55">
        <f>_xll.EQNXTDZ($A$1,$B49,BC$5)</f>
        <v>0</v>
      </c>
      <c r="BD49" s="55">
        <f>_xll.EQNXTDZ($A$1,$B49,BD$5)</f>
        <v>0</v>
      </c>
      <c r="BE49" s="55">
        <f>_xll.EQNXTDZ($A$1,$B49,BE$5)</f>
        <v>0</v>
      </c>
      <c r="BF49" s="55">
        <f>_xll.EQNXTDZ($A$1,$B49,BF$5)</f>
        <v>0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48.76</v>
      </c>
      <c r="AI56" s="55">
        <f>_xll.EQNXTDZ($A$1,$B56,AI$5,$B$1)</f>
        <v>0</v>
      </c>
      <c r="AJ56" s="55">
        <f>_xll.EQNXTDZ($A$1,$B56,AJ$5,$B$1)</f>
        <v>48.786999999999999</v>
      </c>
      <c r="AK56" s="55">
        <f>_xll.EQNXTDZ($A$1,$B56,AK$5,$B$1)</f>
        <v>0</v>
      </c>
      <c r="AL56" s="55">
        <f>_xll.EQNXTDZ($A$1,$B56,AL$5,$B$1)</f>
        <v>48.790999999999997</v>
      </c>
      <c r="AM56" s="55">
        <f>_xll.EQNXTDZ($A$1,$B56,AM$5,$B$1)</f>
        <v>0</v>
      </c>
      <c r="AN56" s="55">
        <f>_xll.EQNXTDZ($A$1,$B56,AN$5,$B$1)</f>
        <v>48.825000000000003</v>
      </c>
      <c r="AO56" s="55">
        <f>_xll.EQNXTDZ($A$1,$B56,AO$5,$B$1)</f>
        <v>0</v>
      </c>
      <c r="AP56" s="55">
        <f>_xll.EQNXTDZ($A$1,$B56,AP$5,$B$1)</f>
        <v>48.904000000000003</v>
      </c>
      <c r="AQ56" s="55">
        <f>_xll.EQNXTDZ($A$1,$B56,AQ$5,$B$1)</f>
        <v>0</v>
      </c>
      <c r="AR56" s="55">
        <f>_xll.EQNXTDZ($A$1,$B56,AR$5,$B$1)</f>
        <v>48.994</v>
      </c>
      <c r="AS56" s="55">
        <f>_xll.EQNXTDZ($A$1,$B56,AS$5,$B$1)</f>
        <v>0</v>
      </c>
      <c r="AT56" s="55">
        <f>_xll.EQNXTDZ($A$1,$B56,AT$5,$B$1)</f>
        <v>48.994</v>
      </c>
      <c r="AU56" s="55">
        <f>_xll.EQNXTDZ($A$1,$B56,AU$5,$B$1)</f>
        <v>0</v>
      </c>
      <c r="AV56" s="55">
        <f>_xll.EQNXTDZ($A$1,$B56,AV$5,$B$1)</f>
        <v>49.122</v>
      </c>
      <c r="AW56" s="55">
        <f>_xll.EQNXTDZ($A$1,$B56,AW$5,$B$1)</f>
        <v>0</v>
      </c>
      <c r="AX56" s="55">
        <f>_xll.EQNXTDZ($A$1,$B56,AX$5,$B$1)</f>
        <v>49.143000000000001</v>
      </c>
      <c r="AY56" s="55">
        <f>_xll.EQNXTDZ($A$1,$B56,AY$5,$B$1)</f>
        <v>0</v>
      </c>
      <c r="AZ56" s="55">
        <f>_xll.EQNXTDZ($A$1,$B56,AZ$5,$B$1)</f>
        <v>49.283000000000001</v>
      </c>
      <c r="BA56" s="55">
        <f>_xll.EQNXTDZ($A$1,$B56,BA$5,$B$1)</f>
        <v>0</v>
      </c>
      <c r="BB56" s="55">
        <f>_xll.EQNXTDZ($A$1,$B56,BB$5,$B$1)</f>
        <v>49.43</v>
      </c>
      <c r="BC56" s="55">
        <f>_xll.EQNXTDZ($A$1,$B56,BC$5,$B$1)</f>
        <v>0</v>
      </c>
      <c r="BD56" s="55">
        <f>_xll.EQNXTDZ($A$1,$B56,BD$5,$B$1)</f>
        <v>49.496000000000002</v>
      </c>
      <c r="BE56" s="55">
        <f>_xll.EQNXTDZ($A$1,$B56,BE$5,$B$1)</f>
        <v>0</v>
      </c>
      <c r="BF56" s="55">
        <f>_xll.EQNXTDZ($A$1,$B56,BF$5,$B$1)</f>
        <v>49.597000000000001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5.5149999999999997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5.1559999999999997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500.096</v>
      </c>
      <c r="AI58" s="55">
        <f>_xll.EQNXTDZ($A$1,$B58,AI$5,$B$1)</f>
        <v>0</v>
      </c>
      <c r="AJ58" s="55">
        <f>_xll.EQNXTDZ($A$1,$B58,AJ$5,$B$1)</f>
        <v>414.06099999999998</v>
      </c>
      <c r="AK58" s="55">
        <f>_xll.EQNXTDZ($A$1,$B58,AK$5,$B$1)</f>
        <v>0</v>
      </c>
      <c r="AL58" s="55">
        <f>_xll.EQNXTDZ($A$1,$B58,AL$5,$B$1)</f>
        <v>467.08100000000002</v>
      </c>
      <c r="AM58" s="55">
        <f>_xll.EQNXTDZ($A$1,$B58,AM$5,$B$1)</f>
        <v>0</v>
      </c>
      <c r="AN58" s="55">
        <f>_xll.EQNXTDZ($A$1,$B58,AN$5,$B$1)</f>
        <v>525.92999999999995</v>
      </c>
      <c r="AO58" s="55">
        <f>_xll.EQNXTDZ($A$1,$B58,AO$5,$B$1)</f>
        <v>0</v>
      </c>
      <c r="AP58" s="55">
        <f>_xll.EQNXTDZ($A$1,$B58,AP$5,$B$1)</f>
        <v>598.73400000000004</v>
      </c>
      <c r="AQ58" s="55">
        <f>_xll.EQNXTDZ($A$1,$B58,AQ$5,$B$1)</f>
        <v>0</v>
      </c>
      <c r="AR58" s="55">
        <f>_xll.EQNXTDZ($A$1,$B58,AR$5,$B$1)</f>
        <v>667.77300000000002</v>
      </c>
      <c r="AS58" s="55">
        <f>_xll.EQNXTDZ($A$1,$B58,AS$5,$B$1)</f>
        <v>0</v>
      </c>
      <c r="AT58" s="55">
        <f>_xll.EQNXTDZ($A$1,$B58,AT$5,$B$1)</f>
        <v>732.73099999999999</v>
      </c>
      <c r="AU58" s="55">
        <f>_xll.EQNXTDZ($A$1,$B58,AU$5,$B$1)</f>
        <v>0</v>
      </c>
      <c r="AV58" s="55">
        <f>_xll.EQNXTDZ($A$1,$B58,AV$5,$B$1)</f>
        <v>754.33100000000002</v>
      </c>
      <c r="AW58" s="55">
        <f>_xll.EQNXTDZ($A$1,$B58,AW$5,$B$1)</f>
        <v>0</v>
      </c>
      <c r="AX58" s="55">
        <f>_xll.EQNXTDZ($A$1,$B58,AX$5,$B$1)</f>
        <v>865.39</v>
      </c>
      <c r="AY58" s="55">
        <f>_xll.EQNXTDZ($A$1,$B58,AY$5,$B$1)</f>
        <v>0</v>
      </c>
      <c r="AZ58" s="55">
        <f>_xll.EQNXTDZ($A$1,$B58,AZ$5,$B$1)</f>
        <v>980.85299999999995</v>
      </c>
      <c r="BA58" s="55">
        <f>_xll.EQNXTDZ($A$1,$B58,BA$5,$B$1)</f>
        <v>0</v>
      </c>
      <c r="BB58" s="55">
        <f>_xll.EQNXTDZ($A$1,$B58,BB$5,$B$1)</f>
        <v>1069.124</v>
      </c>
      <c r="BC58" s="55">
        <f>_xll.EQNXTDZ($A$1,$B58,BC$5,$B$1)</f>
        <v>0</v>
      </c>
      <c r="BD58" s="55">
        <f>_xll.EQNXTDZ($A$1,$B58,BD$5,$B$1)</f>
        <v>1162.1690000000001</v>
      </c>
      <c r="BE58" s="55">
        <f>_xll.EQNXTDZ($A$1,$B58,BE$5,$B$1)</f>
        <v>0</v>
      </c>
      <c r="BF58" s="55">
        <f>_xll.EQNXTDZ($A$1,$B58,BF$5,$B$1)</f>
        <v>1271.318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548.85599999999999</v>
      </c>
      <c r="AI59" s="55">
        <f>_xll.EQNXTDZ($A$1,$B59,AI$5,$B$1)</f>
        <v>0</v>
      </c>
      <c r="AJ59" s="55">
        <f>_xll.EQNXTDZ($A$1,$B59,AJ$5,$B$1)</f>
        <v>462.84800000000001</v>
      </c>
      <c r="AK59" s="55">
        <f>_xll.EQNXTDZ($A$1,$B59,AK$5,$B$1)</f>
        <v>0</v>
      </c>
      <c r="AL59" s="55">
        <f>_xll.EQNXTDZ($A$1,$B59,AL$5,$B$1)</f>
        <v>515.87199999999996</v>
      </c>
      <c r="AM59" s="55">
        <f>_xll.EQNXTDZ($A$1,$B59,AM$5,$B$1)</f>
        <v>0</v>
      </c>
      <c r="AN59" s="55">
        <f>_xll.EQNXTDZ($A$1,$B59,AN$5,$B$1)</f>
        <v>580.27</v>
      </c>
      <c r="AO59" s="55">
        <f>_xll.EQNXTDZ($A$1,$B59,AO$5,$B$1)</f>
        <v>0</v>
      </c>
      <c r="AP59" s="55">
        <f>_xll.EQNXTDZ($A$1,$B59,AP$5,$B$1)</f>
        <v>647.63800000000003</v>
      </c>
      <c r="AQ59" s="55">
        <f>_xll.EQNXTDZ($A$1,$B59,AQ$5,$B$1)</f>
        <v>0</v>
      </c>
      <c r="AR59" s="55">
        <f>_xll.EQNXTDZ($A$1,$B59,AR$5,$B$1)</f>
        <v>716.76700000000005</v>
      </c>
      <c r="AS59" s="55">
        <f>_xll.EQNXTDZ($A$1,$B59,AS$5,$B$1)</f>
        <v>0</v>
      </c>
      <c r="AT59" s="55">
        <f>_xll.EQNXTDZ($A$1,$B59,AT$5,$B$1)</f>
        <v>781.72500000000002</v>
      </c>
      <c r="AU59" s="55">
        <f>_xll.EQNXTDZ($A$1,$B59,AU$5,$B$1)</f>
        <v>0</v>
      </c>
      <c r="AV59" s="55">
        <f>_xll.EQNXTDZ($A$1,$B59,AV$5,$B$1)</f>
        <v>803.45299999999997</v>
      </c>
      <c r="AW59" s="55">
        <f>_xll.EQNXTDZ($A$1,$B59,AW$5,$B$1)</f>
        <v>0</v>
      </c>
      <c r="AX59" s="55">
        <f>_xll.EQNXTDZ($A$1,$B59,AX$5,$B$1)</f>
        <v>914.53300000000002</v>
      </c>
      <c r="AY59" s="55">
        <f>_xll.EQNXTDZ($A$1,$B59,AY$5,$B$1)</f>
        <v>0</v>
      </c>
      <c r="AZ59" s="55">
        <f>_xll.EQNXTDZ($A$1,$B59,AZ$5,$B$1)</f>
        <v>1030.136</v>
      </c>
      <c r="BA59" s="55">
        <f>_xll.EQNXTDZ($A$1,$B59,BA$5,$B$1)</f>
        <v>0</v>
      </c>
      <c r="BB59" s="55">
        <f>_xll.EQNXTDZ($A$1,$B59,BB$5,$B$1)</f>
        <v>1118.5540000000001</v>
      </c>
      <c r="BC59" s="55">
        <f>_xll.EQNXTDZ($A$1,$B59,BC$5,$B$1)</f>
        <v>0</v>
      </c>
      <c r="BD59" s="55">
        <f>_xll.EQNXTDZ($A$1,$B59,BD$5,$B$1)</f>
        <v>1216.8209999999999</v>
      </c>
      <c r="BE59" s="55">
        <f>_xll.EQNXTDZ($A$1,$B59,BE$5,$B$1)</f>
        <v>0</v>
      </c>
      <c r="BF59" s="55">
        <f>_xll.EQNXTDZ($A$1,$B59,BF$5,$B$1)</f>
        <v>1320.915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1.1459999999999999</v>
      </c>
      <c r="AS60" s="55">
        <f>_xll.EQNXTDZ($A$1,$B60,AS$5,$B$1)</f>
        <v>0</v>
      </c>
      <c r="AT60" s="55">
        <f>_xll.EQNXTDZ($A$1,$B60,AT$5,$B$1)</f>
        <v>0.747</v>
      </c>
      <c r="AU60" s="55">
        <f>_xll.EQNXTDZ($A$1,$B60,AU$5,$B$1)</f>
        <v>0</v>
      </c>
      <c r="AV60" s="55">
        <f>_xll.EQNXTDZ($A$1,$B60,AV$5,$B$1)</f>
        <v>0.81200000000000006</v>
      </c>
      <c r="AW60" s="55">
        <f>_xll.EQNXTDZ($A$1,$B60,AW$5,$B$1)</f>
        <v>0</v>
      </c>
      <c r="AX60" s="55">
        <f>_xll.EQNXTDZ($A$1,$B60,AX$5,$B$1)</f>
        <v>1.115</v>
      </c>
      <c r="AY60" s="55">
        <f>_xll.EQNXTDZ($A$1,$B60,AY$5,$B$1)</f>
        <v>0</v>
      </c>
      <c r="AZ60" s="55">
        <f>_xll.EQNXTDZ($A$1,$B60,AZ$5,$B$1)</f>
        <v>0.876</v>
      </c>
      <c r="BA60" s="55">
        <f>_xll.EQNXTDZ($A$1,$B60,BA$5,$B$1)</f>
        <v>0</v>
      </c>
      <c r="BB60" s="55">
        <f>_xll.EQNXTDZ($A$1,$B60,BB$5,$B$1)</f>
        <v>0.35399999999999998</v>
      </c>
      <c r="BC60" s="55">
        <f>_xll.EQNXTDZ($A$1,$B60,BC$5,$B$1)</f>
        <v>0</v>
      </c>
      <c r="BD60" s="55">
        <f>_xll.EQNXTDZ($A$1,$B60,BD$5,$B$1)</f>
        <v>0.26</v>
      </c>
      <c r="BE60" s="55">
        <f>_xll.EQNXTDZ($A$1,$B60,BE$5,$B$1)</f>
        <v>0</v>
      </c>
      <c r="BF60" s="55">
        <f>_xll.EQNXTDZ($A$1,$B60,BF$5,$B$1)</f>
        <v>-4.5999999999999999E-2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0.24399999999999999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0.24399999999999999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75.988</v>
      </c>
      <c r="AI64" s="55">
        <f>_xll.EQNXTDZ($A$1,$B64,AI$5,$B$1)</f>
        <v>0</v>
      </c>
      <c r="AJ64" s="55">
        <f>_xll.EQNXTDZ($A$1,$B64,AJ$5,$B$1)</f>
        <v>57.420999999999999</v>
      </c>
      <c r="AK64" s="55">
        <f>_xll.EQNXTDZ($A$1,$B64,AK$5,$B$1)</f>
        <v>0</v>
      </c>
      <c r="AL64" s="55">
        <f>_xll.EQNXTDZ($A$1,$B64,AL$5,$B$1)</f>
        <v>64.537000000000006</v>
      </c>
      <c r="AM64" s="55">
        <f>_xll.EQNXTDZ($A$1,$B64,AM$5,$B$1)</f>
        <v>0</v>
      </c>
      <c r="AN64" s="55">
        <f>_xll.EQNXTDZ($A$1,$B64,AN$5,$B$1)</f>
        <v>58.497</v>
      </c>
      <c r="AO64" s="55">
        <f>_xll.EQNXTDZ($A$1,$B64,AO$5,$B$1)</f>
        <v>0</v>
      </c>
      <c r="AP64" s="55">
        <f>_xll.EQNXTDZ($A$1,$B64,AP$5,$B$1)</f>
        <v>62.366</v>
      </c>
      <c r="AQ64" s="55">
        <f>_xll.EQNXTDZ($A$1,$B64,AQ$5,$B$1)</f>
        <v>0</v>
      </c>
      <c r="AR64" s="55">
        <f>_xll.EQNXTDZ($A$1,$B64,AR$5,$B$1)</f>
        <v>66.852000000000004</v>
      </c>
      <c r="AS64" s="55">
        <f>_xll.EQNXTDZ($A$1,$B64,AS$5,$B$1)</f>
        <v>0</v>
      </c>
      <c r="AT64" s="55">
        <f>_xll.EQNXTDZ($A$1,$B64,AT$5,$B$1)</f>
        <v>73.53</v>
      </c>
      <c r="AU64" s="55">
        <f>_xll.EQNXTDZ($A$1,$B64,AU$5,$B$1)</f>
        <v>0</v>
      </c>
      <c r="AV64" s="55">
        <f>_xll.EQNXTDZ($A$1,$B64,AV$5,$B$1)</f>
        <v>138.66300000000001</v>
      </c>
      <c r="AW64" s="55">
        <f>_xll.EQNXTDZ($A$1,$B64,AW$5,$B$1)</f>
        <v>0</v>
      </c>
      <c r="AX64" s="55">
        <f>_xll.EQNXTDZ($A$1,$B64,AX$5,$B$1)</f>
        <v>119.825</v>
      </c>
      <c r="AY64" s="55">
        <f>_xll.EQNXTDZ($A$1,$B64,AY$5,$B$1)</f>
        <v>0</v>
      </c>
      <c r="AZ64" s="55">
        <f>_xll.EQNXTDZ($A$1,$B64,AZ$5,$B$1)</f>
        <v>116.46</v>
      </c>
      <c r="BA64" s="55">
        <f>_xll.EQNXTDZ($A$1,$B64,BA$5,$B$1)</f>
        <v>0</v>
      </c>
      <c r="BB64" s="55">
        <f>_xll.EQNXTDZ($A$1,$B64,BB$5,$B$1)</f>
        <v>78.355999999999995</v>
      </c>
      <c r="BC64" s="55">
        <f>_xll.EQNXTDZ($A$1,$B64,BC$5,$B$1)</f>
        <v>0</v>
      </c>
      <c r="BD64" s="55">
        <f>_xll.EQNXTDZ($A$1,$B64,BD$5,$B$1)</f>
        <v>66.534999999999997</v>
      </c>
      <c r="BE64" s="55">
        <f>_xll.EQNXTDZ($A$1,$B64,BE$5,$B$1)</f>
        <v>0</v>
      </c>
      <c r="BF64" s="55">
        <f>_xll.EQNXTDZ($A$1,$B64,BF$5,$B$1)</f>
        <v>48.411999999999999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73.2</v>
      </c>
      <c r="AI66" s="55">
        <f>_xll.EQNXTDZ($A$1,$B66,AI$5,$B$1)</f>
        <v>0</v>
      </c>
      <c r="AJ66" s="55">
        <f>_xll.EQNXTDZ($A$1,$B66,AJ$5,$B$1)</f>
        <v>74.933000000000007</v>
      </c>
      <c r="AK66" s="55">
        <f>_xll.EQNXTDZ($A$1,$B66,AK$5,$B$1)</f>
        <v>0</v>
      </c>
      <c r="AL66" s="55">
        <f>_xll.EQNXTDZ($A$1,$B66,AL$5,$B$1)</f>
        <v>74.831000000000003</v>
      </c>
      <c r="AM66" s="55">
        <f>_xll.EQNXTDZ($A$1,$B66,AM$5,$B$1)</f>
        <v>0</v>
      </c>
      <c r="AN66" s="55">
        <f>_xll.EQNXTDZ($A$1,$B66,AN$5,$B$1)</f>
        <v>73.960999999999999</v>
      </c>
      <c r="AO66" s="55">
        <f>_xll.EQNXTDZ($A$1,$B66,AO$5,$B$1)</f>
        <v>0</v>
      </c>
      <c r="AP66" s="55">
        <f>_xll.EQNXTDZ($A$1,$B66,AP$5,$B$1)</f>
        <v>72.8</v>
      </c>
      <c r="AQ66" s="55">
        <f>_xll.EQNXTDZ($A$1,$B66,AQ$5,$B$1)</f>
        <v>0</v>
      </c>
      <c r="AR66" s="55">
        <f>_xll.EQNXTDZ($A$1,$B66,AR$5,$B$1)</f>
        <v>72.474000000000004</v>
      </c>
      <c r="AS66" s="55">
        <f>_xll.EQNXTDZ($A$1,$B66,AS$5,$B$1)</f>
        <v>0</v>
      </c>
      <c r="AT66" s="55">
        <f>_xll.EQNXTDZ($A$1,$B66,AT$5,$B$1)</f>
        <v>70.241</v>
      </c>
      <c r="AU66" s="55">
        <f>_xll.EQNXTDZ($A$1,$B66,AU$5,$B$1)</f>
        <v>0</v>
      </c>
      <c r="AV66" s="55">
        <f>_xll.EQNXTDZ($A$1,$B66,AV$5,$B$1)</f>
        <v>72.650999999999996</v>
      </c>
      <c r="AW66" s="55">
        <f>_xll.EQNXTDZ($A$1,$B66,AW$5,$B$1)</f>
        <v>0</v>
      </c>
      <c r="AX66" s="55">
        <f>_xll.EQNXTDZ($A$1,$B66,AX$5,$B$1)</f>
        <v>72.061000000000007</v>
      </c>
      <c r="AY66" s="55">
        <f>_xll.EQNXTDZ($A$1,$B66,AY$5,$B$1)</f>
        <v>0</v>
      </c>
      <c r="AZ66" s="55">
        <f>_xll.EQNXTDZ($A$1,$B66,AZ$5,$B$1)</f>
        <v>72.656000000000006</v>
      </c>
      <c r="BA66" s="55">
        <f>_xll.EQNXTDZ($A$1,$B66,BA$5,$B$1)</f>
        <v>0</v>
      </c>
      <c r="BB66" s="55">
        <f>_xll.EQNXTDZ($A$1,$B66,BB$5,$B$1)</f>
        <v>68.756</v>
      </c>
      <c r="BC66" s="55">
        <f>_xll.EQNXTDZ($A$1,$B66,BC$5,$B$1)</f>
        <v>0</v>
      </c>
      <c r="BD66" s="55">
        <f>_xll.EQNXTDZ($A$1,$B66,BD$5,$B$1)</f>
        <v>73.956999999999994</v>
      </c>
      <c r="BE66" s="55">
        <f>_xll.EQNXTDZ($A$1,$B66,BE$5,$B$1)</f>
        <v>0</v>
      </c>
      <c r="BF66" s="55">
        <f>_xll.EQNXTDZ($A$1,$B66,BF$5,$B$1)</f>
        <v>66.938999999999993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698.04399999999998</v>
      </c>
      <c r="AI67" s="55">
        <f>_xll.EQNXTDZ($A$1,$B67,AI$5,$B$1)</f>
        <v>0</v>
      </c>
      <c r="AJ67" s="55">
        <f>_xll.EQNXTDZ($A$1,$B67,AJ$5,$B$1)</f>
        <v>595.202</v>
      </c>
      <c r="AK67" s="55">
        <f>_xll.EQNXTDZ($A$1,$B67,AK$5,$B$1)</f>
        <v>0</v>
      </c>
      <c r="AL67" s="55">
        <f>_xll.EQNXTDZ($A$1,$B67,AL$5,$B$1)</f>
        <v>655.24</v>
      </c>
      <c r="AM67" s="55">
        <f>_xll.EQNXTDZ($A$1,$B67,AM$5,$B$1)</f>
        <v>0</v>
      </c>
      <c r="AN67" s="55">
        <f>_xll.EQNXTDZ($A$1,$B67,AN$5,$B$1)</f>
        <v>712.72799999999995</v>
      </c>
      <c r="AO67" s="55">
        <f>_xll.EQNXTDZ($A$1,$B67,AO$5,$B$1)</f>
        <v>0</v>
      </c>
      <c r="AP67" s="55">
        <f>_xll.EQNXTDZ($A$1,$B67,AP$5,$B$1)</f>
        <v>782.80399999999997</v>
      </c>
      <c r="AQ67" s="55">
        <f>_xll.EQNXTDZ($A$1,$B67,AQ$5,$B$1)</f>
        <v>0</v>
      </c>
      <c r="AR67" s="55">
        <f>_xll.EQNXTDZ($A$1,$B67,AR$5,$B$1)</f>
        <v>857.23900000000003</v>
      </c>
      <c r="AS67" s="55">
        <f>_xll.EQNXTDZ($A$1,$B67,AS$5,$B$1)</f>
        <v>0</v>
      </c>
      <c r="AT67" s="55">
        <f>_xll.EQNXTDZ($A$1,$B67,AT$5,$B$1)</f>
        <v>926.24300000000005</v>
      </c>
      <c r="AU67" s="55">
        <f>_xll.EQNXTDZ($A$1,$B67,AU$5,$B$1)</f>
        <v>0</v>
      </c>
      <c r="AV67" s="55">
        <f>_xll.EQNXTDZ($A$1,$B67,AV$5,$B$1)</f>
        <v>1015.579</v>
      </c>
      <c r="AW67" s="55">
        <f>_xll.EQNXTDZ($A$1,$B67,AW$5,$B$1)</f>
        <v>0</v>
      </c>
      <c r="AX67" s="55">
        <f>_xll.EQNXTDZ($A$1,$B67,AX$5,$B$1)</f>
        <v>1107.5340000000001</v>
      </c>
      <c r="AY67" s="55">
        <f>_xll.EQNXTDZ($A$1,$B67,AY$5,$B$1)</f>
        <v>0</v>
      </c>
      <c r="AZ67" s="55">
        <f>_xll.EQNXTDZ($A$1,$B67,AZ$5,$B$1)</f>
        <v>1220.1279999999999</v>
      </c>
      <c r="BA67" s="55">
        <f>_xll.EQNXTDZ($A$1,$B67,BA$5,$B$1)</f>
        <v>0</v>
      </c>
      <c r="BB67" s="55">
        <f>_xll.EQNXTDZ($A$1,$B67,BB$5,$B$1)</f>
        <v>1266.02</v>
      </c>
      <c r="BC67" s="55">
        <f>_xll.EQNXTDZ($A$1,$B67,BC$5,$B$1)</f>
        <v>0</v>
      </c>
      <c r="BD67" s="55">
        <f>_xll.EQNXTDZ($A$1,$B67,BD$5,$B$1)</f>
        <v>1357.817</v>
      </c>
      <c r="BE67" s="55">
        <f>_xll.EQNXTDZ($A$1,$B67,BE$5,$B$1)</f>
        <v>0</v>
      </c>
      <c r="BF67" s="55">
        <f>_xll.EQNXTDZ($A$1,$B67,BF$5,$B$1)</f>
        <v>1436.22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76.331999999999994</v>
      </c>
      <c r="AI68" s="55">
        <f>_xll.EQNXTDZ($A$1,$B68,AI$5,$B$1)</f>
        <v>0</v>
      </c>
      <c r="AJ68" s="55">
        <f>_xll.EQNXTDZ($A$1,$B68,AJ$5,$B$1)</f>
        <v>67.36</v>
      </c>
      <c r="AK68" s="55">
        <f>_xll.EQNXTDZ($A$1,$B68,AK$5,$B$1)</f>
        <v>0</v>
      </c>
      <c r="AL68" s="55">
        <f>_xll.EQNXTDZ($A$1,$B68,AL$5,$B$1)</f>
        <v>76.680999999999997</v>
      </c>
      <c r="AM68" s="55">
        <f>_xll.EQNXTDZ($A$1,$B68,AM$5,$B$1)</f>
        <v>0</v>
      </c>
      <c r="AN68" s="55">
        <f>_xll.EQNXTDZ($A$1,$B68,AN$5,$B$1)</f>
        <v>79.126000000000005</v>
      </c>
      <c r="AO68" s="55">
        <f>_xll.EQNXTDZ($A$1,$B68,AO$5,$B$1)</f>
        <v>0</v>
      </c>
      <c r="AP68" s="55">
        <f>_xll.EQNXTDZ($A$1,$B68,AP$5,$B$1)</f>
        <v>108.045</v>
      </c>
      <c r="AQ68" s="55">
        <f>_xll.EQNXTDZ($A$1,$B68,AQ$5,$B$1)</f>
        <v>0</v>
      </c>
      <c r="AR68" s="55">
        <f>_xll.EQNXTDZ($A$1,$B68,AR$5,$B$1)</f>
        <v>99.402000000000001</v>
      </c>
      <c r="AS68" s="55">
        <f>_xll.EQNXTDZ($A$1,$B68,AS$5,$B$1)</f>
        <v>0</v>
      </c>
      <c r="AT68" s="55">
        <f>_xll.EQNXTDZ($A$1,$B68,AT$5,$B$1)</f>
        <v>114.369</v>
      </c>
      <c r="AU68" s="55">
        <f>_xll.EQNXTDZ($A$1,$B68,AU$5,$B$1)</f>
        <v>0</v>
      </c>
      <c r="AV68" s="55">
        <f>_xll.EQNXTDZ($A$1,$B68,AV$5,$B$1)</f>
        <v>118.36499999999999</v>
      </c>
      <c r="AW68" s="55">
        <f>_xll.EQNXTDZ($A$1,$B68,AW$5,$B$1)</f>
        <v>0</v>
      </c>
      <c r="AX68" s="55">
        <f>_xll.EQNXTDZ($A$1,$B68,AX$5,$B$1)</f>
        <v>123.506</v>
      </c>
      <c r="AY68" s="55">
        <f>_xll.EQNXTDZ($A$1,$B68,AY$5,$B$1)</f>
        <v>0</v>
      </c>
      <c r="AZ68" s="55">
        <f>_xll.EQNXTDZ($A$1,$B68,AZ$5,$B$1)</f>
        <v>119.303</v>
      </c>
      <c r="BA68" s="55">
        <f>_xll.EQNXTDZ($A$1,$B68,BA$5,$B$1)</f>
        <v>0</v>
      </c>
      <c r="BB68" s="55">
        <f>_xll.EQNXTDZ($A$1,$B68,BB$5,$B$1)</f>
        <v>190.36600000000001</v>
      </c>
      <c r="BC68" s="55">
        <f>_xll.EQNXTDZ($A$1,$B68,BC$5,$B$1)</f>
        <v>0</v>
      </c>
      <c r="BD68" s="55">
        <f>_xll.EQNXTDZ($A$1,$B68,BD$5,$B$1)</f>
        <v>217.17599999999999</v>
      </c>
      <c r="BE68" s="55">
        <f>_xll.EQNXTDZ($A$1,$B68,BE$5,$B$1)</f>
        <v>0</v>
      </c>
      <c r="BF68" s="55">
        <f>_xll.EQNXTDZ($A$1,$B68,BF$5,$B$1)</f>
        <v>266.61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76.331999999999994</v>
      </c>
      <c r="AI71" s="55">
        <f>_xll.EQNXTDZ($A$1,$B71,AI$5,$B$1)</f>
        <v>0</v>
      </c>
      <c r="AJ71" s="55">
        <f>_xll.EQNXTDZ($A$1,$B71,AJ$5,$B$1)</f>
        <v>67.36</v>
      </c>
      <c r="AK71" s="55">
        <f>_xll.EQNXTDZ($A$1,$B71,AK$5,$B$1)</f>
        <v>0</v>
      </c>
      <c r="AL71" s="55">
        <f>_xll.EQNXTDZ($A$1,$B71,AL$5,$B$1)</f>
        <v>76.680999999999997</v>
      </c>
      <c r="AM71" s="55">
        <f>_xll.EQNXTDZ($A$1,$B71,AM$5,$B$1)</f>
        <v>0</v>
      </c>
      <c r="AN71" s="55">
        <f>_xll.EQNXTDZ($A$1,$B71,AN$5,$B$1)</f>
        <v>79.126000000000005</v>
      </c>
      <c r="AO71" s="55">
        <f>_xll.EQNXTDZ($A$1,$B71,AO$5,$B$1)</f>
        <v>0</v>
      </c>
      <c r="AP71" s="55">
        <f>_xll.EQNXTDZ($A$1,$B71,AP$5,$B$1)</f>
        <v>108.045</v>
      </c>
      <c r="AQ71" s="55">
        <f>_xll.EQNXTDZ($A$1,$B71,AQ$5,$B$1)</f>
        <v>0</v>
      </c>
      <c r="AR71" s="55">
        <f>_xll.EQNXTDZ($A$1,$B71,AR$5,$B$1)</f>
        <v>99.402000000000001</v>
      </c>
      <c r="AS71" s="55">
        <f>_xll.EQNXTDZ($A$1,$B71,AS$5,$B$1)</f>
        <v>0</v>
      </c>
      <c r="AT71" s="55">
        <f>_xll.EQNXTDZ($A$1,$B71,AT$5,$B$1)</f>
        <v>114.369</v>
      </c>
      <c r="AU71" s="55">
        <f>_xll.EQNXTDZ($A$1,$B71,AU$5,$B$1)</f>
        <v>0</v>
      </c>
      <c r="AV71" s="55">
        <f>_xll.EQNXTDZ($A$1,$B71,AV$5,$B$1)</f>
        <v>118.36499999999999</v>
      </c>
      <c r="AW71" s="55">
        <f>_xll.EQNXTDZ($A$1,$B71,AW$5,$B$1)</f>
        <v>0</v>
      </c>
      <c r="AX71" s="55">
        <f>_xll.EQNXTDZ($A$1,$B71,AX$5,$B$1)</f>
        <v>123.506</v>
      </c>
      <c r="AY71" s="55">
        <f>_xll.EQNXTDZ($A$1,$B71,AY$5,$B$1)</f>
        <v>0</v>
      </c>
      <c r="AZ71" s="55">
        <f>_xll.EQNXTDZ($A$1,$B71,AZ$5,$B$1)</f>
        <v>119.303</v>
      </c>
      <c r="BA71" s="55">
        <f>_xll.EQNXTDZ($A$1,$B71,BA$5,$B$1)</f>
        <v>0</v>
      </c>
      <c r="BB71" s="55">
        <f>_xll.EQNXTDZ($A$1,$B71,BB$5,$B$1)</f>
        <v>190.36600000000001</v>
      </c>
      <c r="BC71" s="55">
        <f>_xll.EQNXTDZ($A$1,$B71,BC$5,$B$1)</f>
        <v>0</v>
      </c>
      <c r="BD71" s="55">
        <f>_xll.EQNXTDZ($A$1,$B71,BD$5,$B$1)</f>
        <v>217.17599999999999</v>
      </c>
      <c r="BE71" s="55">
        <f>_xll.EQNXTDZ($A$1,$B71,BE$5,$B$1)</f>
        <v>0</v>
      </c>
      <c r="BF71" s="55">
        <f>_xll.EQNXTDZ($A$1,$B71,BF$5,$B$1)</f>
        <v>266.61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133.59800000000001</v>
      </c>
      <c r="AI72" s="55">
        <f>_xll.EQNXTDZ($A$1,$B72,AI$5,$B$1)</f>
        <v>0</v>
      </c>
      <c r="AJ72" s="55">
        <f>_xll.EQNXTDZ($A$1,$B72,AJ$5,$B$1)</f>
        <v>133.59800000000001</v>
      </c>
      <c r="AK72" s="55">
        <f>_xll.EQNXTDZ($A$1,$B72,AK$5,$B$1)</f>
        <v>0</v>
      </c>
      <c r="AL72" s="55">
        <f>_xll.EQNXTDZ($A$1,$B72,AL$5,$B$1)</f>
        <v>133.59800000000001</v>
      </c>
      <c r="AM72" s="55">
        <f>_xll.EQNXTDZ($A$1,$B72,AM$5,$B$1)</f>
        <v>0</v>
      </c>
      <c r="AN72" s="55">
        <f>_xll.EQNXTDZ($A$1,$B72,AN$5,$B$1)</f>
        <v>133.59800000000001</v>
      </c>
      <c r="AO72" s="55">
        <f>_xll.EQNXTDZ($A$1,$B72,AO$5,$B$1)</f>
        <v>0</v>
      </c>
      <c r="AP72" s="55">
        <f>_xll.EQNXTDZ($A$1,$B72,AP$5,$B$1)</f>
        <v>133.59800000000001</v>
      </c>
      <c r="AQ72" s="55">
        <f>_xll.EQNXTDZ($A$1,$B72,AQ$5,$B$1)</f>
        <v>0</v>
      </c>
      <c r="AR72" s="55">
        <f>_xll.EQNXTDZ($A$1,$B72,AR$5,$B$1)</f>
        <v>143.233</v>
      </c>
      <c r="AS72" s="55">
        <f>_xll.EQNXTDZ($A$1,$B72,AS$5,$B$1)</f>
        <v>0</v>
      </c>
      <c r="AT72" s="55">
        <f>_xll.EQNXTDZ($A$1,$B72,AT$5,$B$1)</f>
        <v>143.233</v>
      </c>
      <c r="AU72" s="55">
        <f>_xll.EQNXTDZ($A$1,$B72,AU$5,$B$1)</f>
        <v>0</v>
      </c>
      <c r="AV72" s="55">
        <f>_xll.EQNXTDZ($A$1,$B72,AV$5,$B$1)</f>
        <v>179.59</v>
      </c>
      <c r="AW72" s="55">
        <f>_xll.EQNXTDZ($A$1,$B72,AW$5,$B$1)</f>
        <v>0</v>
      </c>
      <c r="AX72" s="55">
        <f>_xll.EQNXTDZ($A$1,$B72,AX$5,$B$1)</f>
        <v>179.59</v>
      </c>
      <c r="AY72" s="55">
        <f>_xll.EQNXTDZ($A$1,$B72,AY$5,$B$1)</f>
        <v>0</v>
      </c>
      <c r="AZ72" s="55">
        <f>_xll.EQNXTDZ($A$1,$B72,AZ$5,$B$1)</f>
        <v>179.59</v>
      </c>
      <c r="BA72" s="55">
        <f>_xll.EQNXTDZ($A$1,$B72,BA$5,$B$1)</f>
        <v>0</v>
      </c>
      <c r="BB72" s="55">
        <f>_xll.EQNXTDZ($A$1,$B72,BB$5,$B$1)</f>
        <v>179.59</v>
      </c>
      <c r="BC72" s="55">
        <f>_xll.EQNXTDZ($A$1,$B72,BC$5,$B$1)</f>
        <v>0</v>
      </c>
      <c r="BD72" s="55">
        <f>_xll.EQNXTDZ($A$1,$B72,BD$5,$B$1)</f>
        <v>179.59</v>
      </c>
      <c r="BE72" s="55">
        <f>_xll.EQNXTDZ($A$1,$B72,BE$5,$B$1)</f>
        <v>0</v>
      </c>
      <c r="BF72" s="55">
        <f>_xll.EQNXTDZ($A$1,$B72,BF$5,$B$1)</f>
        <v>173.85599999999999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0.16300000000000001</v>
      </c>
      <c r="AQ74" s="55">
        <f>_xll.EQNXTDZ($A$1,$B74,AQ$5,$B$1)</f>
        <v>0</v>
      </c>
      <c r="AR74" s="55">
        <f>_xll.EQNXTDZ($A$1,$B74,AR$5,$B$1)</f>
        <v>5.7119999999999997</v>
      </c>
      <c r="AS74" s="55">
        <f>_xll.EQNXTDZ($A$1,$B74,AS$5,$B$1)</f>
        <v>0</v>
      </c>
      <c r="AT74" s="55">
        <f>_xll.EQNXTDZ($A$1,$B74,AT$5,$B$1)</f>
        <v>0.75600000000000001</v>
      </c>
      <c r="AU74" s="55">
        <f>_xll.EQNXTDZ($A$1,$B74,AU$5,$B$1)</f>
        <v>0</v>
      </c>
      <c r="AV74" s="55">
        <f>_xll.EQNXTDZ($A$1,$B74,AV$5,$B$1)</f>
        <v>8.0139999999999993</v>
      </c>
      <c r="AW74" s="55">
        <f>_xll.EQNXTDZ($A$1,$B74,AW$5,$B$1)</f>
        <v>0</v>
      </c>
      <c r="AX74" s="55">
        <f>_xll.EQNXTDZ($A$1,$B74,AX$5,$B$1)</f>
        <v>2.1760000000000002</v>
      </c>
      <c r="AY74" s="55">
        <f>_xll.EQNXTDZ($A$1,$B74,AY$5,$B$1)</f>
        <v>0</v>
      </c>
      <c r="AZ74" s="55">
        <f>_xll.EQNXTDZ($A$1,$B74,AZ$5,$B$1)</f>
        <v>4.3999999999999997E-2</v>
      </c>
      <c r="BA74" s="55">
        <f>_xll.EQNXTDZ($A$1,$B74,BA$5,$B$1)</f>
        <v>0</v>
      </c>
      <c r="BB74" s="55">
        <f>_xll.EQNXTDZ($A$1,$B74,BB$5,$B$1)</f>
        <v>5.2060000000000004</v>
      </c>
      <c r="BC74" s="55">
        <f>_xll.EQNXTDZ($A$1,$B74,BC$5,$B$1)</f>
        <v>0</v>
      </c>
      <c r="BD74" s="55">
        <f>_xll.EQNXTDZ($A$1,$B74,BD$5,$B$1)</f>
        <v>1.65</v>
      </c>
      <c r="BE74" s="55">
        <f>_xll.EQNXTDZ($A$1,$B74,BE$5,$B$1)</f>
        <v>0</v>
      </c>
      <c r="BF74" s="55">
        <f>_xll.EQNXTDZ($A$1,$B74,BF$5,$B$1)</f>
        <v>0.877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0.53300000000000003</v>
      </c>
      <c r="AI77" s="55">
        <f>_xll.EQNXTDZ($A$1,$B77,AI$5,$B$1)</f>
        <v>0</v>
      </c>
      <c r="AJ77" s="55">
        <f>_xll.EQNXTDZ($A$1,$B77,AJ$5,$B$1)</f>
        <v>0.51900000000000002</v>
      </c>
      <c r="AK77" s="55">
        <f>_xll.EQNXTDZ($A$1,$B77,AK$5,$B$1)</f>
        <v>0</v>
      </c>
      <c r="AL77" s="55">
        <f>_xll.EQNXTDZ($A$1,$B77,AL$5,$B$1)</f>
        <v>0.53100000000000003</v>
      </c>
      <c r="AM77" s="55">
        <f>_xll.EQNXTDZ($A$1,$B77,AM$5,$B$1)</f>
        <v>0</v>
      </c>
      <c r="AN77" s="55">
        <f>_xll.EQNXTDZ($A$1,$B77,AN$5,$B$1)</f>
        <v>0.5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0.1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5.0000000000000001E-3</v>
      </c>
      <c r="BC77" s="55">
        <f>_xll.EQNXTDZ($A$1,$B77,BC$5,$B$1)</f>
        <v>0</v>
      </c>
      <c r="BD77" s="55">
        <f>_xll.EQNXTDZ($A$1,$B77,BD$5,$B$1)</f>
        <v>0.55000000000000004</v>
      </c>
      <c r="BE77" s="55">
        <f>_xll.EQNXTDZ($A$1,$B77,BE$5,$B$1)</f>
        <v>0</v>
      </c>
      <c r="BF77" s="55">
        <f>_xll.EQNXTDZ($A$1,$B77,BF$5,$B$1)</f>
        <v>8.7999999999999995E-2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12.808999999999999</v>
      </c>
      <c r="AI78" s="55">
        <f>_xll.EQNXTDZ($A$1,$B78,AI$5,$B$1)</f>
        <v>0</v>
      </c>
      <c r="AJ78" s="55">
        <f>_xll.EQNXTDZ($A$1,$B78,AJ$5,$B$1)</f>
        <v>11.114000000000001</v>
      </c>
      <c r="AK78" s="55">
        <f>_xll.EQNXTDZ($A$1,$B78,AK$5,$B$1)</f>
        <v>0</v>
      </c>
      <c r="AL78" s="55">
        <f>_xll.EQNXTDZ($A$1,$B78,AL$5,$B$1)</f>
        <v>0.17299999999999999</v>
      </c>
      <c r="AM78" s="55">
        <f>_xll.EQNXTDZ($A$1,$B78,AM$5,$B$1)</f>
        <v>0</v>
      </c>
      <c r="AN78" s="55">
        <f>_xll.EQNXTDZ($A$1,$B78,AN$5,$B$1)</f>
        <v>0.252</v>
      </c>
      <c r="AO78" s="55">
        <f>_xll.EQNXTDZ($A$1,$B78,AO$5,$B$1)</f>
        <v>0</v>
      </c>
      <c r="AP78" s="55">
        <f>_xll.EQNXTDZ($A$1,$B78,AP$5,$B$1)</f>
        <v>0.21299999999999999</v>
      </c>
      <c r="AQ78" s="55">
        <f>_xll.EQNXTDZ($A$1,$B78,AQ$5,$B$1)</f>
        <v>0</v>
      </c>
      <c r="AR78" s="55">
        <f>_xll.EQNXTDZ($A$1,$B78,AR$5,$B$1)</f>
        <v>0.311</v>
      </c>
      <c r="AS78" s="55">
        <f>_xll.EQNXTDZ($A$1,$B78,AS$5,$B$1)</f>
        <v>0</v>
      </c>
      <c r="AT78" s="55">
        <f>_xll.EQNXTDZ($A$1,$B78,AT$5,$B$1)</f>
        <v>0.23300000000000001</v>
      </c>
      <c r="AU78" s="55">
        <f>_xll.EQNXTDZ($A$1,$B78,AU$5,$B$1)</f>
        <v>0</v>
      </c>
      <c r="AV78" s="55">
        <f>_xll.EQNXTDZ($A$1,$B78,AV$5,$B$1)</f>
        <v>0.27400000000000002</v>
      </c>
      <c r="AW78" s="55">
        <f>_xll.EQNXTDZ($A$1,$B78,AW$5,$B$1)</f>
        <v>0</v>
      </c>
      <c r="AX78" s="55">
        <f>_xll.EQNXTDZ($A$1,$B78,AX$5,$B$1)</f>
        <v>0.16400000000000001</v>
      </c>
      <c r="AY78" s="55">
        <f>_xll.EQNXTDZ($A$1,$B78,AY$5,$B$1)</f>
        <v>0</v>
      </c>
      <c r="AZ78" s="55">
        <f>_xll.EQNXTDZ($A$1,$B78,AZ$5,$B$1)</f>
        <v>0.214</v>
      </c>
      <c r="BA78" s="55">
        <f>_xll.EQNXTDZ($A$1,$B78,BA$5,$B$1)</f>
        <v>0</v>
      </c>
      <c r="BB78" s="55">
        <f>_xll.EQNXTDZ($A$1,$B78,BB$5,$B$1)</f>
        <v>0.245</v>
      </c>
      <c r="BC78" s="55">
        <f>_xll.EQNXTDZ($A$1,$B78,BC$5,$B$1)</f>
        <v>0</v>
      </c>
      <c r="BD78" s="55">
        <f>_xll.EQNXTDZ($A$1,$B78,BD$5,$B$1)</f>
        <v>0.26500000000000001</v>
      </c>
      <c r="BE78" s="55">
        <f>_xll.EQNXTDZ($A$1,$B78,BE$5,$B$1)</f>
        <v>0</v>
      </c>
      <c r="BF78" s="55">
        <f>_xll.EQNXTDZ($A$1,$B78,BF$5,$B$1)</f>
        <v>0.23200000000000001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99.552000000000007</v>
      </c>
      <c r="AI79" s="55">
        <f>_xll.EQNXTDZ($A$1,$B79,AI$5,$B$1)</f>
        <v>0</v>
      </c>
      <c r="AJ79" s="55">
        <f>_xll.EQNXTDZ($A$1,$B79,AJ$5,$B$1)</f>
        <v>73.578000000000003</v>
      </c>
      <c r="AK79" s="55">
        <f>_xll.EQNXTDZ($A$1,$B79,AK$5,$B$1)</f>
        <v>0</v>
      </c>
      <c r="AL79" s="55">
        <f>_xll.EQNXTDZ($A$1,$B79,AL$5,$B$1)</f>
        <v>87.522999999999996</v>
      </c>
      <c r="AM79" s="55">
        <f>_xll.EQNXTDZ($A$1,$B79,AM$5,$B$1)</f>
        <v>0</v>
      </c>
      <c r="AN79" s="55">
        <f>_xll.EQNXTDZ($A$1,$B79,AN$5,$B$1)</f>
        <v>85.061000000000007</v>
      </c>
      <c r="AO79" s="55">
        <f>_xll.EQNXTDZ($A$1,$B79,AO$5,$B$1)</f>
        <v>0</v>
      </c>
      <c r="AP79" s="55">
        <f>_xll.EQNXTDZ($A$1,$B79,AP$5,$B$1)</f>
        <v>86.242000000000004</v>
      </c>
      <c r="AQ79" s="55">
        <f>_xll.EQNXTDZ($A$1,$B79,AQ$5,$B$1)</f>
        <v>0</v>
      </c>
      <c r="AR79" s="55">
        <f>_xll.EQNXTDZ($A$1,$B79,AR$5,$B$1)</f>
        <v>92.605000000000004</v>
      </c>
      <c r="AS79" s="55">
        <f>_xll.EQNXTDZ($A$1,$B79,AS$5,$B$1)</f>
        <v>0</v>
      </c>
      <c r="AT79" s="55">
        <f>_xll.EQNXTDZ($A$1,$B79,AT$5,$B$1)</f>
        <v>98.391999999999996</v>
      </c>
      <c r="AU79" s="55">
        <f>_xll.EQNXTDZ($A$1,$B79,AU$5,$B$1)</f>
        <v>0</v>
      </c>
      <c r="AV79" s="55">
        <f>_xll.EQNXTDZ($A$1,$B79,AV$5,$B$1)</f>
        <v>101.976</v>
      </c>
      <c r="AW79" s="55">
        <f>_xll.EQNXTDZ($A$1,$B79,AW$5,$B$1)</f>
        <v>0</v>
      </c>
      <c r="AX79" s="55">
        <f>_xll.EQNXTDZ($A$1,$B79,AX$5,$B$1)</f>
        <v>100.908</v>
      </c>
      <c r="AY79" s="55">
        <f>_xll.EQNXTDZ($A$1,$B79,AY$5,$B$1)</f>
        <v>0</v>
      </c>
      <c r="AZ79" s="55">
        <f>_xll.EQNXTDZ($A$1,$B79,AZ$5,$B$1)</f>
        <v>104.688</v>
      </c>
      <c r="BA79" s="55">
        <f>_xll.EQNXTDZ($A$1,$B79,BA$5,$B$1)</f>
        <v>0</v>
      </c>
      <c r="BB79" s="55">
        <f>_xll.EQNXTDZ($A$1,$B79,BB$5,$B$1)</f>
        <v>92.590999999999994</v>
      </c>
      <c r="BC79" s="55">
        <f>_xll.EQNXTDZ($A$1,$B79,BC$5,$B$1)</f>
        <v>0</v>
      </c>
      <c r="BD79" s="55">
        <f>_xll.EQNXTDZ($A$1,$B79,BD$5,$B$1)</f>
        <v>83.046000000000006</v>
      </c>
      <c r="BE79" s="55">
        <f>_xll.EQNXTDZ($A$1,$B79,BE$5,$B$1)</f>
        <v>0</v>
      </c>
      <c r="BF79" s="55">
        <f>_xll.EQNXTDZ($A$1,$B79,BF$5,$B$1)</f>
        <v>71.180999999999997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305.60500000000002</v>
      </c>
      <c r="AI80" s="55">
        <f>_xll.EQNXTDZ($A$1,$B80,AI$5,$B$1)</f>
        <v>0</v>
      </c>
      <c r="AJ80" s="55">
        <f>_xll.EQNXTDZ($A$1,$B80,AJ$5,$B$1)</f>
        <v>207.71600000000001</v>
      </c>
      <c r="AK80" s="55">
        <f>_xll.EQNXTDZ($A$1,$B80,AK$5,$B$1)</f>
        <v>0</v>
      </c>
      <c r="AL80" s="55">
        <f>_xll.EQNXTDZ($A$1,$B80,AL$5,$B$1)</f>
        <v>235.53700000000001</v>
      </c>
      <c r="AM80" s="55">
        <f>_xll.EQNXTDZ($A$1,$B80,AM$5,$B$1)</f>
        <v>0</v>
      </c>
      <c r="AN80" s="55">
        <f>_xll.EQNXTDZ($A$1,$B80,AN$5,$B$1)</f>
        <v>294.12099999999998</v>
      </c>
      <c r="AO80" s="55">
        <f>_xll.EQNXTDZ($A$1,$B80,AO$5,$B$1)</f>
        <v>0</v>
      </c>
      <c r="AP80" s="55">
        <f>_xll.EQNXTDZ($A$1,$B80,AP$5,$B$1)</f>
        <v>316.94799999999998</v>
      </c>
      <c r="AQ80" s="55">
        <f>_xll.EQNXTDZ($A$1,$B80,AQ$5,$B$1)</f>
        <v>0</v>
      </c>
      <c r="AR80" s="55">
        <f>_xll.EQNXTDZ($A$1,$B80,AR$5,$B$1)</f>
        <v>335.18700000000001</v>
      </c>
      <c r="AS80" s="55">
        <f>_xll.EQNXTDZ($A$1,$B80,AS$5,$B$1)</f>
        <v>0</v>
      </c>
      <c r="AT80" s="55">
        <f>_xll.EQNXTDZ($A$1,$B80,AT$5,$B$1)</f>
        <v>329.834</v>
      </c>
      <c r="AU80" s="55">
        <f>_xll.EQNXTDZ($A$1,$B80,AU$5,$B$1)</f>
        <v>0</v>
      </c>
      <c r="AV80" s="55">
        <f>_xll.EQNXTDZ($A$1,$B80,AV$5,$B$1)</f>
        <v>370.46899999999999</v>
      </c>
      <c r="AW80" s="55">
        <f>_xll.EQNXTDZ($A$1,$B80,AW$5,$B$1)</f>
        <v>0</v>
      </c>
      <c r="AX80" s="55">
        <f>_xll.EQNXTDZ($A$1,$B80,AX$5,$B$1)</f>
        <v>406.55</v>
      </c>
      <c r="AY80" s="55">
        <f>_xll.EQNXTDZ($A$1,$B80,AY$5,$B$1)</f>
        <v>0</v>
      </c>
      <c r="AZ80" s="55">
        <f>_xll.EQNXTDZ($A$1,$B80,AZ$5,$B$1)</f>
        <v>517.55399999999997</v>
      </c>
      <c r="BA80" s="55">
        <f>_xll.EQNXTDZ($A$1,$B80,BA$5,$B$1)</f>
        <v>0</v>
      </c>
      <c r="BB80" s="55">
        <f>_xll.EQNXTDZ($A$1,$B80,BB$5,$B$1)</f>
        <v>424.56299999999999</v>
      </c>
      <c r="BC80" s="55">
        <f>_xll.EQNXTDZ($A$1,$B80,BC$5,$B$1)</f>
        <v>0</v>
      </c>
      <c r="BD80" s="55">
        <f>_xll.EQNXTDZ($A$1,$B80,BD$5,$B$1)</f>
        <v>542.39499999999998</v>
      </c>
      <c r="BE80" s="55">
        <f>_xll.EQNXTDZ($A$1,$B80,BE$5,$B$1)</f>
        <v>0</v>
      </c>
      <c r="BF80" s="55">
        <f>_xll.EQNXTDZ($A$1,$B80,BF$5,$B$1)</f>
        <v>445.43200000000002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32.030999999999999</v>
      </c>
      <c r="AI82" s="55">
        <f>_xll.EQNXTDZ($A$1,$B82,AI$5,$B$1)</f>
        <v>0</v>
      </c>
      <c r="AJ82" s="55">
        <f>_xll.EQNXTDZ($A$1,$B82,AJ$5,$B$1)</f>
        <v>42.523000000000003</v>
      </c>
      <c r="AK82" s="55">
        <f>_xll.EQNXTDZ($A$1,$B82,AK$5,$B$1)</f>
        <v>0</v>
      </c>
      <c r="AL82" s="55">
        <f>_xll.EQNXTDZ($A$1,$B82,AL$5,$B$1)</f>
        <v>28.99</v>
      </c>
      <c r="AM82" s="55">
        <f>_xll.EQNXTDZ($A$1,$B82,AM$5,$B$1)</f>
        <v>0</v>
      </c>
      <c r="AN82" s="55">
        <f>_xll.EQNXTDZ($A$1,$B82,AN$5,$B$1)</f>
        <v>37.192999999999998</v>
      </c>
      <c r="AO82" s="55">
        <f>_xll.EQNXTDZ($A$1,$B82,AO$5,$B$1)</f>
        <v>0</v>
      </c>
      <c r="AP82" s="55">
        <f>_xll.EQNXTDZ($A$1,$B82,AP$5,$B$1)</f>
        <v>25.547000000000001</v>
      </c>
      <c r="AQ82" s="55">
        <f>_xll.EQNXTDZ($A$1,$B82,AQ$5,$B$1)</f>
        <v>0</v>
      </c>
      <c r="AR82" s="55">
        <f>_xll.EQNXTDZ($A$1,$B82,AR$5,$B$1)</f>
        <v>57.085000000000001</v>
      </c>
      <c r="AS82" s="55">
        <f>_xll.EQNXTDZ($A$1,$B82,AS$5,$B$1)</f>
        <v>0</v>
      </c>
      <c r="AT82" s="55">
        <f>_xll.EQNXTDZ($A$1,$B82,AT$5,$B$1)</f>
        <v>33.023000000000003</v>
      </c>
      <c r="AU82" s="55">
        <f>_xll.EQNXTDZ($A$1,$B82,AU$5,$B$1)</f>
        <v>0</v>
      </c>
      <c r="AV82" s="55">
        <f>_xll.EQNXTDZ($A$1,$B82,AV$5,$B$1)</f>
        <v>53.917999999999999</v>
      </c>
      <c r="AW82" s="55">
        <f>_xll.EQNXTDZ($A$1,$B82,AW$5,$B$1)</f>
        <v>0</v>
      </c>
      <c r="AX82" s="55">
        <f>_xll.EQNXTDZ($A$1,$B82,AX$5,$B$1)</f>
        <v>64.864000000000004</v>
      </c>
      <c r="AY82" s="55">
        <f>_xll.EQNXTDZ($A$1,$B82,AY$5,$B$1)</f>
        <v>0</v>
      </c>
      <c r="AZ82" s="55">
        <f>_xll.EQNXTDZ($A$1,$B82,AZ$5,$B$1)</f>
        <v>71.718000000000004</v>
      </c>
      <c r="BA82" s="55">
        <f>_xll.EQNXTDZ($A$1,$B82,BA$5,$B$1)</f>
        <v>0</v>
      </c>
      <c r="BB82" s="55">
        <f>_xll.EQNXTDZ($A$1,$B82,BB$5,$B$1)</f>
        <v>110.265</v>
      </c>
      <c r="BC82" s="55">
        <f>_xll.EQNXTDZ($A$1,$B82,BC$5,$B$1)</f>
        <v>0</v>
      </c>
      <c r="BD82" s="55">
        <f>_xll.EQNXTDZ($A$1,$B82,BD$5,$B$1)</f>
        <v>68.712000000000003</v>
      </c>
      <c r="BE82" s="55">
        <f>_xll.EQNXTDZ($A$1,$B82,BE$5,$B$1)</f>
        <v>0</v>
      </c>
      <c r="BF82" s="55">
        <f>_xll.EQNXTDZ($A$1,$B82,BF$5,$B$1)</f>
        <v>56.654000000000003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50.459000000000003</v>
      </c>
      <c r="AI83" s="55">
        <f>_xll.EQNXTDZ($A$1,$B83,AI$5,$B$1)</f>
        <v>0</v>
      </c>
      <c r="AJ83" s="55">
        <f>_xll.EQNXTDZ($A$1,$B83,AJ$5,$B$1)</f>
        <v>165.62100000000001</v>
      </c>
      <c r="AK83" s="55">
        <f>_xll.EQNXTDZ($A$1,$B83,AK$5,$B$1)</f>
        <v>0</v>
      </c>
      <c r="AL83" s="55">
        <f>_xll.EQNXTDZ($A$1,$B83,AL$5,$B$1)</f>
        <v>180.25399999999999</v>
      </c>
      <c r="AM83" s="55">
        <f>_xll.EQNXTDZ($A$1,$B83,AM$5,$B$1)</f>
        <v>0</v>
      </c>
      <c r="AN83" s="55">
        <f>_xll.EQNXTDZ($A$1,$B83,AN$5,$B$1)</f>
        <v>168.06</v>
      </c>
      <c r="AO83" s="55">
        <f>_xll.EQNXTDZ($A$1,$B83,AO$5,$B$1)</f>
        <v>0</v>
      </c>
      <c r="AP83" s="55">
        <f>_xll.EQNXTDZ($A$1,$B83,AP$5,$B$1)</f>
        <v>150.81299999999999</v>
      </c>
      <c r="AQ83" s="55">
        <f>_xll.EQNXTDZ($A$1,$B83,AQ$5,$B$1)</f>
        <v>0</v>
      </c>
      <c r="AR83" s="55">
        <f>_xll.EQNXTDZ($A$1,$B83,AR$5,$B$1)</f>
        <v>193.93600000000001</v>
      </c>
      <c r="AS83" s="55">
        <f>_xll.EQNXTDZ($A$1,$B83,AS$5,$B$1)</f>
        <v>0</v>
      </c>
      <c r="AT83" s="55">
        <f>_xll.EQNXTDZ($A$1,$B83,AT$5,$B$1)</f>
        <v>152.358</v>
      </c>
      <c r="AU83" s="55">
        <f>_xll.EQNXTDZ($A$1,$B83,AU$5,$B$1)</f>
        <v>0</v>
      </c>
      <c r="AV83" s="55">
        <f>_xll.EQNXTDZ($A$1,$B83,AV$5,$B$1)</f>
        <v>254.19900000000001</v>
      </c>
      <c r="AW83" s="55">
        <f>_xll.EQNXTDZ($A$1,$B83,AW$5,$B$1)</f>
        <v>0</v>
      </c>
      <c r="AX83" s="55">
        <f>_xll.EQNXTDZ($A$1,$B83,AX$5,$B$1)</f>
        <v>211.12799999999999</v>
      </c>
      <c r="AY83" s="55">
        <f>_xll.EQNXTDZ($A$1,$B83,AY$5,$B$1)</f>
        <v>0</v>
      </c>
      <c r="AZ83" s="55">
        <f>_xll.EQNXTDZ($A$1,$B83,AZ$5,$B$1)</f>
        <v>215.28</v>
      </c>
      <c r="BA83" s="55">
        <f>_xll.EQNXTDZ($A$1,$B83,BA$5,$B$1)</f>
        <v>0</v>
      </c>
      <c r="BB83" s="55">
        <f>_xll.EQNXTDZ($A$1,$B83,BB$5,$B$1)</f>
        <v>256.166</v>
      </c>
      <c r="BC83" s="55">
        <f>_xll.EQNXTDZ($A$1,$B83,BC$5,$B$1)</f>
        <v>0</v>
      </c>
      <c r="BD83" s="55">
        <f>_xll.EQNXTDZ($A$1,$B83,BD$5,$B$1)</f>
        <v>279.82499999999999</v>
      </c>
      <c r="BE83" s="55">
        <f>_xll.EQNXTDZ($A$1,$B83,BE$5,$B$1)</f>
        <v>0</v>
      </c>
      <c r="BF83" s="55">
        <f>_xll.EQNXTDZ($A$1,$B83,BF$5,$B$1)</f>
        <v>409.01499999999999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84.001999999999995</v>
      </c>
      <c r="AI84" s="55">
        <f>_xll.EQNXTDZ($A$1,$B84,AI$5,$B$1)</f>
        <v>0</v>
      </c>
      <c r="AJ84" s="55">
        <f>_xll.EQNXTDZ($A$1,$B84,AJ$5,$B$1)</f>
        <v>89.850999999999999</v>
      </c>
      <c r="AK84" s="55">
        <f>_xll.EQNXTDZ($A$1,$B84,AK$5,$B$1)</f>
        <v>0</v>
      </c>
      <c r="AL84" s="55">
        <f>_xll.EQNXTDZ($A$1,$B84,AL$5,$B$1)</f>
        <v>87.915000000000006</v>
      </c>
      <c r="AM84" s="55">
        <f>_xll.EQNXTDZ($A$1,$B84,AM$5,$B$1)</f>
        <v>0</v>
      </c>
      <c r="AN84" s="55">
        <f>_xll.EQNXTDZ($A$1,$B84,AN$5,$B$1)</f>
        <v>100.849</v>
      </c>
      <c r="AO84" s="55">
        <f>_xll.EQNXTDZ($A$1,$B84,AO$5,$B$1)</f>
        <v>0</v>
      </c>
      <c r="AP84" s="55">
        <f>_xll.EQNXTDZ($A$1,$B84,AP$5,$B$1)</f>
        <v>124.41500000000001</v>
      </c>
      <c r="AQ84" s="55">
        <f>_xll.EQNXTDZ($A$1,$B84,AQ$5,$B$1)</f>
        <v>0</v>
      </c>
      <c r="AR84" s="55">
        <f>_xll.EQNXTDZ($A$1,$B84,AR$5,$B$1)</f>
        <v>118.309</v>
      </c>
      <c r="AS84" s="55">
        <f>_xll.EQNXTDZ($A$1,$B84,AS$5,$B$1)</f>
        <v>0</v>
      </c>
      <c r="AT84" s="55">
        <f>_xll.EQNXTDZ($A$1,$B84,AT$5,$B$1)</f>
        <v>214.261</v>
      </c>
      <c r="AU84" s="55">
        <f>_xll.EQNXTDZ($A$1,$B84,AU$5,$B$1)</f>
        <v>0</v>
      </c>
      <c r="AV84" s="55">
        <f>_xll.EQNXTDZ($A$1,$B84,AV$5,$B$1)</f>
        <v>147.06700000000001</v>
      </c>
      <c r="AW84" s="55">
        <f>_xll.EQNXTDZ($A$1,$B84,AW$5,$B$1)</f>
        <v>0</v>
      </c>
      <c r="AX84" s="55">
        <f>_xll.EQNXTDZ($A$1,$B84,AX$5,$B$1)</f>
        <v>310.58300000000003</v>
      </c>
      <c r="AY84" s="55">
        <f>_xll.EQNXTDZ($A$1,$B84,AY$5,$B$1)</f>
        <v>0</v>
      </c>
      <c r="AZ84" s="55">
        <f>_xll.EQNXTDZ($A$1,$B84,AZ$5,$B$1)</f>
        <v>285.62200000000001</v>
      </c>
      <c r="BA84" s="55">
        <f>_xll.EQNXTDZ($A$1,$B84,BA$5,$B$1)</f>
        <v>0</v>
      </c>
      <c r="BB84" s="55">
        <f>_xll.EQNXTDZ($A$1,$B84,BB$5,$B$1)</f>
        <v>318.875</v>
      </c>
      <c r="BC84" s="55">
        <f>_xll.EQNXTDZ($A$1,$B84,BC$5,$B$1)</f>
        <v>0</v>
      </c>
      <c r="BD84" s="55">
        <f>_xll.EQNXTDZ($A$1,$B84,BD$5,$B$1)</f>
        <v>331.327</v>
      </c>
      <c r="BE84" s="55">
        <f>_xll.EQNXTDZ($A$1,$B84,BE$5,$B$1)</f>
        <v>0</v>
      </c>
      <c r="BF84" s="55">
        <f>_xll.EQNXTDZ($A$1,$B84,BF$5,$B$1)</f>
        <v>363.28399999999999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0.64700000000000002</v>
      </c>
      <c r="AI85" s="55">
        <f>_xll.EQNXTDZ($A$1,$B85,AI$5,$B$1)</f>
        <v>0</v>
      </c>
      <c r="AJ85" s="55">
        <f>_xll.EQNXTDZ($A$1,$B85,AJ$5,$B$1)</f>
        <v>5.351</v>
      </c>
      <c r="AK85" s="55">
        <f>_xll.EQNXTDZ($A$1,$B85,AK$5,$B$1)</f>
        <v>0</v>
      </c>
      <c r="AL85" s="55">
        <f>_xll.EQNXTDZ($A$1,$B85,AL$5,$B$1)</f>
        <v>0.55900000000000005</v>
      </c>
      <c r="AM85" s="55">
        <f>_xll.EQNXTDZ($A$1,$B85,AM$5,$B$1)</f>
        <v>0</v>
      </c>
      <c r="AN85" s="55">
        <f>_xll.EQNXTDZ($A$1,$B85,AN$5,$B$1)</f>
        <v>0.76800000000000002</v>
      </c>
      <c r="AO85" s="55">
        <f>_xll.EQNXTDZ($A$1,$B85,AO$5,$B$1)</f>
        <v>0</v>
      </c>
      <c r="AP85" s="55">
        <f>_xll.EQNXTDZ($A$1,$B85,AP$5,$B$1)</f>
        <v>0.66400000000000003</v>
      </c>
      <c r="AQ85" s="55">
        <f>_xll.EQNXTDZ($A$1,$B85,AQ$5,$B$1)</f>
        <v>0</v>
      </c>
      <c r="AR85" s="55">
        <f>_xll.EQNXTDZ($A$1,$B85,AR$5,$B$1)</f>
        <v>0.98399999999999999</v>
      </c>
      <c r="AS85" s="55">
        <f>_xll.EQNXTDZ($A$1,$B85,AS$5,$B$1)</f>
        <v>0</v>
      </c>
      <c r="AT85" s="55">
        <f>_xll.EQNXTDZ($A$1,$B85,AT$5,$B$1)</f>
        <v>0.90300000000000002</v>
      </c>
      <c r="AU85" s="55">
        <f>_xll.EQNXTDZ($A$1,$B85,AU$5,$B$1)</f>
        <v>0</v>
      </c>
      <c r="AV85" s="55">
        <f>_xll.EQNXTDZ($A$1,$B85,AV$5,$B$1)</f>
        <v>1.222</v>
      </c>
      <c r="AW85" s="55">
        <f>_xll.EQNXTDZ($A$1,$B85,AW$5,$B$1)</f>
        <v>0</v>
      </c>
      <c r="AX85" s="55">
        <f>_xll.EQNXTDZ($A$1,$B85,AX$5,$B$1)</f>
        <v>1.046</v>
      </c>
      <c r="AY85" s="55">
        <f>_xll.EQNXTDZ($A$1,$B85,AY$5,$B$1)</f>
        <v>0</v>
      </c>
      <c r="AZ85" s="55">
        <f>_xll.EQNXTDZ($A$1,$B85,AZ$5,$B$1)</f>
        <v>1.4790000000000001</v>
      </c>
      <c r="BA85" s="55">
        <f>_xll.EQNXTDZ($A$1,$B85,BA$5,$B$1)</f>
        <v>0</v>
      </c>
      <c r="BB85" s="55">
        <f>_xll.EQNXTDZ($A$1,$B85,BB$5,$B$1)</f>
        <v>2.504</v>
      </c>
      <c r="BC85" s="55">
        <f>_xll.EQNXTDZ($A$1,$B85,BC$5,$B$1)</f>
        <v>0</v>
      </c>
      <c r="BD85" s="55">
        <f>_xll.EQNXTDZ($A$1,$B85,BD$5,$B$1)</f>
        <v>2.1120000000000001</v>
      </c>
      <c r="BE85" s="55">
        <f>_xll.EQNXTDZ($A$1,$B85,BE$5,$B$1)</f>
        <v>0</v>
      </c>
      <c r="BF85" s="55">
        <f>_xll.EQNXTDZ($A$1,$B85,BF$5,$B$1)</f>
        <v>2.6379999999999999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472.74400000000003</v>
      </c>
      <c r="AI86" s="55">
        <f>_xll.EQNXTDZ($A$1,$B86,AI$5,$B$1)</f>
        <v>0</v>
      </c>
      <c r="AJ86" s="55">
        <f>_xll.EQNXTDZ($A$1,$B86,AJ$5,$B$1)</f>
        <v>511.06200000000001</v>
      </c>
      <c r="AK86" s="55">
        <f>_xll.EQNXTDZ($A$1,$B86,AK$5,$B$1)</f>
        <v>0</v>
      </c>
      <c r="AL86" s="55">
        <f>_xll.EQNXTDZ($A$1,$B86,AL$5,$B$1)</f>
        <v>533.255</v>
      </c>
      <c r="AM86" s="55">
        <f>_xll.EQNXTDZ($A$1,$B86,AM$5,$B$1)</f>
        <v>0</v>
      </c>
      <c r="AN86" s="55">
        <f>_xll.EQNXTDZ($A$1,$B86,AN$5,$B$1)</f>
        <v>600.99099999999999</v>
      </c>
      <c r="AO86" s="55">
        <f>_xll.EQNXTDZ($A$1,$B86,AO$5,$B$1)</f>
        <v>0</v>
      </c>
      <c r="AP86" s="55">
        <f>_xll.EQNXTDZ($A$1,$B86,AP$5,$B$1)</f>
        <v>618.38699999999994</v>
      </c>
      <c r="AQ86" s="55">
        <f>_xll.EQNXTDZ($A$1,$B86,AQ$5,$B$1)</f>
        <v>0</v>
      </c>
      <c r="AR86" s="55">
        <f>_xll.EQNXTDZ($A$1,$B86,AR$5,$B$1)</f>
        <v>705.50099999999998</v>
      </c>
      <c r="AS86" s="55">
        <f>_xll.EQNXTDZ($A$1,$B86,AS$5,$B$1)</f>
        <v>0</v>
      </c>
      <c r="AT86" s="55">
        <f>_xll.EQNXTDZ($A$1,$B86,AT$5,$B$1)</f>
        <v>730.37900000000002</v>
      </c>
      <c r="AU86" s="55">
        <f>_xll.EQNXTDZ($A$1,$B86,AU$5,$B$1)</f>
        <v>0</v>
      </c>
      <c r="AV86" s="55">
        <f>_xll.EQNXTDZ($A$1,$B86,AV$5,$B$1)</f>
        <v>826.875</v>
      </c>
      <c r="AW86" s="55">
        <f>_xll.EQNXTDZ($A$1,$B86,AW$5,$B$1)</f>
        <v>0</v>
      </c>
      <c r="AX86" s="55">
        <f>_xll.EQNXTDZ($A$1,$B86,AX$5,$B$1)</f>
        <v>994.17100000000005</v>
      </c>
      <c r="AY86" s="55">
        <f>_xll.EQNXTDZ($A$1,$B86,AY$5,$B$1)</f>
        <v>0</v>
      </c>
      <c r="AZ86" s="55">
        <f>_xll.EQNXTDZ($A$1,$B86,AZ$5,$B$1)</f>
        <v>1091.653</v>
      </c>
      <c r="BA86" s="55">
        <f>_xll.EQNXTDZ($A$1,$B86,BA$5,$B$1)</f>
        <v>0</v>
      </c>
      <c r="BB86" s="55">
        <f>_xll.EQNXTDZ($A$1,$B86,BB$5,$B$1)</f>
        <v>1112.373</v>
      </c>
      <c r="BC86" s="55">
        <f>_xll.EQNXTDZ($A$1,$B86,BC$5,$B$1)</f>
        <v>0</v>
      </c>
      <c r="BD86" s="55">
        <f>_xll.EQNXTDZ($A$1,$B86,BD$5,$B$1)</f>
        <v>1224.3710000000001</v>
      </c>
      <c r="BE86" s="55">
        <f>_xll.EQNXTDZ($A$1,$B86,BE$5,$B$1)</f>
        <v>0</v>
      </c>
      <c r="BF86" s="55">
        <f>_xll.EQNXTDZ($A$1,$B86,BF$5,$B$1)</f>
        <v>1277.0229999999999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0.5</v>
      </c>
      <c r="BA88" s="55">
        <f>_xll.EQNXTDZ($A$1,$B88,BA$5,$B$1)</f>
        <v>0</v>
      </c>
      <c r="BB88" s="55">
        <f>_xll.EQNXTDZ($A$1,$B88,BB$5,$B$1)</f>
        <v>0.66</v>
      </c>
      <c r="BC88" s="55">
        <f>_xll.EQNXTDZ($A$1,$B88,BC$5,$B$1)</f>
        <v>0</v>
      </c>
      <c r="BD88" s="55">
        <f>_xll.EQNXTDZ($A$1,$B88,BD$5,$B$1)</f>
        <v>0.46200000000000002</v>
      </c>
      <c r="BE88" s="55">
        <f>_xll.EQNXTDZ($A$1,$B88,BE$5,$B$1)</f>
        <v>0</v>
      </c>
      <c r="BF88" s="55">
        <f>_xll.EQNXTDZ($A$1,$B88,BF$5,$B$1)</f>
        <v>0.47899999999999998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36.082000000000001</v>
      </c>
      <c r="AI89" s="55">
        <f>_xll.EQNXTDZ($A$1,$B89,AI$5,$B$1)</f>
        <v>0</v>
      </c>
      <c r="AJ89" s="55">
        <f>_xll.EQNXTDZ($A$1,$B89,AJ$5,$B$1)</f>
        <v>51.92</v>
      </c>
      <c r="AK89" s="55">
        <f>_xll.EQNXTDZ($A$1,$B89,AK$5,$B$1)</f>
        <v>0</v>
      </c>
      <c r="AL89" s="55">
        <f>_xll.EQNXTDZ($A$1,$B89,AL$5,$B$1)</f>
        <v>52.908000000000001</v>
      </c>
      <c r="AM89" s="55">
        <f>_xll.EQNXTDZ($A$1,$B89,AM$5,$B$1)</f>
        <v>0</v>
      </c>
      <c r="AN89" s="55">
        <f>_xll.EQNXTDZ($A$1,$B89,AN$5,$B$1)</f>
        <v>50.945999999999998</v>
      </c>
      <c r="AO89" s="55">
        <f>_xll.EQNXTDZ($A$1,$B89,AO$5,$B$1)</f>
        <v>0</v>
      </c>
      <c r="AP89" s="55">
        <f>_xll.EQNXTDZ($A$1,$B89,AP$5,$B$1)</f>
        <v>48.951000000000001</v>
      </c>
      <c r="AQ89" s="55">
        <f>_xll.EQNXTDZ($A$1,$B89,AQ$5,$B$1)</f>
        <v>0</v>
      </c>
      <c r="AR89" s="55">
        <f>_xll.EQNXTDZ($A$1,$B89,AR$5,$B$1)</f>
        <v>52.832999999999998</v>
      </c>
      <c r="AS89" s="55">
        <f>_xll.EQNXTDZ($A$1,$B89,AS$5,$B$1)</f>
        <v>0</v>
      </c>
      <c r="AT89" s="55">
        <f>_xll.EQNXTDZ($A$1,$B89,AT$5,$B$1)</f>
        <v>43.341000000000001</v>
      </c>
      <c r="AU89" s="55">
        <f>_xll.EQNXTDZ($A$1,$B89,AU$5,$B$1)</f>
        <v>0</v>
      </c>
      <c r="AV89" s="55">
        <f>_xll.EQNXTDZ($A$1,$B89,AV$5,$B$1)</f>
        <v>58.037999999999997</v>
      </c>
      <c r="AW89" s="55">
        <f>_xll.EQNXTDZ($A$1,$B89,AW$5,$B$1)</f>
        <v>0</v>
      </c>
      <c r="AX89" s="55">
        <f>_xll.EQNXTDZ($A$1,$B89,AX$5,$B$1)</f>
        <v>64.596000000000004</v>
      </c>
      <c r="AY89" s="55">
        <f>_xll.EQNXTDZ($A$1,$B89,AY$5,$B$1)</f>
        <v>0</v>
      </c>
      <c r="AZ89" s="55">
        <f>_xll.EQNXTDZ($A$1,$B89,AZ$5,$B$1)</f>
        <v>68.989000000000004</v>
      </c>
      <c r="BA89" s="55">
        <f>_xll.EQNXTDZ($A$1,$B89,BA$5,$B$1)</f>
        <v>0</v>
      </c>
      <c r="BB89" s="55">
        <f>_xll.EQNXTDZ($A$1,$B89,BB$5,$B$1)</f>
        <v>79.852000000000004</v>
      </c>
      <c r="BC89" s="55">
        <f>_xll.EQNXTDZ($A$1,$B89,BC$5,$B$1)</f>
        <v>0</v>
      </c>
      <c r="BD89" s="55">
        <f>_xll.EQNXTDZ($A$1,$B89,BD$5,$B$1)</f>
        <v>93.652000000000001</v>
      </c>
      <c r="BE89" s="55">
        <f>_xll.EQNXTDZ($A$1,$B89,BE$5,$B$1)</f>
        <v>0</v>
      </c>
      <c r="BF89" s="55">
        <f>_xll.EQNXTDZ($A$1,$B89,BF$5,$B$1)</f>
        <v>90.504999999999995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55.651000000000003</v>
      </c>
      <c r="AI91" s="55">
        <f>_xll.EQNXTDZ($A$1,$B91,AI$5,$B$1)</f>
        <v>0</v>
      </c>
      <c r="AJ91" s="55">
        <f>_xll.EQNXTDZ($A$1,$B91,AJ$5,$B$1)</f>
        <v>137.31800000000001</v>
      </c>
      <c r="AK91" s="55">
        <f>_xll.EQNXTDZ($A$1,$B91,AK$5,$B$1)</f>
        <v>0</v>
      </c>
      <c r="AL91" s="55">
        <f>_xll.EQNXTDZ($A$1,$B91,AL$5,$B$1)</f>
        <v>119.139</v>
      </c>
      <c r="AM91" s="55">
        <f>_xll.EQNXTDZ($A$1,$B91,AM$5,$B$1)</f>
        <v>0</v>
      </c>
      <c r="AN91" s="55">
        <f>_xll.EQNXTDZ($A$1,$B91,AN$5,$B$1)</f>
        <v>124.809</v>
      </c>
      <c r="AO91" s="55">
        <f>_xll.EQNXTDZ($A$1,$B91,AO$5,$B$1)</f>
        <v>0</v>
      </c>
      <c r="AP91" s="55">
        <f>_xll.EQNXTDZ($A$1,$B91,AP$5,$B$1)</f>
        <v>111.509</v>
      </c>
      <c r="AQ91" s="55">
        <f>_xll.EQNXTDZ($A$1,$B91,AQ$5,$B$1)</f>
        <v>0</v>
      </c>
      <c r="AR91" s="55">
        <f>_xll.EQNXTDZ($A$1,$B91,AR$5,$B$1)</f>
        <v>124.51900000000001</v>
      </c>
      <c r="AS91" s="55">
        <f>_xll.EQNXTDZ($A$1,$B91,AS$5,$B$1)</f>
        <v>0</v>
      </c>
      <c r="AT91" s="55">
        <f>_xll.EQNXTDZ($A$1,$B91,AT$5,$B$1)</f>
        <v>111.89700000000001</v>
      </c>
      <c r="AU91" s="55">
        <f>_xll.EQNXTDZ($A$1,$B91,AU$5,$B$1)</f>
        <v>0</v>
      </c>
      <c r="AV91" s="55">
        <f>_xll.EQNXTDZ($A$1,$B91,AV$5,$B$1)</f>
        <v>156.82</v>
      </c>
      <c r="AW91" s="55">
        <f>_xll.EQNXTDZ($A$1,$B91,AW$5,$B$1)</f>
        <v>0</v>
      </c>
      <c r="AX91" s="55">
        <f>_xll.EQNXTDZ($A$1,$B91,AX$5,$B$1)</f>
        <v>232.52600000000001</v>
      </c>
      <c r="AY91" s="55">
        <f>_xll.EQNXTDZ($A$1,$B91,AY$5,$B$1)</f>
        <v>0</v>
      </c>
      <c r="AZ91" s="55">
        <f>_xll.EQNXTDZ($A$1,$B91,AZ$5,$B$1)</f>
        <v>188.684</v>
      </c>
      <c r="BA91" s="55">
        <f>_xll.EQNXTDZ($A$1,$B91,BA$5,$B$1)</f>
        <v>0</v>
      </c>
      <c r="BB91" s="55">
        <f>_xll.EQNXTDZ($A$1,$B91,BB$5,$B$1)</f>
        <v>239.92500000000001</v>
      </c>
      <c r="BC91" s="55">
        <f>_xll.EQNXTDZ($A$1,$B91,BC$5,$B$1)</f>
        <v>0</v>
      </c>
      <c r="BD91" s="55">
        <f>_xll.EQNXTDZ($A$1,$B91,BD$5,$B$1)</f>
        <v>258.45699999999999</v>
      </c>
      <c r="BE91" s="55">
        <f>_xll.EQNXTDZ($A$1,$B91,BE$5,$B$1)</f>
        <v>0</v>
      </c>
      <c r="BF91" s="55">
        <f>_xll.EQNXTDZ($A$1,$B91,BF$5,$B$1)</f>
        <v>274.65899999999999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10.974</v>
      </c>
      <c r="AI92" s="55">
        <f>_xll.EQNXTDZ($A$1,$B92,AI$5,$B$1)</f>
        <v>0</v>
      </c>
      <c r="AJ92" s="55">
        <f>_xll.EQNXTDZ($A$1,$B92,AJ$5,$B$1)</f>
        <v>20.66</v>
      </c>
      <c r="AK92" s="55">
        <f>_xll.EQNXTDZ($A$1,$B92,AK$5,$B$1)</f>
        <v>0</v>
      </c>
      <c r="AL92" s="55">
        <f>_xll.EQNXTDZ($A$1,$B92,AL$5,$B$1)</f>
        <v>14.599</v>
      </c>
      <c r="AM92" s="55">
        <f>_xll.EQNXTDZ($A$1,$B92,AM$5,$B$1)</f>
        <v>0</v>
      </c>
      <c r="AN92" s="55">
        <f>_xll.EQNXTDZ($A$1,$B92,AN$5,$B$1)</f>
        <v>23.195</v>
      </c>
      <c r="AO92" s="55">
        <f>_xll.EQNXTDZ($A$1,$B92,AO$5,$B$1)</f>
        <v>0</v>
      </c>
      <c r="AP92" s="55">
        <f>_xll.EQNXTDZ($A$1,$B92,AP$5,$B$1)</f>
        <v>13.528</v>
      </c>
      <c r="AQ92" s="55">
        <f>_xll.EQNXTDZ($A$1,$B92,AQ$5,$B$1)</f>
        <v>0</v>
      </c>
      <c r="AR92" s="55">
        <f>_xll.EQNXTDZ($A$1,$B92,AR$5,$B$1)</f>
        <v>22.405999999999999</v>
      </c>
      <c r="AS92" s="55">
        <f>_xll.EQNXTDZ($A$1,$B92,AS$5,$B$1)</f>
        <v>0</v>
      </c>
      <c r="AT92" s="55">
        <f>_xll.EQNXTDZ($A$1,$B92,AT$5,$B$1)</f>
        <v>14.772</v>
      </c>
      <c r="AU92" s="55">
        <f>_xll.EQNXTDZ($A$1,$B92,AU$5,$B$1)</f>
        <v>0</v>
      </c>
      <c r="AV92" s="55">
        <f>_xll.EQNXTDZ($A$1,$B92,AV$5,$B$1)</f>
        <v>16.026</v>
      </c>
      <c r="AW92" s="55">
        <f>_xll.EQNXTDZ($A$1,$B92,AW$5,$B$1)</f>
        <v>0</v>
      </c>
      <c r="AX92" s="55">
        <f>_xll.EQNXTDZ($A$1,$B92,AX$5,$B$1)</f>
        <v>8.8149999999999995</v>
      </c>
      <c r="AY92" s="55">
        <f>_xll.EQNXTDZ($A$1,$B92,AY$5,$B$1)</f>
        <v>0</v>
      </c>
      <c r="AZ92" s="55">
        <f>_xll.EQNXTDZ($A$1,$B92,AZ$5,$B$1)</f>
        <v>32.590000000000003</v>
      </c>
      <c r="BA92" s="55">
        <f>_xll.EQNXTDZ($A$1,$B92,BA$5,$B$1)</f>
        <v>0</v>
      </c>
      <c r="BB92" s="55">
        <f>_xll.EQNXTDZ($A$1,$B92,BB$5,$B$1)</f>
        <v>10.454000000000001</v>
      </c>
      <c r="BC92" s="55">
        <f>_xll.EQNXTDZ($A$1,$B92,BC$5,$B$1)</f>
        <v>0</v>
      </c>
      <c r="BD92" s="55">
        <f>_xll.EQNXTDZ($A$1,$B92,BD$5,$B$1)</f>
        <v>14.875</v>
      </c>
      <c r="BE92" s="55">
        <f>_xll.EQNXTDZ($A$1,$B92,BE$5,$B$1)</f>
        <v>0</v>
      </c>
      <c r="BF92" s="55">
        <f>_xll.EQNXTDZ($A$1,$B92,BF$5,$B$1)</f>
        <v>7.0979999999999999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102.70699999999999</v>
      </c>
      <c r="AI93" s="55">
        <f>_xll.EQNXTDZ($A$1,$B93,AI$5,$B$1)</f>
        <v>0</v>
      </c>
      <c r="AJ93" s="55">
        <f>_xll.EQNXTDZ($A$1,$B93,AJ$5,$B$1)</f>
        <v>209.898</v>
      </c>
      <c r="AK93" s="55">
        <f>_xll.EQNXTDZ($A$1,$B93,AK$5,$B$1)</f>
        <v>0</v>
      </c>
      <c r="AL93" s="55">
        <f>_xll.EQNXTDZ($A$1,$B93,AL$5,$B$1)</f>
        <v>186.64599999999999</v>
      </c>
      <c r="AM93" s="55">
        <f>_xll.EQNXTDZ($A$1,$B93,AM$5,$B$1)</f>
        <v>0</v>
      </c>
      <c r="AN93" s="55">
        <f>_xll.EQNXTDZ($A$1,$B93,AN$5,$B$1)</f>
        <v>198.95</v>
      </c>
      <c r="AO93" s="55">
        <f>_xll.EQNXTDZ($A$1,$B93,AO$5,$B$1)</f>
        <v>0</v>
      </c>
      <c r="AP93" s="55">
        <f>_xll.EQNXTDZ($A$1,$B93,AP$5,$B$1)</f>
        <v>173.988</v>
      </c>
      <c r="AQ93" s="55">
        <f>_xll.EQNXTDZ($A$1,$B93,AQ$5,$B$1)</f>
        <v>0</v>
      </c>
      <c r="AR93" s="55">
        <f>_xll.EQNXTDZ($A$1,$B93,AR$5,$B$1)</f>
        <v>199.75800000000001</v>
      </c>
      <c r="AS93" s="55">
        <f>_xll.EQNXTDZ($A$1,$B93,AS$5,$B$1)</f>
        <v>0</v>
      </c>
      <c r="AT93" s="55">
        <f>_xll.EQNXTDZ($A$1,$B93,AT$5,$B$1)</f>
        <v>170.01</v>
      </c>
      <c r="AU93" s="55">
        <f>_xll.EQNXTDZ($A$1,$B93,AU$5,$B$1)</f>
        <v>0</v>
      </c>
      <c r="AV93" s="55">
        <f>_xll.EQNXTDZ($A$1,$B93,AV$5,$B$1)</f>
        <v>230.88399999999999</v>
      </c>
      <c r="AW93" s="55">
        <f>_xll.EQNXTDZ($A$1,$B93,AW$5,$B$1)</f>
        <v>0</v>
      </c>
      <c r="AX93" s="55">
        <f>_xll.EQNXTDZ($A$1,$B93,AX$5,$B$1)</f>
        <v>305.93700000000001</v>
      </c>
      <c r="AY93" s="55">
        <f>_xll.EQNXTDZ($A$1,$B93,AY$5,$B$1)</f>
        <v>0</v>
      </c>
      <c r="AZ93" s="55">
        <f>_xll.EQNXTDZ($A$1,$B93,AZ$5,$B$1)</f>
        <v>290.76299999999998</v>
      </c>
      <c r="BA93" s="55">
        <f>_xll.EQNXTDZ($A$1,$B93,BA$5,$B$1)</f>
        <v>0</v>
      </c>
      <c r="BB93" s="55">
        <f>_xll.EQNXTDZ($A$1,$B93,BB$5,$B$1)</f>
        <v>330.89100000000002</v>
      </c>
      <c r="BC93" s="55">
        <f>_xll.EQNXTDZ($A$1,$B93,BC$5,$B$1)</f>
        <v>0</v>
      </c>
      <c r="BD93" s="55">
        <f>_xll.EQNXTDZ($A$1,$B93,BD$5,$B$1)</f>
        <v>367.44600000000003</v>
      </c>
      <c r="BE93" s="55">
        <f>_xll.EQNXTDZ($A$1,$B93,BE$5,$B$1)</f>
        <v>0</v>
      </c>
      <c r="BF93" s="55">
        <f>_xll.EQNXTDZ($A$1,$B93,BF$5,$B$1)</f>
        <v>372.74099999999999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370.03699999999998</v>
      </c>
      <c r="AI94" s="55">
        <f>_xll.EQNXTDZ($A$1,$B94,AI$5,$B$1)</f>
        <v>0</v>
      </c>
      <c r="AJ94" s="55">
        <f>_xll.EQNXTDZ($A$1,$B94,AJ$5,$B$1)</f>
        <v>301.16399999999999</v>
      </c>
      <c r="AK94" s="55">
        <f>_xll.EQNXTDZ($A$1,$B94,AK$5,$B$1)</f>
        <v>0</v>
      </c>
      <c r="AL94" s="55">
        <f>_xll.EQNXTDZ($A$1,$B94,AL$5,$B$1)</f>
        <v>346.60899999999998</v>
      </c>
      <c r="AM94" s="55">
        <f>_xll.EQNXTDZ($A$1,$B94,AM$5,$B$1)</f>
        <v>0</v>
      </c>
      <c r="AN94" s="55">
        <f>_xll.EQNXTDZ($A$1,$B94,AN$5,$B$1)</f>
        <v>402.041</v>
      </c>
      <c r="AO94" s="55">
        <f>_xll.EQNXTDZ($A$1,$B94,AO$5,$B$1)</f>
        <v>0</v>
      </c>
      <c r="AP94" s="55">
        <f>_xll.EQNXTDZ($A$1,$B94,AP$5,$B$1)</f>
        <v>444.399</v>
      </c>
      <c r="AQ94" s="55">
        <f>_xll.EQNXTDZ($A$1,$B94,AQ$5,$B$1)</f>
        <v>0</v>
      </c>
      <c r="AR94" s="55">
        <f>_xll.EQNXTDZ($A$1,$B94,AR$5,$B$1)</f>
        <v>505.74299999999999</v>
      </c>
      <c r="AS94" s="55">
        <f>_xll.EQNXTDZ($A$1,$B94,AS$5,$B$1)</f>
        <v>0</v>
      </c>
      <c r="AT94" s="55">
        <f>_xll.EQNXTDZ($A$1,$B94,AT$5,$B$1)</f>
        <v>560.36900000000003</v>
      </c>
      <c r="AU94" s="55">
        <f>_xll.EQNXTDZ($A$1,$B94,AU$5,$B$1)</f>
        <v>0</v>
      </c>
      <c r="AV94" s="55">
        <f>_xll.EQNXTDZ($A$1,$B94,AV$5,$B$1)</f>
        <v>595.99099999999999</v>
      </c>
      <c r="AW94" s="55">
        <f>_xll.EQNXTDZ($A$1,$B94,AW$5,$B$1)</f>
        <v>0</v>
      </c>
      <c r="AX94" s="55">
        <f>_xll.EQNXTDZ($A$1,$B94,AX$5,$B$1)</f>
        <v>688.23400000000004</v>
      </c>
      <c r="AY94" s="55">
        <f>_xll.EQNXTDZ($A$1,$B94,AY$5,$B$1)</f>
        <v>0</v>
      </c>
      <c r="AZ94" s="55">
        <f>_xll.EQNXTDZ($A$1,$B94,AZ$5,$B$1)</f>
        <v>800.89</v>
      </c>
      <c r="BA94" s="55">
        <f>_xll.EQNXTDZ($A$1,$B94,BA$5,$B$1)</f>
        <v>0</v>
      </c>
      <c r="BB94" s="55">
        <f>_xll.EQNXTDZ($A$1,$B94,BB$5,$B$1)</f>
        <v>781.48199999999997</v>
      </c>
      <c r="BC94" s="55">
        <f>_xll.EQNXTDZ($A$1,$B94,BC$5,$B$1)</f>
        <v>0</v>
      </c>
      <c r="BD94" s="55">
        <f>_xll.EQNXTDZ($A$1,$B94,BD$5,$B$1)</f>
        <v>856.92499999999995</v>
      </c>
      <c r="BE94" s="55">
        <f>_xll.EQNXTDZ($A$1,$B94,BE$5,$B$1)</f>
        <v>0</v>
      </c>
      <c r="BF94" s="55">
        <f>_xll.EQNXTDZ($A$1,$B94,BF$5,$B$1)</f>
        <v>904.28200000000004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5.1829999999999998</v>
      </c>
      <c r="AI96" s="55">
        <f>_xll.EQNXTDZ($A$1,$B96,AI$5,$B$1)</f>
        <v>0</v>
      </c>
      <c r="AJ96" s="55">
        <f>_xll.EQNXTDZ($A$1,$B96,AJ$5,$B$1)</f>
        <v>7.8689999999999998</v>
      </c>
      <c r="AK96" s="55">
        <f>_xll.EQNXTDZ($A$1,$B96,AK$5,$B$1)</f>
        <v>0</v>
      </c>
      <c r="AL96" s="55">
        <f>_xll.EQNXTDZ($A$1,$B96,AL$5,$B$1)</f>
        <v>10.124000000000001</v>
      </c>
      <c r="AM96" s="55">
        <f>_xll.EQNXTDZ($A$1,$B96,AM$5,$B$1)</f>
        <v>0</v>
      </c>
      <c r="AN96" s="55">
        <f>_xll.EQNXTDZ($A$1,$B96,AN$5,$B$1)</f>
        <v>12.148999999999999</v>
      </c>
      <c r="AO96" s="55">
        <f>_xll.EQNXTDZ($A$1,$B96,AO$5,$B$1)</f>
        <v>0</v>
      </c>
      <c r="AP96" s="55">
        <f>_xll.EQNXTDZ($A$1,$B96,AP$5,$B$1)</f>
        <v>10.144</v>
      </c>
      <c r="AQ96" s="55">
        <f>_xll.EQNXTDZ($A$1,$B96,AQ$5,$B$1)</f>
        <v>0</v>
      </c>
      <c r="AR96" s="55">
        <f>_xll.EQNXTDZ($A$1,$B96,AR$5,$B$1)</f>
        <v>10.231999999999999</v>
      </c>
      <c r="AS96" s="55">
        <f>_xll.EQNXTDZ($A$1,$B96,AS$5,$B$1)</f>
        <v>0</v>
      </c>
      <c r="AT96" s="55">
        <f>_xll.EQNXTDZ($A$1,$B96,AT$5,$B$1)</f>
        <v>8.8919999999999995</v>
      </c>
      <c r="AU96" s="55">
        <f>_xll.EQNXTDZ($A$1,$B96,AU$5,$B$1)</f>
        <v>0</v>
      </c>
      <c r="AV96" s="55">
        <f>_xll.EQNXTDZ($A$1,$B96,AV$5,$B$1)</f>
        <v>11.27</v>
      </c>
      <c r="AW96" s="55">
        <f>_xll.EQNXTDZ($A$1,$B96,AW$5,$B$1)</f>
        <v>0</v>
      </c>
      <c r="AX96" s="55">
        <f>_xll.EQNXTDZ($A$1,$B96,AX$5,$B$1)</f>
        <v>12.956</v>
      </c>
      <c r="AY96" s="55">
        <f>_xll.EQNXTDZ($A$1,$B96,AY$5,$B$1)</f>
        <v>0</v>
      </c>
      <c r="AZ96" s="55">
        <f>_xll.EQNXTDZ($A$1,$B96,AZ$5,$B$1)</f>
        <v>15.398999999999999</v>
      </c>
      <c r="BA96" s="55">
        <f>_xll.EQNXTDZ($A$1,$B96,BA$5,$B$1)</f>
        <v>0</v>
      </c>
      <c r="BB96" s="55">
        <f>_xll.EQNXTDZ($A$1,$B96,BB$5,$B$1)</f>
        <v>16.533999999999999</v>
      </c>
      <c r="BC96" s="55">
        <f>_xll.EQNXTDZ($A$1,$B96,BC$5,$B$1)</f>
        <v>0</v>
      </c>
      <c r="BD96" s="55">
        <f>_xll.EQNXTDZ($A$1,$B96,BD$5,$B$1)</f>
        <v>18.616</v>
      </c>
      <c r="BE96" s="55">
        <f>_xll.EQNXTDZ($A$1,$B96,BE$5,$B$1)</f>
        <v>0</v>
      </c>
      <c r="BF96" s="55">
        <f>_xll.EQNXTDZ($A$1,$B96,BF$5,$B$1)</f>
        <v>19.094999999999999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698.04399999999998</v>
      </c>
      <c r="AI97" s="55">
        <f>_xll.EQNXTDZ($A$1,$B97,AI$5,$B$1)</f>
        <v>0</v>
      </c>
      <c r="AJ97" s="55">
        <f>_xll.EQNXTDZ($A$1,$B97,AJ$5,$B$1)</f>
        <v>595.202</v>
      </c>
      <c r="AK97" s="55">
        <f>_xll.EQNXTDZ($A$1,$B97,AK$5,$B$1)</f>
        <v>0</v>
      </c>
      <c r="AL97" s="55">
        <f>_xll.EQNXTDZ($A$1,$B97,AL$5,$B$1)</f>
        <v>655.23900000000003</v>
      </c>
      <c r="AM97" s="55">
        <f>_xll.EQNXTDZ($A$1,$B97,AM$5,$B$1)</f>
        <v>0</v>
      </c>
      <c r="AN97" s="55">
        <f>_xll.EQNXTDZ($A$1,$B97,AN$5,$B$1)</f>
        <v>712.72699999999998</v>
      </c>
      <c r="AO97" s="55">
        <f>_xll.EQNXTDZ($A$1,$B97,AO$5,$B$1)</f>
        <v>0</v>
      </c>
      <c r="AP97" s="55">
        <f>_xll.EQNXTDZ($A$1,$B97,AP$5,$B$1)</f>
        <v>782.80399999999997</v>
      </c>
      <c r="AQ97" s="55">
        <f>_xll.EQNXTDZ($A$1,$B97,AQ$5,$B$1)</f>
        <v>0</v>
      </c>
      <c r="AR97" s="55">
        <f>_xll.EQNXTDZ($A$1,$B97,AR$5,$B$1)</f>
        <v>857.23800000000006</v>
      </c>
      <c r="AS97" s="55">
        <f>_xll.EQNXTDZ($A$1,$B97,AS$5,$B$1)</f>
        <v>0</v>
      </c>
      <c r="AT97" s="55">
        <f>_xll.EQNXTDZ($A$1,$B97,AT$5,$B$1)</f>
        <v>926.24400000000003</v>
      </c>
      <c r="AU97" s="55">
        <f>_xll.EQNXTDZ($A$1,$B97,AU$5,$B$1)</f>
        <v>0</v>
      </c>
      <c r="AV97" s="55">
        <f>_xll.EQNXTDZ($A$1,$B97,AV$5,$B$1)</f>
        <v>1015.58</v>
      </c>
      <c r="AW97" s="55">
        <f>_xll.EQNXTDZ($A$1,$B97,AW$5,$B$1)</f>
        <v>0</v>
      </c>
      <c r="AX97" s="55">
        <f>_xll.EQNXTDZ($A$1,$B97,AX$5,$B$1)</f>
        <v>1107.5340000000001</v>
      </c>
      <c r="AY97" s="55">
        <f>_xll.EQNXTDZ($A$1,$B97,AY$5,$B$1)</f>
        <v>0</v>
      </c>
      <c r="AZ97" s="55">
        <f>_xll.EQNXTDZ($A$1,$B97,AZ$5,$B$1)</f>
        <v>1220.1279999999999</v>
      </c>
      <c r="BA97" s="55">
        <f>_xll.EQNXTDZ($A$1,$B97,BA$5,$B$1)</f>
        <v>0</v>
      </c>
      <c r="BB97" s="55">
        <f>_xll.EQNXTDZ($A$1,$B97,BB$5,$B$1)</f>
        <v>1266.019</v>
      </c>
      <c r="BC97" s="55">
        <f>_xll.EQNXTDZ($A$1,$B97,BC$5,$B$1)</f>
        <v>0</v>
      </c>
      <c r="BD97" s="55">
        <f>_xll.EQNXTDZ($A$1,$B97,BD$5,$B$1)</f>
        <v>1357.818</v>
      </c>
      <c r="BE97" s="55">
        <f>_xll.EQNXTDZ($A$1,$B97,BE$5,$B$1)</f>
        <v>0</v>
      </c>
      <c r="BF97" s="55">
        <f>_xll.EQNXTDZ($A$1,$B97,BF$5,$B$1)</f>
        <v>1436.221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210036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Computer Age Management Services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91.985366600000006</v>
      </c>
      <c r="H6" s="100">
        <f>_xll.EQNXTDZ($A$1,$B6,H$1,$B$1)</f>
        <v>158.56693999999999</v>
      </c>
      <c r="I6" s="100">
        <f>_xll.EQNXTDZ($A$1,$B6,I$1,$B$1)</f>
        <v>218.19200000000001</v>
      </c>
      <c r="J6" s="100">
        <f>_xll.EQNXTDZ($A$1,$B6,J$1,$B$1)</f>
        <v>284.45330000000001</v>
      </c>
      <c r="K6" s="100">
        <f>_xll.EQNXTDZ($A$1,$B6,K$1,$B$1)</f>
        <v>246.6319</v>
      </c>
      <c r="L6" s="100">
        <f>_xll.EQNXTDZ($A$1,$B6,L$1,$B$1)</f>
        <v>311.17829999999998</v>
      </c>
      <c r="M6" s="100">
        <f>_xll.EQNXTDZ($A$1,$B6,M$1,$B$1)</f>
        <v>317.60000000000002</v>
      </c>
      <c r="N6" s="100">
        <f>_xll.EQNXTDZ($A$1,$B6,N$1,$B$1)</f>
        <v>272.76</v>
      </c>
      <c r="O6" s="100">
        <f>_xll.EQNXTDZ($A$1,$B6,O$1,$B$1)</f>
        <v>295.3</v>
      </c>
      <c r="P6" s="100">
        <f>_xll.EQNXTDZ($A$1,$B6,P$1,$B$1)</f>
        <v>322.41179069999998</v>
      </c>
      <c r="Q6" s="100">
        <f>_xll.EQNXTDZ($A$1,$B6,Q$1,$B$1)</f>
        <v>383.649</v>
      </c>
      <c r="R6" s="100">
        <f>_xll.EQNXTDZ($A$1,$B6,R$1,$B$1)</f>
        <v>397.9248</v>
      </c>
      <c r="S6" s="100">
        <f>_xll.EQNXTDZ($A$1,$B6,S$1,$B$1)</f>
        <v>478.30849999999998</v>
      </c>
      <c r="T6" s="100">
        <f>_xll.EQNXTDZ($A$1,$B6,T$1,$B$1)</f>
        <v>641.53589999999997</v>
      </c>
      <c r="U6" s="100">
        <f>_xll.EQNXTDZ($A$1,$B6,U$1,$B$1)</f>
        <v>693.64390000000003</v>
      </c>
      <c r="V6" s="100">
        <f>_xll.EQNXTDZ($A$1,$B6,V$1,$B$1)</f>
        <v>699.62990000000002</v>
      </c>
      <c r="W6" s="100">
        <f>_xll.EQNXTDZ($A$1,$B6,W$1,$B$1)</f>
        <v>705.49580000000003</v>
      </c>
      <c r="X6" s="100">
        <f>_xll.EQNXTDZ($A$1,$B6,X$1,$B$1)</f>
        <v>909.66750000000002</v>
      </c>
      <c r="Y6" s="100">
        <f>_xll.EQNXTDZ($A$1,$B6,Y$1,$B$1)</f>
        <v>971.82719999999995</v>
      </c>
      <c r="Z6" s="100">
        <f>_xll.EQNXTDZ($A$1,$B6,Z$1,$B$1)</f>
        <v>1136.5181</v>
      </c>
      <c r="AA6" s="100">
        <f>_xll.EQNXTDZ($A$1,$B6,AA$1,$B$1)</f>
        <v>1422.4833000000001</v>
      </c>
      <c r="AB6" s="100">
        <f>_xll.EQNXTDZ($A$1,$B6,AB$1,$B$1)</f>
        <v>1516.249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91.985366600000006</v>
      </c>
      <c r="H10" s="100">
        <f>_xll.EQNXTDZ($A$1,$B10,H$1,$B$1)</f>
        <v>158.56693999999999</v>
      </c>
      <c r="I10" s="100">
        <f>_xll.EQNXTDZ($A$1,$B10,I$1,$B$1)</f>
        <v>218.19200000000001</v>
      </c>
      <c r="J10" s="100">
        <f>_xll.EQNXTDZ($A$1,$B10,J$1,$B$1)</f>
        <v>284.45330000000001</v>
      </c>
      <c r="K10" s="100">
        <f>_xll.EQNXTDZ($A$1,$B10,K$1,$B$1)</f>
        <v>246.6319</v>
      </c>
      <c r="L10" s="100">
        <f>_xll.EQNXTDZ($A$1,$B10,L$1,$B$1)</f>
        <v>311.17829999999998</v>
      </c>
      <c r="M10" s="100">
        <f>_xll.EQNXTDZ($A$1,$B10,M$1,$B$1)</f>
        <v>317.60000000000002</v>
      </c>
      <c r="N10" s="100">
        <f>_xll.EQNXTDZ($A$1,$B10,N$1,$B$1)</f>
        <v>272.76</v>
      </c>
      <c r="O10" s="100">
        <f>_xll.EQNXTDZ($A$1,$B10,O$1,$B$1)</f>
        <v>295.3</v>
      </c>
      <c r="P10" s="100">
        <f>_xll.EQNXTDZ($A$1,$B10,P$1,$B$1)</f>
        <v>322.41179069999998</v>
      </c>
      <c r="Q10" s="100">
        <f>_xll.EQNXTDZ($A$1,$B10,Q$1,$B$1)</f>
        <v>383.649</v>
      </c>
      <c r="R10" s="100">
        <f>_xll.EQNXTDZ($A$1,$B10,R$1,$B$1)</f>
        <v>397.9248</v>
      </c>
      <c r="S10" s="100">
        <f>_xll.EQNXTDZ($A$1,$B10,S$1,$B$1)</f>
        <v>478.30849999999998</v>
      </c>
      <c r="T10" s="100">
        <f>_xll.EQNXTDZ($A$1,$B10,T$1,$B$1)</f>
        <v>641.53589999999997</v>
      </c>
      <c r="U10" s="100">
        <f>_xll.EQNXTDZ($A$1,$B10,U$1,$B$1)</f>
        <v>693.64390000000003</v>
      </c>
      <c r="V10" s="100">
        <f>_xll.EQNXTDZ($A$1,$B10,V$1,$B$1)</f>
        <v>699.62990000000002</v>
      </c>
      <c r="W10" s="100">
        <f>_xll.EQNXTDZ($A$1,$B10,W$1,$B$1)</f>
        <v>705.49580000000003</v>
      </c>
      <c r="X10" s="100">
        <f>_xll.EQNXTDZ($A$1,$B10,X$1,$B$1)</f>
        <v>909.66750000000002</v>
      </c>
      <c r="Y10" s="100">
        <f>_xll.EQNXTDZ($A$1,$B10,Y$1,$B$1)</f>
        <v>971.82719999999995</v>
      </c>
      <c r="Z10" s="100">
        <f>_xll.EQNXTDZ($A$1,$B10,Z$1,$B$1)</f>
        <v>1136.5181</v>
      </c>
      <c r="AA10" s="100">
        <f>_xll.EQNXTDZ($A$1,$B10,AA$1,$B$1)</f>
        <v>1422.4833000000001</v>
      </c>
      <c r="AB10" s="100">
        <f>_xll.EQNXTDZ($A$1,$B10,AB$1,$B$1)</f>
        <v>1516.249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5.5609719000000002</v>
      </c>
      <c r="Q13" s="100">
        <f>_xll.EQNXTDZ($A$1,$B13,Q$1,$B$1)</f>
        <v>5.4584999999999999</v>
      </c>
      <c r="R13" s="100">
        <f>_xll.EQNXTDZ($A$1,$B13,R$1,$B$1)</f>
        <v>6.1021000000000001</v>
      </c>
      <c r="S13" s="100">
        <f>_xll.EQNXTDZ($A$1,$B13,S$1,$B$1)</f>
        <v>6.3442999999999996</v>
      </c>
      <c r="T13" s="100">
        <f>_xll.EQNXTDZ($A$1,$B13,T$1,$B$1)</f>
        <v>7.5955000000000004</v>
      </c>
      <c r="U13" s="100">
        <f>_xll.EQNXTDZ($A$1,$B13,U$1,$B$1)</f>
        <v>8.9968000000000004</v>
      </c>
      <c r="V13" s="100">
        <f>_xll.EQNXTDZ($A$1,$B13,V$1,$B$1)</f>
        <v>8.6416000000000004</v>
      </c>
      <c r="W13" s="100">
        <f>_xll.EQNXTDZ($A$1,$B13,W$1,$B$1)</f>
        <v>6.2614999999999998</v>
      </c>
      <c r="X13" s="100">
        <f>_xll.EQNXTDZ($A$1,$B13,X$1,$B$1)</f>
        <v>7.7320000000000002</v>
      </c>
      <c r="Y13" s="100">
        <f>_xll.EQNXTDZ($A$1,$B13,Y$1,$B$1)</f>
        <v>10.235200000000001</v>
      </c>
      <c r="Z13" s="100">
        <f>_xll.EQNXTDZ($A$1,$B13,Z$1,$B$1)</f>
        <v>11.882400000000001</v>
      </c>
      <c r="AA13" s="100">
        <f>_xll.EQNXTDZ($A$1,$B13,AA$1,$B$1)</f>
        <v>13.1831</v>
      </c>
      <c r="AB13" s="100">
        <f>_xll.EQNXTDZ($A$1,$B13,AB$1,$B$1)</f>
        <v>13.8568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11.629087500000001</v>
      </c>
      <c r="H14" s="100">
        <f>_xll.EQNXTDZ($A$1,$B14,H$1,$B$1)</f>
        <v>20.279050099999999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96.046027100000003</v>
      </c>
      <c r="Q14" s="100">
        <f>_xll.EQNXTDZ($A$1,$B14,Q$1,$B$1)</f>
        <v>114.7367</v>
      </c>
      <c r="R14" s="100">
        <f>_xll.EQNXTDZ($A$1,$B14,R$1,$B$1)</f>
        <v>139.5658</v>
      </c>
      <c r="S14" s="100">
        <f>_xll.EQNXTDZ($A$1,$B14,S$1,$B$1)</f>
        <v>163.42519999999999</v>
      </c>
      <c r="T14" s="100">
        <f>_xll.EQNXTDZ($A$1,$B14,T$1,$B$1)</f>
        <v>226.32769999999999</v>
      </c>
      <c r="U14" s="100">
        <f>_xll.EQNXTDZ($A$1,$B14,U$1,$B$1)</f>
        <v>274.6173</v>
      </c>
      <c r="V14" s="100">
        <f>_xll.EQNXTDZ($A$1,$B14,V$1,$B$1)</f>
        <v>258.02249999999998</v>
      </c>
      <c r="W14" s="100">
        <f>_xll.EQNXTDZ($A$1,$B14,W$1,$B$1)</f>
        <v>262.36200000000002</v>
      </c>
      <c r="X14" s="100">
        <f>_xll.EQNXTDZ($A$1,$B14,X$1,$B$1)</f>
        <v>321.75220000000002</v>
      </c>
      <c r="Y14" s="100">
        <f>_xll.EQNXTDZ($A$1,$B14,Y$1,$B$1)</f>
        <v>358.08179999999999</v>
      </c>
      <c r="Z14" s="100">
        <f>_xll.EQNXTDZ($A$1,$B14,Z$1,$B$1)</f>
        <v>397.1574</v>
      </c>
      <c r="AA14" s="100">
        <f>_xll.EQNXTDZ($A$1,$B14,AA$1,$B$1)</f>
        <v>469.07850000000002</v>
      </c>
      <c r="AB14" s="100">
        <f>_xll.EQNXTDZ($A$1,$B14,AB$1,$B$1)</f>
        <v>497.01979999999998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4.9402029000000001</v>
      </c>
      <c r="H15" s="100">
        <f>_xll.EQNXTDZ($A$1,$B15,H$1,$B$1)</f>
        <v>6.9093925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5.0685045999999998</v>
      </c>
      <c r="Q15" s="100">
        <f>_xll.EQNXTDZ($A$1,$B15,Q$1,$B$1)</f>
        <v>6.2877999999999998</v>
      </c>
      <c r="R15" s="100">
        <f>_xll.EQNXTDZ($A$1,$B15,R$1,$B$1)</f>
        <v>25.031300000000002</v>
      </c>
      <c r="S15" s="100">
        <f>_xll.EQNXTDZ($A$1,$B15,S$1,$B$1)</f>
        <v>63.075600000000001</v>
      </c>
      <c r="T15" s="100">
        <f>_xll.EQNXTDZ($A$1,$B15,T$1,$B$1)</f>
        <v>94.082999999999998</v>
      </c>
      <c r="U15" s="100">
        <f>_xll.EQNXTDZ($A$1,$B15,U$1,$B$1)</f>
        <v>105.81829999999999</v>
      </c>
      <c r="V15" s="100">
        <f>_xll.EQNXTDZ($A$1,$B15,V$1,$B$1)</f>
        <v>86.701999999999998</v>
      </c>
      <c r="W15" s="100">
        <f>_xll.EQNXTDZ($A$1,$B15,W$1,$B$1)</f>
        <v>78.634799999999998</v>
      </c>
      <c r="X15" s="100">
        <f>_xll.EQNXTDZ($A$1,$B15,X$1,$B$1)</f>
        <v>92.988</v>
      </c>
      <c r="Y15" s="100">
        <f>_xll.EQNXTDZ($A$1,$B15,Y$1,$B$1)</f>
        <v>112.26</v>
      </c>
      <c r="Z15" s="100">
        <f>_xll.EQNXTDZ($A$1,$B15,Z$1,$B$1)</f>
        <v>90.673699999999997</v>
      </c>
      <c r="AA15" s="100">
        <f>_xll.EQNXTDZ($A$1,$B15,AA$1,$B$1)</f>
        <v>117.3107</v>
      </c>
      <c r="AB15" s="100">
        <f>_xll.EQNXTDZ($A$1,$B15,AB$1,$B$1)</f>
        <v>122.42959999999999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37.0809523</v>
      </c>
      <c r="H17" s="100">
        <f>_xll.EQNXTDZ($A$1,$B17,H$1,$B$1)</f>
        <v>68.707056499999993</v>
      </c>
      <c r="I17" s="100">
        <f>_xll.EQNXTDZ($A$1,$B17,I$1,$B$1)</f>
        <v>128.9648</v>
      </c>
      <c r="J17" s="100">
        <f>_xll.EQNXTDZ($A$1,$B17,J$1,$B$1)</f>
        <v>163.4187</v>
      </c>
      <c r="K17" s="100">
        <f>_xll.EQNXTDZ($A$1,$B17,K$1,$B$1)</f>
        <v>172.27170000000001</v>
      </c>
      <c r="L17" s="100">
        <f>_xll.EQNXTDZ($A$1,$B17,L$1,$B$1)</f>
        <v>194.7577</v>
      </c>
      <c r="M17" s="100">
        <f>_xll.EQNXTDZ($A$1,$B17,M$1,$B$1)</f>
        <v>232.46299999999999</v>
      </c>
      <c r="N17" s="100">
        <f>_xll.EQNXTDZ($A$1,$B17,N$1,$B$1)</f>
        <v>200.59</v>
      </c>
      <c r="O17" s="100">
        <f>_xll.EQNXTDZ($A$1,$B17,O$1,$B$1)</f>
        <v>204.33</v>
      </c>
      <c r="P17" s="100">
        <f>_xll.EQNXTDZ($A$1,$B17,P$1,$B$1)</f>
        <v>30.970382000000001</v>
      </c>
      <c r="Q17" s="100">
        <f>_xll.EQNXTDZ($A$1,$B17,Q$1,$B$1)</f>
        <v>30.688700000000001</v>
      </c>
      <c r="R17" s="100">
        <f>_xll.EQNXTDZ($A$1,$B17,R$1,$B$1)</f>
        <v>42.967500000000001</v>
      </c>
      <c r="S17" s="100">
        <f>_xll.EQNXTDZ($A$1,$B17,S$1,$B$1)</f>
        <v>53.481000000000002</v>
      </c>
      <c r="T17" s="100">
        <f>_xll.EQNXTDZ($A$1,$B17,T$1,$B$1)</f>
        <v>71.289000000000001</v>
      </c>
      <c r="U17" s="100">
        <f>_xll.EQNXTDZ($A$1,$B17,U$1,$B$1)</f>
        <v>78.296000000000006</v>
      </c>
      <c r="V17" s="100">
        <f>_xll.EQNXTDZ($A$1,$B17,V$1,$B$1)</f>
        <v>52.284399999999998</v>
      </c>
      <c r="W17" s="100">
        <f>_xll.EQNXTDZ($A$1,$B17,W$1,$B$1)</f>
        <v>48.848999999999997</v>
      </c>
      <c r="X17" s="100">
        <f>_xll.EQNXTDZ($A$1,$B17,X$1,$B$1)</f>
        <v>56.172400000000003</v>
      </c>
      <c r="Y17" s="100">
        <f>_xll.EQNXTDZ($A$1,$B17,Y$1,$B$1)</f>
        <v>58.7256</v>
      </c>
      <c r="Z17" s="100">
        <f>_xll.EQNXTDZ($A$1,$B17,Z$1,$B$1)</f>
        <v>116.58620000000001</v>
      </c>
      <c r="AA17" s="100">
        <f>_xll.EQNXTDZ($A$1,$B17,AA$1,$B$1)</f>
        <v>155.7105</v>
      </c>
      <c r="AB17" s="100">
        <f>_xll.EQNXTDZ($A$1,$B17,AB$1,$B$1)</f>
        <v>172.41249999999999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9.8491499999999996E-2</v>
      </c>
      <c r="H18" s="100">
        <f>_xll.EQNXTDZ($A$1,$B18,H$1,$B$1)</f>
        <v>6.1707900000000003E-2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0.1901805</v>
      </c>
      <c r="Q18" s="100">
        <f>_xll.EQNXTDZ($A$1,$B18,Q$1,$B$1)</f>
        <v>0.3735</v>
      </c>
      <c r="R18" s="100">
        <f>_xll.EQNXTDZ($A$1,$B18,R$1,$B$1)</f>
        <v>24.402200000000001</v>
      </c>
      <c r="S18" s="100">
        <f>_xll.EQNXTDZ($A$1,$B18,S$1,$B$1)</f>
        <v>0.35270000000000001</v>
      </c>
      <c r="T18" s="100">
        <f>_xll.EQNXTDZ($A$1,$B18,T$1,$B$1)</f>
        <v>1.8180000000000001</v>
      </c>
      <c r="U18" s="100">
        <f>_xll.EQNXTDZ($A$1,$B18,U$1,$B$1)</f>
        <v>1.615</v>
      </c>
      <c r="V18" s="100">
        <f>_xll.EQNXTDZ($A$1,$B18,V$1,$B$1)</f>
        <v>1.5268999999999999</v>
      </c>
      <c r="W18" s="100">
        <f>_xll.EQNXTDZ($A$1,$B18,W$1,$B$1)</f>
        <v>1.6093999999999999</v>
      </c>
      <c r="X18" s="100">
        <f>_xll.EQNXTDZ($A$1,$B18,X$1,$B$1)</f>
        <v>1.7883</v>
      </c>
      <c r="Y18" s="100">
        <f>_xll.EQNXTDZ($A$1,$B18,Y$1,$B$1)</f>
        <v>3.1610999999999998</v>
      </c>
      <c r="Z18" s="100">
        <f>_xll.EQNXTDZ($A$1,$B18,Z$1,$B$1)</f>
        <v>2.8281000000000001</v>
      </c>
      <c r="AA18" s="100">
        <f>_xll.EQNXTDZ($A$1,$B18,AA$1,$B$1)</f>
        <v>2.7071999999999998</v>
      </c>
      <c r="AB18" s="100">
        <f>_xll.EQNXTDZ($A$1,$B18,AB$1,$B$1)</f>
        <v>3.5556000000000001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9.6537200000000004E-2</v>
      </c>
      <c r="H19" s="100">
        <f>_xll.EQNXTDZ($A$1,$B19,H$1,$B$1)</f>
        <v>8.4810285000000007</v>
      </c>
      <c r="I19" s="100">
        <f>_xll.EQNXTDZ($A$1,$B19,I$1,$B$1)</f>
        <v>0</v>
      </c>
      <c r="J19" s="100">
        <f>_xll.EQNXTDZ($A$1,$B19,J$1,$B$1)</f>
        <v>2.3702999999999999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95.541126599999998</v>
      </c>
      <c r="Q19" s="100">
        <f>_xll.EQNXTDZ($A$1,$B19,Q$1,$B$1)</f>
        <v>90.097099999999998</v>
      </c>
      <c r="R19" s="100">
        <f>_xll.EQNXTDZ($A$1,$B19,R$1,$B$1)</f>
        <v>7.0845000000000002</v>
      </c>
      <c r="S19" s="100">
        <f>_xll.EQNXTDZ($A$1,$B19,S$1,$B$1)</f>
        <v>5.5378999999999996</v>
      </c>
      <c r="T19" s="100">
        <f>_xll.EQNXTDZ($A$1,$B19,T$1,$B$1)</f>
        <v>7.8109000000000002</v>
      </c>
      <c r="U19" s="100">
        <f>_xll.EQNXTDZ($A$1,$B19,U$1,$B$1)</f>
        <v>6.391</v>
      </c>
      <c r="V19" s="100">
        <f>_xll.EQNXTDZ($A$1,$B19,V$1,$B$1)</f>
        <v>6.0601000000000003</v>
      </c>
      <c r="W19" s="100">
        <f>_xll.EQNXTDZ($A$1,$B19,W$1,$B$1)</f>
        <v>32.882399999999997</v>
      </c>
      <c r="X19" s="100">
        <f>_xll.EQNXTDZ($A$1,$B19,X$1,$B$1)</f>
        <v>12.7705</v>
      </c>
      <c r="Y19" s="100">
        <f>_xll.EQNXTDZ($A$1,$B19,Y$1,$B$1)</f>
        <v>8.1317000000000004</v>
      </c>
      <c r="Z19" s="100">
        <f>_xll.EQNXTDZ($A$1,$B19,Z$1,$B$1)</f>
        <v>12.502000000000001</v>
      </c>
      <c r="AA19" s="100">
        <f>_xll.EQNXTDZ($A$1,$B19,AA$1,$B$1)</f>
        <v>12.273999999999999</v>
      </c>
      <c r="AB19" s="100">
        <f>_xll.EQNXTDZ($A$1,$B19,AB$1,$B$1)</f>
        <v>23.075099999999999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53.845271400000001</v>
      </c>
      <c r="H21" s="100">
        <f>_xll.EQNXTDZ($A$1,$B21,H$1,$B$1)</f>
        <v>104.4382355</v>
      </c>
      <c r="I21" s="100">
        <f>_xll.EQNXTDZ($A$1,$B21,I$1,$B$1)</f>
        <v>128.9648</v>
      </c>
      <c r="J21" s="100">
        <f>_xll.EQNXTDZ($A$1,$B21,J$1,$B$1)</f>
        <v>165.78899999999999</v>
      </c>
      <c r="K21" s="100">
        <f>_xll.EQNXTDZ($A$1,$B21,K$1,$B$1)</f>
        <v>172.27170000000001</v>
      </c>
      <c r="L21" s="100">
        <f>_xll.EQNXTDZ($A$1,$B21,L$1,$B$1)</f>
        <v>194.7577</v>
      </c>
      <c r="M21" s="100">
        <f>_xll.EQNXTDZ($A$1,$B21,M$1,$B$1)</f>
        <v>232.46299999999999</v>
      </c>
      <c r="N21" s="100">
        <f>_xll.EQNXTDZ($A$1,$B21,N$1,$B$1)</f>
        <v>200.59</v>
      </c>
      <c r="O21" s="100">
        <f>_xll.EQNXTDZ($A$1,$B21,O$1,$B$1)</f>
        <v>204.33</v>
      </c>
      <c r="P21" s="100">
        <f>_xll.EQNXTDZ($A$1,$B21,P$1,$B$1)</f>
        <v>233.37719269999999</v>
      </c>
      <c r="Q21" s="100">
        <f>_xll.EQNXTDZ($A$1,$B21,Q$1,$B$1)</f>
        <v>247.64230000000001</v>
      </c>
      <c r="R21" s="100">
        <f>_xll.EQNXTDZ($A$1,$B21,R$1,$B$1)</f>
        <v>245.1534</v>
      </c>
      <c r="S21" s="100">
        <f>_xll.EQNXTDZ($A$1,$B21,S$1,$B$1)</f>
        <v>292.2167</v>
      </c>
      <c r="T21" s="100">
        <f>_xll.EQNXTDZ($A$1,$B21,T$1,$B$1)</f>
        <v>408.92410000000001</v>
      </c>
      <c r="U21" s="100">
        <f>_xll.EQNXTDZ($A$1,$B21,U$1,$B$1)</f>
        <v>475.73439999999999</v>
      </c>
      <c r="V21" s="100">
        <f>_xll.EQNXTDZ($A$1,$B21,V$1,$B$1)</f>
        <v>413.23750000000001</v>
      </c>
      <c r="W21" s="100">
        <f>_xll.EQNXTDZ($A$1,$B21,W$1,$B$1)</f>
        <v>430.59910000000002</v>
      </c>
      <c r="X21" s="100">
        <f>_xll.EQNXTDZ($A$1,$B21,X$1,$B$1)</f>
        <v>493.20339999999999</v>
      </c>
      <c r="Y21" s="100">
        <f>_xll.EQNXTDZ($A$1,$B21,Y$1,$B$1)</f>
        <v>550.59540000000004</v>
      </c>
      <c r="Z21" s="100">
        <f>_xll.EQNXTDZ($A$1,$B21,Z$1,$B$1)</f>
        <v>631.62980000000005</v>
      </c>
      <c r="AA21" s="100">
        <f>_xll.EQNXTDZ($A$1,$B21,AA$1,$B$1)</f>
        <v>770.26400000000001</v>
      </c>
      <c r="AB21" s="100">
        <f>_xll.EQNXTDZ($A$1,$B21,AB$1,$B$1)</f>
        <v>832.34939999999995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38.140095199999998</v>
      </c>
      <c r="H22" s="100">
        <f>_xll.EQNXTDZ($A$1,$B22,H$1,$B$1)</f>
        <v>54.128704499999998</v>
      </c>
      <c r="I22" s="100">
        <f>_xll.EQNXTDZ($A$1,$B22,I$1,$B$1)</f>
        <v>89.227199999999996</v>
      </c>
      <c r="J22" s="100">
        <f>_xll.EQNXTDZ($A$1,$B22,J$1,$B$1)</f>
        <v>118.6643</v>
      </c>
      <c r="K22" s="100">
        <f>_xll.EQNXTDZ($A$1,$B22,K$1,$B$1)</f>
        <v>74.360200000000006</v>
      </c>
      <c r="L22" s="100">
        <f>_xll.EQNXTDZ($A$1,$B22,L$1,$B$1)</f>
        <v>116.42059999999999</v>
      </c>
      <c r="M22" s="100">
        <f>_xll.EQNXTDZ($A$1,$B22,M$1,$B$1)</f>
        <v>85.137</v>
      </c>
      <c r="N22" s="100">
        <f>_xll.EQNXTDZ($A$1,$B22,N$1,$B$1)</f>
        <v>72.17</v>
      </c>
      <c r="O22" s="100">
        <f>_xll.EQNXTDZ($A$1,$B22,O$1,$B$1)</f>
        <v>90.97</v>
      </c>
      <c r="P22" s="100">
        <f>_xll.EQNXTDZ($A$1,$B22,P$1,$B$1)</f>
        <v>89.034598000000003</v>
      </c>
      <c r="Q22" s="100">
        <f>_xll.EQNXTDZ($A$1,$B22,Q$1,$B$1)</f>
        <v>136.0067</v>
      </c>
      <c r="R22" s="100">
        <f>_xll.EQNXTDZ($A$1,$B22,R$1,$B$1)</f>
        <v>152.7714</v>
      </c>
      <c r="S22" s="100">
        <f>_xll.EQNXTDZ($A$1,$B22,S$1,$B$1)</f>
        <v>186.09180000000001</v>
      </c>
      <c r="T22" s="100">
        <f>_xll.EQNXTDZ($A$1,$B22,T$1,$B$1)</f>
        <v>232.61179999999999</v>
      </c>
      <c r="U22" s="100">
        <f>_xll.EQNXTDZ($A$1,$B22,U$1,$B$1)</f>
        <v>217.90950000000001</v>
      </c>
      <c r="V22" s="100">
        <f>_xll.EQNXTDZ($A$1,$B22,V$1,$B$1)</f>
        <v>286.39240000000001</v>
      </c>
      <c r="W22" s="100">
        <f>_xll.EQNXTDZ($A$1,$B22,W$1,$B$1)</f>
        <v>274.89670000000001</v>
      </c>
      <c r="X22" s="100">
        <f>_xll.EQNXTDZ($A$1,$B22,X$1,$B$1)</f>
        <v>416.46409999999997</v>
      </c>
      <c r="Y22" s="100">
        <f>_xll.EQNXTDZ($A$1,$B22,Y$1,$B$1)</f>
        <v>421.23180000000002</v>
      </c>
      <c r="Z22" s="100">
        <f>_xll.EQNXTDZ($A$1,$B22,Z$1,$B$1)</f>
        <v>504.88830000000002</v>
      </c>
      <c r="AA22" s="100">
        <f>_xll.EQNXTDZ($A$1,$B22,AA$1,$B$1)</f>
        <v>652.21929999999998</v>
      </c>
      <c r="AB22" s="100">
        <f>_xll.EQNXTDZ($A$1,$B22,AB$1,$B$1)</f>
        <v>683.89959999999996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2.5720421</v>
      </c>
      <c r="H23" s="100">
        <f>_xll.EQNXTDZ($A$1,$B23,H$1,$B$1)</f>
        <v>2.4817323999999998</v>
      </c>
      <c r="I23" s="100">
        <f>_xll.EQNXTDZ($A$1,$B23,I$1,$B$1)</f>
        <v>0.59519999999999995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17.9551053</v>
      </c>
      <c r="Q23" s="100">
        <f>_xll.EQNXTDZ($A$1,$B23,Q$1,$B$1)</f>
        <v>7.2958999999999996</v>
      </c>
      <c r="R23" s="100">
        <f>_xll.EQNXTDZ($A$1,$B23,R$1,$B$1)</f>
        <v>14.235099999999999</v>
      </c>
      <c r="S23" s="100">
        <f>_xll.EQNXTDZ($A$1,$B23,S$1,$B$1)</f>
        <v>24.522300000000001</v>
      </c>
      <c r="T23" s="100">
        <f>_xll.EQNXTDZ($A$1,$B23,T$1,$B$1)</f>
        <v>22.263200000000001</v>
      </c>
      <c r="U23" s="100">
        <f>_xll.EQNXTDZ($A$1,$B23,U$1,$B$1)</f>
        <v>18.063199999999998</v>
      </c>
      <c r="V23" s="100">
        <f>_xll.EQNXTDZ($A$1,$B23,V$1,$B$1)</f>
        <v>21.420500000000001</v>
      </c>
      <c r="W23" s="100">
        <f>_xll.EQNXTDZ($A$1,$B23,W$1,$B$1)</f>
        <v>50.875599999999999</v>
      </c>
      <c r="X23" s="100">
        <f>_xll.EQNXTDZ($A$1,$B23,X$1,$B$1)</f>
        <v>24.939699999999998</v>
      </c>
      <c r="Y23" s="100">
        <f>_xll.EQNXTDZ($A$1,$B23,Y$1,$B$1)</f>
        <v>26.812999999999999</v>
      </c>
      <c r="Z23" s="100">
        <f>_xll.EQNXTDZ($A$1,$B23,Z$1,$B$1)</f>
        <v>40.648099999999999</v>
      </c>
      <c r="AA23" s="100">
        <f>_xll.EQNXTDZ($A$1,$B23,AA$1,$B$1)</f>
        <v>52.636600000000001</v>
      </c>
      <c r="AB23" s="100">
        <f>_xll.EQNXTDZ($A$1,$B23,AB$1,$B$1)</f>
        <v>51.173099999999998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40.712137300000002</v>
      </c>
      <c r="H24" s="100">
        <f>_xll.EQNXTDZ($A$1,$B24,H$1,$B$1)</f>
        <v>56.610436900000003</v>
      </c>
      <c r="I24" s="100">
        <f>_xll.EQNXTDZ($A$1,$B24,I$1,$B$1)</f>
        <v>89.822400000000002</v>
      </c>
      <c r="J24" s="100">
        <f>_xll.EQNXTDZ($A$1,$B24,J$1,$B$1)</f>
        <v>118.6643</v>
      </c>
      <c r="K24" s="100">
        <f>_xll.EQNXTDZ($A$1,$B24,K$1,$B$1)</f>
        <v>74.360200000000006</v>
      </c>
      <c r="L24" s="100">
        <f>_xll.EQNXTDZ($A$1,$B24,L$1,$B$1)</f>
        <v>116.42059999999999</v>
      </c>
      <c r="M24" s="100">
        <f>_xll.EQNXTDZ($A$1,$B24,M$1,$B$1)</f>
        <v>85.137</v>
      </c>
      <c r="N24" s="100">
        <f>_xll.EQNXTDZ($A$1,$B24,N$1,$B$1)</f>
        <v>72.17</v>
      </c>
      <c r="O24" s="100">
        <f>_xll.EQNXTDZ($A$1,$B24,O$1,$B$1)</f>
        <v>90.97</v>
      </c>
      <c r="P24" s="100">
        <f>_xll.EQNXTDZ($A$1,$B24,P$1,$B$1)</f>
        <v>106.9897033</v>
      </c>
      <c r="Q24" s="100">
        <f>_xll.EQNXTDZ($A$1,$B24,Q$1,$B$1)</f>
        <v>143.30260000000001</v>
      </c>
      <c r="R24" s="100">
        <f>_xll.EQNXTDZ($A$1,$B24,R$1,$B$1)</f>
        <v>167.00649999999999</v>
      </c>
      <c r="S24" s="100">
        <f>_xll.EQNXTDZ($A$1,$B24,S$1,$B$1)</f>
        <v>210.61410000000001</v>
      </c>
      <c r="T24" s="100">
        <f>_xll.EQNXTDZ($A$1,$B24,T$1,$B$1)</f>
        <v>254.875</v>
      </c>
      <c r="U24" s="100">
        <f>_xll.EQNXTDZ($A$1,$B24,U$1,$B$1)</f>
        <v>235.9727</v>
      </c>
      <c r="V24" s="100">
        <f>_xll.EQNXTDZ($A$1,$B24,V$1,$B$1)</f>
        <v>307.81290000000001</v>
      </c>
      <c r="W24" s="100">
        <f>_xll.EQNXTDZ($A$1,$B24,W$1,$B$1)</f>
        <v>325.77229999999997</v>
      </c>
      <c r="X24" s="100">
        <f>_xll.EQNXTDZ($A$1,$B24,X$1,$B$1)</f>
        <v>441.40379999999999</v>
      </c>
      <c r="Y24" s="100">
        <f>_xll.EQNXTDZ($A$1,$B24,Y$1,$B$1)</f>
        <v>448.04480000000001</v>
      </c>
      <c r="Z24" s="100">
        <f>_xll.EQNXTDZ($A$1,$B24,Z$1,$B$1)</f>
        <v>545.53639999999996</v>
      </c>
      <c r="AA24" s="100">
        <f>_xll.EQNXTDZ($A$1,$B24,AA$1,$B$1)</f>
        <v>704.85590000000002</v>
      </c>
      <c r="AB24" s="100">
        <f>_xll.EQNXTDZ($A$1,$B24,AB$1,$B$1)</f>
        <v>735.07270000000005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3.0261E-2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0.12068180000000001</v>
      </c>
      <c r="Q25" s="100">
        <f>_xll.EQNXTDZ($A$1,$B25,Q$1,$B$1)</f>
        <v>0.14030000000000001</v>
      </c>
      <c r="R25" s="100">
        <f>_xll.EQNXTDZ($A$1,$B25,R$1,$B$1)</f>
        <v>1.0999000000000001</v>
      </c>
      <c r="S25" s="100">
        <f>_xll.EQNXTDZ($A$1,$B25,S$1,$B$1)</f>
        <v>9.8900000000000002E-2</v>
      </c>
      <c r="T25" s="100">
        <f>_xll.EQNXTDZ($A$1,$B25,T$1,$B$1)</f>
        <v>0.28100000000000003</v>
      </c>
      <c r="U25" s="100">
        <f>_xll.EQNXTDZ($A$1,$B25,U$1,$B$1)</f>
        <v>0.27810000000000001</v>
      </c>
      <c r="V25" s="100">
        <f>_xll.EQNXTDZ($A$1,$B25,V$1,$B$1)</f>
        <v>9.7239000000000004</v>
      </c>
      <c r="W25" s="100">
        <f>_xll.EQNXTDZ($A$1,$B25,W$1,$B$1)</f>
        <v>7.9039999999999999</v>
      </c>
      <c r="X25" s="100">
        <f>_xll.EQNXTDZ($A$1,$B25,X$1,$B$1)</f>
        <v>7.1338999999999997</v>
      </c>
      <c r="Y25" s="100">
        <f>_xll.EQNXTDZ($A$1,$B25,Y$1,$B$1)</f>
        <v>7.6074999999999999</v>
      </c>
      <c r="Z25" s="100">
        <f>_xll.EQNXTDZ($A$1,$B25,Z$1,$B$1)</f>
        <v>8.2134999999999998</v>
      </c>
      <c r="AA25" s="100">
        <f>_xll.EQNXTDZ($A$1,$B25,AA$1,$B$1)</f>
        <v>8.4731000000000005</v>
      </c>
      <c r="AB25" s="100">
        <f>_xll.EQNXTDZ($A$1,$B25,AB$1,$B$1)</f>
        <v>6.9836999999999998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40.681876299999999</v>
      </c>
      <c r="H26" s="100">
        <f>_xll.EQNXTDZ($A$1,$B26,H$1,$B$1)</f>
        <v>56.610436900000003</v>
      </c>
      <c r="I26" s="100">
        <f>_xll.EQNXTDZ($A$1,$B26,I$1,$B$1)</f>
        <v>89.822400000000002</v>
      </c>
      <c r="J26" s="100">
        <f>_xll.EQNXTDZ($A$1,$B26,J$1,$B$1)</f>
        <v>118.6643</v>
      </c>
      <c r="K26" s="100">
        <f>_xll.EQNXTDZ($A$1,$B26,K$1,$B$1)</f>
        <v>74.360200000000006</v>
      </c>
      <c r="L26" s="100">
        <f>_xll.EQNXTDZ($A$1,$B26,L$1,$B$1)</f>
        <v>116.42059999999999</v>
      </c>
      <c r="M26" s="100">
        <f>_xll.EQNXTDZ($A$1,$B26,M$1,$B$1)</f>
        <v>85.137</v>
      </c>
      <c r="N26" s="100">
        <f>_xll.EQNXTDZ($A$1,$B26,N$1,$B$1)</f>
        <v>72.17</v>
      </c>
      <c r="O26" s="100">
        <f>_xll.EQNXTDZ($A$1,$B26,O$1,$B$1)</f>
        <v>90.97</v>
      </c>
      <c r="P26" s="100">
        <f>_xll.EQNXTDZ($A$1,$B26,P$1,$B$1)</f>
        <v>106.8690215</v>
      </c>
      <c r="Q26" s="100">
        <f>_xll.EQNXTDZ($A$1,$B26,Q$1,$B$1)</f>
        <v>143.16229999999999</v>
      </c>
      <c r="R26" s="100">
        <f>_xll.EQNXTDZ($A$1,$B26,R$1,$B$1)</f>
        <v>165.9066</v>
      </c>
      <c r="S26" s="100">
        <f>_xll.EQNXTDZ($A$1,$B26,S$1,$B$1)</f>
        <v>210.51519999999999</v>
      </c>
      <c r="T26" s="100">
        <f>_xll.EQNXTDZ($A$1,$B26,T$1,$B$1)</f>
        <v>254.59399999999999</v>
      </c>
      <c r="U26" s="100">
        <f>_xll.EQNXTDZ($A$1,$B26,U$1,$B$1)</f>
        <v>235.69460000000001</v>
      </c>
      <c r="V26" s="100">
        <f>_xll.EQNXTDZ($A$1,$B26,V$1,$B$1)</f>
        <v>298.089</v>
      </c>
      <c r="W26" s="100">
        <f>_xll.EQNXTDZ($A$1,$B26,W$1,$B$1)</f>
        <v>317.86829999999998</v>
      </c>
      <c r="X26" s="100">
        <f>_xll.EQNXTDZ($A$1,$B26,X$1,$B$1)</f>
        <v>434.26990000000001</v>
      </c>
      <c r="Y26" s="100">
        <f>_xll.EQNXTDZ($A$1,$B26,Y$1,$B$1)</f>
        <v>440.43729999999999</v>
      </c>
      <c r="Z26" s="100">
        <f>_xll.EQNXTDZ($A$1,$B26,Z$1,$B$1)</f>
        <v>537.3229</v>
      </c>
      <c r="AA26" s="100">
        <f>_xll.EQNXTDZ($A$1,$B26,AA$1,$B$1)</f>
        <v>696.38279999999997</v>
      </c>
      <c r="AB26" s="100">
        <f>_xll.EQNXTDZ($A$1,$B26,AB$1,$B$1)</f>
        <v>728.08900000000006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4.5313876999999998</v>
      </c>
      <c r="H27" s="100">
        <f>_xll.EQNXTDZ($A$1,$B27,H$1,$B$1)</f>
        <v>5.7737274000000003</v>
      </c>
      <c r="I27" s="100">
        <f>_xll.EQNXTDZ($A$1,$B27,I$1,$B$1)</f>
        <v>9.1152999999999995</v>
      </c>
      <c r="J27" s="100">
        <f>_xll.EQNXTDZ($A$1,$B27,J$1,$B$1)</f>
        <v>7.5877999999999997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11.310727699999999</v>
      </c>
      <c r="Q27" s="100">
        <f>_xll.EQNXTDZ($A$1,$B27,Q$1,$B$1)</f>
        <v>23.7211</v>
      </c>
      <c r="R27" s="100">
        <f>_xll.EQNXTDZ($A$1,$B27,R$1,$B$1)</f>
        <v>18.470500000000001</v>
      </c>
      <c r="S27" s="100">
        <f>_xll.EQNXTDZ($A$1,$B27,S$1,$B$1)</f>
        <v>16.919599999999999</v>
      </c>
      <c r="T27" s="100">
        <f>_xll.EQNXTDZ($A$1,$B27,T$1,$B$1)</f>
        <v>22.665800000000001</v>
      </c>
      <c r="U27" s="100">
        <f>_xll.EQNXTDZ($A$1,$B27,U$1,$B$1)</f>
        <v>28.436599999999999</v>
      </c>
      <c r="V27" s="100">
        <f>_xll.EQNXTDZ($A$1,$B27,V$1,$B$1)</f>
        <v>51.250799999999998</v>
      </c>
      <c r="W27" s="100">
        <f>_xll.EQNXTDZ($A$1,$B27,W$1,$B$1)</f>
        <v>43.413200000000003</v>
      </c>
      <c r="X27" s="100">
        <f>_xll.EQNXTDZ($A$1,$B27,X$1,$B$1)</f>
        <v>51.621699999999997</v>
      </c>
      <c r="Y27" s="100">
        <f>_xll.EQNXTDZ($A$1,$B27,Y$1,$B$1)</f>
        <v>60.25</v>
      </c>
      <c r="Z27" s="100">
        <f>_xll.EQNXTDZ($A$1,$B27,Z$1,$B$1)</f>
        <v>70.477800000000002</v>
      </c>
      <c r="AA27" s="100">
        <f>_xll.EQNXTDZ($A$1,$B27,AA$1,$B$1)</f>
        <v>77.720100000000002</v>
      </c>
      <c r="AB27" s="100">
        <f>_xll.EQNXTDZ($A$1,$B27,AB$1,$B$1)</f>
        <v>98.773700000000005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-0.76200000000000001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12.5196779</v>
      </c>
      <c r="H30" s="100">
        <f>_xll.EQNXTDZ($A$1,$B30,H$1,$B$1)</f>
        <v>19.217268799999999</v>
      </c>
      <c r="I30" s="100">
        <f>_xll.EQNXTDZ($A$1,$B30,I$1,$B$1)</f>
        <v>27.7315</v>
      </c>
      <c r="J30" s="100">
        <f>_xll.EQNXTDZ($A$1,$B30,J$1,$B$1)</f>
        <v>38.260899999999999</v>
      </c>
      <c r="K30" s="100">
        <f>_xll.EQNXTDZ($A$1,$B30,K$1,$B$1)</f>
        <v>25.1282</v>
      </c>
      <c r="L30" s="100">
        <f>_xll.EQNXTDZ($A$1,$B30,L$1,$B$1)</f>
        <v>35.8108</v>
      </c>
      <c r="M30" s="100">
        <f>_xll.EQNXTDZ($A$1,$B30,M$1,$B$1)</f>
        <v>26.222899999999999</v>
      </c>
      <c r="N30" s="100">
        <f>_xll.EQNXTDZ($A$1,$B30,N$1,$B$1)</f>
        <v>21.61</v>
      </c>
      <c r="O30" s="100">
        <f>_xll.EQNXTDZ($A$1,$B30,O$1,$B$1)</f>
        <v>25.64</v>
      </c>
      <c r="P30" s="100">
        <f>_xll.EQNXTDZ($A$1,$B30,P$1,$B$1)</f>
        <v>29.9399315</v>
      </c>
      <c r="Q30" s="100">
        <f>_xll.EQNXTDZ($A$1,$B30,Q$1,$B$1)</f>
        <v>39.460099999999997</v>
      </c>
      <c r="R30" s="100">
        <f>_xll.EQNXTDZ($A$1,$B30,R$1,$B$1)</f>
        <v>48.953800000000001</v>
      </c>
      <c r="S30" s="100">
        <f>_xll.EQNXTDZ($A$1,$B30,S$1,$B$1)</f>
        <v>66.465100000000007</v>
      </c>
      <c r="T30" s="100">
        <f>_xll.EQNXTDZ($A$1,$B30,T$1,$B$1)</f>
        <v>82.2119</v>
      </c>
      <c r="U30" s="100">
        <f>_xll.EQNXTDZ($A$1,$B30,U$1,$B$1)</f>
        <v>72.080699999999993</v>
      </c>
      <c r="V30" s="100">
        <f>_xll.EQNXTDZ($A$1,$B30,V$1,$B$1)</f>
        <v>74.945999999999998</v>
      </c>
      <c r="W30" s="100">
        <f>_xll.EQNXTDZ($A$1,$B30,W$1,$B$1)</f>
        <v>69.163799999999995</v>
      </c>
      <c r="X30" s="100">
        <f>_xll.EQNXTDZ($A$1,$B30,X$1,$B$1)</f>
        <v>95.701300000000003</v>
      </c>
      <c r="Y30" s="100">
        <f>_xll.EQNXTDZ($A$1,$B30,Y$1,$B$1)</f>
        <v>95.552899999999994</v>
      </c>
      <c r="Z30" s="100">
        <f>_xll.EQNXTDZ($A$1,$B30,Z$1,$B$1)</f>
        <v>115.8678</v>
      </c>
      <c r="AA30" s="100">
        <f>_xll.EQNXTDZ($A$1,$B30,AA$1,$B$1)</f>
        <v>153.96719999999999</v>
      </c>
      <c r="AB30" s="100">
        <f>_xll.EQNXTDZ($A$1,$B30,AB$1,$B$1)</f>
        <v>156.535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-0.6161529</v>
      </c>
      <c r="Q32" s="100">
        <f>_xll.EQNXTDZ($A$1,$B32,Q$1,$B$1)</f>
        <v>-6.1499999999999999E-2</v>
      </c>
      <c r="R32" s="100">
        <f>_xll.EQNXTDZ($A$1,$B32,R$1,$B$1)</f>
        <v>-0.26469999999999999</v>
      </c>
      <c r="S32" s="100">
        <f>_xll.EQNXTDZ($A$1,$B32,S$1,$B$1)</f>
        <v>-0.78029999999999999</v>
      </c>
      <c r="T32" s="100">
        <f>_xll.EQNXTDZ($A$1,$B32,T$1,$B$1)</f>
        <v>-0.37959999999999999</v>
      </c>
      <c r="U32" s="100">
        <f>_xll.EQNXTDZ($A$1,$B32,U$1,$B$1)</f>
        <v>-0.52769999999999995</v>
      </c>
      <c r="V32" s="100">
        <f>_xll.EQNXTDZ($A$1,$B32,V$1,$B$1)</f>
        <v>-7.2700000000000001E-2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0.6139</v>
      </c>
      <c r="Z32" s="100">
        <f>_xll.EQNXTDZ($A$1,$B32,Z$1,$B$1)</f>
        <v>2.6633</v>
      </c>
      <c r="AA32" s="100">
        <f>_xll.EQNXTDZ($A$1,$B32,AA$1,$B$1)</f>
        <v>5.4983000000000004</v>
      </c>
      <c r="AB32" s="100">
        <f>_xll.EQNXTDZ($A$1,$B32,AB$1,$B$1)</f>
        <v>3.9874000000000001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23.630810700000001</v>
      </c>
      <c r="H35" s="100">
        <f>_xll.EQNXTDZ($A$1,$B35,H$1,$B$1)</f>
        <v>31.619440699999998</v>
      </c>
      <c r="I35" s="100">
        <f>_xll.EQNXTDZ($A$1,$B35,I$1,$B$1)</f>
        <v>52.9756</v>
      </c>
      <c r="J35" s="100">
        <f>_xll.EQNXTDZ($A$1,$B35,J$1,$B$1)</f>
        <v>72.815600000000003</v>
      </c>
      <c r="K35" s="100">
        <f>_xll.EQNXTDZ($A$1,$B35,K$1,$B$1)</f>
        <v>49.231999999999999</v>
      </c>
      <c r="L35" s="100">
        <f>_xll.EQNXTDZ($A$1,$B35,L$1,$B$1)</f>
        <v>80.609800000000007</v>
      </c>
      <c r="M35" s="100">
        <f>_xll.EQNXTDZ($A$1,$B35,M$1,$B$1)</f>
        <v>58.914099999999998</v>
      </c>
      <c r="N35" s="100">
        <f>_xll.EQNXTDZ($A$1,$B35,N$1,$B$1)</f>
        <v>50.56</v>
      </c>
      <c r="O35" s="100">
        <f>_xll.EQNXTDZ($A$1,$B35,O$1,$B$1)</f>
        <v>65.33</v>
      </c>
      <c r="P35" s="100">
        <f>_xll.EQNXTDZ($A$1,$B35,P$1,$B$1)</f>
        <v>65.002209399999998</v>
      </c>
      <c r="Q35" s="100">
        <f>_xll.EQNXTDZ($A$1,$B35,Q$1,$B$1)</f>
        <v>79.919600000000003</v>
      </c>
      <c r="R35" s="100">
        <f>_xll.EQNXTDZ($A$1,$B35,R$1,$B$1)</f>
        <v>98.217600000000004</v>
      </c>
      <c r="S35" s="100">
        <f>_xll.EQNXTDZ($A$1,$B35,S$1,$B$1)</f>
        <v>126.3502</v>
      </c>
      <c r="T35" s="100">
        <f>_xll.EQNXTDZ($A$1,$B35,T$1,$B$1)</f>
        <v>149.33670000000001</v>
      </c>
      <c r="U35" s="100">
        <f>_xll.EQNXTDZ($A$1,$B35,U$1,$B$1)</f>
        <v>134.64959999999999</v>
      </c>
      <c r="V35" s="100">
        <f>_xll.EQNXTDZ($A$1,$B35,V$1,$B$1)</f>
        <v>171.81950000000001</v>
      </c>
      <c r="W35" s="100">
        <f>_xll.EQNXTDZ($A$1,$B35,W$1,$B$1)</f>
        <v>205.29130000000001</v>
      </c>
      <c r="X35" s="100">
        <f>_xll.EQNXTDZ($A$1,$B35,X$1,$B$1)</f>
        <v>286.94690000000003</v>
      </c>
      <c r="Y35" s="100">
        <f>_xll.EQNXTDZ($A$1,$B35,Y$1,$B$1)</f>
        <v>285.24829999999997</v>
      </c>
      <c r="Z35" s="100">
        <f>_xll.EQNXTDZ($A$1,$B35,Z$1,$B$1)</f>
        <v>353.64060000000001</v>
      </c>
      <c r="AA35" s="100">
        <f>_xll.EQNXTDZ($A$1,$B35,AA$1,$B$1)</f>
        <v>470.19380000000001</v>
      </c>
      <c r="AB35" s="100">
        <f>_xll.EQNXTDZ($A$1,$B35,AB$1,$B$1)</f>
        <v>476.00569999999999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12</v>
      </c>
      <c r="H41" s="55">
        <f>_xll.EQNXTDZ($A$1,$B41,H$1,$B$1)</f>
        <v>12.002000000000001</v>
      </c>
      <c r="I41" s="55">
        <f>_xll.EQNXTDZ($A$1,$B41,I$1,$B$1)</f>
        <v>12.007</v>
      </c>
      <c r="J41" s="55">
        <f>_xll.EQNXTDZ($A$1,$B41,J$1,$B$1)</f>
        <v>12.186999999999999</v>
      </c>
      <c r="K41" s="55">
        <f>_xll.EQNXTDZ($A$1,$B41,K$1,$B$1)</f>
        <v>12.19</v>
      </c>
      <c r="L41" s="55">
        <f>_xll.EQNXTDZ($A$1,$B41,L$1,$B$1)</f>
        <v>12.19</v>
      </c>
      <c r="M41" s="55">
        <f>_xll.EQNXTDZ($A$1,$B41,M$1,$B$1)</f>
        <v>48.76</v>
      </c>
      <c r="N41" s="55">
        <f>_xll.EQNXTDZ($A$1,$B41,N$1,$B$1)</f>
        <v>48.76</v>
      </c>
      <c r="O41" s="55">
        <f>_xll.EQNXTDZ($A$1,$B41,O$1,$B$1)</f>
        <v>48.76</v>
      </c>
      <c r="P41" s="55">
        <f>_xll.EQNXTDZ($A$1,$B41,P$1,$B$1)</f>
        <v>48.76</v>
      </c>
      <c r="Q41" s="55">
        <f>_xll.EQNXTDZ($A$1,$B41,Q$1,$B$1)</f>
        <v>48.76</v>
      </c>
      <c r="R41" s="55">
        <f>_xll.EQNXTDZ($A$1,$B41,R$1,$B$1)</f>
        <v>48.76</v>
      </c>
      <c r="S41" s="55">
        <f>_xll.EQNXTDZ($A$1,$B41,S$1,$B$1)</f>
        <v>48.76</v>
      </c>
      <c r="T41" s="55">
        <f>_xll.EQNXTDZ($A$1,$B41,T$1,$B$1)</f>
        <v>48.76</v>
      </c>
      <c r="U41" s="55">
        <f>_xll.EQNXTDZ($A$1,$B41,U$1,$B$1)</f>
        <v>48.76</v>
      </c>
      <c r="V41" s="55">
        <f>_xll.EQNXTDZ($A$1,$B41,V$1,$B$1)</f>
        <v>48.76</v>
      </c>
      <c r="W41" s="55">
        <f>_xll.EQNXTDZ($A$1,$B41,W$1,$B$1)</f>
        <v>48.790999999999997</v>
      </c>
      <c r="X41" s="55">
        <f>_xll.EQNXTDZ($A$1,$B41,X$1,$B$1)</f>
        <v>48.903500000000001</v>
      </c>
      <c r="Y41" s="55">
        <f>_xll.EQNXTDZ($A$1,$B41,Y$1,$B$1)</f>
        <v>48.993600000000001</v>
      </c>
      <c r="Z41" s="55">
        <f>_xll.EQNXTDZ($A$1,$B41,Z$1,$B$1)</f>
        <v>49.143099999999997</v>
      </c>
      <c r="AA41" s="55">
        <f>_xll.EQNXTDZ($A$1,$B41,AA$1,$B$1)</f>
        <v>49.429900000000004</v>
      </c>
      <c r="AB41" s="55">
        <f>_xll.EQNXTDZ($A$1,$B41,AB$1,$B$1)</f>
        <v>49.596899999999998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3.621</v>
      </c>
      <c r="W42" s="55">
        <f>_xll.EQNXTDZ($A$1,$B42,W$1,$B$1)</f>
        <v>11.226900000000001</v>
      </c>
      <c r="X42" s="55">
        <f>_xll.EQNXTDZ($A$1,$B42,X$1,$B$1)</f>
        <v>31.083500000000001</v>
      </c>
      <c r="Y42" s="55">
        <f>_xll.EQNXTDZ($A$1,$B42,Y$1,$B$1)</f>
        <v>52.430599999999998</v>
      </c>
      <c r="Z42" s="55">
        <f>_xll.EQNXTDZ($A$1,$B42,Z$1,$B$1)</f>
        <v>53.850099999999998</v>
      </c>
      <c r="AA42" s="55">
        <f>_xll.EQNXTDZ($A$1,$B42,AA$1,$B$1)</f>
        <v>47.290700000000001</v>
      </c>
      <c r="AB42" s="55">
        <f>_xll.EQNXTDZ($A$1,$B42,AB$1,$B$1)</f>
        <v>44.5289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35.850740399999999</v>
      </c>
      <c r="H43" s="55">
        <f>_xll.EQNXTDZ($A$1,$B43,H$1,$B$1)</f>
        <v>55.020296199999997</v>
      </c>
      <c r="I43" s="55">
        <f>_xll.EQNXTDZ($A$1,$B43,I$1,$B$1)</f>
        <v>89.894462899999994</v>
      </c>
      <c r="J43" s="55">
        <f>_xll.EQNXTDZ($A$1,$B43,J$1,$B$1)</f>
        <v>148.8858453</v>
      </c>
      <c r="K43" s="55">
        <f>_xll.EQNXTDZ($A$1,$B43,K$1,$B$1)</f>
        <v>165.34601470000001</v>
      </c>
      <c r="L43" s="55">
        <f>_xll.EQNXTDZ($A$1,$B43,L$1,$B$1)</f>
        <v>178.92588019999999</v>
      </c>
      <c r="M43" s="55">
        <f>_xll.EQNXTDZ($A$1,$B43,M$1,$B$1)</f>
        <v>150.09739450000001</v>
      </c>
      <c r="N43" s="55">
        <f>_xll.EQNXTDZ($A$1,$B43,N$1,$B$1)</f>
        <v>168.64025570000001</v>
      </c>
      <c r="O43" s="55">
        <f>_xll.EQNXTDZ($A$1,$B43,O$1,$B$1)</f>
        <v>189.94576710000001</v>
      </c>
      <c r="P43" s="55">
        <f>_xll.EQNXTDZ($A$1,$B43,P$1,$B$1)</f>
        <v>218.88010489999999</v>
      </c>
      <c r="Q43" s="55">
        <f>_xll.EQNXTDZ($A$1,$B43,Q$1,$B$1)</f>
        <v>246.19489999999999</v>
      </c>
      <c r="R43" s="55">
        <f>_xll.EQNXTDZ($A$1,$B43,R$1,$B$1)</f>
        <v>315.29629999999997</v>
      </c>
      <c r="S43" s="55">
        <f>_xll.EQNXTDZ($A$1,$B43,S$1,$B$1)</f>
        <v>366.78059999999999</v>
      </c>
      <c r="T43" s="55">
        <f>_xll.EQNXTDZ($A$1,$B43,T$1,$B$1)</f>
        <v>401.02170000000001</v>
      </c>
      <c r="U43" s="55">
        <f>_xll.EQNXTDZ($A$1,$B43,U$1,$B$1)</f>
        <v>402.98770000000002</v>
      </c>
      <c r="V43" s="55">
        <f>_xll.EQNXTDZ($A$1,$B43,V$1,$B$1)</f>
        <v>496.47539999999998</v>
      </c>
      <c r="W43" s="55">
        <f>_xll.EQNXTDZ($A$1,$B43,W$1,$B$1)</f>
        <v>455.85379999999998</v>
      </c>
      <c r="X43" s="55">
        <f>_xll.EQNXTDZ($A$1,$B43,X$1,$B$1)</f>
        <v>567.6508</v>
      </c>
      <c r="Y43" s="55">
        <f>_xll.EQNXTDZ($A$1,$B43,Y$1,$B$1)</f>
        <v>680.30039999999997</v>
      </c>
      <c r="Z43" s="55">
        <f>_xll.EQNXTDZ($A$1,$B43,Z$1,$B$1)</f>
        <v>811.53970000000004</v>
      </c>
      <c r="AA43" s="55">
        <f>_xll.EQNXTDZ($A$1,$B43,AA$1,$B$1)</f>
        <v>1021.8332</v>
      </c>
      <c r="AB43" s="55">
        <f>_xll.EQNXTDZ($A$1,$B43,AB$1,$B$1)</f>
        <v>1226.7889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47.850740399999999</v>
      </c>
      <c r="H44" s="55">
        <f>_xll.EQNXTDZ($A$1,$B44,H$1,$B$1)</f>
        <v>67.0222962</v>
      </c>
      <c r="I44" s="55">
        <f>_xll.EQNXTDZ($A$1,$B44,I$1,$B$1)</f>
        <v>101.9014629</v>
      </c>
      <c r="J44" s="55">
        <f>_xll.EQNXTDZ($A$1,$B44,J$1,$B$1)</f>
        <v>161.07284530000001</v>
      </c>
      <c r="K44" s="55">
        <f>_xll.EQNXTDZ($A$1,$B44,K$1,$B$1)</f>
        <v>177.53601470000001</v>
      </c>
      <c r="L44" s="55">
        <f>_xll.EQNXTDZ($A$1,$B44,L$1,$B$1)</f>
        <v>191.11588019999999</v>
      </c>
      <c r="M44" s="55">
        <f>_xll.EQNXTDZ($A$1,$B44,M$1,$B$1)</f>
        <v>198.8573945</v>
      </c>
      <c r="N44" s="55">
        <f>_xll.EQNXTDZ($A$1,$B44,N$1,$B$1)</f>
        <v>217.4002557</v>
      </c>
      <c r="O44" s="55">
        <f>_xll.EQNXTDZ($A$1,$B44,O$1,$B$1)</f>
        <v>238.7057671</v>
      </c>
      <c r="P44" s="55">
        <f>_xll.EQNXTDZ($A$1,$B44,P$1,$B$1)</f>
        <v>267.64010489999998</v>
      </c>
      <c r="Q44" s="55">
        <f>_xll.EQNXTDZ($A$1,$B44,Q$1,$B$1)</f>
        <v>294.95490000000001</v>
      </c>
      <c r="R44" s="55">
        <f>_xll.EQNXTDZ($A$1,$B44,R$1,$B$1)</f>
        <v>364.05630000000002</v>
      </c>
      <c r="S44" s="55">
        <f>_xll.EQNXTDZ($A$1,$B44,S$1,$B$1)</f>
        <v>415.54059999999998</v>
      </c>
      <c r="T44" s="55">
        <f>_xll.EQNXTDZ($A$1,$B44,T$1,$B$1)</f>
        <v>449.7817</v>
      </c>
      <c r="U44" s="55">
        <f>_xll.EQNXTDZ($A$1,$B44,U$1,$B$1)</f>
        <v>451.74770000000001</v>
      </c>
      <c r="V44" s="55">
        <f>_xll.EQNXTDZ($A$1,$B44,V$1,$B$1)</f>
        <v>548.85640000000001</v>
      </c>
      <c r="W44" s="55">
        <f>_xll.EQNXTDZ($A$1,$B44,W$1,$B$1)</f>
        <v>515.87170000000003</v>
      </c>
      <c r="X44" s="55">
        <f>_xll.EQNXTDZ($A$1,$B44,X$1,$B$1)</f>
        <v>647.63779999999997</v>
      </c>
      <c r="Y44" s="55">
        <f>_xll.EQNXTDZ($A$1,$B44,Y$1,$B$1)</f>
        <v>781.72460000000001</v>
      </c>
      <c r="Z44" s="55">
        <f>_xll.EQNXTDZ($A$1,$B44,Z$1,$B$1)</f>
        <v>914.53290000000004</v>
      </c>
      <c r="AA44" s="55">
        <f>_xll.EQNXTDZ($A$1,$B44,AA$1,$B$1)</f>
        <v>1118.5537999999999</v>
      </c>
      <c r="AB44" s="55">
        <f>_xll.EQNXTDZ($A$1,$B44,AB$1,$B$1)</f>
        <v>1320.9147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13.1871738</v>
      </c>
      <c r="Q45" s="55">
        <f>_xll.EQNXTDZ($A$1,$B45,Q$1,$B$1)</f>
        <v>6.4555999999999996</v>
      </c>
      <c r="R45" s="55">
        <f>_xll.EQNXTDZ($A$1,$B45,R$1,$B$1)</f>
        <v>7.4109999999999996</v>
      </c>
      <c r="S45" s="55">
        <f>_xll.EQNXTDZ($A$1,$B45,S$1,$B$1)</f>
        <v>8.1936</v>
      </c>
      <c r="T45" s="55">
        <f>_xll.EQNXTDZ($A$1,$B45,T$1,$B$1)</f>
        <v>7.7515999999999998</v>
      </c>
      <c r="U45" s="55">
        <f>_xll.EQNXTDZ($A$1,$B45,U$1,$B$1)</f>
        <v>8.2944999999999993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0.74739999999999995</v>
      </c>
      <c r="Z45" s="55">
        <f>_xll.EQNXTDZ($A$1,$B45,Z$1,$B$1)</f>
        <v>1.1149</v>
      </c>
      <c r="AA45" s="55">
        <f>_xll.EQNXTDZ($A$1,$B45,AA$1,$B$1)</f>
        <v>0.35349999999999998</v>
      </c>
      <c r="AB45" s="55">
        <f>_xll.EQNXTDZ($A$1,$B45,AB$1,$B$1)</f>
        <v>-4.58E-2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1.495115</v>
      </c>
      <c r="H49" s="55">
        <f>_xll.EQNXTDZ($A$1,$B49,H$1,$B$1)</f>
        <v>1.9773837999999999</v>
      </c>
      <c r="I49" s="55">
        <f>_xll.EQNXTDZ($A$1,$B49,I$1,$B$1)</f>
        <v>2.5625996</v>
      </c>
      <c r="J49" s="55">
        <f>_xll.EQNXTDZ($A$1,$B49,J$1,$B$1)</f>
        <v>2.5835110000000001</v>
      </c>
      <c r="K49" s="55">
        <f>_xll.EQNXTDZ($A$1,$B49,K$1,$B$1)</f>
        <v>1.7183090000000001</v>
      </c>
      <c r="L49" s="55">
        <f>_xll.EQNXTDZ($A$1,$B49,L$1,$B$1)</f>
        <v>1.0291614</v>
      </c>
      <c r="M49" s="55">
        <f>_xll.EQNXTDZ($A$1,$B49,M$1,$B$1)</f>
        <v>-0.76502300000000001</v>
      </c>
      <c r="N49" s="55">
        <f>_xll.EQNXTDZ($A$1,$B49,N$1,$B$1)</f>
        <v>-0.916323</v>
      </c>
      <c r="O49" s="55">
        <f>_xll.EQNXTDZ($A$1,$B49,O$1,$B$1)</f>
        <v>-0.87985769999999996</v>
      </c>
      <c r="P49" s="55">
        <f>_xll.EQNXTDZ($A$1,$B49,P$1,$B$1)</f>
        <v>1.7677868000000001</v>
      </c>
      <c r="Q49" s="55">
        <f>_xll.EQNXTDZ($A$1,$B49,Q$1,$B$1)</f>
        <v>-1.7919</v>
      </c>
      <c r="R49" s="55">
        <f>_xll.EQNXTDZ($A$1,$B49,R$1,$B$1)</f>
        <v>-6.6828000000000003</v>
      </c>
      <c r="S49" s="55">
        <f>_xll.EQNXTDZ($A$1,$B49,S$1,$B$1)</f>
        <v>-7.4960000000000004</v>
      </c>
      <c r="T49" s="55">
        <f>_xll.EQNXTDZ($A$1,$B49,T$1,$B$1)</f>
        <v>-10.354699999999999</v>
      </c>
      <c r="U49" s="55">
        <f>_xll.EQNXTDZ($A$1,$B49,U$1,$B$1)</f>
        <v>-14.7075</v>
      </c>
      <c r="V49" s="55">
        <f>_xll.EQNXTDZ($A$1,$B49,V$1,$B$1)</f>
        <v>-5.1825000000000001</v>
      </c>
      <c r="W49" s="55">
        <f>_xll.EQNXTDZ($A$1,$B49,W$1,$B$1)</f>
        <v>-10.1235</v>
      </c>
      <c r="X49" s="55">
        <f>_xll.EQNXTDZ($A$1,$B49,X$1,$B$1)</f>
        <v>-10.1434</v>
      </c>
      <c r="Y49" s="55">
        <f>_xll.EQNXTDZ($A$1,$B49,Y$1,$B$1)</f>
        <v>-8.8916000000000004</v>
      </c>
      <c r="Z49" s="55">
        <f>_xll.EQNXTDZ($A$1,$B49,Z$1,$B$1)</f>
        <v>-12.955500000000001</v>
      </c>
      <c r="AA49" s="55">
        <f>_xll.EQNXTDZ($A$1,$B49,AA$1,$B$1)</f>
        <v>-16.533899999999999</v>
      </c>
      <c r="AB49" s="55">
        <f>_xll.EQNXTDZ($A$1,$B49,AB$1,$B$1)</f>
        <v>-19.095099999999999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75.988399999999999</v>
      </c>
      <c r="W50" s="55">
        <f>_xll.EQNXTDZ($A$1,$B50,W$1,$B$1)</f>
        <v>64.536600000000007</v>
      </c>
      <c r="X50" s="55">
        <f>_xll.EQNXTDZ($A$1,$B50,X$1,$B$1)</f>
        <v>62.365699999999997</v>
      </c>
      <c r="Y50" s="55">
        <f>_xll.EQNXTDZ($A$1,$B50,Y$1,$B$1)</f>
        <v>73.5304</v>
      </c>
      <c r="Z50" s="55">
        <f>_xll.EQNXTDZ($A$1,$B50,Z$1,$B$1)</f>
        <v>119.8245</v>
      </c>
      <c r="AA50" s="55">
        <f>_xll.EQNXTDZ($A$1,$B50,AA$1,$B$1)</f>
        <v>78.355500000000006</v>
      </c>
      <c r="AB50" s="55">
        <f>_xll.EQNXTDZ($A$1,$B50,AB$1,$B$1)</f>
        <v>48.412100000000002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23.814464000000001</v>
      </c>
      <c r="O52" s="55">
        <f>_xll.EQNXTDZ($A$1,$B52,O$1,$B$1)</f>
        <v>28.387503599999999</v>
      </c>
      <c r="P52" s="55">
        <f>_xll.EQNXTDZ($A$1,$B52,P$1,$B$1)</f>
        <v>31.7619978</v>
      </c>
      <c r="Q52" s="55">
        <f>_xll.EQNXTDZ($A$1,$B52,Q$1,$B$1)</f>
        <v>32.459600000000002</v>
      </c>
      <c r="R52" s="55">
        <f>_xll.EQNXTDZ($A$1,$B52,R$1,$B$1)</f>
        <v>32.993299999999998</v>
      </c>
      <c r="S52" s="55">
        <f>_xll.EQNXTDZ($A$1,$B52,S$1,$B$1)</f>
        <v>44.163200000000003</v>
      </c>
      <c r="T52" s="55">
        <f>_xll.EQNXTDZ($A$1,$B52,T$1,$B$1)</f>
        <v>56.707700000000003</v>
      </c>
      <c r="U52" s="55">
        <f>_xll.EQNXTDZ($A$1,$B52,U$1,$B$1)</f>
        <v>71.253900000000002</v>
      </c>
      <c r="V52" s="55">
        <f>_xll.EQNXTDZ($A$1,$B52,V$1,$B$1)</f>
        <v>73.1995</v>
      </c>
      <c r="W52" s="55">
        <f>_xll.EQNXTDZ($A$1,$B52,W$1,$B$1)</f>
        <v>74.831199999999995</v>
      </c>
      <c r="X52" s="55">
        <f>_xll.EQNXTDZ($A$1,$B52,X$1,$B$1)</f>
        <v>72.799899999999994</v>
      </c>
      <c r="Y52" s="55">
        <f>_xll.EQNXTDZ($A$1,$B52,Y$1,$B$1)</f>
        <v>70.240600000000001</v>
      </c>
      <c r="Z52" s="55">
        <f>_xll.EQNXTDZ($A$1,$B52,Z$1,$B$1)</f>
        <v>72.061099999999996</v>
      </c>
      <c r="AA52" s="55">
        <f>_xll.EQNXTDZ($A$1,$B52,AA$1,$B$1)</f>
        <v>68.755499999999998</v>
      </c>
      <c r="AB52" s="55">
        <f>_xll.EQNXTDZ($A$1,$B52,AB$1,$B$1)</f>
        <v>66.938599999999994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1.495115</v>
      </c>
      <c r="H53" s="55">
        <f>_xll.EQNXTDZ($A$1,$B53,H$1,$B$1)</f>
        <v>1.9773837999999999</v>
      </c>
      <c r="I53" s="55">
        <f>_xll.EQNXTDZ($A$1,$B53,I$1,$B$1)</f>
        <v>2.5625996</v>
      </c>
      <c r="J53" s="55">
        <f>_xll.EQNXTDZ($A$1,$B53,J$1,$B$1)</f>
        <v>2.5835110000000001</v>
      </c>
      <c r="K53" s="55">
        <f>_xll.EQNXTDZ($A$1,$B53,K$1,$B$1)</f>
        <v>1.7183090000000001</v>
      </c>
      <c r="L53" s="55">
        <f>_xll.EQNXTDZ($A$1,$B53,L$1,$B$1)</f>
        <v>1.0291614</v>
      </c>
      <c r="M53" s="55">
        <f>_xll.EQNXTDZ($A$1,$B53,M$1,$B$1)</f>
        <v>-0.76502300000000001</v>
      </c>
      <c r="N53" s="55">
        <f>_xll.EQNXTDZ($A$1,$B53,N$1,$B$1)</f>
        <v>22.898140999999999</v>
      </c>
      <c r="O53" s="55">
        <f>_xll.EQNXTDZ($A$1,$B53,O$1,$B$1)</f>
        <v>27.5076459</v>
      </c>
      <c r="P53" s="55">
        <f>_xll.EQNXTDZ($A$1,$B53,P$1,$B$1)</f>
        <v>33.529784599999999</v>
      </c>
      <c r="Q53" s="55">
        <f>_xll.EQNXTDZ($A$1,$B53,Q$1,$B$1)</f>
        <v>30.6677</v>
      </c>
      <c r="R53" s="55">
        <f>_xll.EQNXTDZ($A$1,$B53,R$1,$B$1)</f>
        <v>26.310500000000001</v>
      </c>
      <c r="S53" s="55">
        <f>_xll.EQNXTDZ($A$1,$B53,S$1,$B$1)</f>
        <v>36.667200000000001</v>
      </c>
      <c r="T53" s="55">
        <f>_xll.EQNXTDZ($A$1,$B53,T$1,$B$1)</f>
        <v>46.353000000000002</v>
      </c>
      <c r="U53" s="55">
        <f>_xll.EQNXTDZ($A$1,$B53,U$1,$B$1)</f>
        <v>56.546399999999998</v>
      </c>
      <c r="V53" s="55">
        <f>_xll.EQNXTDZ($A$1,$B53,V$1,$B$1)</f>
        <v>144.00540000000001</v>
      </c>
      <c r="W53" s="55">
        <f>_xll.EQNXTDZ($A$1,$B53,W$1,$B$1)</f>
        <v>129.24430000000001</v>
      </c>
      <c r="X53" s="55">
        <f>_xll.EQNXTDZ($A$1,$B53,X$1,$B$1)</f>
        <v>125.0222</v>
      </c>
      <c r="Y53" s="55">
        <f>_xll.EQNXTDZ($A$1,$B53,Y$1,$B$1)</f>
        <v>134.8794</v>
      </c>
      <c r="Z53" s="55">
        <f>_xll.EQNXTDZ($A$1,$B53,Z$1,$B$1)</f>
        <v>178.93010000000001</v>
      </c>
      <c r="AA53" s="55">
        <f>_xll.EQNXTDZ($A$1,$B53,AA$1,$B$1)</f>
        <v>130.5771</v>
      </c>
      <c r="AB53" s="55">
        <f>_xll.EQNXTDZ($A$1,$B53,AB$1,$B$1)</f>
        <v>96.255600000000001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4.1547086000000002</v>
      </c>
      <c r="H54" s="55">
        <f>_xll.EQNXTDZ($A$1,$B54,H$1,$B$1)</f>
        <v>10.362943700000001</v>
      </c>
      <c r="I54" s="55">
        <f>_xll.EQNXTDZ($A$1,$B54,I$1,$B$1)</f>
        <v>11.7656756</v>
      </c>
      <c r="J54" s="55">
        <f>_xll.EQNXTDZ($A$1,$B54,J$1,$B$1)</f>
        <v>20.379009199999999</v>
      </c>
      <c r="K54" s="55">
        <f>_xll.EQNXTDZ($A$1,$B54,K$1,$B$1)</f>
        <v>22.102394400000001</v>
      </c>
      <c r="L54" s="55">
        <f>_xll.EQNXTDZ($A$1,$B54,L$1,$B$1)</f>
        <v>28.4506771</v>
      </c>
      <c r="M54" s="55">
        <f>_xll.EQNXTDZ($A$1,$B54,M$1,$B$1)</f>
        <v>18.5584788</v>
      </c>
      <c r="N54" s="55">
        <f>_xll.EQNXTDZ($A$1,$B54,N$1,$B$1)</f>
        <v>13.3343556</v>
      </c>
      <c r="O54" s="55">
        <f>_xll.EQNXTDZ($A$1,$B54,O$1,$B$1)</f>
        <v>15.355964999999999</v>
      </c>
      <c r="P54" s="55">
        <f>_xll.EQNXTDZ($A$1,$B54,P$1,$B$1)</f>
        <v>15.7064457</v>
      </c>
      <c r="Q54" s="55">
        <f>_xll.EQNXTDZ($A$1,$B54,Q$1,$B$1)</f>
        <v>19.994199999999999</v>
      </c>
      <c r="R54" s="55">
        <f>_xll.EQNXTDZ($A$1,$B54,R$1,$B$1)</f>
        <v>24.560600000000001</v>
      </c>
      <c r="S54" s="55">
        <f>_xll.EQNXTDZ($A$1,$B54,S$1,$B$1)</f>
        <v>29.016400000000001</v>
      </c>
      <c r="T54" s="55">
        <f>_xll.EQNXTDZ($A$1,$B54,T$1,$B$1)</f>
        <v>34.856400000000001</v>
      </c>
      <c r="U54" s="55">
        <f>_xll.EQNXTDZ($A$1,$B54,U$1,$B$1)</f>
        <v>35.937100000000001</v>
      </c>
      <c r="V54" s="55">
        <f>_xll.EQNXTDZ($A$1,$B54,V$1,$B$1)</f>
        <v>36.082299999999996</v>
      </c>
      <c r="W54" s="55">
        <f>_xll.EQNXTDZ($A$1,$B54,W$1,$B$1)</f>
        <v>52.908200000000001</v>
      </c>
      <c r="X54" s="55">
        <f>_xll.EQNXTDZ($A$1,$B54,X$1,$B$1)</f>
        <v>48.950699999999998</v>
      </c>
      <c r="Y54" s="55">
        <f>_xll.EQNXTDZ($A$1,$B54,Y$1,$B$1)</f>
        <v>43.341299999999997</v>
      </c>
      <c r="Z54" s="55">
        <f>_xll.EQNXTDZ($A$1,$B54,Z$1,$B$1)</f>
        <v>64.596100000000007</v>
      </c>
      <c r="AA54" s="55">
        <f>_xll.EQNXTDZ($A$1,$B54,AA$1,$B$1)</f>
        <v>79.851699999999994</v>
      </c>
      <c r="AB54" s="55">
        <f>_xll.EQNXTDZ($A$1,$B54,AB$1,$B$1)</f>
        <v>90.505399999999995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1.2856426000000001</v>
      </c>
      <c r="H55" s="55">
        <f>_xll.EQNXTDZ($A$1,$B55,H$1,$B$1)</f>
        <v>3.2167553</v>
      </c>
      <c r="I55" s="55">
        <f>_xll.EQNXTDZ($A$1,$B55,I$1,$B$1)</f>
        <v>4.1259155999999999</v>
      </c>
      <c r="J55" s="55">
        <f>_xll.EQNXTDZ($A$1,$B55,J$1,$B$1)</f>
        <v>7.6710370000000001</v>
      </c>
      <c r="K55" s="55">
        <f>_xll.EQNXTDZ($A$1,$B55,K$1,$B$1)</f>
        <v>0.66359599999999996</v>
      </c>
      <c r="L55" s="55">
        <f>_xll.EQNXTDZ($A$1,$B55,L$1,$B$1)</f>
        <v>0.68894520000000004</v>
      </c>
      <c r="M55" s="55">
        <f>_xll.EQNXTDZ($A$1,$B55,M$1,$B$1)</f>
        <v>12.8012245</v>
      </c>
      <c r="N55" s="55">
        <f>_xll.EQNXTDZ($A$1,$B55,N$1,$B$1)</f>
        <v>7.0842337000000004</v>
      </c>
      <c r="O55" s="55">
        <f>_xll.EQNXTDZ($A$1,$B55,O$1,$B$1)</f>
        <v>10.6601892</v>
      </c>
      <c r="P55" s="55">
        <f>_xll.EQNXTDZ($A$1,$B55,P$1,$B$1)</f>
        <v>11.8728239</v>
      </c>
      <c r="Q55" s="55">
        <f>_xll.EQNXTDZ($A$1,$B55,Q$1,$B$1)</f>
        <v>11.4444</v>
      </c>
      <c r="R55" s="55">
        <f>_xll.EQNXTDZ($A$1,$B55,R$1,$B$1)</f>
        <v>10.5281</v>
      </c>
      <c r="S55" s="55">
        <f>_xll.EQNXTDZ($A$1,$B55,S$1,$B$1)</f>
        <v>14.027100000000001</v>
      </c>
      <c r="T55" s="55">
        <f>_xll.EQNXTDZ($A$1,$B55,T$1,$B$1)</f>
        <v>34.792900000000003</v>
      </c>
      <c r="U55" s="55">
        <f>_xll.EQNXTDZ($A$1,$B55,U$1,$B$1)</f>
        <v>52.9756</v>
      </c>
      <c r="V55" s="55">
        <f>_xll.EQNXTDZ($A$1,$B55,V$1,$B$1)</f>
        <v>55.649500000000003</v>
      </c>
      <c r="W55" s="55">
        <f>_xll.EQNXTDZ($A$1,$B55,W$1,$B$1)</f>
        <v>118.8882</v>
      </c>
      <c r="X55" s="55">
        <f>_xll.EQNXTDZ($A$1,$B55,X$1,$B$1)</f>
        <v>111.4589</v>
      </c>
      <c r="Y55" s="55">
        <f>_xll.EQNXTDZ($A$1,$B55,Y$1,$B$1)</f>
        <v>111.7908</v>
      </c>
      <c r="Z55" s="55">
        <f>_xll.EQNXTDZ($A$1,$B55,Z$1,$B$1)</f>
        <v>221.90110000000001</v>
      </c>
      <c r="AA55" s="55">
        <f>_xll.EQNXTDZ($A$1,$B55,AA$1,$B$1)</f>
        <v>220.23689999999999</v>
      </c>
      <c r="AB55" s="55">
        <f>_xll.EQNXTDZ($A$1,$B55,AB$1,$B$1)</f>
        <v>260.9735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0.66</v>
      </c>
      <c r="AB56" s="55">
        <f>_xll.EQNXTDZ($A$1,$B56,AB$1,$B$1)</f>
        <v>0.47889999999999999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15.42075</v>
      </c>
      <c r="H57" s="55">
        <f>_xll.EQNXTDZ($A$1,$B57,H$1,$B$1)</f>
        <v>38.7784403</v>
      </c>
      <c r="I57" s="55">
        <f>_xll.EQNXTDZ($A$1,$B57,I$1,$B$1)</f>
        <v>38.546682799999999</v>
      </c>
      <c r="J57" s="55">
        <f>_xll.EQNXTDZ($A$1,$B57,J$1,$B$1)</f>
        <v>69.601454000000004</v>
      </c>
      <c r="K57" s="55">
        <f>_xll.EQNXTDZ($A$1,$B57,K$1,$B$1)</f>
        <v>84.387669399999993</v>
      </c>
      <c r="L57" s="55">
        <f>_xll.EQNXTDZ($A$1,$B57,L$1,$B$1)</f>
        <v>32.374070099999997</v>
      </c>
      <c r="M57" s="55">
        <f>_xll.EQNXTDZ($A$1,$B57,M$1,$B$1)</f>
        <v>147.47386850000001</v>
      </c>
      <c r="N57" s="55">
        <f>_xll.EQNXTDZ($A$1,$B57,N$1,$B$1)</f>
        <v>18.084553700000001</v>
      </c>
      <c r="O57" s="55">
        <f>_xll.EQNXTDZ($A$1,$B57,O$1,$B$1)</f>
        <v>5.5051277000000001</v>
      </c>
      <c r="P57" s="55">
        <f>_xll.EQNXTDZ($A$1,$B57,P$1,$B$1)</f>
        <v>22.7387446</v>
      </c>
      <c r="Q57" s="55">
        <f>_xll.EQNXTDZ($A$1,$B57,Q$1,$B$1)</f>
        <v>18.214600000000001</v>
      </c>
      <c r="R57" s="55">
        <f>_xll.EQNXTDZ($A$1,$B57,R$1,$B$1)</f>
        <v>6.8513000000000002</v>
      </c>
      <c r="S57" s="55">
        <f>_xll.EQNXTDZ($A$1,$B57,S$1,$B$1)</f>
        <v>228.02170000000001</v>
      </c>
      <c r="T57" s="55">
        <f>_xll.EQNXTDZ($A$1,$B57,T$1,$B$1)</f>
        <v>315.93810000000002</v>
      </c>
      <c r="U57" s="55">
        <f>_xll.EQNXTDZ($A$1,$B57,U$1,$B$1)</f>
        <v>401.81290000000001</v>
      </c>
      <c r="V57" s="55">
        <f>_xll.EQNXTDZ($A$1,$B57,V$1,$B$1)</f>
        <v>460.33670000000001</v>
      </c>
      <c r="W57" s="55">
        <f>_xll.EQNXTDZ($A$1,$B57,W$1,$B$1)</f>
        <v>520.26760000000002</v>
      </c>
      <c r="X57" s="55">
        <f>_xll.EQNXTDZ($A$1,$B57,X$1,$B$1)</f>
        <v>616.57839999999999</v>
      </c>
      <c r="Y57" s="55">
        <f>_xll.EQNXTDZ($A$1,$B57,Y$1,$B$1)</f>
        <v>14.8773</v>
      </c>
      <c r="Z57" s="55">
        <f>_xll.EQNXTDZ($A$1,$B57,Z$1,$B$1)</f>
        <v>19.439900000000002</v>
      </c>
      <c r="AA57" s="55">
        <f>_xll.EQNXTDZ($A$1,$B57,AA$1,$B$1)</f>
        <v>728.11360000000002</v>
      </c>
      <c r="AB57" s="55">
        <f>_xll.EQNXTDZ($A$1,$B57,AB$1,$B$1)</f>
        <v>718.75549999999998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20.8611012</v>
      </c>
      <c r="H59" s="55">
        <f>_xll.EQNXTDZ($A$1,$B59,H$1,$B$1)</f>
        <v>52.358139299999998</v>
      </c>
      <c r="I59" s="55">
        <f>_xll.EQNXTDZ($A$1,$B59,I$1,$B$1)</f>
        <v>54.438274</v>
      </c>
      <c r="J59" s="55">
        <f>_xll.EQNXTDZ($A$1,$B59,J$1,$B$1)</f>
        <v>97.651500200000001</v>
      </c>
      <c r="K59" s="55">
        <f>_xll.EQNXTDZ($A$1,$B59,K$1,$B$1)</f>
        <v>107.1536598</v>
      </c>
      <c r="L59" s="55">
        <f>_xll.EQNXTDZ($A$1,$B59,L$1,$B$1)</f>
        <v>61.513692399999996</v>
      </c>
      <c r="M59" s="55">
        <f>_xll.EQNXTDZ($A$1,$B59,M$1,$B$1)</f>
        <v>178.83357179999999</v>
      </c>
      <c r="N59" s="55">
        <f>_xll.EQNXTDZ($A$1,$B59,N$1,$B$1)</f>
        <v>38.503143000000001</v>
      </c>
      <c r="O59" s="55">
        <f>_xll.EQNXTDZ($A$1,$B59,O$1,$B$1)</f>
        <v>31.521281900000002</v>
      </c>
      <c r="P59" s="55">
        <f>_xll.EQNXTDZ($A$1,$B59,P$1,$B$1)</f>
        <v>50.3180142</v>
      </c>
      <c r="Q59" s="55">
        <f>_xll.EQNXTDZ($A$1,$B59,Q$1,$B$1)</f>
        <v>49.653199999999998</v>
      </c>
      <c r="R59" s="55">
        <f>_xll.EQNXTDZ($A$1,$B59,R$1,$B$1)</f>
        <v>41.94</v>
      </c>
      <c r="S59" s="55">
        <f>_xll.EQNXTDZ($A$1,$B59,S$1,$B$1)</f>
        <v>271.0652</v>
      </c>
      <c r="T59" s="55">
        <f>_xll.EQNXTDZ($A$1,$B59,T$1,$B$1)</f>
        <v>385.5874</v>
      </c>
      <c r="U59" s="55">
        <f>_xll.EQNXTDZ($A$1,$B59,U$1,$B$1)</f>
        <v>490.72559999999999</v>
      </c>
      <c r="V59" s="55">
        <f>_xll.EQNXTDZ($A$1,$B59,V$1,$B$1)</f>
        <v>552.06849999999997</v>
      </c>
      <c r="W59" s="55">
        <f>_xll.EQNXTDZ($A$1,$B59,W$1,$B$1)</f>
        <v>692.06399999999996</v>
      </c>
      <c r="X59" s="55">
        <f>_xll.EQNXTDZ($A$1,$B59,X$1,$B$1)</f>
        <v>776.98800000000006</v>
      </c>
      <c r="Y59" s="55">
        <f>_xll.EQNXTDZ($A$1,$B59,Y$1,$B$1)</f>
        <v>170.0094</v>
      </c>
      <c r="Z59" s="55">
        <f>_xll.EQNXTDZ($A$1,$B59,Z$1,$B$1)</f>
        <v>305.93709999999999</v>
      </c>
      <c r="AA59" s="55">
        <f>_xll.EQNXTDZ($A$1,$B59,AA$1,$B$1)</f>
        <v>1028.8622</v>
      </c>
      <c r="AB59" s="55">
        <f>_xll.EQNXTDZ($A$1,$B59,AB$1,$B$1)</f>
        <v>1070.7132999999999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70.206956599999998</v>
      </c>
      <c r="H60" s="55">
        <f>_xll.EQNXTDZ($A$1,$B60,H$1,$B$1)</f>
        <v>121.3578193</v>
      </c>
      <c r="I60" s="55">
        <f>_xll.EQNXTDZ($A$1,$B60,I$1,$B$1)</f>
        <v>158.90233649999999</v>
      </c>
      <c r="J60" s="55">
        <f>_xll.EQNXTDZ($A$1,$B60,J$1,$B$1)</f>
        <v>261.30785650000001</v>
      </c>
      <c r="K60" s="55">
        <f>_xll.EQNXTDZ($A$1,$B60,K$1,$B$1)</f>
        <v>286.4079835</v>
      </c>
      <c r="L60" s="55">
        <f>_xll.EQNXTDZ($A$1,$B60,L$1,$B$1)</f>
        <v>253.65873400000001</v>
      </c>
      <c r="M60" s="55">
        <f>_xll.EQNXTDZ($A$1,$B60,M$1,$B$1)</f>
        <v>376.92594329999997</v>
      </c>
      <c r="N60" s="55">
        <f>_xll.EQNXTDZ($A$1,$B60,N$1,$B$1)</f>
        <v>278.80153969999998</v>
      </c>
      <c r="O60" s="55">
        <f>_xll.EQNXTDZ($A$1,$B60,O$1,$B$1)</f>
        <v>297.73469490000002</v>
      </c>
      <c r="P60" s="55">
        <f>_xll.EQNXTDZ($A$1,$B60,P$1,$B$1)</f>
        <v>364.67507749999999</v>
      </c>
      <c r="Q60" s="55">
        <f>_xll.EQNXTDZ($A$1,$B60,Q$1,$B$1)</f>
        <v>381.73140000000001</v>
      </c>
      <c r="R60" s="55">
        <f>_xll.EQNXTDZ($A$1,$B60,R$1,$B$1)</f>
        <v>439.71780000000001</v>
      </c>
      <c r="S60" s="55">
        <f>_xll.EQNXTDZ($A$1,$B60,S$1,$B$1)</f>
        <v>731.46659999999997</v>
      </c>
      <c r="T60" s="55">
        <f>_xll.EQNXTDZ($A$1,$B60,T$1,$B$1)</f>
        <v>889.47370000000001</v>
      </c>
      <c r="U60" s="55">
        <f>_xll.EQNXTDZ($A$1,$B60,U$1,$B$1)</f>
        <v>1007.3142</v>
      </c>
      <c r="V60" s="55">
        <f>_xll.EQNXTDZ($A$1,$B60,V$1,$B$1)</f>
        <v>1244.9303</v>
      </c>
      <c r="W60" s="55">
        <f>_xll.EQNXTDZ($A$1,$B60,W$1,$B$1)</f>
        <v>1337.18</v>
      </c>
      <c r="X60" s="55">
        <f>_xll.EQNXTDZ($A$1,$B60,X$1,$B$1)</f>
        <v>1549.6479999999999</v>
      </c>
      <c r="Y60" s="55">
        <f>_xll.EQNXTDZ($A$1,$B60,Y$1,$B$1)</f>
        <v>1087.3607999999999</v>
      </c>
      <c r="Z60" s="55">
        <f>_xll.EQNXTDZ($A$1,$B60,Z$1,$B$1)</f>
        <v>1400.5150000000001</v>
      </c>
      <c r="AA60" s="55">
        <f>_xll.EQNXTDZ($A$1,$B60,AA$1,$B$1)</f>
        <v>2278.3465999999999</v>
      </c>
      <c r="AB60" s="55">
        <f>_xll.EQNXTDZ($A$1,$B60,AB$1,$B$1)</f>
        <v>2487.8377999999998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30.315043899999999</v>
      </c>
      <c r="H62" s="55">
        <f>_xll.EQNXTDZ($A$1,$B62,H$1,$B$1)</f>
        <v>42.564519900000001</v>
      </c>
      <c r="I62" s="55">
        <f>_xll.EQNXTDZ($A$1,$B62,I$1,$B$1)</f>
        <v>54.9279352</v>
      </c>
      <c r="J62" s="55">
        <f>_xll.EQNXTDZ($A$1,$B62,J$1,$B$1)</f>
        <v>60.748136299999999</v>
      </c>
      <c r="K62" s="55">
        <f>_xll.EQNXTDZ($A$1,$B62,K$1,$B$1)</f>
        <v>67.176483599999997</v>
      </c>
      <c r="L62" s="55">
        <f>_xll.EQNXTDZ($A$1,$B62,L$1,$B$1)</f>
        <v>68.658255199999999</v>
      </c>
      <c r="M62" s="55">
        <f>_xll.EQNXTDZ($A$1,$B62,M$1,$B$1)</f>
        <v>69.782442000000003</v>
      </c>
      <c r="N62" s="55">
        <f>_xll.EQNXTDZ($A$1,$B62,N$1,$B$1)</f>
        <v>77.176731000000004</v>
      </c>
      <c r="O62" s="55">
        <f>_xll.EQNXTDZ($A$1,$B62,O$1,$B$1)</f>
        <v>79.796287699999993</v>
      </c>
      <c r="P62" s="55">
        <f>_xll.EQNXTDZ($A$1,$B62,P$1,$B$1)</f>
        <v>215.94628779999999</v>
      </c>
      <c r="Q62" s="55">
        <f>_xll.EQNXTDZ($A$1,$B62,Q$1,$B$1)</f>
        <v>258.63339999999999</v>
      </c>
      <c r="R62" s="55">
        <f>_xll.EQNXTDZ($A$1,$B62,R$1,$B$1)</f>
        <v>260.70999999999998</v>
      </c>
      <c r="S62" s="55">
        <f>_xll.EQNXTDZ($A$1,$B62,S$1,$B$1)</f>
        <v>278.65839999999997</v>
      </c>
      <c r="T62" s="55">
        <f>_xll.EQNXTDZ($A$1,$B62,T$1,$B$1)</f>
        <v>318.65100000000001</v>
      </c>
      <c r="U62" s="55">
        <f>_xll.EQNXTDZ($A$1,$B62,U$1,$B$1)</f>
        <v>348.54379999999998</v>
      </c>
      <c r="V62" s="55">
        <f>_xll.EQNXTDZ($A$1,$B62,V$1,$B$1)</f>
        <v>481.53449999999998</v>
      </c>
      <c r="W62" s="55">
        <f>_xll.EQNXTDZ($A$1,$B62,W$1,$B$1)</f>
        <v>487.88080000000002</v>
      </c>
      <c r="X62" s="55">
        <f>_xll.EQNXTDZ($A$1,$B62,X$1,$B$1)</f>
        <v>566.93190000000004</v>
      </c>
      <c r="Y62" s="55">
        <f>_xll.EQNXTDZ($A$1,$B62,Y$1,$B$1)</f>
        <v>626.51969999999994</v>
      </c>
      <c r="Z62" s="55">
        <f>_xll.EQNXTDZ($A$1,$B62,Z$1,$B$1)</f>
        <v>735.00530000000003</v>
      </c>
      <c r="AA62" s="55">
        <f>_xll.EQNXTDZ($A$1,$B62,AA$1,$B$1)</f>
        <v>838.08579999999995</v>
      </c>
      <c r="AB62" s="55">
        <f>_xll.EQNXTDZ($A$1,$B62,AB$1,$B$1)</f>
        <v>933.44910000000004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12.6144769</v>
      </c>
      <c r="H63" s="55">
        <f>_xll.EQNXTDZ($A$1,$B63,H$1,$B$1)</f>
        <v>18.211509400000001</v>
      </c>
      <c r="I63" s="55">
        <f>_xll.EQNXTDZ($A$1,$B63,I$1,$B$1)</f>
        <v>26.573333600000002</v>
      </c>
      <c r="J63" s="55">
        <f>_xll.EQNXTDZ($A$1,$B63,J$1,$B$1)</f>
        <v>30.654421899999999</v>
      </c>
      <c r="K63" s="55">
        <f>_xll.EQNXTDZ($A$1,$B63,K$1,$B$1)</f>
        <v>40.389719599999999</v>
      </c>
      <c r="L63" s="55">
        <f>_xll.EQNXTDZ($A$1,$B63,L$1,$B$1)</f>
        <v>37.433155300000003</v>
      </c>
      <c r="M63" s="55">
        <f>_xll.EQNXTDZ($A$1,$B63,M$1,$B$1)</f>
        <v>42.2175978</v>
      </c>
      <c r="N63" s="55">
        <f>_xll.EQNXTDZ($A$1,$B63,N$1,$B$1)</f>
        <v>49.004358799999999</v>
      </c>
      <c r="O63" s="55">
        <f>_xll.EQNXTDZ($A$1,$B63,O$1,$B$1)</f>
        <v>52.182895600000002</v>
      </c>
      <c r="P63" s="55">
        <f>_xll.EQNXTDZ($A$1,$B63,P$1,$B$1)</f>
        <v>47.910107199999999</v>
      </c>
      <c r="Q63" s="55">
        <f>_xll.EQNXTDZ($A$1,$B63,Q$1,$B$1)</f>
        <v>61.012599999999999</v>
      </c>
      <c r="R63" s="55">
        <f>_xll.EQNXTDZ($A$1,$B63,R$1,$B$1)</f>
        <v>68.859300000000005</v>
      </c>
      <c r="S63" s="55">
        <f>_xll.EQNXTDZ($A$1,$B63,S$1,$B$1)</f>
        <v>81.876000000000005</v>
      </c>
      <c r="T63" s="55">
        <f>_xll.EQNXTDZ($A$1,$B63,T$1,$B$1)</f>
        <v>102.0373</v>
      </c>
      <c r="U63" s="55">
        <f>_xll.EQNXTDZ($A$1,$B63,U$1,$B$1)</f>
        <v>125.6832</v>
      </c>
      <c r="V63" s="55">
        <f>_xll.EQNXTDZ($A$1,$B63,V$1,$B$1)</f>
        <v>172.5412</v>
      </c>
      <c r="W63" s="55">
        <f>_xll.EQNXTDZ($A$1,$B63,W$1,$B$1)</f>
        <v>203.86519999999999</v>
      </c>
      <c r="X63" s="55">
        <f>_xll.EQNXTDZ($A$1,$B63,X$1,$B$1)</f>
        <v>252.8409</v>
      </c>
      <c r="Y63" s="55">
        <f>_xll.EQNXTDZ($A$1,$B63,Y$1,$B$1)</f>
        <v>293.99439999999998</v>
      </c>
      <c r="Z63" s="55">
        <f>_xll.EQNXTDZ($A$1,$B63,Z$1,$B$1)</f>
        <v>359.18130000000002</v>
      </c>
      <c r="AA63" s="55">
        <f>_xll.EQNXTDZ($A$1,$B63,AA$1,$B$1)</f>
        <v>432.00470000000001</v>
      </c>
      <c r="AB63" s="55">
        <f>_xll.EQNXTDZ($A$1,$B63,AB$1,$B$1)</f>
        <v>528.00969999999995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17.700566999999999</v>
      </c>
      <c r="H65" s="55">
        <f>_xll.EQNXTDZ($A$1,$B65,H$1,$B$1)</f>
        <v>24.3530105</v>
      </c>
      <c r="I65" s="55">
        <f>_xll.EQNXTDZ($A$1,$B65,I$1,$B$1)</f>
        <v>28.354601599999999</v>
      </c>
      <c r="J65" s="55">
        <f>_xll.EQNXTDZ($A$1,$B65,J$1,$B$1)</f>
        <v>30.0937144</v>
      </c>
      <c r="K65" s="55">
        <f>_xll.EQNXTDZ($A$1,$B65,K$1,$B$1)</f>
        <v>26.786764000000002</v>
      </c>
      <c r="L65" s="55">
        <f>_xll.EQNXTDZ($A$1,$B65,L$1,$B$1)</f>
        <v>31.2250999</v>
      </c>
      <c r="M65" s="55">
        <f>_xll.EQNXTDZ($A$1,$B65,M$1,$B$1)</f>
        <v>27.5648442</v>
      </c>
      <c r="N65" s="55">
        <f>_xll.EQNXTDZ($A$1,$B65,N$1,$B$1)</f>
        <v>28.172372200000002</v>
      </c>
      <c r="O65" s="55">
        <f>_xll.EQNXTDZ($A$1,$B65,O$1,$B$1)</f>
        <v>27.613392099999999</v>
      </c>
      <c r="P65" s="55">
        <f>_xll.EQNXTDZ($A$1,$B65,P$1,$B$1)</f>
        <v>168.03618059999999</v>
      </c>
      <c r="Q65" s="55">
        <f>_xll.EQNXTDZ($A$1,$B65,Q$1,$B$1)</f>
        <v>197.6208</v>
      </c>
      <c r="R65" s="55">
        <f>_xll.EQNXTDZ($A$1,$B65,R$1,$B$1)</f>
        <v>191.85069999999999</v>
      </c>
      <c r="S65" s="55">
        <f>_xll.EQNXTDZ($A$1,$B65,S$1,$B$1)</f>
        <v>196.7824</v>
      </c>
      <c r="T65" s="55">
        <f>_xll.EQNXTDZ($A$1,$B65,T$1,$B$1)</f>
        <v>216.61369999999999</v>
      </c>
      <c r="U65" s="55">
        <f>_xll.EQNXTDZ($A$1,$B65,U$1,$B$1)</f>
        <v>222.86060000000001</v>
      </c>
      <c r="V65" s="55">
        <f>_xll.EQNXTDZ($A$1,$B65,V$1,$B$1)</f>
        <v>308.99329999999998</v>
      </c>
      <c r="W65" s="55">
        <f>_xll.EQNXTDZ($A$1,$B65,W$1,$B$1)</f>
        <v>284.01560000000001</v>
      </c>
      <c r="X65" s="55">
        <f>_xll.EQNXTDZ($A$1,$B65,X$1,$B$1)</f>
        <v>314.09100000000001</v>
      </c>
      <c r="Y65" s="55">
        <f>_xll.EQNXTDZ($A$1,$B65,Y$1,$B$1)</f>
        <v>332.52530000000002</v>
      </c>
      <c r="Z65" s="55">
        <f>_xll.EQNXTDZ($A$1,$B65,Z$1,$B$1)</f>
        <v>375.82400000000001</v>
      </c>
      <c r="AA65" s="55">
        <f>_xll.EQNXTDZ($A$1,$B65,AA$1,$B$1)</f>
        <v>406.08109999999999</v>
      </c>
      <c r="AB65" s="55">
        <f>_xll.EQNXTDZ($A$1,$B65,AB$1,$B$1)</f>
        <v>405.43939999999998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0.16339999999999999</v>
      </c>
      <c r="Y67" s="55">
        <f>_xll.EQNXTDZ($A$1,$B67,Y$1,$B$1)</f>
        <v>0.75600000000000001</v>
      </c>
      <c r="Z67" s="55">
        <f>_xll.EQNXTDZ($A$1,$B67,Z$1,$B$1)</f>
        <v>2.1764000000000001</v>
      </c>
      <c r="AA67" s="55">
        <f>_xll.EQNXTDZ($A$1,$B67,AA$1,$B$1)</f>
        <v>5.2064000000000004</v>
      </c>
      <c r="AB67" s="55">
        <f>_xll.EQNXTDZ($A$1,$B67,AB$1,$B$1)</f>
        <v>0.87690000000000001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8.0536999999999992</v>
      </c>
      <c r="Z68" s="55">
        <f>_xll.EQNXTDZ($A$1,$B68,Z$1,$B$1)</f>
        <v>10.893800000000001</v>
      </c>
      <c r="AA68" s="55">
        <f>_xll.EQNXTDZ($A$1,$B68,AA$1,$B$1)</f>
        <v>38.449800000000003</v>
      </c>
      <c r="AB68" s="55">
        <f>_xll.EQNXTDZ($A$1,$B68,AB$1,$B$1)</f>
        <v>87.854100000000003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6.59E-2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4.9259999999999998E-3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40.936608700000001</v>
      </c>
      <c r="O71" s="55">
        <f>_xll.EQNXTDZ($A$1,$B71,O$1,$B$1)</f>
        <v>40.932123300000001</v>
      </c>
      <c r="P71" s="55">
        <f>_xll.EQNXTDZ($A$1,$B71,P$1,$B$1)</f>
        <v>1.5753621</v>
      </c>
      <c r="Q71" s="55">
        <f>_xll.EQNXTDZ($A$1,$B71,Q$1,$B$1)</f>
        <v>1.5713999999999999</v>
      </c>
      <c r="R71" s="55">
        <f>_xll.EQNXTDZ($A$1,$B71,R$1,$B$1)</f>
        <v>1.6547000000000001</v>
      </c>
      <c r="S71" s="55">
        <f>_xll.EQNXTDZ($A$1,$B71,S$1,$B$1)</f>
        <v>2.0590000000000002</v>
      </c>
      <c r="T71" s="55">
        <f>_xll.EQNXTDZ($A$1,$B71,T$1,$B$1)</f>
        <v>2.0327000000000002</v>
      </c>
      <c r="U71" s="55">
        <f>_xll.EQNXTDZ($A$1,$B71,U$1,$B$1)</f>
        <v>2.0407999999999999</v>
      </c>
      <c r="V71" s="55">
        <f>_xll.EQNXTDZ($A$1,$B71,V$1,$B$1)</f>
        <v>0.53300000000000003</v>
      </c>
      <c r="W71" s="55">
        <f>_xll.EQNXTDZ($A$1,$B71,W$1,$B$1)</f>
        <v>0.53069999999999995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5.0000000000000001E-3</v>
      </c>
      <c r="AB71" s="55">
        <f>_xll.EQNXTDZ($A$1,$B71,AB$1,$B$1)</f>
        <v>8.7999999999999995E-2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8.6325670999999993</v>
      </c>
      <c r="O72" s="55">
        <f>_xll.EQNXTDZ($A$1,$B72,O$1,$B$1)</f>
        <v>6.0960467999999999</v>
      </c>
      <c r="P72" s="55">
        <f>_xll.EQNXTDZ($A$1,$B72,P$1,$B$1)</f>
        <v>11.6594213</v>
      </c>
      <c r="Q72" s="55">
        <f>_xll.EQNXTDZ($A$1,$B72,Q$1,$B$1)</f>
        <v>9.3963000000000001</v>
      </c>
      <c r="R72" s="55">
        <f>_xll.EQNXTDZ($A$1,$B72,R$1,$B$1)</f>
        <v>10.8919</v>
      </c>
      <c r="S72" s="55">
        <f>_xll.EQNXTDZ($A$1,$B72,S$1,$B$1)</f>
        <v>10.0724</v>
      </c>
      <c r="T72" s="55">
        <f>_xll.EQNXTDZ($A$1,$B72,T$1,$B$1)</f>
        <v>15.7197</v>
      </c>
      <c r="U72" s="55">
        <f>_xll.EQNXTDZ($A$1,$B72,U$1,$B$1)</f>
        <v>12.738300000000001</v>
      </c>
      <c r="V72" s="55">
        <f>_xll.EQNXTDZ($A$1,$B72,V$1,$B$1)</f>
        <v>12.8108</v>
      </c>
      <c r="W72" s="55">
        <f>_xll.EQNXTDZ($A$1,$B72,W$1,$B$1)</f>
        <v>13.429600000000001</v>
      </c>
      <c r="X72" s="55">
        <f>_xll.EQNXTDZ($A$1,$B72,X$1,$B$1)</f>
        <v>13.487299999999999</v>
      </c>
      <c r="Y72" s="55">
        <f>_xll.EQNXTDZ($A$1,$B72,Y$1,$B$1)</f>
        <v>14.391500000000001</v>
      </c>
      <c r="Z72" s="55">
        <f>_xll.EQNXTDZ($A$1,$B72,Z$1,$B$1)</f>
        <v>16.821200000000001</v>
      </c>
      <c r="AA72" s="55">
        <f>_xll.EQNXTDZ($A$1,$B72,AA$1,$B$1)</f>
        <v>17.6723</v>
      </c>
      <c r="AB72" s="55">
        <f>_xll.EQNXTDZ($A$1,$B72,AB$1,$B$1)</f>
        <v>18.046299999999999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0.16159190000000001</v>
      </c>
      <c r="P73" s="55">
        <f>_xll.EQNXTDZ($A$1,$B73,P$1,$B$1)</f>
        <v>1.9995961</v>
      </c>
      <c r="Q73" s="55">
        <f>_xll.EQNXTDZ($A$1,$B73,Q$1,$B$1)</f>
        <v>1.0237000000000001</v>
      </c>
      <c r="R73" s="55">
        <f>_xll.EQNXTDZ($A$1,$B73,R$1,$B$1)</f>
        <v>0.49490000000000001</v>
      </c>
      <c r="S73" s="55">
        <f>_xll.EQNXTDZ($A$1,$B73,S$1,$B$1)</f>
        <v>3.2281</v>
      </c>
      <c r="T73" s="55">
        <f>_xll.EQNXTDZ($A$1,$B73,T$1,$B$1)</f>
        <v>8.3361999999999998</v>
      </c>
      <c r="U73" s="55">
        <f>_xll.EQNXTDZ($A$1,$B73,U$1,$B$1)</f>
        <v>4.2817999999999996</v>
      </c>
      <c r="V73" s="55">
        <f>_xll.EQNXTDZ($A$1,$B73,V$1,$B$1)</f>
        <v>0.48770000000000002</v>
      </c>
      <c r="W73" s="55">
        <f>_xll.EQNXTDZ($A$1,$B73,W$1,$B$1)</f>
        <v>0.53010000000000002</v>
      </c>
      <c r="X73" s="55">
        <f>_xll.EQNXTDZ($A$1,$B73,X$1,$B$1)</f>
        <v>0.51939999999999997</v>
      </c>
      <c r="Y73" s="55">
        <f>_xll.EQNXTDZ($A$1,$B73,Y$1,$B$1)</f>
        <v>1.2558</v>
      </c>
      <c r="Z73" s="55">
        <f>_xll.EQNXTDZ($A$1,$B73,Z$1,$B$1)</f>
        <v>0.62870000000000004</v>
      </c>
      <c r="AA73" s="55">
        <f>_xll.EQNXTDZ($A$1,$B73,AA$1,$B$1)</f>
        <v>0.58760000000000001</v>
      </c>
      <c r="AB73" s="55">
        <f>_xll.EQNXTDZ($A$1,$B73,AB$1,$B$1)</f>
        <v>0.53680000000000005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17.705493000000001</v>
      </c>
      <c r="H74" s="55">
        <f>_xll.EQNXTDZ($A$1,$B74,H$1,$B$1)</f>
        <v>24.3530105</v>
      </c>
      <c r="I74" s="55">
        <f>_xll.EQNXTDZ($A$1,$B74,I$1,$B$1)</f>
        <v>28.354601599999999</v>
      </c>
      <c r="J74" s="55">
        <f>_xll.EQNXTDZ($A$1,$B74,J$1,$B$1)</f>
        <v>30.0937144</v>
      </c>
      <c r="K74" s="55">
        <f>_xll.EQNXTDZ($A$1,$B74,K$1,$B$1)</f>
        <v>26.786764000000002</v>
      </c>
      <c r="L74" s="55">
        <f>_xll.EQNXTDZ($A$1,$B74,L$1,$B$1)</f>
        <v>31.2250999</v>
      </c>
      <c r="M74" s="55">
        <f>_xll.EQNXTDZ($A$1,$B74,M$1,$B$1)</f>
        <v>27.5648442</v>
      </c>
      <c r="N74" s="55">
        <f>_xll.EQNXTDZ($A$1,$B74,N$1,$B$1)</f>
        <v>77.741547999999995</v>
      </c>
      <c r="O74" s="55">
        <f>_xll.EQNXTDZ($A$1,$B74,O$1,$B$1)</f>
        <v>74.8031541</v>
      </c>
      <c r="P74" s="55">
        <f>_xll.EQNXTDZ($A$1,$B74,P$1,$B$1)</f>
        <v>183.27056010000001</v>
      </c>
      <c r="Q74" s="55">
        <f>_xll.EQNXTDZ($A$1,$B74,Q$1,$B$1)</f>
        <v>209.6122</v>
      </c>
      <c r="R74" s="55">
        <f>_xll.EQNXTDZ($A$1,$B74,R$1,$B$1)</f>
        <v>204.8922</v>
      </c>
      <c r="S74" s="55">
        <f>_xll.EQNXTDZ($A$1,$B74,S$1,$B$1)</f>
        <v>212.20779999999999</v>
      </c>
      <c r="T74" s="55">
        <f>_xll.EQNXTDZ($A$1,$B74,T$1,$B$1)</f>
        <v>242.70230000000001</v>
      </c>
      <c r="U74" s="55">
        <f>_xll.EQNXTDZ($A$1,$B74,U$1,$B$1)</f>
        <v>241.92150000000001</v>
      </c>
      <c r="V74" s="55">
        <f>_xll.EQNXTDZ($A$1,$B74,V$1,$B$1)</f>
        <v>322.82479999999998</v>
      </c>
      <c r="W74" s="55">
        <f>_xll.EQNXTDZ($A$1,$B74,W$1,$B$1)</f>
        <v>298.50599999999997</v>
      </c>
      <c r="X74" s="55">
        <f>_xll.EQNXTDZ($A$1,$B74,X$1,$B$1)</f>
        <v>328.2611</v>
      </c>
      <c r="Y74" s="55">
        <f>_xll.EQNXTDZ($A$1,$B74,Y$1,$B$1)</f>
        <v>356.98230000000001</v>
      </c>
      <c r="Z74" s="55">
        <f>_xll.EQNXTDZ($A$1,$B74,Z$1,$B$1)</f>
        <v>406.34410000000003</v>
      </c>
      <c r="AA74" s="55">
        <f>_xll.EQNXTDZ($A$1,$B74,AA$1,$B$1)</f>
        <v>468.00220000000002</v>
      </c>
      <c r="AB74" s="55">
        <f>_xll.EQNXTDZ($A$1,$B74,AB$1,$B$1)</f>
        <v>512.8415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24.561744300000001</v>
      </c>
      <c r="H75" s="55">
        <f>_xll.EQNXTDZ($A$1,$B75,H$1,$B$1)</f>
        <v>50.153057799999999</v>
      </c>
      <c r="I75" s="55">
        <f>_xll.EQNXTDZ($A$1,$B75,I$1,$B$1)</f>
        <v>68.915374400000005</v>
      </c>
      <c r="J75" s="55">
        <f>_xll.EQNXTDZ($A$1,$B75,J$1,$B$1)</f>
        <v>129.61822989999999</v>
      </c>
      <c r="K75" s="55">
        <f>_xll.EQNXTDZ($A$1,$B75,K$1,$B$1)</f>
        <v>120.6795723</v>
      </c>
      <c r="L75" s="55">
        <f>_xll.EQNXTDZ($A$1,$B75,L$1,$B$1)</f>
        <v>135.78183189999999</v>
      </c>
      <c r="M75" s="55">
        <f>_xll.EQNXTDZ($A$1,$B75,M$1,$B$1)</f>
        <v>141.41964999999999</v>
      </c>
      <c r="N75" s="55">
        <f>_xll.EQNXTDZ($A$1,$B75,N$1,$B$1)</f>
        <v>143.24112980000001</v>
      </c>
      <c r="O75" s="55">
        <f>_xll.EQNXTDZ($A$1,$B75,O$1,$B$1)</f>
        <v>168.32736370000001</v>
      </c>
      <c r="P75" s="55">
        <f>_xll.EQNXTDZ($A$1,$B75,P$1,$B$1)</f>
        <v>104.4715064</v>
      </c>
      <c r="Q75" s="55">
        <f>_xll.EQNXTDZ($A$1,$B75,Q$1,$B$1)</f>
        <v>103.7328</v>
      </c>
      <c r="R75" s="55">
        <f>_xll.EQNXTDZ($A$1,$B75,R$1,$B$1)</f>
        <v>175.8331</v>
      </c>
      <c r="S75" s="55">
        <f>_xll.EQNXTDZ($A$1,$B75,S$1,$B$1)</f>
        <v>220.2028</v>
      </c>
      <c r="T75" s="55">
        <f>_xll.EQNXTDZ($A$1,$B75,T$1,$B$1)</f>
        <v>216.1311</v>
      </c>
      <c r="U75" s="55">
        <f>_xll.EQNXTDZ($A$1,$B75,U$1,$B$1)</f>
        <v>230.49760000000001</v>
      </c>
      <c r="V75" s="55">
        <f>_xll.EQNXTDZ($A$1,$B75,V$1,$B$1)</f>
        <v>305.60500000000002</v>
      </c>
      <c r="W75" s="55">
        <f>_xll.EQNXTDZ($A$1,$B75,W$1,$B$1)</f>
        <v>235.53659999999999</v>
      </c>
      <c r="X75" s="55">
        <f>_xll.EQNXTDZ($A$1,$B75,X$1,$B$1)</f>
        <v>316.9477</v>
      </c>
      <c r="Y75" s="55">
        <f>_xll.EQNXTDZ($A$1,$B75,Y$1,$B$1)</f>
        <v>329.83440000000002</v>
      </c>
      <c r="Z75" s="55">
        <f>_xll.EQNXTDZ($A$1,$B75,Z$1,$B$1)</f>
        <v>406.55029999999999</v>
      </c>
      <c r="AA75" s="55">
        <f>_xll.EQNXTDZ($A$1,$B75,AA$1,$B$1)</f>
        <v>424.5634</v>
      </c>
      <c r="AB75" s="55">
        <f>_xll.EQNXTDZ($A$1,$B75,AB$1,$B$1)</f>
        <v>445.43209999999999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9.3887178000000002</v>
      </c>
      <c r="H77" s="55">
        <f>_xll.EQNXTDZ($A$1,$B77,H$1,$B$1)</f>
        <v>18.467924199999999</v>
      </c>
      <c r="I77" s="55">
        <f>_xll.EQNXTDZ($A$1,$B77,I$1,$B$1)</f>
        <v>21.262044199999998</v>
      </c>
      <c r="J77" s="55">
        <f>_xll.EQNXTDZ($A$1,$B77,J$1,$B$1)</f>
        <v>35.7290803</v>
      </c>
      <c r="K77" s="55">
        <f>_xll.EQNXTDZ($A$1,$B77,K$1,$B$1)</f>
        <v>22.965274999999998</v>
      </c>
      <c r="L77" s="55">
        <f>_xll.EQNXTDZ($A$1,$B77,L$1,$B$1)</f>
        <v>36.847988700000002</v>
      </c>
      <c r="M77" s="55">
        <f>_xll.EQNXTDZ($A$1,$B77,M$1,$B$1)</f>
        <v>27.800193100000001</v>
      </c>
      <c r="N77" s="55">
        <f>_xll.EQNXTDZ($A$1,$B77,N$1,$B$1)</f>
        <v>3.8949676000000002</v>
      </c>
      <c r="O77" s="55">
        <f>_xll.EQNXTDZ($A$1,$B77,O$1,$B$1)</f>
        <v>3.2665061999999998</v>
      </c>
      <c r="P77" s="55">
        <f>_xll.EQNXTDZ($A$1,$B77,P$1,$B$1)</f>
        <v>3.5938127</v>
      </c>
      <c r="Q77" s="55">
        <f>_xll.EQNXTDZ($A$1,$B77,Q$1,$B$1)</f>
        <v>3.2606000000000002</v>
      </c>
      <c r="R77" s="55">
        <f>_xll.EQNXTDZ($A$1,$B77,R$1,$B$1)</f>
        <v>10.0518</v>
      </c>
      <c r="S77" s="55">
        <f>_xll.EQNXTDZ($A$1,$B77,S$1,$B$1)</f>
        <v>11.895</v>
      </c>
      <c r="T77" s="55">
        <f>_xll.EQNXTDZ($A$1,$B77,T$1,$B$1)</f>
        <v>22.505500000000001</v>
      </c>
      <c r="U77" s="55">
        <f>_xll.EQNXTDZ($A$1,$B77,U$1,$B$1)</f>
        <v>26.9696</v>
      </c>
      <c r="V77" s="55">
        <f>_xll.EQNXTDZ($A$1,$B77,V$1,$B$1)</f>
        <v>32.030700000000003</v>
      </c>
      <c r="W77" s="55">
        <f>_xll.EQNXTDZ($A$1,$B77,W$1,$B$1)</f>
        <v>28.990400000000001</v>
      </c>
      <c r="X77" s="55">
        <f>_xll.EQNXTDZ($A$1,$B77,X$1,$B$1)</f>
        <v>25.5472</v>
      </c>
      <c r="Y77" s="55">
        <f>_xll.EQNXTDZ($A$1,$B77,Y$1,$B$1)</f>
        <v>33.0229</v>
      </c>
      <c r="Z77" s="55">
        <f>_xll.EQNXTDZ($A$1,$B77,Z$1,$B$1)</f>
        <v>64.8643</v>
      </c>
      <c r="AA77" s="55">
        <f>_xll.EQNXTDZ($A$1,$B77,AA$1,$B$1)</f>
        <v>110.2651</v>
      </c>
      <c r="AB77" s="55">
        <f>_xll.EQNXTDZ($A$1,$B77,AB$1,$B$1)</f>
        <v>56.654499999999999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0.57623670000000005</v>
      </c>
      <c r="H78" s="55">
        <f>_xll.EQNXTDZ($A$1,$B78,H$1,$B$1)</f>
        <v>0.62329369999999995</v>
      </c>
      <c r="I78" s="55">
        <f>_xll.EQNXTDZ($A$1,$B78,I$1,$B$1)</f>
        <v>4.5547582999999996</v>
      </c>
      <c r="J78" s="55">
        <f>_xll.EQNXTDZ($A$1,$B78,J$1,$B$1)</f>
        <v>17.783648400000001</v>
      </c>
      <c r="K78" s="55">
        <f>_xll.EQNXTDZ($A$1,$B78,K$1,$B$1)</f>
        <v>36.011843399999997</v>
      </c>
      <c r="L78" s="55">
        <f>_xll.EQNXTDZ($A$1,$B78,L$1,$B$1)</f>
        <v>20.783702000000002</v>
      </c>
      <c r="M78" s="55">
        <f>_xll.EQNXTDZ($A$1,$B78,M$1,$B$1)</f>
        <v>26.173939399999998</v>
      </c>
      <c r="N78" s="55">
        <f>_xll.EQNXTDZ($A$1,$B78,N$1,$B$1)</f>
        <v>26.1564838</v>
      </c>
      <c r="O78" s="55">
        <f>_xll.EQNXTDZ($A$1,$B78,O$1,$B$1)</f>
        <v>17.105905499999999</v>
      </c>
      <c r="P78" s="55">
        <f>_xll.EQNXTDZ($A$1,$B78,P$1,$B$1)</f>
        <v>27.334970999999999</v>
      </c>
      <c r="Q78" s="55">
        <f>_xll.EQNXTDZ($A$1,$B78,Q$1,$B$1)</f>
        <v>19.740400000000001</v>
      </c>
      <c r="R78" s="55">
        <f>_xll.EQNXTDZ($A$1,$B78,R$1,$B$1)</f>
        <v>13.9941</v>
      </c>
      <c r="S78" s="55">
        <f>_xll.EQNXTDZ($A$1,$B78,S$1,$B$1)</f>
        <v>15.2577</v>
      </c>
      <c r="T78" s="55">
        <f>_xll.EQNXTDZ($A$1,$B78,T$1,$B$1)</f>
        <v>27.6555</v>
      </c>
      <c r="U78" s="55">
        <f>_xll.EQNXTDZ($A$1,$B78,U$1,$B$1)</f>
        <v>43.503500000000003</v>
      </c>
      <c r="V78" s="55">
        <f>_xll.EQNXTDZ($A$1,$B78,V$1,$B$1)</f>
        <v>50.459099999999999</v>
      </c>
      <c r="W78" s="55">
        <f>_xll.EQNXTDZ($A$1,$B78,W$1,$B$1)</f>
        <v>180.255</v>
      </c>
      <c r="X78" s="55">
        <f>_xll.EQNXTDZ($A$1,$B78,X$1,$B$1)</f>
        <v>150.8126</v>
      </c>
      <c r="Y78" s="55">
        <f>_xll.EQNXTDZ($A$1,$B78,Y$1,$B$1)</f>
        <v>152.35740000000001</v>
      </c>
      <c r="Z78" s="55">
        <f>_xll.EQNXTDZ($A$1,$B78,Z$1,$B$1)</f>
        <v>211.1276</v>
      </c>
      <c r="AA78" s="55">
        <f>_xll.EQNXTDZ($A$1,$B78,AA$1,$B$1)</f>
        <v>256.16570000000002</v>
      </c>
      <c r="AB78" s="55">
        <f>_xll.EQNXTDZ($A$1,$B78,AB$1,$B$1)</f>
        <v>409.01479999999998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1.3737495</v>
      </c>
      <c r="H79" s="55">
        <f>_xll.EQNXTDZ($A$1,$B79,H$1,$B$1)</f>
        <v>3.8440728000000002</v>
      </c>
      <c r="I79" s="55">
        <f>_xll.EQNXTDZ($A$1,$B79,I$1,$B$1)</f>
        <v>2.4670421</v>
      </c>
      <c r="J79" s="55">
        <f>_xll.EQNXTDZ($A$1,$B79,J$1,$B$1)</f>
        <v>2.5438657999999998</v>
      </c>
      <c r="K79" s="55">
        <f>_xll.EQNXTDZ($A$1,$B79,K$1,$B$1)</f>
        <v>3.1911909000000001</v>
      </c>
      <c r="L79" s="55">
        <f>_xll.EQNXTDZ($A$1,$B79,L$1,$B$1)</f>
        <v>5.0534355</v>
      </c>
      <c r="M79" s="55">
        <f>_xll.EQNXTDZ($A$1,$B79,M$1,$B$1)</f>
        <v>7.0374737999999999</v>
      </c>
      <c r="N79" s="55">
        <f>_xll.EQNXTDZ($A$1,$B79,N$1,$B$1)</f>
        <v>25.630794099999999</v>
      </c>
      <c r="O79" s="55">
        <f>_xll.EQNXTDZ($A$1,$B79,O$1,$B$1)</f>
        <v>29.138792500000001</v>
      </c>
      <c r="P79" s="55">
        <f>_xll.EQNXTDZ($A$1,$B79,P$1,$B$1)</f>
        <v>40.460316400000004</v>
      </c>
      <c r="Q79" s="55">
        <f>_xll.EQNXTDZ($A$1,$B79,Q$1,$B$1)</f>
        <v>39.441299999999998</v>
      </c>
      <c r="R79" s="55">
        <f>_xll.EQNXTDZ($A$1,$B79,R$1,$B$1)</f>
        <v>29.528400000000001</v>
      </c>
      <c r="S79" s="55">
        <f>_xll.EQNXTDZ($A$1,$B79,S$1,$B$1)</f>
        <v>49.215299999999999</v>
      </c>
      <c r="T79" s="55">
        <f>_xll.EQNXTDZ($A$1,$B79,T$1,$B$1)</f>
        <v>62.298999999999999</v>
      </c>
      <c r="U79" s="55">
        <f>_xll.EQNXTDZ($A$1,$B79,U$1,$B$1)</f>
        <v>68.683400000000006</v>
      </c>
      <c r="V79" s="55">
        <f>_xll.EQNXTDZ($A$1,$B79,V$1,$B$1)</f>
        <v>65.445300000000003</v>
      </c>
      <c r="W79" s="55">
        <f>_xll.EQNXTDZ($A$1,$B79,W$1,$B$1)</f>
        <v>72.656599999999997</v>
      </c>
      <c r="X79" s="55">
        <f>_xll.EQNXTDZ($A$1,$B79,X$1,$B$1)</f>
        <v>90.006500000000003</v>
      </c>
      <c r="Y79" s="55">
        <f>_xll.EQNXTDZ($A$1,$B79,Y$1,$B$1)</f>
        <v>179.44319999999999</v>
      </c>
      <c r="Z79" s="55">
        <f>_xll.EQNXTDZ($A$1,$B79,Z$1,$B$1)</f>
        <v>293.5813</v>
      </c>
      <c r="AA79" s="55">
        <f>_xll.EQNXTDZ($A$1,$B79,AA$1,$B$1)</f>
        <v>298.37740000000002</v>
      </c>
      <c r="AB79" s="55">
        <f>_xll.EQNXTDZ($A$1,$B79,AB$1,$B$1)</f>
        <v>341.49430000000001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16.6010153</v>
      </c>
      <c r="H80" s="55">
        <f>_xll.EQNXTDZ($A$1,$B80,H$1,$B$1)</f>
        <v>23.916460300000001</v>
      </c>
      <c r="I80" s="55">
        <f>_xll.EQNXTDZ($A$1,$B80,I$1,$B$1)</f>
        <v>33.348515900000002</v>
      </c>
      <c r="J80" s="55">
        <f>_xll.EQNXTDZ($A$1,$B80,J$1,$B$1)</f>
        <v>45.539317699999998</v>
      </c>
      <c r="K80" s="55">
        <f>_xll.EQNXTDZ($A$1,$B80,K$1,$B$1)</f>
        <v>76.773337900000001</v>
      </c>
      <c r="L80" s="55">
        <f>_xll.EQNXTDZ($A$1,$B80,L$1,$B$1)</f>
        <v>23.966676</v>
      </c>
      <c r="M80" s="55">
        <f>_xll.EQNXTDZ($A$1,$B80,M$1,$B$1)</f>
        <v>146.92984279999999</v>
      </c>
      <c r="N80" s="55">
        <f>_xll.EQNXTDZ($A$1,$B80,N$1,$B$1)</f>
        <v>2.1366163999999999</v>
      </c>
      <c r="O80" s="55">
        <f>_xll.EQNXTDZ($A$1,$B80,O$1,$B$1)</f>
        <v>5.0929729000000004</v>
      </c>
      <c r="P80" s="55">
        <f>_xll.EQNXTDZ($A$1,$B80,P$1,$B$1)</f>
        <v>5.5439109000000002</v>
      </c>
      <c r="Q80" s="55">
        <f>_xll.EQNXTDZ($A$1,$B80,Q$1,$B$1)</f>
        <v>5.9440999999999997</v>
      </c>
      <c r="R80" s="55">
        <f>_xll.EQNXTDZ($A$1,$B80,R$1,$B$1)</f>
        <v>5.4181999999999997</v>
      </c>
      <c r="S80" s="55">
        <f>_xll.EQNXTDZ($A$1,$B80,S$1,$B$1)</f>
        <v>222.68799999999999</v>
      </c>
      <c r="T80" s="55">
        <f>_xll.EQNXTDZ($A$1,$B80,T$1,$B$1)</f>
        <v>318.18029999999999</v>
      </c>
      <c r="U80" s="55">
        <f>_xll.EQNXTDZ($A$1,$B80,U$1,$B$1)</f>
        <v>395.73860000000002</v>
      </c>
      <c r="V80" s="55">
        <f>_xll.EQNXTDZ($A$1,$B80,V$1,$B$1)</f>
        <v>468.56540000000001</v>
      </c>
      <c r="W80" s="55">
        <f>_xll.EQNXTDZ($A$1,$B80,W$1,$B$1)</f>
        <v>521.23540000000003</v>
      </c>
      <c r="X80" s="55">
        <f>_xll.EQNXTDZ($A$1,$B80,X$1,$B$1)</f>
        <v>638.0729</v>
      </c>
      <c r="Y80" s="55">
        <f>_xll.EQNXTDZ($A$1,$B80,Y$1,$B$1)</f>
        <v>35.720599999999997</v>
      </c>
      <c r="Z80" s="55">
        <f>_xll.EQNXTDZ($A$1,$B80,Z$1,$B$1)</f>
        <v>18.0474</v>
      </c>
      <c r="AA80" s="55">
        <f>_xll.EQNXTDZ($A$1,$B80,AA$1,$B$1)</f>
        <v>720.97280000000001</v>
      </c>
      <c r="AB80" s="55">
        <f>_xll.EQNXTDZ($A$1,$B80,AB$1,$B$1)</f>
        <v>722.40060000000005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52.501463600000001</v>
      </c>
      <c r="H82" s="55">
        <f>_xll.EQNXTDZ($A$1,$B82,H$1,$B$1)</f>
        <v>97.004808800000006</v>
      </c>
      <c r="I82" s="55">
        <f>_xll.EQNXTDZ($A$1,$B82,I$1,$B$1)</f>
        <v>130.54773489999999</v>
      </c>
      <c r="J82" s="55">
        <f>_xll.EQNXTDZ($A$1,$B82,J$1,$B$1)</f>
        <v>231.2141421</v>
      </c>
      <c r="K82" s="55">
        <f>_xll.EQNXTDZ($A$1,$B82,K$1,$B$1)</f>
        <v>259.6212195</v>
      </c>
      <c r="L82" s="55">
        <f>_xll.EQNXTDZ($A$1,$B82,L$1,$B$1)</f>
        <v>222.43363410000001</v>
      </c>
      <c r="M82" s="55">
        <f>_xll.EQNXTDZ($A$1,$B82,M$1,$B$1)</f>
        <v>349.36109909999999</v>
      </c>
      <c r="N82" s="55">
        <f>_xll.EQNXTDZ($A$1,$B82,N$1,$B$1)</f>
        <v>201.05999170000001</v>
      </c>
      <c r="O82" s="55">
        <f>_xll.EQNXTDZ($A$1,$B82,O$1,$B$1)</f>
        <v>222.93154079999999</v>
      </c>
      <c r="P82" s="55">
        <f>_xll.EQNXTDZ($A$1,$B82,P$1,$B$1)</f>
        <v>181.4045174</v>
      </c>
      <c r="Q82" s="55">
        <f>_xll.EQNXTDZ($A$1,$B82,Q$1,$B$1)</f>
        <v>172.11920000000001</v>
      </c>
      <c r="R82" s="55">
        <f>_xll.EQNXTDZ($A$1,$B82,R$1,$B$1)</f>
        <v>234.82560000000001</v>
      </c>
      <c r="S82" s="55">
        <f>_xll.EQNXTDZ($A$1,$B82,S$1,$B$1)</f>
        <v>519.25879999999995</v>
      </c>
      <c r="T82" s="55">
        <f>_xll.EQNXTDZ($A$1,$B82,T$1,$B$1)</f>
        <v>646.77139999999997</v>
      </c>
      <c r="U82" s="55">
        <f>_xll.EQNXTDZ($A$1,$B82,U$1,$B$1)</f>
        <v>765.39269999999999</v>
      </c>
      <c r="V82" s="55">
        <f>_xll.EQNXTDZ($A$1,$B82,V$1,$B$1)</f>
        <v>922.10550000000001</v>
      </c>
      <c r="W82" s="55">
        <f>_xll.EQNXTDZ($A$1,$B82,W$1,$B$1)</f>
        <v>1038.674</v>
      </c>
      <c r="X82" s="55">
        <f>_xll.EQNXTDZ($A$1,$B82,X$1,$B$1)</f>
        <v>1221.3869</v>
      </c>
      <c r="Y82" s="55">
        <f>_xll.EQNXTDZ($A$1,$B82,Y$1,$B$1)</f>
        <v>730.37850000000003</v>
      </c>
      <c r="Z82" s="55">
        <f>_xll.EQNXTDZ($A$1,$B82,Z$1,$B$1)</f>
        <v>994.17089999999996</v>
      </c>
      <c r="AA82" s="55">
        <f>_xll.EQNXTDZ($A$1,$B82,AA$1,$B$1)</f>
        <v>1810.3444</v>
      </c>
      <c r="AB82" s="55">
        <f>_xll.EQNXTDZ($A$1,$B82,AB$1,$B$1)</f>
        <v>1974.9963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70.206956599999998</v>
      </c>
      <c r="H84" s="55">
        <f>_xll.EQNXTDZ($A$1,$B84,H$1,$B$1)</f>
        <v>121.3578193</v>
      </c>
      <c r="I84" s="55">
        <f>_xll.EQNXTDZ($A$1,$B84,I$1,$B$1)</f>
        <v>158.90233649999999</v>
      </c>
      <c r="J84" s="55">
        <f>_xll.EQNXTDZ($A$1,$B84,J$1,$B$1)</f>
        <v>261.30785650000001</v>
      </c>
      <c r="K84" s="55">
        <f>_xll.EQNXTDZ($A$1,$B84,K$1,$B$1)</f>
        <v>286.4079835</v>
      </c>
      <c r="L84" s="55">
        <f>_xll.EQNXTDZ($A$1,$B84,L$1,$B$1)</f>
        <v>253.65873400000001</v>
      </c>
      <c r="M84" s="55">
        <f>_xll.EQNXTDZ($A$1,$B84,M$1,$B$1)</f>
        <v>376.92594329999997</v>
      </c>
      <c r="N84" s="55">
        <f>_xll.EQNXTDZ($A$1,$B84,N$1,$B$1)</f>
        <v>278.80153969999998</v>
      </c>
      <c r="O84" s="55">
        <f>_xll.EQNXTDZ($A$1,$B84,O$1,$B$1)</f>
        <v>297.73469490000002</v>
      </c>
      <c r="P84" s="55">
        <f>_xll.EQNXTDZ($A$1,$B84,P$1,$B$1)</f>
        <v>364.67507749999999</v>
      </c>
      <c r="Q84" s="55">
        <f>_xll.EQNXTDZ($A$1,$B84,Q$1,$B$1)</f>
        <v>381.73140000000001</v>
      </c>
      <c r="R84" s="55">
        <f>_xll.EQNXTDZ($A$1,$B84,R$1,$B$1)</f>
        <v>439.71780000000001</v>
      </c>
      <c r="S84" s="55">
        <f>_xll.EQNXTDZ($A$1,$B84,S$1,$B$1)</f>
        <v>731.46659999999997</v>
      </c>
      <c r="T84" s="55">
        <f>_xll.EQNXTDZ($A$1,$B84,T$1,$B$1)</f>
        <v>889.47370000000001</v>
      </c>
      <c r="U84" s="55">
        <f>_xll.EQNXTDZ($A$1,$B84,U$1,$B$1)</f>
        <v>1007.3142</v>
      </c>
      <c r="V84" s="55">
        <f>_xll.EQNXTDZ($A$1,$B84,V$1,$B$1)</f>
        <v>1244.9303</v>
      </c>
      <c r="W84" s="55">
        <f>_xll.EQNXTDZ($A$1,$B84,W$1,$B$1)</f>
        <v>1337.18</v>
      </c>
      <c r="X84" s="55">
        <f>_xll.EQNXTDZ($A$1,$B84,X$1,$B$1)</f>
        <v>1549.6479999999999</v>
      </c>
      <c r="Y84" s="55">
        <f>_xll.EQNXTDZ($A$1,$B84,Y$1,$B$1)</f>
        <v>1087.3607999999999</v>
      </c>
      <c r="Z84" s="55">
        <f>_xll.EQNXTDZ($A$1,$B84,Z$1,$B$1)</f>
        <v>1400.5150000000001</v>
      </c>
      <c r="AA84" s="55">
        <f>_xll.EQNXTDZ($A$1,$B84,AA$1,$B$1)</f>
        <v>2278.3465999999999</v>
      </c>
      <c r="AB84" s="55">
        <f>_xll.EQNXTDZ($A$1,$B84,AB$1,$B$1)</f>
        <v>2487.8377999999998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0.17469999999999999</v>
      </c>
      <c r="H85" s="55">
        <f>_xll.EQNXTDZ($A$1,$B85,H$1,$B$1)</f>
        <v>0.17469999999999999</v>
      </c>
      <c r="I85" s="55">
        <f>_xll.EQNXTDZ($A$1,$B85,I$1,$B$1)</f>
        <v>0.17469999999999999</v>
      </c>
      <c r="J85" s="55">
        <f>_xll.EQNXTDZ($A$1,$B85,J$1,$B$1)</f>
        <v>0.17469999999999999</v>
      </c>
      <c r="K85" s="55">
        <f>_xll.EQNXTDZ($A$1,$B85,K$1,$B$1)</f>
        <v>0.2134731</v>
      </c>
      <c r="L85" s="55">
        <f>_xll.EQNXTDZ($A$1,$B85,L$1,$B$1)</f>
        <v>0.46032099999999998</v>
      </c>
      <c r="M85" s="55">
        <f>_xll.EQNXTDZ($A$1,$B85,M$1,$B$1)</f>
        <v>0.93893009999999999</v>
      </c>
      <c r="N85" s="55">
        <f>_xll.EQNXTDZ($A$1,$B85,N$1,$B$1)</f>
        <v>0.36282920000000002</v>
      </c>
      <c r="O85" s="55">
        <f>_xll.EQNXTDZ($A$1,$B85,O$1,$B$1)</f>
        <v>0.2460087</v>
      </c>
      <c r="P85" s="55">
        <f>_xll.EQNXTDZ($A$1,$B85,P$1,$B$1)</f>
        <v>27.682941</v>
      </c>
      <c r="Q85" s="55">
        <f>_xll.EQNXTDZ($A$1,$B85,Q$1,$B$1)</f>
        <v>31.049399999999999</v>
      </c>
      <c r="R85" s="55">
        <f>_xll.EQNXTDZ($A$1,$B85,R$1,$B$1)</f>
        <v>31.326799999999999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3.9165000000000001</v>
      </c>
      <c r="V85" s="55">
        <f>_xll.EQNXTDZ($A$1,$B85,V$1,$B$1)</f>
        <v>17.367000000000001</v>
      </c>
      <c r="W85" s="55">
        <f>_xll.EQNXTDZ($A$1,$B85,W$1,$B$1)</f>
        <v>10.941000000000001</v>
      </c>
      <c r="X85" s="55">
        <f>_xll.EQNXTDZ($A$1,$B85,X$1,$B$1)</f>
        <v>7.3829000000000002</v>
      </c>
      <c r="Y85" s="55">
        <f>_xll.EQNXTDZ($A$1,$B85,Y$1,$B$1)</f>
        <v>27.232299999999999</v>
      </c>
      <c r="Z85" s="55">
        <f>_xll.EQNXTDZ($A$1,$B85,Z$1,$B$1)</f>
        <v>24.702999999999999</v>
      </c>
      <c r="AA85" s="55">
        <f>_xll.EQNXTDZ($A$1,$B85,AA$1,$B$1)</f>
        <v>241.8433</v>
      </c>
      <c r="AB85" s="55">
        <f>_xll.EQNXTDZ($A$1,$B85,AB$1,$B$1)</f>
        <v>130.55539999999999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133.45024129999999</v>
      </c>
      <c r="Q86" s="55">
        <f>_xll.EQNXTDZ($A$1,$B86,Q$1,$B$1)</f>
        <v>133.59829999999999</v>
      </c>
      <c r="R86" s="55">
        <f>_xll.EQNXTDZ($A$1,$B86,R$1,$B$1)</f>
        <v>133.5985</v>
      </c>
      <c r="S86" s="55">
        <f>_xll.EQNXTDZ($A$1,$B86,S$1,$B$1)</f>
        <v>133.59829999999999</v>
      </c>
      <c r="T86" s="55">
        <f>_xll.EQNXTDZ($A$1,$B86,T$1,$B$1)</f>
        <v>133.59829999999999</v>
      </c>
      <c r="U86" s="55">
        <f>_xll.EQNXTDZ($A$1,$B86,U$1,$B$1)</f>
        <v>133.59829999999999</v>
      </c>
      <c r="V86" s="55">
        <f>_xll.EQNXTDZ($A$1,$B86,V$1,$B$1)</f>
        <v>133.59829999999999</v>
      </c>
      <c r="W86" s="55">
        <f>_xll.EQNXTDZ($A$1,$B86,W$1,$B$1)</f>
        <v>133.59829999999999</v>
      </c>
      <c r="X86" s="55">
        <f>_xll.EQNXTDZ($A$1,$B86,X$1,$B$1)</f>
        <v>133.59829999999999</v>
      </c>
      <c r="Y86" s="55">
        <f>_xll.EQNXTDZ($A$1,$B86,Y$1,$B$1)</f>
        <v>143.23330000000001</v>
      </c>
      <c r="Z86" s="55">
        <f>_xll.EQNXTDZ($A$1,$B86,Z$1,$B$1)</f>
        <v>179.58969999999999</v>
      </c>
      <c r="AA86" s="55">
        <f>_xll.EQNXTDZ($A$1,$B86,AA$1,$B$1)</f>
        <v>179.58969999999999</v>
      </c>
      <c r="AB86" s="55">
        <f>_xll.EQNXTDZ($A$1,$B86,AB$1,$B$1)</f>
        <v>173.85550000000001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133.45024129999999</v>
      </c>
      <c r="Q91" s="55">
        <f>_xll.EQNXTDZ($A$1,$B91,Q$1,$B$1)</f>
        <v>133.59829999999999</v>
      </c>
      <c r="R91" s="55">
        <f>_xll.EQNXTDZ($A$1,$B91,R$1,$B$1)</f>
        <v>133.5985</v>
      </c>
      <c r="S91" s="55">
        <f>_xll.EQNXTDZ($A$1,$B91,S$1,$B$1)</f>
        <v>133.59829999999999</v>
      </c>
      <c r="T91" s="55">
        <f>_xll.EQNXTDZ($A$1,$B91,T$1,$B$1)</f>
        <v>133.59829999999999</v>
      </c>
      <c r="U91" s="55">
        <f>_xll.EQNXTDZ($A$1,$B91,U$1,$B$1)</f>
        <v>133.59829999999999</v>
      </c>
      <c r="V91" s="55">
        <f>_xll.EQNXTDZ($A$1,$B91,V$1,$B$1)</f>
        <v>133.59829999999999</v>
      </c>
      <c r="W91" s="55">
        <f>_xll.EQNXTDZ($A$1,$B91,W$1,$B$1)</f>
        <v>133.59829999999999</v>
      </c>
      <c r="X91" s="55">
        <f>_xll.EQNXTDZ($A$1,$B91,X$1,$B$1)</f>
        <v>133.59829999999999</v>
      </c>
      <c r="Y91" s="55">
        <f>_xll.EQNXTDZ($A$1,$B91,Y$1,$B$1)</f>
        <v>143.23330000000001</v>
      </c>
      <c r="Z91" s="55">
        <f>_xll.EQNXTDZ($A$1,$B91,Z$1,$B$1)</f>
        <v>179.58969999999999</v>
      </c>
      <c r="AA91" s="55">
        <f>_xll.EQNXTDZ($A$1,$B91,AA$1,$B$1)</f>
        <v>179.58969999999999</v>
      </c>
      <c r="AB91" s="55">
        <f>_xll.EQNXTDZ($A$1,$B91,AB$1,$B$1)</f>
        <v>180.29140000000001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6.4359000000000002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0.17469999999999999</v>
      </c>
      <c r="H93" s="55">
        <f>_xll.EQNXTDZ($A$1,$B93,H$1,$B$1)</f>
        <v>0.17469999999999999</v>
      </c>
      <c r="I93" s="55">
        <f>_xll.EQNXTDZ($A$1,$B93,I$1,$B$1)</f>
        <v>0.17469999999999999</v>
      </c>
      <c r="J93" s="55">
        <f>_xll.EQNXTDZ($A$1,$B93,J$1,$B$1)</f>
        <v>0.17469999999999999</v>
      </c>
      <c r="K93" s="55">
        <f>_xll.EQNXTDZ($A$1,$B93,K$1,$B$1)</f>
        <v>0.2134731</v>
      </c>
      <c r="L93" s="55">
        <f>_xll.EQNXTDZ($A$1,$B93,L$1,$B$1)</f>
        <v>0.46032099999999998</v>
      </c>
      <c r="M93" s="55">
        <f>_xll.EQNXTDZ($A$1,$B93,M$1,$B$1)</f>
        <v>0.93893009999999999</v>
      </c>
      <c r="N93" s="55">
        <f>_xll.EQNXTDZ($A$1,$B93,N$1,$B$1)</f>
        <v>0.36282920000000002</v>
      </c>
      <c r="O93" s="55">
        <f>_xll.EQNXTDZ($A$1,$B93,O$1,$B$1)</f>
        <v>0.2460087</v>
      </c>
      <c r="P93" s="55">
        <f>_xll.EQNXTDZ($A$1,$B93,P$1,$B$1)</f>
        <v>27.682941</v>
      </c>
      <c r="Q93" s="55">
        <f>_xll.EQNXTDZ($A$1,$B93,Q$1,$B$1)</f>
        <v>31.049399999999999</v>
      </c>
      <c r="R93" s="55">
        <f>_xll.EQNXTDZ($A$1,$B93,R$1,$B$1)</f>
        <v>31.326799999999999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3.6324999999999998</v>
      </c>
      <c r="V93" s="55">
        <f>_xll.EQNXTDZ($A$1,$B93,V$1,$B$1)</f>
        <v>15.8942</v>
      </c>
      <c r="W93" s="55">
        <f>_xll.EQNXTDZ($A$1,$B93,W$1,$B$1)</f>
        <v>3.9942000000000002</v>
      </c>
      <c r="X93" s="55">
        <f>_xll.EQNXTDZ($A$1,$B93,X$1,$B$1)</f>
        <v>5.7378999999999998</v>
      </c>
      <c r="Y93" s="55">
        <f>_xll.EQNXTDZ($A$1,$B93,Y$1,$B$1)</f>
        <v>17.240600000000001</v>
      </c>
      <c r="Z93" s="55">
        <f>_xll.EQNXTDZ($A$1,$B93,Z$1,$B$1)</f>
        <v>20.136199999999999</v>
      </c>
      <c r="AA93" s="55">
        <f>_xll.EQNXTDZ($A$1,$B93,AA$1,$B$1)</f>
        <v>14.664400000000001</v>
      </c>
      <c r="AB93" s="55">
        <f>_xll.EQNXTDZ($A$1,$B93,AB$1,$B$1)</f>
        <v>7.2782999999999998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0.18190000000000001</v>
      </c>
      <c r="V98" s="55">
        <f>_xll.EQNXTDZ($A$1,$B98,V$1,$B$1)</f>
        <v>1.468</v>
      </c>
      <c r="W98" s="55">
        <f>_xll.EQNXTDZ($A$1,$B98,W$1,$B$1)</f>
        <v>0.50360000000000005</v>
      </c>
      <c r="X98" s="55">
        <f>_xll.EQNXTDZ($A$1,$B98,X$1,$B$1)</f>
        <v>0.12089999999999999</v>
      </c>
      <c r="Y98" s="55">
        <f>_xll.EQNXTDZ($A$1,$B98,Y$1,$B$1)</f>
        <v>9.06E-2</v>
      </c>
      <c r="Z98" s="55">
        <f>_xll.EQNXTDZ($A$1,$B98,Z$1,$B$1)</f>
        <v>0.12759999999999999</v>
      </c>
      <c r="AA98" s="55">
        <f>_xll.EQNXTDZ($A$1,$B98,AA$1,$B$1)</f>
        <v>0.12759999999999999</v>
      </c>
      <c r="AB98" s="55">
        <f>_xll.EQNXTDZ($A$1,$B98,AB$1,$B$1)</f>
        <v>9.6600000000000005E-2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0.1021</v>
      </c>
      <c r="V99" s="55">
        <f>_xll.EQNXTDZ($A$1,$B99,V$1,$B$1)</f>
        <v>4.7999999999999996E-3</v>
      </c>
      <c r="W99" s="55">
        <f>_xll.EQNXTDZ($A$1,$B99,W$1,$B$1)</f>
        <v>6.4432</v>
      </c>
      <c r="X99" s="55">
        <f>_xll.EQNXTDZ($A$1,$B99,X$1,$B$1)</f>
        <v>1.5241</v>
      </c>
      <c r="Y99" s="55">
        <f>_xll.EQNXTDZ($A$1,$B99,Y$1,$B$1)</f>
        <v>9.9010999999999996</v>
      </c>
      <c r="Z99" s="55">
        <f>_xll.EQNXTDZ($A$1,$B99,Z$1,$B$1)</f>
        <v>4.4391999999999996</v>
      </c>
      <c r="AA99" s="55">
        <f>_xll.EQNXTDZ($A$1,$B99,AA$1,$B$1)</f>
        <v>227.0513</v>
      </c>
      <c r="AB99" s="55">
        <f>_xll.EQNXTDZ($A$1,$B99,AB$1,$B$1)</f>
        <v>123.18049999999999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12</v>
      </c>
      <c r="H104" s="55">
        <f>_xll.EQNXTDZ($A$1,$B104,H$1,$B$1)</f>
        <v>12.002000000000001</v>
      </c>
      <c r="I104" s="55">
        <f>_xll.EQNXTDZ($A$1,$B104,I$1,$B$1)</f>
        <v>12.007</v>
      </c>
      <c r="J104" s="55">
        <f>_xll.EQNXTDZ($A$1,$B104,J$1,$B$1)</f>
        <v>12.186999999999999</v>
      </c>
      <c r="K104" s="55">
        <f>_xll.EQNXTDZ($A$1,$B104,K$1,$B$1)</f>
        <v>12.19</v>
      </c>
      <c r="L104" s="55">
        <f>_xll.EQNXTDZ($A$1,$B104,L$1,$B$1)</f>
        <v>12.19</v>
      </c>
      <c r="M104" s="55">
        <f>_xll.EQNXTDZ($A$1,$B104,M$1,$B$1)</f>
        <v>48.76</v>
      </c>
      <c r="N104" s="55">
        <f>_xll.EQNXTDZ($A$1,$B104,N$1,$B$1)</f>
        <v>48.76</v>
      </c>
      <c r="O104" s="55">
        <f>_xll.EQNXTDZ($A$1,$B104,O$1,$B$1)</f>
        <v>48.76</v>
      </c>
      <c r="P104" s="55">
        <f>_xll.EQNXTDZ($A$1,$B104,P$1,$B$1)</f>
        <v>48.76</v>
      </c>
      <c r="Q104" s="55">
        <f>_xll.EQNXTDZ($A$1,$B104,Q$1,$B$1)</f>
        <v>48.76</v>
      </c>
      <c r="R104" s="55">
        <f>_xll.EQNXTDZ($A$1,$B104,R$1,$B$1)</f>
        <v>48.76</v>
      </c>
      <c r="S104" s="55">
        <f>_xll.EQNXTDZ($A$1,$B104,S$1,$B$1)</f>
        <v>48.76</v>
      </c>
      <c r="T104" s="55">
        <f>_xll.EQNXTDZ($A$1,$B104,T$1,$B$1)</f>
        <v>48.76</v>
      </c>
      <c r="U104" s="55">
        <f>_xll.EQNXTDZ($A$1,$B104,U$1,$B$1)</f>
        <v>48.76</v>
      </c>
      <c r="V104" s="55">
        <f>_xll.EQNXTDZ($A$1,$B104,V$1,$B$1)</f>
        <v>48.76</v>
      </c>
      <c r="W104" s="55">
        <f>_xll.EQNXTDZ($A$1,$B104,W$1,$B$1)</f>
        <v>48.790999999999997</v>
      </c>
      <c r="X104" s="55">
        <f>_xll.EQNXTDZ($A$1,$B104,X$1,$B$1)</f>
        <v>48.903500000000001</v>
      </c>
      <c r="Y104" s="55">
        <f>_xll.EQNXTDZ($A$1,$B104,Y$1,$B$1)</f>
        <v>48.993600000000001</v>
      </c>
      <c r="Z104" s="55">
        <f>_xll.EQNXTDZ($A$1,$B104,Z$1,$B$1)</f>
        <v>49.143099999999997</v>
      </c>
      <c r="AA104" s="55">
        <f>_xll.EQNXTDZ($A$1,$B104,AA$1,$B$1)</f>
        <v>49.429900000000004</v>
      </c>
      <c r="AB104" s="55">
        <f>_xll.EQNXTDZ($A$1,$B104,AB$1,$B$1)</f>
        <v>49.596899999999998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370.54</v>
      </c>
      <c r="X106" s="55">
        <f>_xll.EQNXTDZ($A$1,$B106,X$1,$B$1)</f>
        <v>462.84</v>
      </c>
      <c r="Y106" s="55">
        <f>_xll.EQNXTDZ($A$1,$B106,Y$1,$B$1)</f>
        <v>406.38</v>
      </c>
      <c r="Z106" s="55">
        <f>_xll.EQNXTDZ($A$1,$B106,Z$1,$B$1)</f>
        <v>583.07000000000005</v>
      </c>
      <c r="AA106" s="55">
        <f>_xll.EQNXTDZ($A$1,$B106,AA$1,$B$1)</f>
        <v>743</v>
      </c>
      <c r="AB106" s="55">
        <f>_xll.EQNXTDZ($A$1,$B106,AB$1,$B$1)</f>
        <v>625.9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407.99</v>
      </c>
      <c r="X107" s="55">
        <f>_xll.EQNXTDZ($A$1,$B107,X$1,$B$1)</f>
        <v>812.8</v>
      </c>
      <c r="Y107" s="55">
        <f>_xll.EQNXTDZ($A$1,$B107,Y$1,$B$1)</f>
        <v>537.79999999999995</v>
      </c>
      <c r="Z107" s="55">
        <f>_xll.EQNXTDZ($A$1,$B107,Z$1,$B$1)</f>
        <v>648</v>
      </c>
      <c r="AA107" s="55">
        <f>_xll.EQNXTDZ($A$1,$B107,AA$1,$B$1)</f>
        <v>1073.49</v>
      </c>
      <c r="AB107" s="55">
        <f>_xll.EQNXTDZ($A$1,$B107,AB$1,$B$1)</f>
        <v>875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252</v>
      </c>
      <c r="X108" s="55">
        <f>_xll.EQNXTDZ($A$1,$B108,X$1,$B$1)</f>
        <v>354.54</v>
      </c>
      <c r="Y108" s="55">
        <f>_xll.EQNXTDZ($A$1,$B108,Y$1,$B$1)</f>
        <v>400.42</v>
      </c>
      <c r="Z108" s="55">
        <f>_xll.EQNXTDZ($A$1,$B108,Z$1,$B$1)</f>
        <v>401.5</v>
      </c>
      <c r="AA108" s="55">
        <f>_xll.EQNXTDZ($A$1,$B108,AA$1,$B$1)</f>
        <v>589.01</v>
      </c>
      <c r="AB108" s="55">
        <f>_xll.EQNXTDZ($A$1,$B108,AB$1,$B$1)</f>
        <v>611.70000000000005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9039.50857</v>
      </c>
      <c r="X109" s="55">
        <f>_xll.EQNXTDZ($A$1,$B109,X$1,$B$1)</f>
        <v>11317.24797</v>
      </c>
      <c r="Y109" s="55">
        <f>_xll.EQNXTDZ($A$1,$B109,Y$1,$B$1)</f>
        <v>9955.0095839999994</v>
      </c>
      <c r="Z109" s="55">
        <f>_xll.EQNXTDZ($A$1,$B109,Z$1,$B$1)</f>
        <v>14326.9336585</v>
      </c>
      <c r="AA109" s="55">
        <f>_xll.EQNXTDZ($A$1,$B109,AA$1,$B$1)</f>
        <v>18363.207849999999</v>
      </c>
      <c r="AB109" s="55">
        <f>_xll.EQNXTDZ($A$1,$B109,AB$1,$B$1)</f>
        <v>15521.349855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0.125</v>
      </c>
      <c r="H110" s="55">
        <f>_xll.EQNXTDZ($A$1,$B110,H$1,$B$1)</f>
        <v>0.2</v>
      </c>
      <c r="I110" s="55">
        <f>_xll.EQNXTDZ($A$1,$B110,I$1,$B$1)</f>
        <v>0.65</v>
      </c>
      <c r="J110" s="55">
        <f>_xll.EQNXTDZ($A$1,$B110,J$1,$B$1)</f>
        <v>1.1000000000000001</v>
      </c>
      <c r="K110" s="55">
        <f>_xll.EQNXTDZ($A$1,$B110,K$1,$B$1)</f>
        <v>1.1499999999999999</v>
      </c>
      <c r="L110" s="55">
        <f>_xll.EQNXTDZ($A$1,$B110,L$1,$B$1)</f>
        <v>2.35</v>
      </c>
      <c r="M110" s="55">
        <f>_xll.EQNXTDZ($A$1,$B110,M$1,$B$1)</f>
        <v>1.8</v>
      </c>
      <c r="N110" s="55">
        <f>_xll.EQNXTDZ($A$1,$B110,N$1,$B$1)</f>
        <v>1.1299999999999999</v>
      </c>
      <c r="O110" s="55">
        <f>_xll.EQNXTDZ($A$1,$B110,O$1,$B$1)</f>
        <v>1.554</v>
      </c>
      <c r="P110" s="55">
        <f>_xll.EQNXTDZ($A$1,$B110,P$1,$B$1)</f>
        <v>1.292</v>
      </c>
      <c r="Q110" s="55">
        <f>_xll.EQNXTDZ($A$1,$B110,Q$1,$B$1)</f>
        <v>1.77</v>
      </c>
      <c r="R110" s="55">
        <f>_xll.EQNXTDZ($A$1,$B110,R$1,$B$1)</f>
        <v>2.1560000000000001</v>
      </c>
      <c r="S110" s="55">
        <f>_xll.EQNXTDZ($A$1,$B110,S$1,$B$1)</f>
        <v>2.6339999999999999</v>
      </c>
      <c r="T110" s="55">
        <f>_xll.EQNXTDZ($A$1,$B110,T$1,$B$1)</f>
        <v>3</v>
      </c>
      <c r="U110" s="55">
        <f>_xll.EQNXTDZ($A$1,$B110,U$1,$B$1)</f>
        <v>4.4939999999999998</v>
      </c>
      <c r="V110" s="55">
        <f>_xll.EQNXTDZ($A$1,$B110,V$1,$B$1)</f>
        <v>2.4359999999999999</v>
      </c>
      <c r="W110" s="55">
        <f>_xll.EQNXTDZ($A$1,$B110,W$1,$B$1)</f>
        <v>12.587999999999999</v>
      </c>
      <c r="X110" s="55">
        <f>_xll.EQNXTDZ($A$1,$B110,X$1,$B$1)</f>
        <v>7.75</v>
      </c>
      <c r="Y110" s="55">
        <f>_xll.EQNXTDZ($A$1,$B110,Y$1,$B$1)</f>
        <v>7.55</v>
      </c>
      <c r="Z110" s="55">
        <f>_xll.EQNXTDZ($A$1,$B110,Z$1,$B$1)</f>
        <v>9.3000000000000007</v>
      </c>
      <c r="AA110" s="55">
        <f>_xll.EQNXTDZ($A$1,$B110,AA$1,$B$1)</f>
        <v>14.5</v>
      </c>
      <c r="AB110" s="55">
        <f>_xll.EQNXTDZ($A$1,$B110,AB$1,$B$1)</f>
        <v>12.5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94.07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30.98</v>
      </c>
      <c r="X112" s="56">
        <f>_xll.EQNXTDZ($A$1,$B112,X$5)</f>
        <v>23.75</v>
      </c>
      <c r="Y112" s="56">
        <f>_xll.EQNXTDZ($A$1,$B112,Y$5)</f>
        <v>19.920000000000002</v>
      </c>
      <c r="Z112" s="56">
        <f>_xll.EQNXTDZ($A$1,$B112,Z$5)</f>
        <v>0</v>
      </c>
      <c r="AA112" s="56">
        <f>_xll.EQNXTDZ($A$1,$B112,AA$5)</f>
        <v>0</v>
      </c>
      <c r="AB112" s="56">
        <f>_xll.EQNXTDZ($A$1,$B112,AB$5)</f>
        <v>0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210036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284.2</v>
      </c>
      <c r="CZ6" cm="1">
        <f t="array" ref="CZ6">_xll.EQNXTDZ($A$1,$B6,CZ$1)</f>
        <v>260.39999999999998</v>
      </c>
      <c r="DA6" cm="1">
        <f t="array" ref="DA6">_xll.EQNXTDZ($A$1,$B6,DA$1)</f>
        <v>288.8</v>
      </c>
      <c r="DB6" cm="1">
        <f t="array" ref="DB6">_xll.EQNXTDZ($A$1,$B6,DB$1)</f>
        <v>358.2</v>
      </c>
      <c r="DC6" cm="1">
        <f t="array" ref="DC6">_xll.EQNXTDZ($A$1,$B6,DC$1)</f>
        <v>356</v>
      </c>
      <c r="DD6" cm="1">
        <f t="array" ref="DD6">_xll.EQNXTDZ($A$1,$B6,DD$1)</f>
        <v>368</v>
      </c>
      <c r="DE6" cm="1">
        <f t="array" ref="DE6">_xll.EQNXTDZ($A$1,$B6,DE$1)</f>
        <v>373</v>
      </c>
      <c r="DF6" cm="1">
        <f t="array" ref="DF6">_xll.EQNXTDZ($A$1,$B6,DF$1)</f>
        <v>464.65</v>
      </c>
      <c r="DG6" cm="1">
        <f t="array" ref="DG6">_xll.EQNXTDZ($A$1,$B6,DG$1)</f>
        <v>505.74</v>
      </c>
      <c r="DH6" cm="1">
        <f t="array" ref="DH6">_xll.EQNXTDZ($A$1,$B6,DH$1)</f>
        <v>560</v>
      </c>
      <c r="DI6" cm="1">
        <f t="array" ref="DI6">_xll.EQNXTDZ($A$1,$B6,DI$1)</f>
        <v>675.6</v>
      </c>
      <c r="DJ6" cm="1">
        <f t="array" ref="DJ6">_xll.EQNXTDZ($A$1,$B6,DJ$1)</f>
        <v>784.2</v>
      </c>
      <c r="DK6" cm="1">
        <f t="array" ref="DK6">_xll.EQNXTDZ($A$1,$B6,DK$1)</f>
        <v>608</v>
      </c>
      <c r="DL6" cm="1">
        <f t="array" ref="DL6">_xll.EQNXTDZ($A$1,$B6,DL$1)</f>
        <v>602.41999999999996</v>
      </c>
      <c r="DM6" cm="1">
        <f t="array" ref="DM6">_xll.EQNXTDZ($A$1,$B6,DM$1)</f>
        <v>607.14</v>
      </c>
      <c r="DN6" cm="1">
        <f t="array" ref="DN6">_xll.EQNXTDZ($A$1,$B6,DN$1)</f>
        <v>536.79999999999995</v>
      </c>
      <c r="DO6" cm="1">
        <f t="array" ref="DO6">_xll.EQNXTDZ($A$1,$B6,DO$1)</f>
        <v>545.53</v>
      </c>
      <c r="DP6" cm="1">
        <f t="array" ref="DP6">_xll.EQNXTDZ($A$1,$B6,DP$1)</f>
        <v>497.6</v>
      </c>
      <c r="DQ6" cm="1">
        <f t="array" ref="DQ6">_xll.EQNXTDZ($A$1,$B6,DQ$1)</f>
        <v>464.16</v>
      </c>
      <c r="DR6" cm="1">
        <f t="array" ref="DR6">_xll.EQNXTDZ($A$1,$B6,DR$1)</f>
        <v>491.27</v>
      </c>
      <c r="DS6" cm="1">
        <f t="array" ref="DS6">_xll.EQNXTDZ($A$1,$B6,DS$1)</f>
        <v>466.6</v>
      </c>
      <c r="DT6" cm="1">
        <f t="array" ref="DT6">_xll.EQNXTDZ($A$1,$B6,DT$1)</f>
        <v>451.76</v>
      </c>
      <c r="DU6" cm="1">
        <f t="array" ref="DU6">_xll.EQNXTDZ($A$1,$B6,DU$1)</f>
        <v>493.2</v>
      </c>
      <c r="DV6" cm="1">
        <f t="array" ref="DV6">_xll.EQNXTDZ($A$1,$B6,DV$1)</f>
        <v>460.8</v>
      </c>
      <c r="DW6" cm="1">
        <f t="array" ref="DW6">_xll.EQNXTDZ($A$1,$B6,DW$1)</f>
        <v>505.4</v>
      </c>
      <c r="DX6" cm="1">
        <f t="array" ref="DX6">_xll.EQNXTDZ($A$1,$B6,DX$1)</f>
        <v>511.39</v>
      </c>
      <c r="DY6" cm="1">
        <f t="array" ref="DY6">_xll.EQNXTDZ($A$1,$B6,DY$1)</f>
        <v>462.2</v>
      </c>
      <c r="DZ6" cm="1">
        <f t="array" ref="DZ6">_xll.EQNXTDZ($A$1,$B6,DZ$1)</f>
        <v>445.34</v>
      </c>
      <c r="EA6" cm="1">
        <f t="array" ref="EA6">_xll.EQNXTDZ($A$1,$B6,EA$1)</f>
        <v>457.6</v>
      </c>
      <c r="EB6" cm="1">
        <f t="array" ref="EB6">_xll.EQNXTDZ($A$1,$B6,EB$1)</f>
        <v>451</v>
      </c>
      <c r="EC6" cm="1">
        <f t="array" ref="EC6">_xll.EQNXTDZ($A$1,$B6,EC$1)</f>
        <v>407.8</v>
      </c>
      <c r="ED6" cm="1">
        <f t="array" ref="ED6">_xll.EQNXTDZ($A$1,$B6,ED$1)</f>
        <v>413.79</v>
      </c>
      <c r="EE6" cm="1">
        <f t="array" ref="EE6">_xll.EQNXTDZ($A$1,$B6,EE$1)</f>
        <v>443.38</v>
      </c>
      <c r="EF6" cm="1">
        <f t="array" ref="EF6">_xll.EQNXTDZ($A$1,$B6,EF$1)</f>
        <v>447.6</v>
      </c>
      <c r="EG6" cm="1">
        <f t="array" ref="EG6">_xll.EQNXTDZ($A$1,$B6,EG$1)</f>
        <v>473.79</v>
      </c>
      <c r="EH6" cm="1">
        <f t="array" ref="EH6">_xll.EQNXTDZ($A$1,$B6,EH$1)</f>
        <v>475.2</v>
      </c>
      <c r="EI6" cm="1">
        <f t="array" ref="EI6">_xll.EQNXTDZ($A$1,$B6,EI$1)</f>
        <v>503.78</v>
      </c>
      <c r="EJ6" cm="1">
        <f t="array" ref="EJ6">_xll.EQNXTDZ($A$1,$B6,EJ$1)</f>
        <v>451.79</v>
      </c>
      <c r="EK6" cm="1">
        <f t="array" ref="EK6">_xll.EQNXTDZ($A$1,$B6,EK$1)</f>
        <v>564</v>
      </c>
      <c r="EL6" cm="1">
        <f t="array" ref="EL6">_xll.EQNXTDZ($A$1,$B6,EL$1)</f>
        <v>531.79999999999995</v>
      </c>
      <c r="EM6" cm="1">
        <f t="array" ref="EM6">_xll.EQNXTDZ($A$1,$B6,EM$1)</f>
        <v>586.75</v>
      </c>
      <c r="EN6" cm="1">
        <f t="array" ref="EN6">_xll.EQNXTDZ($A$1,$B6,EN$1)</f>
        <v>619.79999999999995</v>
      </c>
      <c r="EO6" cm="1">
        <f t="array" ref="EO6">_xll.EQNXTDZ($A$1,$B6,EO$1)</f>
        <v>590.79999999999995</v>
      </c>
      <c r="EP6" cm="1">
        <f t="array" ref="EP6">_xll.EQNXTDZ($A$1,$B6,EP$1)</f>
        <v>645</v>
      </c>
      <c r="EQ6" cm="1">
        <f t="array" ref="EQ6">_xll.EQNXTDZ($A$1,$B6,EQ$1)</f>
        <v>720</v>
      </c>
      <c r="ER6" cm="1">
        <f t="array" ref="ER6">_xll.EQNXTDZ($A$1,$B6,ER$1)</f>
        <v>724</v>
      </c>
      <c r="ES6" cm="1">
        <f t="array" ref="ES6">_xll.EQNXTDZ($A$1,$B6,ES$1)</f>
        <v>905</v>
      </c>
      <c r="ET6" cm="1">
        <f t="array" ref="ET6">_xll.EQNXTDZ($A$1,$B6,ET$1)</f>
        <v>860</v>
      </c>
      <c r="EU6" cm="1">
        <f t="array" ref="EU6">_xll.EQNXTDZ($A$1,$B6,EU$1)</f>
        <v>884</v>
      </c>
      <c r="EV6" cm="1">
        <f t="array" ref="EV6">_xll.EQNXTDZ($A$1,$B6,EV$1)</f>
        <v>897.6</v>
      </c>
      <c r="EW6" cm="1">
        <f t="array" ref="EW6">_xll.EQNXTDZ($A$1,$B6,EW$1)</f>
        <v>995</v>
      </c>
      <c r="EX6" cm="1">
        <f t="array" ref="EX6">_xll.EQNXTDZ($A$1,$B6,EX$1)</f>
        <v>1002.04</v>
      </c>
      <c r="EY6" cm="1">
        <f t="array" ref="EY6">_xll.EQNXTDZ($A$1,$B6,EY$1)</f>
        <v>723.99</v>
      </c>
      <c r="EZ6" cm="1">
        <f t="array" ref="EZ6">_xll.EQNXTDZ($A$1,$B6,EZ$1)</f>
        <v>632.41</v>
      </c>
      <c r="FA6" cm="1">
        <f t="array" ref="FA6">_xll.EQNXTDZ($A$1,$B6,FA$1)</f>
        <v>742.4</v>
      </c>
      <c r="FB6" cm="1">
        <f t="array" ref="FB6">_xll.EQNXTDZ($A$1,$B6,FB$1)</f>
        <v>781.26</v>
      </c>
      <c r="FC6" cm="1">
        <f t="array" ref="FC6">_xll.EQNXTDZ($A$1,$B6,FC$1)</f>
        <v>792</v>
      </c>
      <c r="FD6" cm="1">
        <f t="array" ref="FD6">_xll.EQNXTDZ($A$1,$B6,FD$1)</f>
        <v>862.8</v>
      </c>
      <c r="FE6" cm="1">
        <f t="array" ref="FE6">_xll.EQNXTDZ($A$1,$B6,FE$1)</f>
        <v>747.4</v>
      </c>
      <c r="FF6" cm="1">
        <f t="array" ref="FF6">_xll.EQNXTDZ($A$1,$B6,FF$1)</f>
        <v>744.58</v>
      </c>
      <c r="FG6" cm="1">
        <f t="array" ref="FG6">_xll.EQNXTDZ($A$1,$B6,FG$1)</f>
        <v>748</v>
      </c>
      <c r="FH6" cm="1">
        <f t="array" ref="FH6">_xll.EQNXTDZ($A$1,$B6,FH$1)</f>
        <v>784.82</v>
      </c>
      <c r="FI6" cm="1">
        <f t="array" ref="FI6">_xll.EQNXTDZ($A$1,$B6,FI$1)</f>
        <v>778.66</v>
      </c>
      <c r="FJ6" cm="1">
        <f t="array" ref="FJ6">_xll.EQNXTDZ($A$1,$B6,FJ$1)</f>
        <v>743.15</v>
      </c>
      <c r="FK6" cm="1">
        <f t="array" ref="FK6">_xll.EQNXTDZ($A$1,$B6,FK$1)</f>
        <v>695.1</v>
      </c>
      <c r="FL6" cm="1">
        <f t="array" ref="FL6">_xll.EQNXTDZ($A$1,$B6,FL$1)</f>
        <v>653.6</v>
      </c>
      <c r="FM6" cm="1">
        <f t="array" ref="FM6">_xll.EQNXTDZ($A$1,$B6,FM$1)</f>
        <v>642</v>
      </c>
      <c r="FN6" cm="1">
        <f t="array" ref="FN6">_xll.EQNXTDZ($A$1,$B6,FN$1)</f>
        <v>750</v>
      </c>
      <c r="FO6" cm="1">
        <f t="array" ref="FO6">_xll.EQNXTDZ($A$1,$B6,FO$1)</f>
        <v>791.5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284.73</v>
      </c>
      <c r="CZ7" s="116" cm="1">
        <f t="array" ref="CZ7">_xll.EQNXTDZ($A$1,$B7,CZ$1)</f>
        <v>299.74</v>
      </c>
      <c r="DA7" s="116" cm="1">
        <f t="array" ref="DA7">_xll.EQNXTDZ($A$1,$B7,DA$1)</f>
        <v>378</v>
      </c>
      <c r="DB7" s="116" cm="1">
        <f t="array" ref="DB7">_xll.EQNXTDZ($A$1,$B7,DB$1)</f>
        <v>373</v>
      </c>
      <c r="DC7" s="116" cm="1">
        <f t="array" ref="DC7">_xll.EQNXTDZ($A$1,$B7,DC$1)</f>
        <v>404.66</v>
      </c>
      <c r="DD7" s="116" cm="1">
        <f t="array" ref="DD7">_xll.EQNXTDZ($A$1,$B7,DD$1)</f>
        <v>387.8</v>
      </c>
      <c r="DE7" s="116" cm="1">
        <f t="array" ref="DE7">_xll.EQNXTDZ($A$1,$B7,DE$1)</f>
        <v>485.86</v>
      </c>
      <c r="DF7" s="116" cm="1">
        <f t="array" ref="DF7">_xll.EQNXTDZ($A$1,$B7,DF$1)</f>
        <v>523.78</v>
      </c>
      <c r="DG7" s="116" cm="1">
        <f t="array" ref="DG7">_xll.EQNXTDZ($A$1,$B7,DG$1)</f>
        <v>589</v>
      </c>
      <c r="DH7" s="116" cm="1">
        <f t="array" ref="DH7">_xll.EQNXTDZ($A$1,$B7,DH$1)</f>
        <v>748.13</v>
      </c>
      <c r="DI7" s="116" cm="1">
        <f t="array" ref="DI7">_xll.EQNXTDZ($A$1,$B7,DI$1)</f>
        <v>787.98</v>
      </c>
      <c r="DJ7" s="116" cm="1">
        <f t="array" ref="DJ7">_xll.EQNXTDZ($A$1,$B7,DJ$1)</f>
        <v>813.48</v>
      </c>
      <c r="DK7" s="116" cm="1">
        <f t="array" ref="DK7">_xll.EQNXTDZ($A$1,$B7,DK$1)</f>
        <v>642.25</v>
      </c>
      <c r="DL7" s="116" cm="1">
        <f t="array" ref="DL7">_xll.EQNXTDZ($A$1,$B7,DL$1)</f>
        <v>650</v>
      </c>
      <c r="DM7" s="116" cm="1">
        <f t="array" ref="DM7">_xll.EQNXTDZ($A$1,$B7,DM$1)</f>
        <v>620</v>
      </c>
      <c r="DN7" s="116" cm="1">
        <f t="array" ref="DN7">_xll.EQNXTDZ($A$1,$B7,DN$1)</f>
        <v>594.29999999999995</v>
      </c>
      <c r="DO7" s="116" cm="1">
        <f t="array" ref="DO7">_xll.EQNXTDZ($A$1,$B7,DO$1)</f>
        <v>589.6</v>
      </c>
      <c r="DP7" s="116" cm="1">
        <f t="array" ref="DP7">_xll.EQNXTDZ($A$1,$B7,DP$1)</f>
        <v>509.59</v>
      </c>
      <c r="DQ7" s="116" cm="1">
        <f t="array" ref="DQ7">_xll.EQNXTDZ($A$1,$B7,DQ$1)</f>
        <v>536.54999999999995</v>
      </c>
      <c r="DR7" s="116" cm="1">
        <f t="array" ref="DR7">_xll.EQNXTDZ($A$1,$B7,DR$1)</f>
        <v>497.8</v>
      </c>
      <c r="DS7" s="116" cm="1">
        <f t="array" ref="DS7">_xll.EQNXTDZ($A$1,$B7,DS$1)</f>
        <v>531.20000000000005</v>
      </c>
      <c r="DT7" s="116" cm="1">
        <f t="array" ref="DT7">_xll.EQNXTDZ($A$1,$B7,DT$1)</f>
        <v>494</v>
      </c>
      <c r="DU7" s="116" cm="1">
        <f t="array" ref="DU7">_xll.EQNXTDZ($A$1,$B7,DU$1)</f>
        <v>500</v>
      </c>
      <c r="DV7" s="116" cm="1">
        <f t="array" ref="DV7">_xll.EQNXTDZ($A$1,$B7,DV$1)</f>
        <v>528</v>
      </c>
      <c r="DW7" s="116" cm="1">
        <f t="array" ref="DW7">_xll.EQNXTDZ($A$1,$B7,DW$1)</f>
        <v>538</v>
      </c>
      <c r="DX7" s="116" cm="1">
        <f t="array" ref="DX7">_xll.EQNXTDZ($A$1,$B7,DX$1)</f>
        <v>511.39</v>
      </c>
      <c r="DY7" s="116" cm="1">
        <f t="array" ref="DY7">_xll.EQNXTDZ($A$1,$B7,DY$1)</f>
        <v>465.95</v>
      </c>
      <c r="DZ7" s="116" cm="1">
        <f t="array" ref="DZ7">_xll.EQNXTDZ($A$1,$B7,DZ$1)</f>
        <v>468</v>
      </c>
      <c r="EA7" s="116" cm="1">
        <f t="array" ref="EA7">_xll.EQNXTDZ($A$1,$B7,EA$1)</f>
        <v>466.2</v>
      </c>
      <c r="EB7" s="116" cm="1">
        <f t="array" ref="EB7">_xll.EQNXTDZ($A$1,$B7,EB$1)</f>
        <v>471</v>
      </c>
      <c r="EC7" s="116" cm="1">
        <f t="array" ref="EC7">_xll.EQNXTDZ($A$1,$B7,EC$1)</f>
        <v>452.74</v>
      </c>
      <c r="ED7" s="116" cm="1">
        <f t="array" ref="ED7">_xll.EQNXTDZ($A$1,$B7,ED$1)</f>
        <v>445</v>
      </c>
      <c r="EE7" s="116" cm="1">
        <f t="array" ref="EE7">_xll.EQNXTDZ($A$1,$B7,EE$1)</f>
        <v>453</v>
      </c>
      <c r="EF7" s="116" cm="1">
        <f t="array" ref="EF7">_xll.EQNXTDZ($A$1,$B7,EF$1)</f>
        <v>478.56</v>
      </c>
      <c r="EG7" s="116" cm="1">
        <f t="array" ref="EG7">_xll.EQNXTDZ($A$1,$B7,EG$1)</f>
        <v>509.04</v>
      </c>
      <c r="EH7" s="116" cm="1">
        <f t="array" ref="EH7">_xll.EQNXTDZ($A$1,$B7,EH$1)</f>
        <v>533.58000000000004</v>
      </c>
      <c r="EI7" s="116" cm="1">
        <f t="array" ref="EI7">_xll.EQNXTDZ($A$1,$B7,EI$1)</f>
        <v>527.79999999999995</v>
      </c>
      <c r="EJ7" s="116" cm="1">
        <f t="array" ref="EJ7">_xll.EQNXTDZ($A$1,$B7,EJ$1)</f>
        <v>587</v>
      </c>
      <c r="EK7" s="116" cm="1">
        <f t="array" ref="EK7">_xll.EQNXTDZ($A$1,$B7,EK$1)</f>
        <v>597.6</v>
      </c>
      <c r="EL7" s="116" cm="1">
        <f t="array" ref="EL7">_xll.EQNXTDZ($A$1,$B7,EL$1)</f>
        <v>586.97</v>
      </c>
      <c r="EM7" s="116" cm="1">
        <f t="array" ref="EM7">_xll.EQNXTDZ($A$1,$B7,EM$1)</f>
        <v>648.4</v>
      </c>
      <c r="EN7" s="116" cm="1">
        <f t="array" ref="EN7">_xll.EQNXTDZ($A$1,$B7,EN$1)</f>
        <v>629.98</v>
      </c>
      <c r="EO7" s="116" cm="1">
        <f t="array" ref="EO7">_xll.EQNXTDZ($A$1,$B7,EO$1)</f>
        <v>668</v>
      </c>
      <c r="EP7" s="116" cm="1">
        <f t="array" ref="EP7">_xll.EQNXTDZ($A$1,$B7,EP$1)</f>
        <v>727.29</v>
      </c>
      <c r="EQ7" s="116" cm="1">
        <f t="array" ref="EQ7">_xll.EQNXTDZ($A$1,$B7,EQ$1)</f>
        <v>767.6</v>
      </c>
      <c r="ER7" s="116" cm="1">
        <f t="array" ref="ER7">_xll.EQNXTDZ($A$1,$B7,ER$1)</f>
        <v>982</v>
      </c>
      <c r="ES7" s="116" cm="1">
        <f t="array" ref="ES7">_xll.EQNXTDZ($A$1,$B7,ES$1)</f>
        <v>927.78</v>
      </c>
      <c r="ET7" s="116" cm="1">
        <f t="array" ref="ET7">_xll.EQNXTDZ($A$1,$B7,ET$1)</f>
        <v>954.75</v>
      </c>
      <c r="EU7" s="116" cm="1">
        <f t="array" ref="EU7">_xll.EQNXTDZ($A$1,$B7,EU$1)</f>
        <v>993.97</v>
      </c>
      <c r="EV7" s="116" cm="1">
        <f t="array" ref="EV7">_xll.EQNXTDZ($A$1,$B7,EV$1)</f>
        <v>1019.76</v>
      </c>
      <c r="EW7" s="116" cm="1">
        <f t="array" ref="EW7">_xll.EQNXTDZ($A$1,$B7,EW$1)</f>
        <v>1073.5</v>
      </c>
      <c r="EX7" s="116" cm="1">
        <f t="array" ref="EX7">_xll.EQNXTDZ($A$1,$B7,EX$1)</f>
        <v>1057.57</v>
      </c>
      <c r="EY7" s="116" cm="1">
        <f t="array" ref="EY7">_xll.EQNXTDZ($A$1,$B7,EY$1)</f>
        <v>759.6</v>
      </c>
      <c r="EZ7" s="116" cm="1">
        <f t="array" ref="EZ7">_xll.EQNXTDZ($A$1,$B7,EZ$1)</f>
        <v>775.57</v>
      </c>
      <c r="FA7" s="116" cm="1">
        <f t="array" ref="FA7">_xll.EQNXTDZ($A$1,$B7,FA$1)</f>
        <v>825.4</v>
      </c>
      <c r="FB7" s="116" cm="1">
        <f t="array" ref="FB7">_xll.EQNXTDZ($A$1,$B7,FB$1)</f>
        <v>808.34</v>
      </c>
      <c r="FC7" s="116" cm="1">
        <f t="array" ref="FC7">_xll.EQNXTDZ($A$1,$B7,FC$1)</f>
        <v>875</v>
      </c>
      <c r="FD7" s="116" cm="1">
        <f t="array" ref="FD7">_xll.EQNXTDZ($A$1,$B7,FD$1)</f>
        <v>863.66</v>
      </c>
      <c r="FE7" s="116" cm="1">
        <f t="array" ref="FE7">_xll.EQNXTDZ($A$1,$B7,FE$1)</f>
        <v>784.78</v>
      </c>
      <c r="FF7" s="116" cm="1">
        <f t="array" ref="FF7">_xll.EQNXTDZ($A$1,$B7,FF$1)</f>
        <v>829.4</v>
      </c>
      <c r="FG7" s="116" cm="1">
        <f t="array" ref="FG7">_xll.EQNXTDZ($A$1,$B7,FG$1)</f>
        <v>804</v>
      </c>
      <c r="FH7" s="116" cm="1">
        <f t="array" ref="FH7">_xll.EQNXTDZ($A$1,$B7,FH$1)</f>
        <v>813</v>
      </c>
      <c r="FI7" s="116" cm="1">
        <f t="array" ref="FI7">_xll.EQNXTDZ($A$1,$B7,FI$1)</f>
        <v>795.6</v>
      </c>
      <c r="FJ7" s="116" cm="1">
        <f t="array" ref="FJ7">_xll.EQNXTDZ($A$1,$B7,FJ$1)</f>
        <v>765.9</v>
      </c>
      <c r="FK7" s="116" cm="1">
        <f t="array" ref="FK7">_xll.EQNXTDZ($A$1,$B7,FK$1)</f>
        <v>748.5</v>
      </c>
      <c r="FL7" s="116" cm="1">
        <f t="array" ref="FL7">_xll.EQNXTDZ($A$1,$B7,FL$1)</f>
        <v>682</v>
      </c>
      <c r="FM7" s="116" cm="1">
        <f t="array" ref="FM7">_xll.EQNXTDZ($A$1,$B7,FM$1)</f>
        <v>778.05</v>
      </c>
      <c r="FN7" s="116" cm="1">
        <f t="array" ref="FN7">_xll.EQNXTDZ($A$1,$B7,FN$1)</f>
        <v>844.9</v>
      </c>
      <c r="FO7" s="116" cm="1">
        <f t="array" ref="FO7">_xll.EQNXTDZ($A$1,$B7,FO$1)</f>
        <v>794.25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378</v>
      </c>
      <c r="IX7" s="116">
        <f>+MAX(DB7:DD7)</f>
        <v>404.66</v>
      </c>
      <c r="IY7" s="116">
        <f>+MAX(DE7:DG7)</f>
        <v>589</v>
      </c>
      <c r="IZ7" s="116">
        <f>+MAX(DH7:DJ7)</f>
        <v>813.48</v>
      </c>
      <c r="JA7" s="116">
        <f>+MAX(DK7:DM7)</f>
        <v>650</v>
      </c>
      <c r="JB7" s="116">
        <f>+MAX(DN7:DP7)</f>
        <v>594.29999999999995</v>
      </c>
      <c r="JC7" s="116">
        <f>+MAX(DQ7:DS7)</f>
        <v>536.54999999999995</v>
      </c>
      <c r="JD7" s="116">
        <f>+MAX(DT7:DV7)</f>
        <v>528</v>
      </c>
      <c r="JE7" s="116">
        <f>+MAX(DW7:DY7)</f>
        <v>538</v>
      </c>
      <c r="JF7" s="116">
        <f>+MAX(DZ7:EB7)</f>
        <v>471</v>
      </c>
      <c r="JG7" s="116">
        <f>+MAX(EC7:EE7)</f>
        <v>453</v>
      </c>
      <c r="JH7" s="116">
        <f>+MAX(EF7:EH7)</f>
        <v>533.58000000000004</v>
      </c>
      <c r="JI7" s="116">
        <f>+MAX(EI7:EK7)</f>
        <v>597.6</v>
      </c>
      <c r="JJ7" s="116">
        <f>+MAX(EL7:EN7)</f>
        <v>648.4</v>
      </c>
      <c r="JK7" s="116">
        <f>MAX(EO7:EQ7)</f>
        <v>767.6</v>
      </c>
      <c r="JL7" s="116">
        <f>MAX(ER7:ET7)</f>
        <v>982</v>
      </c>
      <c r="JM7" s="116">
        <f>MAX(EU7:EW7)</f>
        <v>1073.5</v>
      </c>
      <c r="JN7" s="116">
        <f>MAX(EX7:EZ7)</f>
        <v>1057.57</v>
      </c>
      <c r="JO7" s="116">
        <f>MAX(FA7:FC7)</f>
        <v>875</v>
      </c>
      <c r="JP7" s="116">
        <f>MAX(FD7:FF7)</f>
        <v>863.66</v>
      </c>
      <c r="JQ7" s="116">
        <f>MAX(FG7:FI7)</f>
        <v>813</v>
      </c>
      <c r="JR7" s="116">
        <f>MAX(FJ7:FL7)</f>
        <v>765.9</v>
      </c>
      <c r="JS7" s="116">
        <f>MAX(FM7:FO7)</f>
        <v>844.9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258.60000000000002</v>
      </c>
      <c r="CZ8" s="116" cm="1">
        <f t="array" ref="CZ8">_xll.EQNXTDZ($A$1,$B8,CZ$1)</f>
        <v>252</v>
      </c>
      <c r="DA8" s="116" cm="1">
        <f t="array" ref="DA8">_xll.EQNXTDZ($A$1,$B8,DA$1)</f>
        <v>285.13</v>
      </c>
      <c r="DB8" s="116" cm="1">
        <f t="array" ref="DB8">_xll.EQNXTDZ($A$1,$B8,DB$1)</f>
        <v>350.4</v>
      </c>
      <c r="DC8" s="116" cm="1">
        <f t="array" ref="DC8">_xll.EQNXTDZ($A$1,$B8,DC$1)</f>
        <v>340.2</v>
      </c>
      <c r="DD8" s="116" cm="1">
        <f t="array" ref="DD8">_xll.EQNXTDZ($A$1,$B8,DD$1)</f>
        <v>348.3</v>
      </c>
      <c r="DE8" s="116" cm="1">
        <f t="array" ref="DE8">_xll.EQNXTDZ($A$1,$B8,DE$1)</f>
        <v>354.3</v>
      </c>
      <c r="DF8" s="116" cm="1">
        <f t="array" ref="DF8">_xll.EQNXTDZ($A$1,$B8,DF$1)</f>
        <v>440</v>
      </c>
      <c r="DG8" s="116" cm="1">
        <f t="array" ref="DG8">_xll.EQNXTDZ($A$1,$B8,DG$1)</f>
        <v>498.2</v>
      </c>
      <c r="DH8" s="116" cm="1">
        <f t="array" ref="DH8">_xll.EQNXTDZ($A$1,$B8,DH$1)</f>
        <v>552.52</v>
      </c>
      <c r="DI8" s="116" cm="1">
        <f t="array" ref="DI8">_xll.EQNXTDZ($A$1,$B8,DI$1)</f>
        <v>560.20000000000005</v>
      </c>
      <c r="DJ8" s="116" cm="1">
        <f t="array" ref="DJ8">_xll.EQNXTDZ($A$1,$B8,DJ$1)</f>
        <v>604</v>
      </c>
      <c r="DK8" s="116" cm="1">
        <f t="array" ref="DK8">_xll.EQNXTDZ($A$1,$B8,DK$1)</f>
        <v>580</v>
      </c>
      <c r="DL8" s="116" cm="1">
        <f t="array" ref="DL8">_xll.EQNXTDZ($A$1,$B8,DL$1)</f>
        <v>576.79999999999995</v>
      </c>
      <c r="DM8" s="116" cm="1">
        <f t="array" ref="DM8">_xll.EQNXTDZ($A$1,$B8,DM$1)</f>
        <v>512.01</v>
      </c>
      <c r="DN8" s="116" cm="1">
        <f t="array" ref="DN8">_xll.EQNXTDZ($A$1,$B8,DN$1)</f>
        <v>510.25</v>
      </c>
      <c r="DO8" s="116" cm="1">
        <f t="array" ref="DO8">_xll.EQNXTDZ($A$1,$B8,DO$1)</f>
        <v>446</v>
      </c>
      <c r="DP8" s="116" cm="1">
        <f t="array" ref="DP8">_xll.EQNXTDZ($A$1,$B8,DP$1)</f>
        <v>458.4</v>
      </c>
      <c r="DQ8" s="116" cm="1">
        <f t="array" ref="DQ8">_xll.EQNXTDZ($A$1,$B8,DQ$1)</f>
        <v>464.16</v>
      </c>
      <c r="DR8" s="116" cm="1">
        <f t="array" ref="DR8">_xll.EQNXTDZ($A$1,$B8,DR$1)</f>
        <v>407.43</v>
      </c>
      <c r="DS8" s="116" cm="1">
        <f t="array" ref="DS8">_xll.EQNXTDZ($A$1,$B8,DS$1)</f>
        <v>446.4</v>
      </c>
      <c r="DT8" s="116" cm="1">
        <f t="array" ref="DT8">_xll.EQNXTDZ($A$1,$B8,DT$1)</f>
        <v>430.4</v>
      </c>
      <c r="DU8" s="116" cm="1">
        <f t="array" ref="DU8">_xll.EQNXTDZ($A$1,$B8,DU$1)</f>
        <v>435.41</v>
      </c>
      <c r="DV8" s="116" cm="1">
        <f t="array" ref="DV8">_xll.EQNXTDZ($A$1,$B8,DV$1)</f>
        <v>455</v>
      </c>
      <c r="DW8" s="116" cm="1">
        <f t="array" ref="DW8">_xll.EQNXTDZ($A$1,$B8,DW$1)</f>
        <v>488.61</v>
      </c>
      <c r="DX8" s="116" cm="1">
        <f t="array" ref="DX8">_xll.EQNXTDZ($A$1,$B8,DX$1)</f>
        <v>451</v>
      </c>
      <c r="DY8" s="116" cm="1">
        <f t="array" ref="DY8">_xll.EQNXTDZ($A$1,$B8,DY$1)</f>
        <v>430</v>
      </c>
      <c r="DZ8" s="116" cm="1">
        <f t="array" ref="DZ8">_xll.EQNXTDZ($A$1,$B8,DZ$1)</f>
        <v>437.62</v>
      </c>
      <c r="EA8" s="116" cm="1">
        <f t="array" ref="EA8">_xll.EQNXTDZ($A$1,$B8,EA$1)</f>
        <v>441</v>
      </c>
      <c r="EB8" s="116" cm="1">
        <f t="array" ref="EB8">_xll.EQNXTDZ($A$1,$B8,EB$1)</f>
        <v>402</v>
      </c>
      <c r="EC8" s="116" cm="1">
        <f t="array" ref="EC8">_xll.EQNXTDZ($A$1,$B8,EC$1)</f>
        <v>405.24</v>
      </c>
      <c r="ED8" s="116" cm="1">
        <f t="array" ref="ED8">_xll.EQNXTDZ($A$1,$B8,ED$1)</f>
        <v>408.01</v>
      </c>
      <c r="EE8" s="116" cm="1">
        <f t="array" ref="EE8">_xll.EQNXTDZ($A$1,$B8,EE$1)</f>
        <v>426.4</v>
      </c>
      <c r="EF8" s="116" cm="1">
        <f t="array" ref="EF8">_xll.EQNXTDZ($A$1,$B8,EF$1)</f>
        <v>444.03</v>
      </c>
      <c r="EG8" s="116" cm="1">
        <f t="array" ref="EG8">_xll.EQNXTDZ($A$1,$B8,EG$1)</f>
        <v>461</v>
      </c>
      <c r="EH8" s="116" cm="1">
        <f t="array" ref="EH8">_xll.EQNXTDZ($A$1,$B8,EH$1)</f>
        <v>470.2</v>
      </c>
      <c r="EI8" s="116" cm="1">
        <f t="array" ref="EI8">_xll.EQNXTDZ($A$1,$B8,EI$1)</f>
        <v>448</v>
      </c>
      <c r="EJ8" s="116" cm="1">
        <f t="array" ref="EJ8">_xll.EQNXTDZ($A$1,$B8,EJ$1)</f>
        <v>446</v>
      </c>
      <c r="EK8" s="116" cm="1">
        <f t="array" ref="EK8">_xll.EQNXTDZ($A$1,$B8,EK$1)</f>
        <v>523.61</v>
      </c>
      <c r="EL8" s="116" cm="1">
        <f t="array" ref="EL8">_xll.EQNXTDZ($A$1,$B8,EL$1)</f>
        <v>528.66</v>
      </c>
      <c r="EM8" s="116" cm="1">
        <f t="array" ref="EM8">_xll.EQNXTDZ($A$1,$B8,EM$1)</f>
        <v>555.33000000000004</v>
      </c>
      <c r="EN8" s="116" cm="1">
        <f t="array" ref="EN8">_xll.EQNXTDZ($A$1,$B8,EN$1)</f>
        <v>541.41999999999996</v>
      </c>
      <c r="EO8" s="116" cm="1">
        <f t="array" ref="EO8">_xll.EQNXTDZ($A$1,$B8,EO$1)</f>
        <v>588.41</v>
      </c>
      <c r="EP8" s="116" cm="1">
        <f t="array" ref="EP8">_xll.EQNXTDZ($A$1,$B8,EP$1)</f>
        <v>606.01</v>
      </c>
      <c r="EQ8" s="116" cm="1">
        <f t="array" ref="EQ8">_xll.EQNXTDZ($A$1,$B8,EQ$1)</f>
        <v>610</v>
      </c>
      <c r="ER8" s="116" cm="1">
        <f t="array" ref="ER8">_xll.EQNXTDZ($A$1,$B8,ER$1)</f>
        <v>720.22</v>
      </c>
      <c r="ES8" s="116" cm="1">
        <f t="array" ref="ES8">_xll.EQNXTDZ($A$1,$B8,ES$1)</f>
        <v>770</v>
      </c>
      <c r="ET8" s="116" cm="1">
        <f t="array" ref="ET8">_xll.EQNXTDZ($A$1,$B8,ET$1)</f>
        <v>846.92</v>
      </c>
      <c r="EU8" s="116" cm="1">
        <f t="array" ref="EU8">_xll.EQNXTDZ($A$1,$B8,EU$1)</f>
        <v>810</v>
      </c>
      <c r="EV8" s="116" cm="1">
        <f t="array" ref="EV8">_xll.EQNXTDZ($A$1,$B8,EV$1)</f>
        <v>884</v>
      </c>
      <c r="EW8" s="116" cm="1">
        <f t="array" ref="EW8">_xll.EQNXTDZ($A$1,$B8,EW$1)</f>
        <v>968</v>
      </c>
      <c r="EX8" s="116" cm="1">
        <f t="array" ref="EX8">_xll.EQNXTDZ($A$1,$B8,EX$1)</f>
        <v>710</v>
      </c>
      <c r="EY8" s="116" cm="1">
        <f t="array" ref="EY8">_xll.EQNXTDZ($A$1,$B8,EY$1)</f>
        <v>625.20000000000005</v>
      </c>
      <c r="EZ8" s="116" cm="1">
        <f t="array" ref="EZ8">_xll.EQNXTDZ($A$1,$B8,EZ$1)</f>
        <v>606.21</v>
      </c>
      <c r="FA8" s="116" cm="1">
        <f t="array" ref="FA8">_xll.EQNXTDZ($A$1,$B8,FA$1)</f>
        <v>670</v>
      </c>
      <c r="FB8" s="116" cm="1">
        <f t="array" ref="FB8">_xll.EQNXTDZ($A$1,$B8,FB$1)</f>
        <v>683</v>
      </c>
      <c r="FC8" s="116" cm="1">
        <f t="array" ref="FC8">_xll.EQNXTDZ($A$1,$B8,FC$1)</f>
        <v>780.88</v>
      </c>
      <c r="FD8" s="116" cm="1">
        <f t="array" ref="FD8">_xll.EQNXTDZ($A$1,$B8,FD$1)</f>
        <v>737.08</v>
      </c>
      <c r="FE8" s="116" cm="1">
        <f t="array" ref="FE8">_xll.EQNXTDZ($A$1,$B8,FE$1)</f>
        <v>726.48</v>
      </c>
      <c r="FF8" s="116" cm="1">
        <f t="array" ref="FF8">_xll.EQNXTDZ($A$1,$B8,FF$1)</f>
        <v>742.42</v>
      </c>
      <c r="FG8" s="116" cm="1">
        <f t="array" ref="FG8">_xll.EQNXTDZ($A$1,$B8,FG$1)</f>
        <v>743.62</v>
      </c>
      <c r="FH8" s="116" cm="1">
        <f t="array" ref="FH8">_xll.EQNXTDZ($A$1,$B8,FH$1)</f>
        <v>733.52</v>
      </c>
      <c r="FI8" s="116" cm="1">
        <f t="array" ref="FI8">_xll.EQNXTDZ($A$1,$B8,FI$1)</f>
        <v>722</v>
      </c>
      <c r="FJ8" s="116" cm="1">
        <f t="array" ref="FJ8">_xll.EQNXTDZ($A$1,$B8,FJ$1)</f>
        <v>675.1</v>
      </c>
      <c r="FK8" s="116" cm="1">
        <f t="array" ref="FK8">_xll.EQNXTDZ($A$1,$B8,FK$1)</f>
        <v>652.04999999999995</v>
      </c>
      <c r="FL8" s="116" cm="1">
        <f t="array" ref="FL8">_xll.EQNXTDZ($A$1,$B8,FL$1)</f>
        <v>611.4</v>
      </c>
      <c r="FM8" s="116" cm="1">
        <f t="array" ref="FM8">_xll.EQNXTDZ($A$1,$B8,FM$1)</f>
        <v>630.45000000000005</v>
      </c>
      <c r="FN8" s="116" cm="1">
        <f t="array" ref="FN8">_xll.EQNXTDZ($A$1,$B8,FN$1)</f>
        <v>715.5</v>
      </c>
      <c r="FO8" s="116" cm="1">
        <f t="array" ref="FO8">_xll.EQNXTDZ($A$1,$B8,FO$1)</f>
        <v>720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252</v>
      </c>
      <c r="IX8" s="116">
        <f>+MIN(DB8:DD8)</f>
        <v>340.2</v>
      </c>
      <c r="IY8" s="116">
        <f>+MIN(DE8:DG8)</f>
        <v>354.3</v>
      </c>
      <c r="IZ8" s="116">
        <f>+MIN(DH8:DJ8)</f>
        <v>552.52</v>
      </c>
      <c r="JA8" s="116">
        <f>+MIN(DK8:DM8)</f>
        <v>512.01</v>
      </c>
      <c r="JB8" s="116">
        <f>+MIN(DN8:DP8)</f>
        <v>446</v>
      </c>
      <c r="JC8" s="116">
        <f>+MIN(DQ8:DS8)</f>
        <v>407.43</v>
      </c>
      <c r="JD8" s="116">
        <f>+MIN(DT8:DV8)</f>
        <v>430.4</v>
      </c>
      <c r="JE8" s="116">
        <f>+MIN(DW8:DY8)</f>
        <v>430</v>
      </c>
      <c r="JF8" s="116">
        <f>+MIN(DZ8:EB8)</f>
        <v>402</v>
      </c>
      <c r="JG8" s="116">
        <f>+MIN(EC8:EE8)</f>
        <v>405.24</v>
      </c>
      <c r="JH8" s="116">
        <f>+MIN(EF8:EH8)</f>
        <v>444.03</v>
      </c>
      <c r="JI8" s="116">
        <f>+MIN(EI8:EK8)</f>
        <v>446</v>
      </c>
      <c r="JJ8" s="116">
        <f>+MIN(EL8:EN8)</f>
        <v>528.66</v>
      </c>
      <c r="JK8" s="116">
        <f>MIN(EO8:EQ8)</f>
        <v>588.41</v>
      </c>
      <c r="JL8" s="116">
        <f>MIN(ER8:ET8)</f>
        <v>720.22</v>
      </c>
      <c r="JM8" s="116">
        <f>MIN(EU8:EW8)</f>
        <v>810</v>
      </c>
      <c r="JN8" s="116">
        <f>MIN(EX8:EZ8)</f>
        <v>606.21</v>
      </c>
      <c r="JO8" s="116">
        <f>MIN(FA8:FC8)</f>
        <v>670</v>
      </c>
      <c r="JP8" s="116">
        <f>MIN(FD8:FF8)</f>
        <v>726.48</v>
      </c>
      <c r="JQ8" s="116">
        <f>MIN(FG8:FI8)</f>
        <v>722</v>
      </c>
      <c r="JR8" s="116">
        <f>MIN(FJ8:FL8)</f>
        <v>611.4</v>
      </c>
      <c r="JS8" s="116">
        <f>MIN(FM8:FO8)</f>
        <v>630.45000000000005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259.37</v>
      </c>
      <c r="CZ9" s="116" cm="1">
        <f t="array" ref="CZ9">_xll.EQNXTDZ($A$1,$B9,CZ$1)</f>
        <v>289.02999999999997</v>
      </c>
      <c r="DA9" s="116" cm="1">
        <f t="array" ref="DA9">_xll.EQNXTDZ($A$1,$B9,DA$1)</f>
        <v>361.14</v>
      </c>
      <c r="DB9" s="116" cm="1">
        <f t="array" ref="DB9">_xll.EQNXTDZ($A$1,$B9,DB$1)</f>
        <v>355.35</v>
      </c>
      <c r="DC9" s="116" cm="1">
        <f t="array" ref="DC9">_xll.EQNXTDZ($A$1,$B9,DC$1)</f>
        <v>365.1</v>
      </c>
      <c r="DD9" s="116" cm="1">
        <f t="array" ref="DD9">_xll.EQNXTDZ($A$1,$B9,DD$1)</f>
        <v>369.28</v>
      </c>
      <c r="DE9" s="116" cm="1">
        <f t="array" ref="DE9">_xll.EQNXTDZ($A$1,$B9,DE$1)</f>
        <v>464.65</v>
      </c>
      <c r="DF9" s="116" cm="1">
        <f t="array" ref="DF9">_xll.EQNXTDZ($A$1,$B9,DF$1)</f>
        <v>500.38</v>
      </c>
      <c r="DG9" s="116" cm="1">
        <f t="array" ref="DG9">_xll.EQNXTDZ($A$1,$B9,DG$1)</f>
        <v>558.48</v>
      </c>
      <c r="DH9" s="116" cm="1">
        <f t="array" ref="DH9">_xll.EQNXTDZ($A$1,$B9,DH$1)</f>
        <v>668.15</v>
      </c>
      <c r="DI9" s="116" cm="1">
        <f t="array" ref="DI9">_xll.EQNXTDZ($A$1,$B9,DI$1)</f>
        <v>763.35</v>
      </c>
      <c r="DJ9" s="116" cm="1">
        <f t="array" ref="DJ9">_xll.EQNXTDZ($A$1,$B9,DJ$1)</f>
        <v>606.91</v>
      </c>
      <c r="DK9" s="116" cm="1">
        <f t="array" ref="DK9">_xll.EQNXTDZ($A$1,$B9,DK$1)</f>
        <v>602.41999999999996</v>
      </c>
      <c r="DL9" s="116" cm="1">
        <f t="array" ref="DL9">_xll.EQNXTDZ($A$1,$B9,DL$1)</f>
        <v>615.5</v>
      </c>
      <c r="DM9" s="116" cm="1">
        <f t="array" ref="DM9">_xll.EQNXTDZ($A$1,$B9,DM$1)</f>
        <v>533.22</v>
      </c>
      <c r="DN9" s="116" cm="1">
        <f t="array" ref="DN9">_xll.EQNXTDZ($A$1,$B9,DN$1)</f>
        <v>539.47</v>
      </c>
      <c r="DO9" s="116" cm="1">
        <f t="array" ref="DO9">_xll.EQNXTDZ($A$1,$B9,DO$1)</f>
        <v>498.86</v>
      </c>
      <c r="DP9" s="116" cm="1">
        <f t="array" ref="DP9">_xll.EQNXTDZ($A$1,$B9,DP$1)</f>
        <v>463.17</v>
      </c>
      <c r="DQ9" s="116" cm="1">
        <f t="array" ref="DQ9">_xll.EQNXTDZ($A$1,$B9,DQ$1)</f>
        <v>495.68</v>
      </c>
      <c r="DR9" s="116" cm="1">
        <f t="array" ref="DR9">_xll.EQNXTDZ($A$1,$B9,DR$1)</f>
        <v>465.14</v>
      </c>
      <c r="DS9" s="116" cm="1">
        <f t="array" ref="DS9">_xll.EQNXTDZ($A$1,$B9,DS$1)</f>
        <v>451.55</v>
      </c>
      <c r="DT9" s="116" cm="1">
        <f t="array" ref="DT9">_xll.EQNXTDZ($A$1,$B9,DT$1)</f>
        <v>491.53</v>
      </c>
      <c r="DU9" s="116" cm="1">
        <f t="array" ref="DU9">_xll.EQNXTDZ($A$1,$B9,DU$1)</f>
        <v>460.78</v>
      </c>
      <c r="DV9" s="116" cm="1">
        <f t="array" ref="DV9">_xll.EQNXTDZ($A$1,$B9,DV$1)</f>
        <v>505.48</v>
      </c>
      <c r="DW9" s="116" cm="1">
        <f t="array" ref="DW9">_xll.EQNXTDZ($A$1,$B9,DW$1)</f>
        <v>509.83</v>
      </c>
      <c r="DX9" s="116" cm="1">
        <f t="array" ref="DX9">_xll.EQNXTDZ($A$1,$B9,DX$1)</f>
        <v>459.75</v>
      </c>
      <c r="DY9" s="116" cm="1">
        <f t="array" ref="DY9">_xll.EQNXTDZ($A$1,$B9,DY$1)</f>
        <v>444.33</v>
      </c>
      <c r="DZ9" s="116" cm="1">
        <f t="array" ref="DZ9">_xll.EQNXTDZ($A$1,$B9,DZ$1)</f>
        <v>455.95</v>
      </c>
      <c r="EA9" s="116" cm="1">
        <f t="array" ref="EA9">_xll.EQNXTDZ($A$1,$B9,EA$1)</f>
        <v>452.01</v>
      </c>
      <c r="EB9" s="116" cm="1">
        <f t="array" ref="EB9">_xll.EQNXTDZ($A$1,$B9,EB$1)</f>
        <v>406.19</v>
      </c>
      <c r="EC9" s="116" cm="1">
        <f t="array" ref="EC9">_xll.EQNXTDZ($A$1,$B9,EC$1)</f>
        <v>412.25</v>
      </c>
      <c r="ED9" s="116" cm="1">
        <f t="array" ref="ED9">_xll.EQNXTDZ($A$1,$B9,ED$1)</f>
        <v>443.38</v>
      </c>
      <c r="EE9" s="116" cm="1">
        <f t="array" ref="EE9">_xll.EQNXTDZ($A$1,$B9,EE$1)</f>
        <v>439.71</v>
      </c>
      <c r="EF9" s="116" cm="1">
        <f t="array" ref="EF9">_xll.EQNXTDZ($A$1,$B9,EF$1)</f>
        <v>471.39</v>
      </c>
      <c r="EG9" s="116" cm="1">
        <f t="array" ref="EG9">_xll.EQNXTDZ($A$1,$B9,EG$1)</f>
        <v>475.09</v>
      </c>
      <c r="EH9" s="116" cm="1">
        <f t="array" ref="EH9">_xll.EQNXTDZ($A$1,$B9,EH$1)</f>
        <v>502.11</v>
      </c>
      <c r="EI9" s="116" cm="1">
        <f t="array" ref="EI9">_xll.EQNXTDZ($A$1,$B9,EI$1)</f>
        <v>449.38</v>
      </c>
      <c r="EJ9" s="116" cm="1">
        <f t="array" ref="EJ9">_xll.EQNXTDZ($A$1,$B9,EJ$1)</f>
        <v>560.23</v>
      </c>
      <c r="EK9" s="116" cm="1">
        <f t="array" ref="EK9">_xll.EQNXTDZ($A$1,$B9,EK$1)</f>
        <v>530.28</v>
      </c>
      <c r="EL9" s="116" cm="1">
        <f t="array" ref="EL9">_xll.EQNXTDZ($A$1,$B9,EL$1)</f>
        <v>579.4</v>
      </c>
      <c r="EM9" s="116" cm="1">
        <f t="array" ref="EM9">_xll.EQNXTDZ($A$1,$B9,EM$1)</f>
        <v>614.41999999999996</v>
      </c>
      <c r="EN9" s="116" cm="1">
        <f t="array" ref="EN9">_xll.EQNXTDZ($A$1,$B9,EN$1)</f>
        <v>583.13</v>
      </c>
      <c r="EO9" s="116" cm="1">
        <f t="array" ref="EO9">_xll.EQNXTDZ($A$1,$B9,EO$1)</f>
        <v>640.54</v>
      </c>
      <c r="EP9" s="116" cm="1">
        <f t="array" ref="EP9">_xll.EQNXTDZ($A$1,$B9,EP$1)</f>
        <v>696.02</v>
      </c>
      <c r="EQ9" s="116" cm="1">
        <f t="array" ref="EQ9">_xll.EQNXTDZ($A$1,$B9,EQ$1)</f>
        <v>722.55</v>
      </c>
      <c r="ER9" s="116" cm="1">
        <f t="array" ref="ER9">_xll.EQNXTDZ($A$1,$B9,ER$1)</f>
        <v>906.84</v>
      </c>
      <c r="ES9" s="116" cm="1">
        <f t="array" ref="ES9">_xll.EQNXTDZ($A$1,$B9,ES$1)</f>
        <v>852.25</v>
      </c>
      <c r="ET9" s="116" cm="1">
        <f t="array" ref="ET9">_xll.EQNXTDZ($A$1,$B9,ET$1)</f>
        <v>881.82</v>
      </c>
      <c r="EU9" s="116" cm="1">
        <f t="array" ref="EU9">_xll.EQNXTDZ($A$1,$B9,EU$1)</f>
        <v>888.74</v>
      </c>
      <c r="EV9" s="116" cm="1">
        <f t="array" ref="EV9">_xll.EQNXTDZ($A$1,$B9,EV$1)</f>
        <v>985.68</v>
      </c>
      <c r="EW9" s="116" cm="1">
        <f t="array" ref="EW9">_xll.EQNXTDZ($A$1,$B9,EW$1)</f>
        <v>1015.08</v>
      </c>
      <c r="EX9" s="116" cm="1">
        <f t="array" ref="EX9">_xll.EQNXTDZ($A$1,$B9,EX$1)</f>
        <v>720.7</v>
      </c>
      <c r="EY9" s="116" cm="1">
        <f t="array" ref="EY9">_xll.EQNXTDZ($A$1,$B9,EY$1)</f>
        <v>628.62</v>
      </c>
      <c r="EZ9" s="116" cm="1">
        <f t="array" ref="EZ9">_xll.EQNXTDZ($A$1,$B9,EZ$1)</f>
        <v>744.67</v>
      </c>
      <c r="FA9" s="116" cm="1">
        <f t="array" ref="FA9">_xll.EQNXTDZ($A$1,$B9,FA$1)</f>
        <v>781.26</v>
      </c>
      <c r="FB9" s="116" cm="1">
        <f t="array" ref="FB9">_xll.EQNXTDZ($A$1,$B9,FB$1)</f>
        <v>792.22</v>
      </c>
      <c r="FC9" s="116" cm="1">
        <f t="array" ref="FC9">_xll.EQNXTDZ($A$1,$B9,FC$1)</f>
        <v>858.04</v>
      </c>
      <c r="FD9" s="116" cm="1">
        <f t="array" ref="FD9">_xll.EQNXTDZ($A$1,$B9,FD$1)</f>
        <v>747.36</v>
      </c>
      <c r="FE9" s="116" cm="1">
        <f t="array" ref="FE9">_xll.EQNXTDZ($A$1,$B9,FE$1)</f>
        <v>741.04</v>
      </c>
      <c r="FF9" s="116" cm="1">
        <f t="array" ref="FF9">_xll.EQNXTDZ($A$1,$B9,FF$1)</f>
        <v>751.72</v>
      </c>
      <c r="FG9" s="116" cm="1">
        <f t="array" ref="FG9">_xll.EQNXTDZ($A$1,$B9,FG$1)</f>
        <v>788.26</v>
      </c>
      <c r="FH9" s="116" cm="1">
        <f t="array" ref="FH9">_xll.EQNXTDZ($A$1,$B9,FH$1)</f>
        <v>774.06</v>
      </c>
      <c r="FI9" s="116" cm="1">
        <f t="array" ref="FI9">_xll.EQNXTDZ($A$1,$B9,FI$1)</f>
        <v>740.9</v>
      </c>
      <c r="FJ9" s="116" cm="1">
        <f t="array" ref="FJ9">_xll.EQNXTDZ($A$1,$B9,FJ$1)</f>
        <v>695.05</v>
      </c>
      <c r="FK9" s="116" cm="1">
        <f t="array" ref="FK9">_xll.EQNXTDZ($A$1,$B9,FK$1)</f>
        <v>677.6</v>
      </c>
      <c r="FL9" s="116" cm="1">
        <f t="array" ref="FL9">_xll.EQNXTDZ($A$1,$B9,FL$1)</f>
        <v>625.79999999999995</v>
      </c>
      <c r="FM9" s="116" cm="1">
        <f t="array" ref="FM9">_xll.EQNXTDZ($A$1,$B9,FM$1)</f>
        <v>738.6</v>
      </c>
      <c r="FN9" s="116" cm="1">
        <f t="array" ref="FN9">_xll.EQNXTDZ($A$1,$B9,FN$1)</f>
        <v>791.5</v>
      </c>
      <c r="FO9" s="116" cm="1">
        <f t="array" ref="FO9">_xll.EQNXTDZ($A$1,$B9,FO$1)</f>
        <v>792.2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361.14</v>
      </c>
      <c r="IX9" s="116">
        <f>+DD9</f>
        <v>369.28</v>
      </c>
      <c r="IY9" s="116">
        <f>+DG9</f>
        <v>558.48</v>
      </c>
      <c r="IZ9" s="116">
        <f>+DJ9</f>
        <v>606.91</v>
      </c>
      <c r="JA9" s="116">
        <f>+DM9</f>
        <v>533.22</v>
      </c>
      <c r="JB9" s="116">
        <f>+DP9</f>
        <v>463.17</v>
      </c>
      <c r="JC9" s="116">
        <f>+DS9</f>
        <v>451.55</v>
      </c>
      <c r="JD9" s="116">
        <f>+DV9</f>
        <v>505.48</v>
      </c>
      <c r="JE9" s="116">
        <f>+DY9</f>
        <v>444.33</v>
      </c>
      <c r="JF9" s="116">
        <f>+EB9</f>
        <v>406.19</v>
      </c>
      <c r="JG9" s="116">
        <f>+EE9</f>
        <v>439.71</v>
      </c>
      <c r="JH9" s="116">
        <f>+EH9</f>
        <v>502.11</v>
      </c>
      <c r="JI9" s="116">
        <f>+EK9</f>
        <v>530.28</v>
      </c>
      <c r="JJ9" s="116">
        <f>+EN9</f>
        <v>583.13</v>
      </c>
      <c r="JK9" s="116">
        <f>EQ9</f>
        <v>722.55</v>
      </c>
      <c r="JL9" s="116">
        <f>ET9</f>
        <v>881.82</v>
      </c>
      <c r="JM9" s="116">
        <f>EW9</f>
        <v>1015.08</v>
      </c>
      <c r="JN9" s="116">
        <f>EZ9</f>
        <v>744.67</v>
      </c>
      <c r="JO9" s="116">
        <f>FC9</f>
        <v>858.04</v>
      </c>
      <c r="JP9" s="116">
        <f>FF9</f>
        <v>751.72</v>
      </c>
      <c r="JQ9" s="116">
        <f>FI9</f>
        <v>740.9</v>
      </c>
      <c r="JR9" s="116">
        <f>FL9</f>
        <v>625.79999999999995</v>
      </c>
      <c r="JS9" s="116">
        <f>FO9</f>
        <v>792.2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303.60000000000002</v>
      </c>
      <c r="CZ13" cm="1">
        <f t="array" ref="CZ13">_xll.EQNXTDZ($A$1,$B13,CZ$1)</f>
        <v>259.58999999999997</v>
      </c>
      <c r="DA13" cm="1">
        <f t="array" ref="DA13">_xll.EQNXTDZ($A$1,$B13,DA$1)</f>
        <v>290</v>
      </c>
      <c r="DB13" cm="1">
        <f t="array" ref="DB13">_xll.EQNXTDZ($A$1,$B13,DB$1)</f>
        <v>360.2</v>
      </c>
      <c r="DC13" cm="1">
        <f t="array" ref="DC13">_xll.EQNXTDZ($A$1,$B13,DC$1)</f>
        <v>361.8</v>
      </c>
      <c r="DD13" cm="1">
        <f t="array" ref="DD13">_xll.EQNXTDZ($A$1,$B13,DD$1)</f>
        <v>373</v>
      </c>
      <c r="DE13" cm="1">
        <f t="array" ref="DE13">_xll.EQNXTDZ($A$1,$B13,DE$1)</f>
        <v>370.54</v>
      </c>
      <c r="DF13" cm="1">
        <f t="array" ref="DF13">_xll.EQNXTDZ($A$1,$B13,DF$1)</f>
        <v>460.01</v>
      </c>
      <c r="DG13" cm="1">
        <f t="array" ref="DG13">_xll.EQNXTDZ($A$1,$B13,DG$1)</f>
        <v>508</v>
      </c>
      <c r="DH13" cm="1">
        <f t="array" ref="DH13">_xll.EQNXTDZ($A$1,$B13,DH$1)</f>
        <v>569.55999999999995</v>
      </c>
      <c r="DI13" cm="1">
        <f t="array" ref="DI13">_xll.EQNXTDZ($A$1,$B13,DI$1)</f>
        <v>670.2</v>
      </c>
      <c r="DJ13" cm="1">
        <f t="array" ref="DJ13">_xll.EQNXTDZ($A$1,$B13,DJ$1)</f>
        <v>782.4</v>
      </c>
      <c r="DK13" cm="1">
        <f t="array" ref="DK13">_xll.EQNXTDZ($A$1,$B13,DK$1)</f>
        <v>608</v>
      </c>
      <c r="DL13" cm="1">
        <f t="array" ref="DL13">_xll.EQNXTDZ($A$1,$B13,DL$1)</f>
        <v>600</v>
      </c>
      <c r="DM13" cm="1">
        <f t="array" ref="DM13">_xll.EQNXTDZ($A$1,$B13,DM$1)</f>
        <v>610</v>
      </c>
      <c r="DN13" cm="1">
        <f t="array" ref="DN13">_xll.EQNXTDZ($A$1,$B13,DN$1)</f>
        <v>536</v>
      </c>
      <c r="DO13" cm="1">
        <f t="array" ref="DO13">_xll.EQNXTDZ($A$1,$B13,DO$1)</f>
        <v>541.48</v>
      </c>
      <c r="DP13" cm="1">
        <f t="array" ref="DP13">_xll.EQNXTDZ($A$1,$B13,DP$1)</f>
        <v>494.6</v>
      </c>
      <c r="DQ13" cm="1">
        <f t="array" ref="DQ13">_xll.EQNXTDZ($A$1,$B13,DQ$1)</f>
        <v>463.2</v>
      </c>
      <c r="DR13" cm="1">
        <f t="array" ref="DR13">_xll.EQNXTDZ($A$1,$B13,DR$1)</f>
        <v>494.92</v>
      </c>
      <c r="DS13" cm="1">
        <f t="array" ref="DS13">_xll.EQNXTDZ($A$1,$B13,DS$1)</f>
        <v>465.28</v>
      </c>
      <c r="DT13" cm="1">
        <f t="array" ref="DT13">_xll.EQNXTDZ($A$1,$B13,DT$1)</f>
        <v>454.96</v>
      </c>
      <c r="DU13" cm="1">
        <f t="array" ref="DU13">_xll.EQNXTDZ($A$1,$B13,DU$1)</f>
        <v>499</v>
      </c>
      <c r="DV13" cm="1">
        <f t="array" ref="DV13">_xll.EQNXTDZ($A$1,$B13,DV$1)</f>
        <v>455.58</v>
      </c>
      <c r="DW13" cm="1">
        <f t="array" ref="DW13">_xll.EQNXTDZ($A$1,$B13,DW$1)</f>
        <v>502</v>
      </c>
      <c r="DX13" cm="1">
        <f t="array" ref="DX13">_xll.EQNXTDZ($A$1,$B13,DX$1)</f>
        <v>510.01</v>
      </c>
      <c r="DY13" cm="1">
        <f t="array" ref="DY13">_xll.EQNXTDZ($A$1,$B13,DY$1)</f>
        <v>460.01</v>
      </c>
      <c r="DZ13" cm="1">
        <f t="array" ref="DZ13">_xll.EQNXTDZ($A$1,$B13,DZ$1)</f>
        <v>445</v>
      </c>
      <c r="EA13" cm="1">
        <f t="array" ref="EA13">_xll.EQNXTDZ($A$1,$B13,EA$1)</f>
        <v>455.11</v>
      </c>
      <c r="EB13" cm="1">
        <f t="array" ref="EB13">_xll.EQNXTDZ($A$1,$B13,EB$1)</f>
        <v>448.01</v>
      </c>
      <c r="EC13" cm="1">
        <f t="array" ref="EC13">_xll.EQNXTDZ($A$1,$B13,EC$1)</f>
        <v>406.81</v>
      </c>
      <c r="ED13" cm="1">
        <f t="array" ref="ED13">_xll.EQNXTDZ($A$1,$B13,ED$1)</f>
        <v>413.01</v>
      </c>
      <c r="EE13" cm="1">
        <f t="array" ref="EE13">_xll.EQNXTDZ($A$1,$B13,EE$1)</f>
        <v>444.99</v>
      </c>
      <c r="EF13" cm="1">
        <f t="array" ref="EF13">_xll.EQNXTDZ($A$1,$B13,EF$1)</f>
        <v>445.2</v>
      </c>
      <c r="EG13" cm="1">
        <f t="array" ref="EG13">_xll.EQNXTDZ($A$1,$B13,EG$1)</f>
        <v>474.56</v>
      </c>
      <c r="EH13" cm="1">
        <f t="array" ref="EH13">_xll.EQNXTDZ($A$1,$B13,EH$1)</f>
        <v>472.6</v>
      </c>
      <c r="EI13" cm="1">
        <f t="array" ref="EI13">_xll.EQNXTDZ($A$1,$B13,EI$1)</f>
        <v>502.19</v>
      </c>
      <c r="EJ13" cm="1">
        <f t="array" ref="EJ13">_xll.EQNXTDZ($A$1,$B13,EJ$1)</f>
        <v>451.51</v>
      </c>
      <c r="EK13" cm="1">
        <f t="array" ref="EK13">_xll.EQNXTDZ($A$1,$B13,EK$1)</f>
        <v>561.20000000000005</v>
      </c>
      <c r="EL13" cm="1">
        <f t="array" ref="EL13">_xll.EQNXTDZ($A$1,$B13,EL$1)</f>
        <v>529.01</v>
      </c>
      <c r="EM13" cm="1">
        <f t="array" ref="EM13">_xll.EQNXTDZ($A$1,$B13,EM$1)</f>
        <v>587</v>
      </c>
      <c r="EN13" cm="1">
        <f t="array" ref="EN13">_xll.EQNXTDZ($A$1,$B13,EN$1)</f>
        <v>620</v>
      </c>
      <c r="EO13" cm="1">
        <f t="array" ref="EO13">_xll.EQNXTDZ($A$1,$B13,EO$1)</f>
        <v>589.01</v>
      </c>
      <c r="EP13" cm="1">
        <f t="array" ref="EP13">_xll.EQNXTDZ($A$1,$B13,EP$1)</f>
        <v>643.02</v>
      </c>
      <c r="EQ13" cm="1">
        <f t="array" ref="EQ13">_xll.EQNXTDZ($A$1,$B13,EQ$1)</f>
        <v>711.01</v>
      </c>
      <c r="ER13" cm="1">
        <f t="array" ref="ER13">_xll.EQNXTDZ($A$1,$B13,ER$1)</f>
        <v>728.93</v>
      </c>
      <c r="ES13" cm="1">
        <f t="array" ref="ES13">_xll.EQNXTDZ($A$1,$B13,ES$1)</f>
        <v>905.91</v>
      </c>
      <c r="ET13" cm="1">
        <f t="array" ref="ET13">_xll.EQNXTDZ($A$1,$B13,ET$1)</f>
        <v>853.07</v>
      </c>
      <c r="EU13" cm="1">
        <f t="array" ref="EU13">_xll.EQNXTDZ($A$1,$B13,EU$1)</f>
        <v>882</v>
      </c>
      <c r="EV13" cm="1">
        <f t="array" ref="EV13">_xll.EQNXTDZ($A$1,$B13,EV$1)</f>
        <v>901.79</v>
      </c>
      <c r="EW13" cm="1">
        <f t="array" ref="EW13">_xll.EQNXTDZ($A$1,$B13,EW$1)</f>
        <v>991.01</v>
      </c>
      <c r="EX13" cm="1">
        <f t="array" ref="EX13">_xll.EQNXTDZ($A$1,$B13,EX$1)</f>
        <v>1009</v>
      </c>
      <c r="EY13" cm="1">
        <f t="array" ref="EY13">_xll.EQNXTDZ($A$1,$B13,EY$1)</f>
        <v>729.94</v>
      </c>
      <c r="EZ13" cm="1">
        <f t="array" ref="EZ13">_xll.EQNXTDZ($A$1,$B13,EZ$1)</f>
        <v>635.95000000000005</v>
      </c>
      <c r="FA13" cm="1">
        <f t="array" ref="FA13">_xll.EQNXTDZ($A$1,$B13,FA$1)</f>
        <v>743</v>
      </c>
      <c r="FB13" cm="1">
        <f t="array" ref="FB13">_xll.EQNXTDZ($A$1,$B13,FB$1)</f>
        <v>789.96</v>
      </c>
      <c r="FC13" cm="1">
        <f t="array" ref="FC13">_xll.EQNXTDZ($A$1,$B13,FC$1)</f>
        <v>791.05</v>
      </c>
      <c r="FD13" cm="1">
        <f t="array" ref="FD13">_xll.EQNXTDZ($A$1,$B13,FD$1)</f>
        <v>864.87</v>
      </c>
      <c r="FE13" cm="1">
        <f t="array" ref="FE13">_xll.EQNXTDZ($A$1,$B13,FE$1)</f>
        <v>748.45</v>
      </c>
      <c r="FF13" cm="1">
        <f t="array" ref="FF13">_xll.EQNXTDZ($A$1,$B13,FF$1)</f>
        <v>740.24</v>
      </c>
      <c r="FG13" cm="1">
        <f t="array" ref="FG13">_xll.EQNXTDZ($A$1,$B13,FG$1)</f>
        <v>751.26</v>
      </c>
      <c r="FH13" cm="1">
        <f t="array" ref="FH13">_xll.EQNXTDZ($A$1,$B13,FH$1)</f>
        <v>787.55</v>
      </c>
      <c r="FI13" cm="1">
        <f t="array" ref="FI13">_xll.EQNXTDZ($A$1,$B13,FI$1)</f>
        <v>777.04</v>
      </c>
      <c r="FJ13" cm="1">
        <f t="array" ref="FJ13">_xll.EQNXTDZ($A$1,$B13,FJ$1)</f>
        <v>744.25</v>
      </c>
      <c r="FK13" cm="1">
        <f t="array" ref="FK13">_xll.EQNXTDZ($A$1,$B13,FK$1)</f>
        <v>695.05</v>
      </c>
      <c r="FL13" cm="1">
        <f t="array" ref="FL13">_xll.EQNXTDZ($A$1,$B13,FL$1)</f>
        <v>631</v>
      </c>
      <c r="FM13" cm="1">
        <f t="array" ref="FM13">_xll.EQNXTDZ($A$1,$B13,FM$1)</f>
        <v>634.20000000000005</v>
      </c>
      <c r="FN13" cm="1">
        <f t="array" ref="FN13">_xll.EQNXTDZ($A$1,$B13,FN$1)</f>
        <v>753.2</v>
      </c>
      <c r="FO13" cm="1">
        <f t="array" ref="FO13">_xll.EQNXTDZ($A$1,$B13,FO$1)</f>
        <v>810.3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310</v>
      </c>
      <c r="CZ14" s="116" cm="1">
        <f t="array" ref="CZ14">_xll.EQNXTDZ($A$1,$B14,CZ$1)</f>
        <v>299.8</v>
      </c>
      <c r="DA14" s="116" cm="1">
        <f t="array" ref="DA14">_xll.EQNXTDZ($A$1,$B14,DA$1)</f>
        <v>377.92</v>
      </c>
      <c r="DB14" s="116" cm="1">
        <f t="array" ref="DB14">_xll.EQNXTDZ($A$1,$B14,DB$1)</f>
        <v>373.09</v>
      </c>
      <c r="DC14" s="116" cm="1">
        <f t="array" ref="DC14">_xll.EQNXTDZ($A$1,$B14,DC$1)</f>
        <v>407.99</v>
      </c>
      <c r="DD14" s="116" cm="1">
        <f t="array" ref="DD14">_xll.EQNXTDZ($A$1,$B14,DD$1)</f>
        <v>388.02</v>
      </c>
      <c r="DE14" s="116" cm="1">
        <f t="array" ref="DE14">_xll.EQNXTDZ($A$1,$B14,DE$1)</f>
        <v>485.79</v>
      </c>
      <c r="DF14" s="116" cm="1">
        <f t="array" ref="DF14">_xll.EQNXTDZ($A$1,$B14,DF$1)</f>
        <v>524.11</v>
      </c>
      <c r="DG14" s="116" cm="1">
        <f t="array" ref="DG14">_xll.EQNXTDZ($A$1,$B14,DG$1)</f>
        <v>588.96</v>
      </c>
      <c r="DH14" s="116" cm="1">
        <f t="array" ref="DH14">_xll.EQNXTDZ($A$1,$B14,DH$1)</f>
        <v>748.34</v>
      </c>
      <c r="DI14" s="116" cm="1">
        <f t="array" ref="DI14">_xll.EQNXTDZ($A$1,$B14,DI$1)</f>
        <v>787.79</v>
      </c>
      <c r="DJ14" s="116" cm="1">
        <f t="array" ref="DJ14">_xll.EQNXTDZ($A$1,$B14,DJ$1)</f>
        <v>812.8</v>
      </c>
      <c r="DK14" s="116" cm="1">
        <f t="array" ref="DK14">_xll.EQNXTDZ($A$1,$B14,DK$1)</f>
        <v>641.97</v>
      </c>
      <c r="DL14" s="116" cm="1">
        <f t="array" ref="DL14">_xll.EQNXTDZ($A$1,$B14,DL$1)</f>
        <v>650</v>
      </c>
      <c r="DM14" s="116" cm="1">
        <f t="array" ref="DM14">_xll.EQNXTDZ($A$1,$B14,DM$1)</f>
        <v>615.77</v>
      </c>
      <c r="DN14" s="116" cm="1">
        <f t="array" ref="DN14">_xll.EQNXTDZ($A$1,$B14,DN$1)</f>
        <v>597</v>
      </c>
      <c r="DO14" s="116" cm="1">
        <f t="array" ref="DO14">_xll.EQNXTDZ($A$1,$B14,DO$1)</f>
        <v>589.37</v>
      </c>
      <c r="DP14" s="116" cm="1">
        <f t="array" ref="DP14">_xll.EQNXTDZ($A$1,$B14,DP$1)</f>
        <v>509</v>
      </c>
      <c r="DQ14" s="116" cm="1">
        <f t="array" ref="DQ14">_xll.EQNXTDZ($A$1,$B14,DQ$1)</f>
        <v>536</v>
      </c>
      <c r="DR14" s="116" cm="1">
        <f t="array" ref="DR14">_xll.EQNXTDZ($A$1,$B14,DR$1)</f>
        <v>496</v>
      </c>
      <c r="DS14" s="116" cm="1">
        <f t="array" ref="DS14">_xll.EQNXTDZ($A$1,$B14,DS$1)</f>
        <v>531.19000000000005</v>
      </c>
      <c r="DT14" s="116" cm="1">
        <f t="array" ref="DT14">_xll.EQNXTDZ($A$1,$B14,DT$1)</f>
        <v>494</v>
      </c>
      <c r="DU14" s="116" cm="1">
        <f t="array" ref="DU14">_xll.EQNXTDZ($A$1,$B14,DU$1)</f>
        <v>499.72</v>
      </c>
      <c r="DV14" s="116" cm="1">
        <f t="array" ref="DV14">_xll.EQNXTDZ($A$1,$B14,DV$1)</f>
        <v>529.99</v>
      </c>
      <c r="DW14" s="116" cm="1">
        <f t="array" ref="DW14">_xll.EQNXTDZ($A$1,$B14,DW$1)</f>
        <v>537.79999999999995</v>
      </c>
      <c r="DX14" s="116" cm="1">
        <f t="array" ref="DX14">_xll.EQNXTDZ($A$1,$B14,DX$1)</f>
        <v>510.28</v>
      </c>
      <c r="DY14" s="116" cm="1">
        <f t="array" ref="DY14">_xll.EQNXTDZ($A$1,$B14,DY$1)</f>
        <v>466.12</v>
      </c>
      <c r="DZ14" s="116" cm="1">
        <f t="array" ref="DZ14">_xll.EQNXTDZ($A$1,$B14,DZ$1)</f>
        <v>467.99</v>
      </c>
      <c r="EA14" s="116" cm="1">
        <f t="array" ref="EA14">_xll.EQNXTDZ($A$1,$B14,EA$1)</f>
        <v>465.96</v>
      </c>
      <c r="EB14" s="116" cm="1">
        <f t="array" ref="EB14">_xll.EQNXTDZ($A$1,$B14,EB$1)</f>
        <v>471.58</v>
      </c>
      <c r="EC14" s="116" cm="1">
        <f t="array" ref="EC14">_xll.EQNXTDZ($A$1,$B14,EC$1)</f>
        <v>452.6</v>
      </c>
      <c r="ED14" s="116" cm="1">
        <f t="array" ref="ED14">_xll.EQNXTDZ($A$1,$B14,ED$1)</f>
        <v>444.53</v>
      </c>
      <c r="EE14" s="116" cm="1">
        <f t="array" ref="EE14">_xll.EQNXTDZ($A$1,$B14,EE$1)</f>
        <v>452.8</v>
      </c>
      <c r="EF14" s="116" cm="1">
        <f t="array" ref="EF14">_xll.EQNXTDZ($A$1,$B14,EF$1)</f>
        <v>478.76</v>
      </c>
      <c r="EG14" s="116" cm="1">
        <f t="array" ref="EG14">_xll.EQNXTDZ($A$1,$B14,EG$1)</f>
        <v>508.61</v>
      </c>
      <c r="EH14" s="116" cm="1">
        <f t="array" ref="EH14">_xll.EQNXTDZ($A$1,$B14,EH$1)</f>
        <v>533.20000000000005</v>
      </c>
      <c r="EI14" s="116" cm="1">
        <f t="array" ref="EI14">_xll.EQNXTDZ($A$1,$B14,EI$1)</f>
        <v>527.6</v>
      </c>
      <c r="EJ14" s="116" cm="1">
        <f t="array" ref="EJ14">_xll.EQNXTDZ($A$1,$B14,EJ$1)</f>
        <v>587.51</v>
      </c>
      <c r="EK14" s="116" cm="1">
        <f t="array" ref="EK14">_xll.EQNXTDZ($A$1,$B14,EK$1)</f>
        <v>597.86</v>
      </c>
      <c r="EL14" s="116" cm="1">
        <f t="array" ref="EL14">_xll.EQNXTDZ($A$1,$B14,EL$1)</f>
        <v>586.78</v>
      </c>
      <c r="EM14" s="116" cm="1">
        <f t="array" ref="EM14">_xll.EQNXTDZ($A$1,$B14,EM$1)</f>
        <v>648</v>
      </c>
      <c r="EN14" s="116" cm="1">
        <f t="array" ref="EN14">_xll.EQNXTDZ($A$1,$B14,EN$1)</f>
        <v>629.6</v>
      </c>
      <c r="EO14" s="116" cm="1">
        <f t="array" ref="EO14">_xll.EQNXTDZ($A$1,$B14,EO$1)</f>
        <v>667.8</v>
      </c>
      <c r="EP14" s="116" cm="1">
        <f t="array" ref="EP14">_xll.EQNXTDZ($A$1,$B14,EP$1)</f>
        <v>727</v>
      </c>
      <c r="EQ14" s="116" cm="1">
        <f t="array" ref="EQ14">_xll.EQNXTDZ($A$1,$B14,EQ$1)</f>
        <v>767.06</v>
      </c>
      <c r="ER14" s="116" cm="1">
        <f t="array" ref="ER14">_xll.EQNXTDZ($A$1,$B14,ER$1)</f>
        <v>982.23</v>
      </c>
      <c r="ES14" s="116" cm="1">
        <f t="array" ref="ES14">_xll.EQNXTDZ($A$1,$B14,ES$1)</f>
        <v>927.07</v>
      </c>
      <c r="ET14" s="116" cm="1">
        <f t="array" ref="ET14">_xll.EQNXTDZ($A$1,$B14,ET$1)</f>
        <v>954</v>
      </c>
      <c r="EU14" s="116" cm="1">
        <f t="array" ref="EU14">_xll.EQNXTDZ($A$1,$B14,EU$1)</f>
        <v>993.33</v>
      </c>
      <c r="EV14" s="116" cm="1">
        <f t="array" ref="EV14">_xll.EQNXTDZ($A$1,$B14,EV$1)</f>
        <v>1019.13</v>
      </c>
      <c r="EW14" s="116" cm="1">
        <f t="array" ref="EW14">_xll.EQNXTDZ($A$1,$B14,EW$1)</f>
        <v>1073.49</v>
      </c>
      <c r="EX14" s="116" cm="1">
        <f t="array" ref="EX14">_xll.EQNXTDZ($A$1,$B14,EX$1)</f>
        <v>1057.5999999999999</v>
      </c>
      <c r="EY14" s="116" cm="1">
        <f t="array" ref="EY14">_xll.EQNXTDZ($A$1,$B14,EY$1)</f>
        <v>764.25</v>
      </c>
      <c r="EZ14" s="116" cm="1">
        <f t="array" ref="EZ14">_xll.EQNXTDZ($A$1,$B14,EZ$1)</f>
        <v>775.6</v>
      </c>
      <c r="FA14" s="116" cm="1">
        <f t="array" ref="FA14">_xll.EQNXTDZ($A$1,$B14,FA$1)</f>
        <v>824.84</v>
      </c>
      <c r="FB14" s="116" cm="1">
        <f t="array" ref="FB14">_xll.EQNXTDZ($A$1,$B14,FB$1)</f>
        <v>808.62</v>
      </c>
      <c r="FC14" s="116" cm="1">
        <f t="array" ref="FC14">_xll.EQNXTDZ($A$1,$B14,FC$1)</f>
        <v>875</v>
      </c>
      <c r="FD14" s="116" cm="1">
        <f t="array" ref="FD14">_xll.EQNXTDZ($A$1,$B14,FD$1)</f>
        <v>864.87</v>
      </c>
      <c r="FE14" s="116" cm="1">
        <f t="array" ref="FE14">_xll.EQNXTDZ($A$1,$B14,FE$1)</f>
        <v>784.94</v>
      </c>
      <c r="FF14" s="116" cm="1">
        <f t="array" ref="FF14">_xll.EQNXTDZ($A$1,$B14,FF$1)</f>
        <v>829.01</v>
      </c>
      <c r="FG14" s="116" cm="1">
        <f t="array" ref="FG14">_xll.EQNXTDZ($A$1,$B14,FG$1)</f>
        <v>803.79</v>
      </c>
      <c r="FH14" s="116" cm="1">
        <f t="array" ref="FH14">_xll.EQNXTDZ($A$1,$B14,FH$1)</f>
        <v>813</v>
      </c>
      <c r="FI14" s="116" cm="1">
        <f t="array" ref="FI14">_xll.EQNXTDZ($A$1,$B14,FI$1)</f>
        <v>796.6</v>
      </c>
      <c r="FJ14" s="116" cm="1">
        <f t="array" ref="FJ14">_xll.EQNXTDZ($A$1,$B14,FJ$1)</f>
        <v>765.8</v>
      </c>
      <c r="FK14" s="116" cm="1">
        <f t="array" ref="FK14">_xll.EQNXTDZ($A$1,$B14,FK$1)</f>
        <v>748.3</v>
      </c>
      <c r="FL14" s="116" cm="1">
        <f t="array" ref="FL14">_xll.EQNXTDZ($A$1,$B14,FL$1)</f>
        <v>681.95</v>
      </c>
      <c r="FM14" s="116" cm="1">
        <f t="array" ref="FM14">_xll.EQNXTDZ($A$1,$B14,FM$1)</f>
        <v>777.6</v>
      </c>
      <c r="FN14" s="116" cm="1">
        <f t="array" ref="FN14">_xll.EQNXTDZ($A$1,$B14,FN$1)</f>
        <v>844.8</v>
      </c>
      <c r="FO14" s="116" cm="1">
        <f t="array" ref="FO14">_xll.EQNXTDZ($A$1,$B14,FO$1)</f>
        <v>810.3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377.92</v>
      </c>
      <c r="IX14" s="116">
        <f>+MAX(DB14:DD14)</f>
        <v>407.99</v>
      </c>
      <c r="IY14" s="116">
        <f>+MAX(DE14:DG14)</f>
        <v>588.96</v>
      </c>
      <c r="IZ14" s="116">
        <f>+MAX(DH14:DJ14)</f>
        <v>812.8</v>
      </c>
      <c r="JA14" s="116">
        <f>+MAX(DK14:DM14)</f>
        <v>650</v>
      </c>
      <c r="JB14" s="116">
        <f>+MAX(DN14:DP14)</f>
        <v>597</v>
      </c>
      <c r="JC14" s="116">
        <f>+MAX(DQ14:DS14)</f>
        <v>536</v>
      </c>
      <c r="JD14" s="116">
        <f>+MAX(DT14:DV14)</f>
        <v>529.99</v>
      </c>
      <c r="JE14" s="116">
        <f>+MAX(DW14:DY14)</f>
        <v>537.79999999999995</v>
      </c>
      <c r="JF14" s="116">
        <f>+MAX(DZ14:EB14)</f>
        <v>471.58</v>
      </c>
      <c r="JG14" s="116">
        <f>+MAX(EC14:EE14)</f>
        <v>452.8</v>
      </c>
      <c r="JH14" s="116">
        <f>+MAX(EF14:EH14)</f>
        <v>533.20000000000005</v>
      </c>
      <c r="JI14" s="116">
        <f>+MAX(EI14:EK14)</f>
        <v>597.86</v>
      </c>
      <c r="JJ14" s="116">
        <f>+MAX(EL14:EN14)</f>
        <v>648</v>
      </c>
      <c r="JK14" s="116">
        <f>MAX(EO14:EQ14)</f>
        <v>767.06</v>
      </c>
      <c r="JL14" s="116">
        <f>MAX(ER14:ET14)</f>
        <v>982.23</v>
      </c>
      <c r="JM14" s="116">
        <f>MAX(EU14:EW14)</f>
        <v>1073.49</v>
      </c>
      <c r="JN14" s="116">
        <f>MAX(EX14:EZ14)</f>
        <v>1057.5999999999999</v>
      </c>
      <c r="JO14" s="116">
        <f>MAX(FA14:FC14)</f>
        <v>875</v>
      </c>
      <c r="JP14" s="116">
        <f>MAX(FD14:FF14)</f>
        <v>864.87</v>
      </c>
      <c r="JQ14" s="116">
        <f>MAX(FG14:FI14)</f>
        <v>813</v>
      </c>
      <c r="JR14" s="116">
        <f>MAX(FJ14:FL14)</f>
        <v>765.8</v>
      </c>
      <c r="JS14" s="116">
        <f>MAX(FM14:FO14)</f>
        <v>844.8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258.8</v>
      </c>
      <c r="CZ15" s="116" cm="1">
        <f t="array" ref="CZ15">_xll.EQNXTDZ($A$1,$B15,CZ$1)</f>
        <v>252</v>
      </c>
      <c r="DA15" s="116" cm="1">
        <f t="array" ref="DA15">_xll.EQNXTDZ($A$1,$B15,DA$1)</f>
        <v>287.39</v>
      </c>
      <c r="DB15" s="116" cm="1">
        <f t="array" ref="DB15">_xll.EQNXTDZ($A$1,$B15,DB$1)</f>
        <v>350.41</v>
      </c>
      <c r="DC15" s="116" cm="1">
        <f t="array" ref="DC15">_xll.EQNXTDZ($A$1,$B15,DC$1)</f>
        <v>340.05</v>
      </c>
      <c r="DD15" s="116" cm="1">
        <f t="array" ref="DD15">_xll.EQNXTDZ($A$1,$B15,DD$1)</f>
        <v>350.2</v>
      </c>
      <c r="DE15" s="116" cm="1">
        <f t="array" ref="DE15">_xll.EQNXTDZ($A$1,$B15,DE$1)</f>
        <v>354.54</v>
      </c>
      <c r="DF15" s="116" cm="1">
        <f t="array" ref="DF15">_xll.EQNXTDZ($A$1,$B15,DF$1)</f>
        <v>440.17</v>
      </c>
      <c r="DG15" s="116" cm="1">
        <f t="array" ref="DG15">_xll.EQNXTDZ($A$1,$B15,DG$1)</f>
        <v>498.39</v>
      </c>
      <c r="DH15" s="116" cm="1">
        <f t="array" ref="DH15">_xll.EQNXTDZ($A$1,$B15,DH$1)</f>
        <v>552.6</v>
      </c>
      <c r="DI15" s="116" cm="1">
        <f t="array" ref="DI15">_xll.EQNXTDZ($A$1,$B15,DI$1)</f>
        <v>560.20000000000005</v>
      </c>
      <c r="DJ15" s="116" cm="1">
        <f t="array" ref="DJ15">_xll.EQNXTDZ($A$1,$B15,DJ$1)</f>
        <v>604</v>
      </c>
      <c r="DK15" s="116" cm="1">
        <f t="array" ref="DK15">_xll.EQNXTDZ($A$1,$B15,DK$1)</f>
        <v>575</v>
      </c>
      <c r="DL15" s="116" cm="1">
        <f t="array" ref="DL15">_xll.EQNXTDZ($A$1,$B15,DL$1)</f>
        <v>575.26</v>
      </c>
      <c r="DM15" s="116" cm="1">
        <f t="array" ref="DM15">_xll.EQNXTDZ($A$1,$B15,DM$1)</f>
        <v>512</v>
      </c>
      <c r="DN15" s="116" cm="1">
        <f t="array" ref="DN15">_xll.EQNXTDZ($A$1,$B15,DN$1)</f>
        <v>510.5</v>
      </c>
      <c r="DO15" s="116" cm="1">
        <f t="array" ref="DO15">_xll.EQNXTDZ($A$1,$B15,DO$1)</f>
        <v>446.21</v>
      </c>
      <c r="DP15" s="116" cm="1">
        <f t="array" ref="DP15">_xll.EQNXTDZ($A$1,$B15,DP$1)</f>
        <v>458.26</v>
      </c>
      <c r="DQ15" s="116" cm="1">
        <f t="array" ref="DQ15">_xll.EQNXTDZ($A$1,$B15,DQ$1)</f>
        <v>463.2</v>
      </c>
      <c r="DR15" s="116" cm="1">
        <f t="array" ref="DR15">_xll.EQNXTDZ($A$1,$B15,DR$1)</f>
        <v>407.8</v>
      </c>
      <c r="DS15" s="116" cm="1">
        <f t="array" ref="DS15">_xll.EQNXTDZ($A$1,$B15,DS$1)</f>
        <v>446.5</v>
      </c>
      <c r="DT15" s="116" cm="1">
        <f t="array" ref="DT15">_xll.EQNXTDZ($A$1,$B15,DT$1)</f>
        <v>430.8</v>
      </c>
      <c r="DU15" s="116" cm="1">
        <f t="array" ref="DU15">_xll.EQNXTDZ($A$1,$B15,DU$1)</f>
        <v>435</v>
      </c>
      <c r="DV15" s="116" cm="1">
        <f t="array" ref="DV15">_xll.EQNXTDZ($A$1,$B15,DV$1)</f>
        <v>454.2</v>
      </c>
      <c r="DW15" s="116" cm="1">
        <f t="array" ref="DW15">_xll.EQNXTDZ($A$1,$B15,DW$1)</f>
        <v>488</v>
      </c>
      <c r="DX15" s="116" cm="1">
        <f t="array" ref="DX15">_xll.EQNXTDZ($A$1,$B15,DX$1)</f>
        <v>450.62</v>
      </c>
      <c r="DY15" s="116" cm="1">
        <f t="array" ref="DY15">_xll.EQNXTDZ($A$1,$B15,DY$1)</f>
        <v>430.57</v>
      </c>
      <c r="DZ15" s="116" cm="1">
        <f t="array" ref="DZ15">_xll.EQNXTDZ($A$1,$B15,DZ$1)</f>
        <v>438</v>
      </c>
      <c r="EA15" s="116" cm="1">
        <f t="array" ref="EA15">_xll.EQNXTDZ($A$1,$B15,EA$1)</f>
        <v>442.41</v>
      </c>
      <c r="EB15" s="116" cm="1">
        <f t="array" ref="EB15">_xll.EQNXTDZ($A$1,$B15,EB$1)</f>
        <v>400.42</v>
      </c>
      <c r="EC15" s="116" cm="1">
        <f t="array" ref="EC15">_xll.EQNXTDZ($A$1,$B15,EC$1)</f>
        <v>401.5</v>
      </c>
      <c r="ED15" s="116" cm="1">
        <f t="array" ref="ED15">_xll.EQNXTDZ($A$1,$B15,ED$1)</f>
        <v>407.05</v>
      </c>
      <c r="EE15" s="116" cm="1">
        <f t="array" ref="EE15">_xll.EQNXTDZ($A$1,$B15,EE$1)</f>
        <v>426.6</v>
      </c>
      <c r="EF15" s="116" cm="1">
        <f t="array" ref="EF15">_xll.EQNXTDZ($A$1,$B15,EF$1)</f>
        <v>444.39</v>
      </c>
      <c r="EG15" s="116" cm="1">
        <f t="array" ref="EG15">_xll.EQNXTDZ($A$1,$B15,EG$1)</f>
        <v>460.92</v>
      </c>
      <c r="EH15" s="116" cm="1">
        <f t="array" ref="EH15">_xll.EQNXTDZ($A$1,$B15,EH$1)</f>
        <v>470.36</v>
      </c>
      <c r="EI15" s="116" cm="1">
        <f t="array" ref="EI15">_xll.EQNXTDZ($A$1,$B15,EI$1)</f>
        <v>448.22</v>
      </c>
      <c r="EJ15" s="116" cm="1">
        <f t="array" ref="EJ15">_xll.EQNXTDZ($A$1,$B15,EJ$1)</f>
        <v>446.42</v>
      </c>
      <c r="EK15" s="116" cm="1">
        <f t="array" ref="EK15">_xll.EQNXTDZ($A$1,$B15,EK$1)</f>
        <v>523.29999999999995</v>
      </c>
      <c r="EL15" s="116" cm="1">
        <f t="array" ref="EL15">_xll.EQNXTDZ($A$1,$B15,EL$1)</f>
        <v>528.89</v>
      </c>
      <c r="EM15" s="116" cm="1">
        <f t="array" ref="EM15">_xll.EQNXTDZ($A$1,$B15,EM$1)</f>
        <v>556</v>
      </c>
      <c r="EN15" s="116" cm="1">
        <f t="array" ref="EN15">_xll.EQNXTDZ($A$1,$B15,EN$1)</f>
        <v>541.39</v>
      </c>
      <c r="EO15" s="116" cm="1">
        <f t="array" ref="EO15">_xll.EQNXTDZ($A$1,$B15,EO$1)</f>
        <v>589.01</v>
      </c>
      <c r="EP15" s="116" cm="1">
        <f t="array" ref="EP15">_xll.EQNXTDZ($A$1,$B15,EP$1)</f>
        <v>607.23</v>
      </c>
      <c r="EQ15" s="116" cm="1">
        <f t="array" ref="EQ15">_xll.EQNXTDZ($A$1,$B15,EQ$1)</f>
        <v>608.67999999999995</v>
      </c>
      <c r="ER15" s="116" cm="1">
        <f t="array" ref="ER15">_xll.EQNXTDZ($A$1,$B15,ER$1)</f>
        <v>719.89</v>
      </c>
      <c r="ES15" s="116" cm="1">
        <f t="array" ref="ES15">_xll.EQNXTDZ($A$1,$B15,ES$1)</f>
        <v>770.24</v>
      </c>
      <c r="ET15" s="116" cm="1">
        <f t="array" ref="ET15">_xll.EQNXTDZ($A$1,$B15,ET$1)</f>
        <v>846.81</v>
      </c>
      <c r="EU15" s="116" cm="1">
        <f t="array" ref="EU15">_xll.EQNXTDZ($A$1,$B15,EU$1)</f>
        <v>809.81</v>
      </c>
      <c r="EV15" s="116" cm="1">
        <f t="array" ref="EV15">_xll.EQNXTDZ($A$1,$B15,EV$1)</f>
        <v>884.01</v>
      </c>
      <c r="EW15" s="116" cm="1">
        <f t="array" ref="EW15">_xll.EQNXTDZ($A$1,$B15,EW$1)</f>
        <v>968.34</v>
      </c>
      <c r="EX15" s="116" cm="1">
        <f t="array" ref="EX15">_xll.EQNXTDZ($A$1,$B15,EX$1)</f>
        <v>710</v>
      </c>
      <c r="EY15" s="116" cm="1">
        <f t="array" ref="EY15">_xll.EQNXTDZ($A$1,$B15,EY$1)</f>
        <v>625.4</v>
      </c>
      <c r="EZ15" s="116" cm="1">
        <f t="array" ref="EZ15">_xll.EQNXTDZ($A$1,$B15,EZ$1)</f>
        <v>606</v>
      </c>
      <c r="FA15" s="116" cm="1">
        <f t="array" ref="FA15">_xll.EQNXTDZ($A$1,$B15,FA$1)</f>
        <v>663</v>
      </c>
      <c r="FB15" s="116" cm="1">
        <f t="array" ref="FB15">_xll.EQNXTDZ($A$1,$B15,FB$1)</f>
        <v>683.4</v>
      </c>
      <c r="FC15" s="116" cm="1">
        <f t="array" ref="FC15">_xll.EQNXTDZ($A$1,$B15,FC$1)</f>
        <v>780.6</v>
      </c>
      <c r="FD15" s="116" cm="1">
        <f t="array" ref="FD15">_xll.EQNXTDZ($A$1,$B15,FD$1)</f>
        <v>737.86</v>
      </c>
      <c r="FE15" s="116" cm="1">
        <f t="array" ref="FE15">_xll.EQNXTDZ($A$1,$B15,FE$1)</f>
        <v>726.48</v>
      </c>
      <c r="FF15" s="116" cm="1">
        <f t="array" ref="FF15">_xll.EQNXTDZ($A$1,$B15,FF$1)</f>
        <v>740.24</v>
      </c>
      <c r="FG15" s="116" cm="1">
        <f t="array" ref="FG15">_xll.EQNXTDZ($A$1,$B15,FG$1)</f>
        <v>743.68</v>
      </c>
      <c r="FH15" s="116" cm="1">
        <f t="array" ref="FH15">_xll.EQNXTDZ($A$1,$B15,FH$1)</f>
        <v>733.62</v>
      </c>
      <c r="FI15" s="116" cm="1">
        <f t="array" ref="FI15">_xll.EQNXTDZ($A$1,$B15,FI$1)</f>
        <v>728.25</v>
      </c>
      <c r="FJ15" s="116" cm="1">
        <f t="array" ref="FJ15">_xll.EQNXTDZ($A$1,$B15,FJ$1)</f>
        <v>676.05</v>
      </c>
      <c r="FK15" s="116" cm="1">
        <f t="array" ref="FK15">_xll.EQNXTDZ($A$1,$B15,FK$1)</f>
        <v>652.25</v>
      </c>
      <c r="FL15" s="116" cm="1">
        <f t="array" ref="FL15">_xll.EQNXTDZ($A$1,$B15,FL$1)</f>
        <v>611.70000000000005</v>
      </c>
      <c r="FM15" s="116" cm="1">
        <f t="array" ref="FM15">_xll.EQNXTDZ($A$1,$B15,FM$1)</f>
        <v>630.70000000000005</v>
      </c>
      <c r="FN15" s="116" cm="1">
        <f t="array" ref="FN15">_xll.EQNXTDZ($A$1,$B15,FN$1)</f>
        <v>715.8</v>
      </c>
      <c r="FO15" s="116" cm="1">
        <f t="array" ref="FO15">_xll.EQNXTDZ($A$1,$B15,FO$1)</f>
        <v>720.25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252</v>
      </c>
      <c r="IX15" s="116">
        <f>+MIN(DB15:DD15)</f>
        <v>340.05</v>
      </c>
      <c r="IY15" s="116">
        <f>+MIN(DE15:DG15)</f>
        <v>354.54</v>
      </c>
      <c r="IZ15" s="116">
        <f>+MIN(DH15:DJ15)</f>
        <v>552.6</v>
      </c>
      <c r="JA15" s="116">
        <f>+MIN(DK15:DM15)</f>
        <v>512</v>
      </c>
      <c r="JB15" s="116">
        <f>+MIN(DN15:DP15)</f>
        <v>446.21</v>
      </c>
      <c r="JC15" s="116">
        <f>+MIN(DQ15:DS15)</f>
        <v>407.8</v>
      </c>
      <c r="JD15" s="116">
        <f>+MIN(DT15:DV15)</f>
        <v>430.8</v>
      </c>
      <c r="JE15" s="116">
        <f>+MIN(DW15:DY15)</f>
        <v>430.57</v>
      </c>
      <c r="JF15" s="116">
        <f>+MIN(DZ15:EB15)</f>
        <v>400.42</v>
      </c>
      <c r="JG15" s="116">
        <f>+MIN(EC15:EE15)</f>
        <v>401.5</v>
      </c>
      <c r="JH15" s="116">
        <f>+MIN(EF15:EH15)</f>
        <v>444.39</v>
      </c>
      <c r="JI15" s="116">
        <f>+MIN(EI15:EK15)</f>
        <v>446.42</v>
      </c>
      <c r="JJ15" s="116">
        <f>+MIN(EL15:EN15)</f>
        <v>528.89</v>
      </c>
      <c r="JK15" s="116">
        <f>MIN(EO15:EQ15)</f>
        <v>589.01</v>
      </c>
      <c r="JL15" s="116">
        <f>MIN(ER15:ET15)</f>
        <v>719.89</v>
      </c>
      <c r="JM15" s="116">
        <f>MIN(EU15:EW15)</f>
        <v>809.81</v>
      </c>
      <c r="JN15" s="116">
        <f>MIN(EX15:EZ15)</f>
        <v>606</v>
      </c>
      <c r="JO15" s="116">
        <f>MIN(FA15:FC15)</f>
        <v>663</v>
      </c>
      <c r="JP15" s="116">
        <f>MIN(FD15:FF15)</f>
        <v>726.48</v>
      </c>
      <c r="JQ15" s="116">
        <f>MIN(FG15:FI15)</f>
        <v>728.25</v>
      </c>
      <c r="JR15" s="116">
        <f>MIN(FJ15:FL15)</f>
        <v>611.70000000000005</v>
      </c>
      <c r="JS15" s="116">
        <f>MIN(FM15:FO15)</f>
        <v>630.70000000000005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259.58999999999997</v>
      </c>
      <c r="CZ16" s="116" cm="1">
        <f t="array" ref="CZ16">_xll.EQNXTDZ($A$1,$B16,CZ$1)</f>
        <v>288.82</v>
      </c>
      <c r="DA16" s="116" cm="1">
        <f t="array" ref="DA16">_xll.EQNXTDZ($A$1,$B16,DA$1)</f>
        <v>361.09</v>
      </c>
      <c r="DB16" s="116" cm="1">
        <f t="array" ref="DB16">_xll.EQNXTDZ($A$1,$B16,DB$1)</f>
        <v>355.42</v>
      </c>
      <c r="DC16" s="116" cm="1">
        <f t="array" ref="DC16">_xll.EQNXTDZ($A$1,$B16,DC$1)</f>
        <v>364.97</v>
      </c>
      <c r="DD16" s="116" cm="1">
        <f t="array" ref="DD16">_xll.EQNXTDZ($A$1,$B16,DD$1)</f>
        <v>370.54</v>
      </c>
      <c r="DE16" s="116" cm="1">
        <f t="array" ref="DE16">_xll.EQNXTDZ($A$1,$B16,DE$1)</f>
        <v>464.76</v>
      </c>
      <c r="DF16" s="116" cm="1">
        <f t="array" ref="DF16">_xll.EQNXTDZ($A$1,$B16,DF$1)</f>
        <v>500.3</v>
      </c>
      <c r="DG16" s="116" cm="1">
        <f t="array" ref="DG16">_xll.EQNXTDZ($A$1,$B16,DG$1)</f>
        <v>557.91</v>
      </c>
      <c r="DH16" s="116" cm="1">
        <f t="array" ref="DH16">_xll.EQNXTDZ($A$1,$B16,DH$1)</f>
        <v>668.89</v>
      </c>
      <c r="DI16" s="116" cm="1">
        <f t="array" ref="DI16">_xll.EQNXTDZ($A$1,$B16,DI$1)</f>
        <v>763.76</v>
      </c>
      <c r="DJ16" s="116" cm="1">
        <f t="array" ref="DJ16">_xll.EQNXTDZ($A$1,$B16,DJ$1)</f>
        <v>607.04999999999995</v>
      </c>
      <c r="DK16" s="116" cm="1">
        <f t="array" ref="DK16">_xll.EQNXTDZ($A$1,$B16,DK$1)</f>
        <v>602.59</v>
      </c>
      <c r="DL16" s="116" cm="1">
        <f t="array" ref="DL16">_xll.EQNXTDZ($A$1,$B16,DL$1)</f>
        <v>613.11</v>
      </c>
      <c r="DM16" s="116" cm="1">
        <f t="array" ref="DM16">_xll.EQNXTDZ($A$1,$B16,DM$1)</f>
        <v>533.4</v>
      </c>
      <c r="DN16" s="116" cm="1">
        <f t="array" ref="DN16">_xll.EQNXTDZ($A$1,$B16,DN$1)</f>
        <v>539.58000000000004</v>
      </c>
      <c r="DO16" s="116" cm="1">
        <f t="array" ref="DO16">_xll.EQNXTDZ($A$1,$B16,DO$1)</f>
        <v>499.37</v>
      </c>
      <c r="DP16" s="116" cm="1">
        <f t="array" ref="DP16">_xll.EQNXTDZ($A$1,$B16,DP$1)</f>
        <v>462.84</v>
      </c>
      <c r="DQ16" s="116" cm="1">
        <f t="array" ref="DQ16">_xll.EQNXTDZ($A$1,$B16,DQ$1)</f>
        <v>494.92</v>
      </c>
      <c r="DR16" s="116" cm="1">
        <f t="array" ref="DR16">_xll.EQNXTDZ($A$1,$B16,DR$1)</f>
        <v>465.28</v>
      </c>
      <c r="DS16" s="116" cm="1">
        <f t="array" ref="DS16">_xll.EQNXTDZ($A$1,$B16,DS$1)</f>
        <v>451.47</v>
      </c>
      <c r="DT16" s="116" cm="1">
        <f t="array" ref="DT16">_xll.EQNXTDZ($A$1,$B16,DT$1)</f>
        <v>491.2</v>
      </c>
      <c r="DU16" s="116" cm="1">
        <f t="array" ref="DU16">_xll.EQNXTDZ($A$1,$B16,DU$1)</f>
        <v>461.03</v>
      </c>
      <c r="DV16" s="116" cm="1">
        <f t="array" ref="DV16">_xll.EQNXTDZ($A$1,$B16,DV$1)</f>
        <v>504.83</v>
      </c>
      <c r="DW16" s="116" cm="1">
        <f t="array" ref="DW16">_xll.EQNXTDZ($A$1,$B16,DW$1)</f>
        <v>509.71</v>
      </c>
      <c r="DX16" s="116" cm="1">
        <f t="array" ref="DX16">_xll.EQNXTDZ($A$1,$B16,DX$1)</f>
        <v>459.89</v>
      </c>
      <c r="DY16" s="116" cm="1">
        <f t="array" ref="DY16">_xll.EQNXTDZ($A$1,$B16,DY$1)</f>
        <v>444.08</v>
      </c>
      <c r="DZ16" s="116" cm="1">
        <f t="array" ref="DZ16">_xll.EQNXTDZ($A$1,$B16,DZ$1)</f>
        <v>455.09</v>
      </c>
      <c r="EA16" s="116" cm="1">
        <f t="array" ref="EA16">_xll.EQNXTDZ($A$1,$B16,EA$1)</f>
        <v>451.81</v>
      </c>
      <c r="EB16" s="116" cm="1">
        <f t="array" ref="EB16">_xll.EQNXTDZ($A$1,$B16,EB$1)</f>
        <v>406.38</v>
      </c>
      <c r="EC16" s="116" cm="1">
        <f t="array" ref="EC16">_xll.EQNXTDZ($A$1,$B16,EC$1)</f>
        <v>412.4</v>
      </c>
      <c r="ED16" s="116" cm="1">
        <f t="array" ref="ED16">_xll.EQNXTDZ($A$1,$B16,ED$1)</f>
        <v>443.04</v>
      </c>
      <c r="EE16" s="116" cm="1">
        <f t="array" ref="EE16">_xll.EQNXTDZ($A$1,$B16,EE$1)</f>
        <v>439.91</v>
      </c>
      <c r="EF16" s="116" cm="1">
        <f t="array" ref="EF16">_xll.EQNXTDZ($A$1,$B16,EF$1)</f>
        <v>472.25</v>
      </c>
      <c r="EG16" s="116" cm="1">
        <f t="array" ref="EG16">_xll.EQNXTDZ($A$1,$B16,EG$1)</f>
        <v>475.19</v>
      </c>
      <c r="EH16" s="116" cm="1">
        <f t="array" ref="EH16">_xll.EQNXTDZ($A$1,$B16,EH$1)</f>
        <v>502.19</v>
      </c>
      <c r="EI16" s="116" cm="1">
        <f t="array" ref="EI16">_xll.EQNXTDZ($A$1,$B16,EI$1)</f>
        <v>449.74</v>
      </c>
      <c r="EJ16" s="116" cm="1">
        <f t="array" ref="EJ16">_xll.EQNXTDZ($A$1,$B16,EJ$1)</f>
        <v>561.21</v>
      </c>
      <c r="EK16" s="116" cm="1">
        <f t="array" ref="EK16">_xll.EQNXTDZ($A$1,$B16,EK$1)</f>
        <v>530.51</v>
      </c>
      <c r="EL16" s="116" cm="1">
        <f t="array" ref="EL16">_xll.EQNXTDZ($A$1,$B16,EL$1)</f>
        <v>579.22</v>
      </c>
      <c r="EM16" s="116" cm="1">
        <f t="array" ref="EM16">_xll.EQNXTDZ($A$1,$B16,EM$1)</f>
        <v>613.47</v>
      </c>
      <c r="EN16" s="116" cm="1">
        <f t="array" ref="EN16">_xll.EQNXTDZ($A$1,$B16,EN$1)</f>
        <v>583.07000000000005</v>
      </c>
      <c r="EO16" s="116" cm="1">
        <f t="array" ref="EO16">_xll.EQNXTDZ($A$1,$B16,EO$1)</f>
        <v>640.89</v>
      </c>
      <c r="EP16" s="116" cm="1">
        <f t="array" ref="EP16">_xll.EQNXTDZ($A$1,$B16,EP$1)</f>
        <v>695.84</v>
      </c>
      <c r="EQ16" s="116" cm="1">
        <f t="array" ref="EQ16">_xll.EQNXTDZ($A$1,$B16,EQ$1)</f>
        <v>722.51</v>
      </c>
      <c r="ER16" s="116" cm="1">
        <f t="array" ref="ER16">_xll.EQNXTDZ($A$1,$B16,ER$1)</f>
        <v>907.06</v>
      </c>
      <c r="ES16" s="116" cm="1">
        <f t="array" ref="ES16">_xll.EQNXTDZ($A$1,$B16,ES$1)</f>
        <v>852.36</v>
      </c>
      <c r="ET16" s="116" cm="1">
        <f t="array" ref="ET16">_xll.EQNXTDZ($A$1,$B16,ET$1)</f>
        <v>881.64</v>
      </c>
      <c r="EU16" s="116" cm="1">
        <f t="array" ref="EU16">_xll.EQNXTDZ($A$1,$B16,EU$1)</f>
        <v>888.21</v>
      </c>
      <c r="EV16" s="116" cm="1">
        <f t="array" ref="EV16">_xll.EQNXTDZ($A$1,$B16,EV$1)</f>
        <v>985.06</v>
      </c>
      <c r="EW16" s="116" cm="1">
        <f t="array" ref="EW16">_xll.EQNXTDZ($A$1,$B16,EW$1)</f>
        <v>1015.11</v>
      </c>
      <c r="EX16" s="116" cm="1">
        <f t="array" ref="EX16">_xll.EQNXTDZ($A$1,$B16,EX$1)</f>
        <v>720.99</v>
      </c>
      <c r="EY16" s="116" cm="1">
        <f t="array" ref="EY16">_xll.EQNXTDZ($A$1,$B16,EY$1)</f>
        <v>628.70000000000005</v>
      </c>
      <c r="EZ16" s="116" cm="1">
        <f t="array" ref="EZ16">_xll.EQNXTDZ($A$1,$B16,EZ$1)</f>
        <v>743</v>
      </c>
      <c r="FA16" s="116" cm="1">
        <f t="array" ref="FA16">_xll.EQNXTDZ($A$1,$B16,FA$1)</f>
        <v>780.48</v>
      </c>
      <c r="FB16" s="116" cm="1">
        <f t="array" ref="FB16">_xll.EQNXTDZ($A$1,$B16,FB$1)</f>
        <v>792.46</v>
      </c>
      <c r="FC16" s="116" cm="1">
        <f t="array" ref="FC16">_xll.EQNXTDZ($A$1,$B16,FC$1)</f>
        <v>859.89</v>
      </c>
      <c r="FD16" s="116" cm="1">
        <f t="array" ref="FD16">_xll.EQNXTDZ($A$1,$B16,FD$1)</f>
        <v>749.07</v>
      </c>
      <c r="FE16" s="116" cm="1">
        <f t="array" ref="FE16">_xll.EQNXTDZ($A$1,$B16,FE$1)</f>
        <v>741.12</v>
      </c>
      <c r="FF16" s="116" cm="1">
        <f t="array" ref="FF16">_xll.EQNXTDZ($A$1,$B16,FF$1)</f>
        <v>751.98</v>
      </c>
      <c r="FG16" s="116" cm="1">
        <f t="array" ref="FG16">_xll.EQNXTDZ($A$1,$B16,FG$1)</f>
        <v>787.3</v>
      </c>
      <c r="FH16" s="116" cm="1">
        <f t="array" ref="FH16">_xll.EQNXTDZ($A$1,$B16,FH$1)</f>
        <v>774.78</v>
      </c>
      <c r="FI16" s="116" cm="1">
        <f t="array" ref="FI16">_xll.EQNXTDZ($A$1,$B16,FI$1)</f>
        <v>740.95</v>
      </c>
      <c r="FJ16" s="116" cm="1">
        <f t="array" ref="FJ16">_xll.EQNXTDZ($A$1,$B16,FJ$1)</f>
        <v>694.8</v>
      </c>
      <c r="FK16" s="116" cm="1">
        <f t="array" ref="FK16">_xll.EQNXTDZ($A$1,$B16,FK$1)</f>
        <v>678</v>
      </c>
      <c r="FL16" s="116" cm="1">
        <f t="array" ref="FL16">_xll.EQNXTDZ($A$1,$B16,FL$1)</f>
        <v>625.9</v>
      </c>
      <c r="FM16" s="116" cm="1">
        <f t="array" ref="FM16">_xll.EQNXTDZ($A$1,$B16,FM$1)</f>
        <v>738.4</v>
      </c>
      <c r="FN16" s="116" cm="1">
        <f t="array" ref="FN16">_xll.EQNXTDZ($A$1,$B16,FN$1)</f>
        <v>791.1</v>
      </c>
      <c r="FO16" s="116" cm="1">
        <f t="array" ref="FO16">_xll.EQNXTDZ($A$1,$B16,FO$1)</f>
        <v>790.95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361.09</v>
      </c>
      <c r="IX16" s="116">
        <f>+DD16</f>
        <v>370.54</v>
      </c>
      <c r="IY16" s="116">
        <f>+DG16</f>
        <v>557.91</v>
      </c>
      <c r="IZ16" s="116">
        <f>+DJ16</f>
        <v>607.04999999999995</v>
      </c>
      <c r="JA16" s="116">
        <f>+DM16</f>
        <v>533.4</v>
      </c>
      <c r="JB16" s="116">
        <f>+DP16</f>
        <v>462.84</v>
      </c>
      <c r="JC16" s="116">
        <f>+DS16</f>
        <v>451.47</v>
      </c>
      <c r="JD16" s="116">
        <f>+DV16</f>
        <v>504.83</v>
      </c>
      <c r="JE16" s="116">
        <f>+DY16</f>
        <v>444.08</v>
      </c>
      <c r="JF16" s="116">
        <f>+EB16</f>
        <v>406.38</v>
      </c>
      <c r="JG16" s="116">
        <f>+EE16</f>
        <v>439.91</v>
      </c>
      <c r="JH16" s="116">
        <f>+EH16</f>
        <v>502.19</v>
      </c>
      <c r="JI16" s="116">
        <f>+EK16</f>
        <v>530.51</v>
      </c>
      <c r="JJ16" s="116">
        <f>+EN16</f>
        <v>583.07000000000005</v>
      </c>
      <c r="JK16" s="116">
        <f>EQ16</f>
        <v>722.51</v>
      </c>
      <c r="JL16" s="116">
        <f>ET16</f>
        <v>881.64</v>
      </c>
      <c r="JM16" s="116">
        <f>EW16</f>
        <v>1015.11</v>
      </c>
      <c r="JN16" s="116">
        <f>EZ16</f>
        <v>743</v>
      </c>
      <c r="JO16" s="116">
        <f>FC16</f>
        <v>859.89</v>
      </c>
      <c r="JP16" s="116">
        <f>FF16</f>
        <v>751.98</v>
      </c>
      <c r="JQ16" s="116">
        <f>FI16</f>
        <v>740.95</v>
      </c>
      <c r="JR16" s="116">
        <f>FL16</f>
        <v>625.9</v>
      </c>
      <c r="JS16" s="116">
        <f>FO16</f>
        <v>790.95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377.92</v>
      </c>
      <c r="IX19" s="116">
        <f t="shared" si="1"/>
        <v>407.99</v>
      </c>
      <c r="IY19" s="116">
        <f t="shared" si="1"/>
        <v>588.96</v>
      </c>
      <c r="IZ19" s="116">
        <f t="shared" si="1"/>
        <v>812.8</v>
      </c>
      <c r="JA19" s="116">
        <f t="shared" si="1"/>
        <v>650</v>
      </c>
      <c r="JB19" s="116">
        <f t="shared" si="1"/>
        <v>597</v>
      </c>
      <c r="JC19" s="116">
        <f t="shared" si="1"/>
        <v>536</v>
      </c>
      <c r="JD19" s="116">
        <f t="shared" si="1"/>
        <v>529.99</v>
      </c>
      <c r="JE19" s="116">
        <f t="shared" si="1"/>
        <v>537.79999999999995</v>
      </c>
      <c r="JF19" s="116">
        <f t="shared" si="1"/>
        <v>471.58</v>
      </c>
      <c r="JG19" s="116">
        <f t="shared" si="1"/>
        <v>452.8</v>
      </c>
      <c r="JH19" s="116">
        <f t="shared" si="1"/>
        <v>533.20000000000005</v>
      </c>
      <c r="JI19" s="116">
        <f t="shared" si="1"/>
        <v>597.86</v>
      </c>
      <c r="JJ19" s="116">
        <f t="shared" ref="JJ19:JJ21" si="2">+IF(JJ14=0,JJ7,JJ14)</f>
        <v>648</v>
      </c>
      <c r="JK19" s="116">
        <f t="shared" ref="JK19" si="3">+IF(JK14=0,JK7,JK14)</f>
        <v>767.06</v>
      </c>
      <c r="JL19" s="116">
        <f t="shared" ref="JL19:JM19" si="4">+IF(JL14=0,JL7,JL14)</f>
        <v>982.23</v>
      </c>
      <c r="JM19" s="116">
        <f t="shared" si="4"/>
        <v>1073.49</v>
      </c>
      <c r="JN19" s="116">
        <f t="shared" ref="JN19:JO19" si="5">+IF(JN14=0,JN7,JN14)</f>
        <v>1057.5999999999999</v>
      </c>
      <c r="JO19" s="116">
        <f t="shared" si="5"/>
        <v>875</v>
      </c>
      <c r="JP19" s="116">
        <f t="shared" ref="JP19" si="6">+IF(JP14=0,JP7,JP14)</f>
        <v>864.87</v>
      </c>
      <c r="JQ19" s="116">
        <f t="shared" ref="JQ19:KH19" si="7">+IF(JQ14=0,JQ7,JQ14)</f>
        <v>813</v>
      </c>
      <c r="JR19" s="116">
        <f t="shared" si="7"/>
        <v>765.8</v>
      </c>
      <c r="JS19" s="116">
        <f t="shared" si="7"/>
        <v>844.8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252</v>
      </c>
      <c r="IX20" s="116">
        <f t="shared" si="1"/>
        <v>340.05</v>
      </c>
      <c r="IY20" s="116">
        <f t="shared" si="1"/>
        <v>354.54</v>
      </c>
      <c r="IZ20" s="116">
        <f t="shared" si="1"/>
        <v>552.6</v>
      </c>
      <c r="JA20" s="116">
        <f t="shared" si="1"/>
        <v>512</v>
      </c>
      <c r="JB20" s="116">
        <f t="shared" si="1"/>
        <v>446.21</v>
      </c>
      <c r="JC20" s="116">
        <f t="shared" si="1"/>
        <v>407.8</v>
      </c>
      <c r="JD20" s="116">
        <f t="shared" si="1"/>
        <v>430.8</v>
      </c>
      <c r="JE20" s="116">
        <f t="shared" si="1"/>
        <v>430.57</v>
      </c>
      <c r="JF20" s="116">
        <f t="shared" si="1"/>
        <v>400.42</v>
      </c>
      <c r="JG20" s="116">
        <f t="shared" si="1"/>
        <v>401.5</v>
      </c>
      <c r="JH20" s="116">
        <f t="shared" si="1"/>
        <v>444.39</v>
      </c>
      <c r="JI20" s="116">
        <f t="shared" si="1"/>
        <v>446.42</v>
      </c>
      <c r="JJ20" s="116">
        <f t="shared" si="2"/>
        <v>528.89</v>
      </c>
      <c r="JK20" s="116">
        <f t="shared" ref="JK20" si="9">+IF(JK15=0,JK8,JK15)</f>
        <v>589.01</v>
      </c>
      <c r="JL20" s="116">
        <f t="shared" ref="JL20:JM20" si="10">+IF(JL15=0,JL8,JL15)</f>
        <v>719.89</v>
      </c>
      <c r="JM20" s="116">
        <f t="shared" si="10"/>
        <v>809.81</v>
      </c>
      <c r="JN20" s="116">
        <f t="shared" ref="JN20:JO20" si="11">+IF(JN15=0,JN8,JN15)</f>
        <v>606</v>
      </c>
      <c r="JO20" s="116">
        <f t="shared" si="11"/>
        <v>663</v>
      </c>
      <c r="JP20" s="116">
        <f t="shared" ref="JP20" si="12">+IF(JP15=0,JP8,JP15)</f>
        <v>726.48</v>
      </c>
      <c r="JQ20" s="116">
        <f t="shared" ref="JQ20:KH20" si="13">+IF(JQ15=0,JQ8,JQ15)</f>
        <v>728.25</v>
      </c>
      <c r="JR20" s="116">
        <f t="shared" si="13"/>
        <v>611.70000000000005</v>
      </c>
      <c r="JS20" s="116">
        <f t="shared" si="13"/>
        <v>630.70000000000005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361.09</v>
      </c>
      <c r="IX21" s="116">
        <f t="shared" si="1"/>
        <v>370.54</v>
      </c>
      <c r="IY21" s="116">
        <f t="shared" si="1"/>
        <v>557.91</v>
      </c>
      <c r="IZ21" s="116">
        <f t="shared" si="1"/>
        <v>607.04999999999995</v>
      </c>
      <c r="JA21" s="116">
        <f t="shared" si="1"/>
        <v>533.4</v>
      </c>
      <c r="JB21" s="116">
        <f t="shared" si="1"/>
        <v>462.84</v>
      </c>
      <c r="JC21" s="116">
        <f t="shared" si="1"/>
        <v>451.47</v>
      </c>
      <c r="JD21" s="116">
        <f t="shared" si="1"/>
        <v>504.83</v>
      </c>
      <c r="JE21" s="116">
        <f t="shared" si="1"/>
        <v>444.08</v>
      </c>
      <c r="JF21" s="116">
        <f t="shared" si="1"/>
        <v>406.38</v>
      </c>
      <c r="JG21" s="116">
        <f t="shared" si="1"/>
        <v>439.91</v>
      </c>
      <c r="JH21" s="116">
        <f t="shared" si="1"/>
        <v>502.19</v>
      </c>
      <c r="JI21" s="116">
        <f t="shared" si="1"/>
        <v>530.51</v>
      </c>
      <c r="JJ21" s="116">
        <f t="shared" si="2"/>
        <v>583.07000000000005</v>
      </c>
      <c r="JK21" s="116">
        <f t="shared" ref="JK21" si="14">+IF(JK16=0,JK9,JK16)</f>
        <v>722.51</v>
      </c>
      <c r="JL21" s="116">
        <f t="shared" ref="JL21:JM21" si="15">+IF(JL16=0,JL9,JL16)</f>
        <v>881.64</v>
      </c>
      <c r="JM21" s="116">
        <f t="shared" si="15"/>
        <v>1015.11</v>
      </c>
      <c r="JN21" s="116">
        <f t="shared" ref="JN21:JO21" si="16">+IF(JN16=0,JN9,JN16)</f>
        <v>743</v>
      </c>
      <c r="JO21" s="116">
        <f t="shared" si="16"/>
        <v>859.89</v>
      </c>
      <c r="JP21" s="116">
        <f t="shared" ref="JP21" si="17">+IF(JP16=0,JP9,JP16)</f>
        <v>751.98</v>
      </c>
      <c r="JQ21" s="116">
        <f t="shared" ref="JQ21:KH21" si="18">+IF(JQ16=0,JQ9,JQ16)</f>
        <v>740.95</v>
      </c>
      <c r="JR21" s="116">
        <f t="shared" si="18"/>
        <v>625.9</v>
      </c>
      <c r="JS21" s="116">
        <f t="shared" si="18"/>
        <v>790.95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210036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0</v>
      </c>
      <c r="H5" cm="1">
        <f t="array" ref="H5">_xll.EQNXTDZ($A$1,$B5,H$1)</f>
        <v>201309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201606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201806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48760000</v>
      </c>
      <c r="G6" cm="1">
        <f t="array" ref="G6">_xll.EQNXTDZ($A$1,$B6,G$1)</f>
        <v>0</v>
      </c>
      <c r="H6" cm="1">
        <f t="array" ref="H6">_xll.EQNXTDZ($A$1,$B6,H$1)</f>
        <v>48760000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48760000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48760000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48786800</v>
      </c>
      <c r="AK6" cm="1">
        <f t="array" ref="AK6">_xll.EQNXTDZ($A$1,$B6,AK$1)</f>
        <v>48786800</v>
      </c>
      <c r="AL6" cm="1">
        <f t="array" ref="AL6">_xll.EQNXTDZ($A$1,$B6,AL$1)</f>
        <v>48791038</v>
      </c>
      <c r="AM6" cm="1">
        <f t="array" ref="AM6">_xll.EQNXTDZ($A$1,$B6,AM$1)</f>
        <v>48825520</v>
      </c>
      <c r="AN6" cm="1">
        <f t="array" ref="AN6">_xll.EQNXTDZ($A$1,$B6,AN$1)</f>
        <v>48825520</v>
      </c>
      <c r="AO6" cm="1">
        <f t="array" ref="AO6">_xll.EQNXTDZ($A$1,$B6,AO$1)</f>
        <v>48903470</v>
      </c>
      <c r="AP6" cm="1">
        <f t="array" ref="AP6">_xll.EQNXTDZ($A$1,$B6,AP$1)</f>
        <v>48903470</v>
      </c>
      <c r="AQ6" cm="1">
        <f t="array" ref="AQ6">_xll.EQNXTDZ($A$1,$B6,AQ$1)</f>
        <v>48931441</v>
      </c>
      <c r="AR6" cm="1">
        <f t="array" ref="AR6">_xll.EQNXTDZ($A$1,$B6,AR$1)</f>
        <v>48993596</v>
      </c>
      <c r="AS6" cm="1">
        <f t="array" ref="AS6">_xll.EQNXTDZ($A$1,$B6,AS$1)</f>
        <v>48993596</v>
      </c>
      <c r="AT6" cm="1">
        <f t="array" ref="AT6">_xll.EQNXTDZ($A$1,$B6,AT$1)</f>
        <v>48993596</v>
      </c>
      <c r="AU6" cm="1">
        <f t="array" ref="AU6">_xll.EQNXTDZ($A$1,$B6,AU$1)</f>
        <v>49012680</v>
      </c>
      <c r="AV6" cm="1">
        <f t="array" ref="AV6">_xll.EQNXTDZ($A$1,$B6,AV$1)</f>
        <v>49122460</v>
      </c>
      <c r="AW6" cm="1">
        <f t="array" ref="AW6">_xll.EQNXTDZ($A$1,$B6,AW$1)</f>
        <v>49143119</v>
      </c>
      <c r="AX6" cm="1">
        <f t="array" ref="AX6">_xll.EQNXTDZ($A$1,$B6,AX$1)</f>
        <v>49143119</v>
      </c>
      <c r="AY6" cm="1">
        <f t="array" ref="AY6">_xll.EQNXTDZ($A$1,$B6,AY$1)</f>
        <v>49192801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4.8760000000000003</v>
      </c>
      <c r="G7" s="100">
        <f t="shared" si="0"/>
        <v>0</v>
      </c>
      <c r="H7" s="100">
        <f t="shared" si="0"/>
        <v>4.8760000000000003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0</v>
      </c>
      <c r="S7" s="100">
        <f t="shared" si="0"/>
        <v>4.8760000000000003</v>
      </c>
      <c r="T7" s="100">
        <f t="shared" si="0"/>
        <v>0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0</v>
      </c>
      <c r="Y7" s="100">
        <f t="shared" ref="Y7:AS7" si="1">+Y6/10^7</f>
        <v>0</v>
      </c>
      <c r="Z7" s="100">
        <f t="shared" si="1"/>
        <v>0</v>
      </c>
      <c r="AA7" s="100">
        <f t="shared" si="1"/>
        <v>4.8760000000000003</v>
      </c>
      <c r="AB7" s="100">
        <f t="shared" si="1"/>
        <v>0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0</v>
      </c>
      <c r="AG7" s="100">
        <f t="shared" si="1"/>
        <v>0</v>
      </c>
      <c r="AH7" s="100">
        <f t="shared" si="1"/>
        <v>0</v>
      </c>
      <c r="AI7" s="100">
        <f t="shared" si="1"/>
        <v>0</v>
      </c>
      <c r="AJ7" s="100">
        <f t="shared" si="1"/>
        <v>4.8786800000000001</v>
      </c>
      <c r="AK7" s="100">
        <f t="shared" si="1"/>
        <v>4.8786800000000001</v>
      </c>
      <c r="AL7" s="100">
        <f t="shared" si="1"/>
        <v>4.8791038000000002</v>
      </c>
      <c r="AM7" s="100">
        <f t="shared" si="1"/>
        <v>4.8825519999999996</v>
      </c>
      <c r="AN7" s="100">
        <f t="shared" si="1"/>
        <v>4.8825519999999996</v>
      </c>
      <c r="AO7" s="100">
        <f t="shared" si="1"/>
        <v>4.8903470000000002</v>
      </c>
      <c r="AP7" s="100">
        <f t="shared" si="1"/>
        <v>4.8903470000000002</v>
      </c>
      <c r="AQ7" s="100">
        <f t="shared" si="1"/>
        <v>4.8931440999999998</v>
      </c>
      <c r="AR7" s="100">
        <f t="shared" si="1"/>
        <v>4.8993596000000004</v>
      </c>
      <c r="AS7" s="100">
        <f t="shared" si="1"/>
        <v>4.8993596000000004</v>
      </c>
      <c r="AT7" s="100">
        <f t="shared" ref="AT7:AX7" si="2">+AT6/10^7</f>
        <v>4.8993596000000004</v>
      </c>
      <c r="AU7" s="100">
        <f t="shared" si="2"/>
        <v>4.901268</v>
      </c>
      <c r="AV7" s="100">
        <f t="shared" si="2"/>
        <v>4.9122459999999997</v>
      </c>
      <c r="AW7" s="100">
        <f t="shared" si="2"/>
        <v>4.9143119000000004</v>
      </c>
      <c r="AX7" s="100">
        <f t="shared" si="2"/>
        <v>4.9143119000000004</v>
      </c>
      <c r="AY7" s="100">
        <f t="shared" ref="AY7" si="3">+AY6/10^7</f>
        <v>4.9192800999999999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210036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44105</v>
      </c>
      <c r="B4" s="116">
        <v>310</v>
      </c>
      <c r="C4" s="116">
        <v>280.32</v>
      </c>
      <c r="D4" s="116">
        <v>261.24</v>
      </c>
      <c r="E4" s="116">
        <v>303.60000000000002</v>
      </c>
      <c r="F4" s="116">
        <v>1401.6</v>
      </c>
      <c r="G4">
        <v>13180743</v>
      </c>
      <c r="H4" s="116"/>
      <c r="I4" s="116"/>
      <c r="L4" s="170">
        <v>44111</v>
      </c>
      <c r="M4" s="116">
        <v>276.29000000000002</v>
      </c>
      <c r="N4" s="116">
        <v>284.73</v>
      </c>
      <c r="O4" s="116">
        <v>271.14999999999998</v>
      </c>
      <c r="P4" s="116">
        <v>284.2</v>
      </c>
      <c r="Q4" s="116">
        <v>1381.45</v>
      </c>
      <c r="R4">
        <v>283120</v>
      </c>
    </row>
    <row r="5" spans="1:18" x14ac:dyDescent="0.25">
      <c r="A5" s="170">
        <v>44109</v>
      </c>
      <c r="B5" s="116">
        <v>291.8</v>
      </c>
      <c r="C5" s="116">
        <v>280.23</v>
      </c>
      <c r="D5" s="116">
        <v>275.39999999999998</v>
      </c>
      <c r="E5" s="116">
        <v>284.3</v>
      </c>
      <c r="F5" s="116">
        <v>1401.15</v>
      </c>
      <c r="G5">
        <v>595101</v>
      </c>
      <c r="H5" s="116"/>
      <c r="I5" s="116"/>
      <c r="L5" s="170">
        <v>44112</v>
      </c>
      <c r="M5" s="116">
        <v>266.98</v>
      </c>
      <c r="N5" s="116">
        <v>277.99</v>
      </c>
      <c r="O5" s="116">
        <v>265.04000000000002</v>
      </c>
      <c r="P5" s="116">
        <v>277</v>
      </c>
      <c r="Q5" s="116">
        <v>1334.9</v>
      </c>
      <c r="R5">
        <v>287037</v>
      </c>
    </row>
    <row r="6" spans="1:18" x14ac:dyDescent="0.25">
      <c r="A6" s="170">
        <v>44110</v>
      </c>
      <c r="B6" s="116">
        <v>288</v>
      </c>
      <c r="C6" s="116">
        <v>283.81</v>
      </c>
      <c r="D6" s="116">
        <v>280.2</v>
      </c>
      <c r="E6" s="116">
        <v>281.7</v>
      </c>
      <c r="F6" s="116">
        <v>1419.05</v>
      </c>
      <c r="G6">
        <v>276259</v>
      </c>
      <c r="H6" s="116"/>
      <c r="I6" s="116"/>
      <c r="L6" s="170">
        <v>44113</v>
      </c>
      <c r="M6" s="116">
        <v>267.36</v>
      </c>
      <c r="N6" s="116">
        <v>274.24</v>
      </c>
      <c r="O6" s="116">
        <v>259</v>
      </c>
      <c r="P6" s="116">
        <v>265.22000000000003</v>
      </c>
      <c r="Q6" s="116">
        <v>1336.8</v>
      </c>
      <c r="R6">
        <v>617516</v>
      </c>
    </row>
    <row r="7" spans="1:18" x14ac:dyDescent="0.25">
      <c r="A7" s="170">
        <v>44111</v>
      </c>
      <c r="B7" s="116">
        <v>284.99</v>
      </c>
      <c r="C7" s="116">
        <v>276.11</v>
      </c>
      <c r="D7" s="116">
        <v>271.16000000000003</v>
      </c>
      <c r="E7" s="116">
        <v>284</v>
      </c>
      <c r="F7" s="116">
        <v>1380.55</v>
      </c>
      <c r="G7">
        <v>149525</v>
      </c>
      <c r="H7" s="116"/>
      <c r="I7" s="116"/>
      <c r="L7" s="170">
        <v>44116</v>
      </c>
      <c r="M7" s="116">
        <v>262.2</v>
      </c>
      <c r="N7" s="116">
        <v>269.5</v>
      </c>
      <c r="O7" s="116">
        <v>261.14999999999998</v>
      </c>
      <c r="P7" s="116">
        <v>268.39999999999998</v>
      </c>
      <c r="Q7" s="116">
        <v>1311</v>
      </c>
      <c r="R7">
        <v>406274</v>
      </c>
    </row>
    <row r="8" spans="1:18" x14ac:dyDescent="0.25">
      <c r="A8" s="170">
        <v>44112</v>
      </c>
      <c r="B8" s="116">
        <v>277.99</v>
      </c>
      <c r="C8" s="116">
        <v>266.77</v>
      </c>
      <c r="D8" s="116">
        <v>265.02</v>
      </c>
      <c r="E8" s="116">
        <v>277.99</v>
      </c>
      <c r="F8" s="116">
        <v>1333.85</v>
      </c>
      <c r="G8">
        <v>122179</v>
      </c>
      <c r="H8" s="116"/>
      <c r="I8" s="116"/>
      <c r="L8" s="170">
        <v>44117</v>
      </c>
      <c r="M8" s="116">
        <v>261.83999999999997</v>
      </c>
      <c r="N8" s="116">
        <v>265.60000000000002</v>
      </c>
      <c r="O8" s="116">
        <v>259.01</v>
      </c>
      <c r="P8" s="116">
        <v>260</v>
      </c>
      <c r="Q8" s="116">
        <v>1309.2</v>
      </c>
      <c r="R8">
        <v>177612</v>
      </c>
    </row>
    <row r="9" spans="1:18" x14ac:dyDescent="0.25">
      <c r="A9" s="170">
        <v>44113</v>
      </c>
      <c r="B9" s="116">
        <v>274.33999999999997</v>
      </c>
      <c r="C9" s="116">
        <v>267.58999999999997</v>
      </c>
      <c r="D9" s="116">
        <v>258.91000000000003</v>
      </c>
      <c r="E9" s="116">
        <v>265.8</v>
      </c>
      <c r="F9" s="116">
        <v>1337.95</v>
      </c>
      <c r="G9">
        <v>225658</v>
      </c>
      <c r="H9" s="116"/>
      <c r="I9" s="116"/>
      <c r="L9" s="170">
        <v>44118</v>
      </c>
      <c r="M9" s="116">
        <v>269.08</v>
      </c>
      <c r="N9" s="116">
        <v>270.89</v>
      </c>
      <c r="O9" s="116">
        <v>261.60000000000002</v>
      </c>
      <c r="P9" s="116">
        <v>261.60000000000002</v>
      </c>
      <c r="Q9" s="116">
        <v>1345.4</v>
      </c>
      <c r="R9">
        <v>231987</v>
      </c>
    </row>
    <row r="10" spans="1:18" x14ac:dyDescent="0.25">
      <c r="A10" s="170">
        <v>44116</v>
      </c>
      <c r="B10" s="116">
        <v>269.7</v>
      </c>
      <c r="C10" s="116">
        <v>261.88</v>
      </c>
      <c r="D10" s="116">
        <v>261</v>
      </c>
      <c r="E10" s="116">
        <v>267.39999999999998</v>
      </c>
      <c r="F10" s="116">
        <v>1309.4000000000001</v>
      </c>
      <c r="G10">
        <v>84817</v>
      </c>
      <c r="H10" s="116"/>
      <c r="I10" s="116"/>
      <c r="L10" s="170">
        <v>44119</v>
      </c>
      <c r="M10" s="116">
        <v>266.45</v>
      </c>
      <c r="N10" s="116">
        <v>272.11</v>
      </c>
      <c r="O10" s="116">
        <v>265.81</v>
      </c>
      <c r="P10" s="116">
        <v>269.39</v>
      </c>
      <c r="Q10" s="116">
        <v>1332.25</v>
      </c>
      <c r="R10">
        <v>152765</v>
      </c>
    </row>
    <row r="11" spans="1:18" x14ac:dyDescent="0.25">
      <c r="A11" s="170">
        <v>44117</v>
      </c>
      <c r="B11" s="116">
        <v>265.60000000000002</v>
      </c>
      <c r="C11" s="116">
        <v>261.93</v>
      </c>
      <c r="D11" s="116">
        <v>259</v>
      </c>
      <c r="E11" s="116">
        <v>260.39999999999998</v>
      </c>
      <c r="F11" s="116">
        <v>1309.6500000000001</v>
      </c>
      <c r="G11">
        <v>86734</v>
      </c>
      <c r="H11" s="116"/>
      <c r="I11" s="116"/>
      <c r="L11" s="170">
        <v>44120</v>
      </c>
      <c r="M11" s="116">
        <v>268.29000000000002</v>
      </c>
      <c r="N11" s="116">
        <v>269.8</v>
      </c>
      <c r="O11" s="116">
        <v>265.17</v>
      </c>
      <c r="P11" s="116">
        <v>265.60000000000002</v>
      </c>
      <c r="Q11" s="116">
        <v>1341.45</v>
      </c>
      <c r="R11">
        <v>74694</v>
      </c>
    </row>
    <row r="12" spans="1:18" x14ac:dyDescent="0.25">
      <c r="A12" s="170">
        <v>44118</v>
      </c>
      <c r="B12" s="116">
        <v>270.70999999999998</v>
      </c>
      <c r="C12" s="116">
        <v>269.14999999999998</v>
      </c>
      <c r="D12" s="116">
        <v>261.01</v>
      </c>
      <c r="E12" s="116">
        <v>261.2</v>
      </c>
      <c r="F12" s="116">
        <v>1345.75</v>
      </c>
      <c r="G12">
        <v>89979</v>
      </c>
      <c r="H12" s="116"/>
      <c r="I12" s="116"/>
      <c r="L12" s="170">
        <v>44123</v>
      </c>
      <c r="M12" s="116">
        <v>268.12</v>
      </c>
      <c r="N12" s="116">
        <v>270</v>
      </c>
      <c r="O12" s="116">
        <v>265.81</v>
      </c>
      <c r="P12" s="116">
        <v>269</v>
      </c>
      <c r="Q12" s="116">
        <v>1340.6</v>
      </c>
      <c r="R12">
        <v>73734</v>
      </c>
    </row>
    <row r="13" spans="1:18" x14ac:dyDescent="0.25">
      <c r="A13" s="170">
        <v>44119</v>
      </c>
      <c r="B13" s="116">
        <v>272</v>
      </c>
      <c r="C13" s="116">
        <v>266.22000000000003</v>
      </c>
      <c r="D13" s="116">
        <v>265.63</v>
      </c>
      <c r="E13" s="116">
        <v>269.2</v>
      </c>
      <c r="F13" s="116">
        <v>1331.1</v>
      </c>
      <c r="G13">
        <v>60644</v>
      </c>
      <c r="H13" s="116"/>
      <c r="I13" s="116"/>
      <c r="L13" s="170">
        <v>44124</v>
      </c>
      <c r="M13" s="116">
        <v>267.16000000000003</v>
      </c>
      <c r="N13" s="116">
        <v>269.01</v>
      </c>
      <c r="O13" s="116">
        <v>266</v>
      </c>
      <c r="P13" s="116">
        <v>267</v>
      </c>
      <c r="Q13" s="116">
        <v>1335.8</v>
      </c>
      <c r="R13">
        <v>51810</v>
      </c>
    </row>
    <row r="14" spans="1:18" x14ac:dyDescent="0.25">
      <c r="A14" s="170">
        <v>44120</v>
      </c>
      <c r="B14" s="116">
        <v>269.81</v>
      </c>
      <c r="C14" s="116">
        <v>268.16000000000003</v>
      </c>
      <c r="D14" s="116">
        <v>265.89999999999998</v>
      </c>
      <c r="E14" s="116">
        <v>266.39999999999998</v>
      </c>
      <c r="F14" s="116">
        <v>1340.8</v>
      </c>
      <c r="G14">
        <v>23035</v>
      </c>
      <c r="H14" s="116"/>
      <c r="I14" s="116"/>
      <c r="L14" s="170">
        <v>44125</v>
      </c>
      <c r="M14" s="116">
        <v>267.48</v>
      </c>
      <c r="N14" s="116">
        <v>270.8</v>
      </c>
      <c r="O14" s="116">
        <v>266.8</v>
      </c>
      <c r="P14" s="116">
        <v>267.16000000000003</v>
      </c>
      <c r="Q14" s="116">
        <v>1337.4</v>
      </c>
      <c r="R14">
        <v>76814</v>
      </c>
    </row>
    <row r="15" spans="1:18" x14ac:dyDescent="0.25">
      <c r="A15" s="170">
        <v>44123</v>
      </c>
      <c r="B15" s="116">
        <v>269.83999999999997</v>
      </c>
      <c r="C15" s="116">
        <v>268.13</v>
      </c>
      <c r="D15" s="116">
        <v>266</v>
      </c>
      <c r="E15" s="116">
        <v>269</v>
      </c>
      <c r="F15" s="116">
        <v>1340.65</v>
      </c>
      <c r="G15">
        <v>14605</v>
      </c>
      <c r="H15" s="116"/>
      <c r="I15" s="116"/>
      <c r="L15" s="170">
        <v>44126</v>
      </c>
      <c r="M15" s="116">
        <v>265.43</v>
      </c>
      <c r="N15" s="116">
        <v>269.26</v>
      </c>
      <c r="O15" s="116">
        <v>264</v>
      </c>
      <c r="P15" s="116">
        <v>266.39999999999998</v>
      </c>
      <c r="Q15" s="116">
        <v>1327.15</v>
      </c>
      <c r="R15">
        <v>158798</v>
      </c>
    </row>
    <row r="16" spans="1:18" x14ac:dyDescent="0.25">
      <c r="A16" s="170">
        <v>44124</v>
      </c>
      <c r="B16" s="116">
        <v>268.99</v>
      </c>
      <c r="C16" s="116">
        <v>267.08999999999997</v>
      </c>
      <c r="D16" s="116">
        <v>266</v>
      </c>
      <c r="E16" s="116">
        <v>267.68</v>
      </c>
      <c r="F16" s="116">
        <v>1335.45</v>
      </c>
      <c r="G16">
        <v>16920</v>
      </c>
      <c r="H16" s="116"/>
      <c r="I16" s="116"/>
      <c r="L16" s="170">
        <v>44127</v>
      </c>
      <c r="M16" s="116">
        <v>270.49</v>
      </c>
      <c r="N16" s="116">
        <v>274.74</v>
      </c>
      <c r="O16" s="116">
        <v>265.61</v>
      </c>
      <c r="P16" s="116">
        <v>266.73</v>
      </c>
      <c r="Q16" s="116">
        <v>1352.45</v>
      </c>
      <c r="R16">
        <v>143025</v>
      </c>
    </row>
    <row r="17" spans="1:18" x14ac:dyDescent="0.25">
      <c r="A17" s="170">
        <v>44125</v>
      </c>
      <c r="B17" s="116">
        <v>270.8</v>
      </c>
      <c r="C17" s="116">
        <v>267.42</v>
      </c>
      <c r="D17" s="116">
        <v>266.62</v>
      </c>
      <c r="E17" s="116">
        <v>267.39999999999998</v>
      </c>
      <c r="F17" s="116">
        <v>1337.1</v>
      </c>
      <c r="G17">
        <v>25104</v>
      </c>
      <c r="H17" s="116"/>
      <c r="I17" s="116"/>
      <c r="L17" s="170">
        <v>44130</v>
      </c>
      <c r="M17" s="116">
        <v>268.74</v>
      </c>
      <c r="N17" s="116">
        <v>270.54000000000002</v>
      </c>
      <c r="O17" s="116">
        <v>265</v>
      </c>
      <c r="P17" s="116">
        <v>269</v>
      </c>
      <c r="Q17" s="116">
        <v>1343.7</v>
      </c>
      <c r="R17">
        <v>47806</v>
      </c>
    </row>
    <row r="18" spans="1:18" x14ac:dyDescent="0.25">
      <c r="A18" s="170">
        <v>44126</v>
      </c>
      <c r="B18" s="116">
        <v>269.16000000000003</v>
      </c>
      <c r="C18" s="116">
        <v>265.54000000000002</v>
      </c>
      <c r="D18" s="116">
        <v>264.2</v>
      </c>
      <c r="E18" s="116">
        <v>267.99</v>
      </c>
      <c r="F18" s="116">
        <v>1327.7</v>
      </c>
      <c r="G18">
        <v>27346</v>
      </c>
      <c r="H18" s="116"/>
      <c r="I18" s="116"/>
      <c r="L18" s="170">
        <v>44131</v>
      </c>
      <c r="M18" s="116">
        <v>267.08999999999997</v>
      </c>
      <c r="N18" s="116">
        <v>268.99</v>
      </c>
      <c r="O18" s="116">
        <v>265.41000000000003</v>
      </c>
      <c r="P18" s="116">
        <v>266.02</v>
      </c>
      <c r="Q18" s="116">
        <v>1335.45</v>
      </c>
      <c r="R18">
        <v>224439</v>
      </c>
    </row>
    <row r="19" spans="1:18" x14ac:dyDescent="0.25">
      <c r="A19" s="170">
        <v>44127</v>
      </c>
      <c r="B19" s="116">
        <v>274.97000000000003</v>
      </c>
      <c r="C19" s="116">
        <v>270.22000000000003</v>
      </c>
      <c r="D19" s="116">
        <v>265.72000000000003</v>
      </c>
      <c r="E19" s="116">
        <v>267.2</v>
      </c>
      <c r="F19" s="116">
        <v>1351.1</v>
      </c>
      <c r="G19">
        <v>53064</v>
      </c>
      <c r="H19" s="116"/>
      <c r="I19" s="116"/>
      <c r="L19" s="170">
        <v>44132</v>
      </c>
      <c r="M19" s="116">
        <v>263.60000000000002</v>
      </c>
      <c r="N19" s="116">
        <v>268.16000000000003</v>
      </c>
      <c r="O19" s="116">
        <v>258.95999999999998</v>
      </c>
      <c r="P19" s="116">
        <v>266.41000000000003</v>
      </c>
      <c r="Q19" s="116">
        <v>1318</v>
      </c>
      <c r="R19">
        <v>177457</v>
      </c>
    </row>
    <row r="20" spans="1:18" x14ac:dyDescent="0.25">
      <c r="A20" s="170">
        <v>44130</v>
      </c>
      <c r="B20" s="116">
        <v>270.39999999999998</v>
      </c>
      <c r="C20" s="116">
        <v>268.60000000000002</v>
      </c>
      <c r="D20" s="116">
        <v>265.14</v>
      </c>
      <c r="E20" s="116">
        <v>270.39999999999998</v>
      </c>
      <c r="F20" s="116">
        <v>1343</v>
      </c>
      <c r="G20">
        <v>11005</v>
      </c>
      <c r="H20" s="116"/>
      <c r="I20" s="116"/>
      <c r="L20" s="170">
        <v>44133</v>
      </c>
      <c r="M20" s="116">
        <v>259.92</v>
      </c>
      <c r="N20" s="116">
        <v>262.98</v>
      </c>
      <c r="O20" s="116">
        <v>259</v>
      </c>
      <c r="P20" s="116">
        <v>260.61</v>
      </c>
      <c r="Q20" s="116">
        <v>1299.5999999999999</v>
      </c>
      <c r="R20">
        <v>286045</v>
      </c>
    </row>
    <row r="21" spans="1:18" x14ac:dyDescent="0.25">
      <c r="A21" s="170">
        <v>44131</v>
      </c>
      <c r="B21" s="116">
        <v>268.94</v>
      </c>
      <c r="C21" s="116">
        <v>267.04000000000002</v>
      </c>
      <c r="D21" s="116">
        <v>265.60000000000002</v>
      </c>
      <c r="E21" s="116">
        <v>268.60000000000002</v>
      </c>
      <c r="F21" s="116">
        <v>1335.2</v>
      </c>
      <c r="G21">
        <v>20843</v>
      </c>
      <c r="H21" s="116"/>
      <c r="I21" s="116"/>
      <c r="L21" s="170">
        <v>44134</v>
      </c>
      <c r="M21" s="116">
        <v>259.37</v>
      </c>
      <c r="N21" s="116">
        <v>264</v>
      </c>
      <c r="O21" s="116">
        <v>258.60000000000002</v>
      </c>
      <c r="P21" s="116">
        <v>260.39</v>
      </c>
      <c r="Q21" s="116">
        <v>1296.8499999999999</v>
      </c>
      <c r="R21">
        <v>38536</v>
      </c>
    </row>
    <row r="22" spans="1:18" x14ac:dyDescent="0.25">
      <c r="A22" s="170">
        <v>44132</v>
      </c>
      <c r="B22" s="116">
        <v>268.2</v>
      </c>
      <c r="C22" s="116">
        <v>263.49</v>
      </c>
      <c r="D22" s="116">
        <v>259.60000000000002</v>
      </c>
      <c r="E22" s="116">
        <v>268.2</v>
      </c>
      <c r="F22" s="116">
        <v>1317.45</v>
      </c>
      <c r="G22">
        <v>48397</v>
      </c>
      <c r="H22" s="116"/>
      <c r="I22" s="116"/>
      <c r="L22" s="170">
        <v>44137</v>
      </c>
      <c r="M22" s="116">
        <v>259.82</v>
      </c>
      <c r="N22" s="116">
        <v>264</v>
      </c>
      <c r="O22" s="116">
        <v>258.19</v>
      </c>
      <c r="P22" s="116">
        <v>260.39999999999998</v>
      </c>
      <c r="Q22" s="116">
        <v>1299.0999999999999</v>
      </c>
      <c r="R22">
        <v>194552</v>
      </c>
    </row>
    <row r="23" spans="1:18" x14ac:dyDescent="0.25">
      <c r="A23" s="170">
        <v>44133</v>
      </c>
      <c r="B23" s="116">
        <v>262.99</v>
      </c>
      <c r="C23" s="116">
        <v>259.92</v>
      </c>
      <c r="D23" s="116">
        <v>259.39999999999998</v>
      </c>
      <c r="E23" s="116">
        <v>260.39999999999998</v>
      </c>
      <c r="F23" s="116">
        <v>1299.5999999999999</v>
      </c>
      <c r="G23">
        <v>12805</v>
      </c>
      <c r="H23" s="116"/>
      <c r="I23" s="116"/>
      <c r="L23" s="170">
        <v>44138</v>
      </c>
      <c r="M23" s="116">
        <v>253.13</v>
      </c>
      <c r="N23" s="116">
        <v>261.77</v>
      </c>
      <c r="O23" s="116">
        <v>252.3</v>
      </c>
      <c r="P23" s="116">
        <v>260.39999999999998</v>
      </c>
      <c r="Q23" s="116">
        <v>1265.6500000000001</v>
      </c>
      <c r="R23">
        <v>279604</v>
      </c>
    </row>
    <row r="24" spans="1:18" x14ac:dyDescent="0.25">
      <c r="A24" s="170">
        <v>44134</v>
      </c>
      <c r="B24" s="116">
        <v>264.04000000000002</v>
      </c>
      <c r="C24" s="116">
        <v>259.58999999999997</v>
      </c>
      <c r="D24" s="116">
        <v>258.8</v>
      </c>
      <c r="E24" s="116">
        <v>262.79000000000002</v>
      </c>
      <c r="F24" s="116">
        <v>1297.95</v>
      </c>
      <c r="G24">
        <v>15625</v>
      </c>
      <c r="H24" s="116"/>
      <c r="I24" s="116"/>
      <c r="L24" s="170">
        <v>44139</v>
      </c>
      <c r="M24" s="116">
        <v>253.49</v>
      </c>
      <c r="N24" s="116">
        <v>257.66000000000003</v>
      </c>
      <c r="O24" s="116">
        <v>252</v>
      </c>
      <c r="P24" s="116">
        <v>253.99</v>
      </c>
      <c r="Q24" s="116">
        <v>1267.45</v>
      </c>
      <c r="R24">
        <v>159282</v>
      </c>
    </row>
    <row r="25" spans="1:18" x14ac:dyDescent="0.25">
      <c r="A25" s="170">
        <v>44137</v>
      </c>
      <c r="B25" s="116">
        <v>263.8</v>
      </c>
      <c r="C25" s="116">
        <v>259.69</v>
      </c>
      <c r="D25" s="116">
        <v>258.01</v>
      </c>
      <c r="E25" s="116">
        <v>259.58999999999997</v>
      </c>
      <c r="F25" s="116">
        <v>1298.45</v>
      </c>
      <c r="G25">
        <v>21084</v>
      </c>
      <c r="H25" s="116"/>
      <c r="I25" s="116"/>
      <c r="L25" s="170">
        <v>44140</v>
      </c>
      <c r="M25" s="116">
        <v>258.05</v>
      </c>
      <c r="N25" s="116">
        <v>259</v>
      </c>
      <c r="O25" s="116">
        <v>253.48</v>
      </c>
      <c r="P25" s="116">
        <v>255</v>
      </c>
      <c r="Q25" s="116">
        <v>1290.25</v>
      </c>
      <c r="R25">
        <v>51937</v>
      </c>
    </row>
    <row r="26" spans="1:18" x14ac:dyDescent="0.25">
      <c r="A26" s="170">
        <v>44138</v>
      </c>
      <c r="B26" s="116">
        <v>261.83</v>
      </c>
      <c r="C26" s="116">
        <v>253.18</v>
      </c>
      <c r="D26" s="116">
        <v>252.18</v>
      </c>
      <c r="E26" s="116">
        <v>259.83999999999997</v>
      </c>
      <c r="F26" s="116">
        <v>1265.9000000000001</v>
      </c>
      <c r="G26">
        <v>23691</v>
      </c>
      <c r="H26" s="116"/>
      <c r="I26" s="116"/>
      <c r="L26" s="170">
        <v>44141</v>
      </c>
      <c r="M26" s="116">
        <v>256</v>
      </c>
      <c r="N26" s="116">
        <v>259.98</v>
      </c>
      <c r="O26" s="116">
        <v>255.6</v>
      </c>
      <c r="P26" s="116">
        <v>259.98</v>
      </c>
      <c r="Q26" s="116">
        <v>1280</v>
      </c>
      <c r="R26">
        <v>201372</v>
      </c>
    </row>
    <row r="27" spans="1:18" x14ac:dyDescent="0.25">
      <c r="A27" s="170">
        <v>44139</v>
      </c>
      <c r="B27" s="116">
        <v>257.45</v>
      </c>
      <c r="C27" s="116">
        <v>253.16</v>
      </c>
      <c r="D27" s="116">
        <v>252</v>
      </c>
      <c r="E27" s="116">
        <v>252.2</v>
      </c>
      <c r="F27" s="116">
        <v>1265.8</v>
      </c>
      <c r="G27">
        <v>28040</v>
      </c>
      <c r="H27" s="116"/>
      <c r="I27" s="116"/>
      <c r="L27" s="170">
        <v>44144</v>
      </c>
      <c r="M27" s="116">
        <v>258.72000000000003</v>
      </c>
      <c r="N27" s="116">
        <v>259.58999999999997</v>
      </c>
      <c r="O27" s="116">
        <v>255.6</v>
      </c>
      <c r="P27" s="116">
        <v>257.93</v>
      </c>
      <c r="Q27" s="116">
        <v>1293.5999999999999</v>
      </c>
      <c r="R27">
        <v>107173</v>
      </c>
    </row>
    <row r="28" spans="1:18" x14ac:dyDescent="0.25">
      <c r="A28" s="170">
        <v>44140</v>
      </c>
      <c r="B28" s="116">
        <v>259.17</v>
      </c>
      <c r="C28" s="116">
        <v>257.82</v>
      </c>
      <c r="D28" s="116">
        <v>254</v>
      </c>
      <c r="E28" s="116">
        <v>255</v>
      </c>
      <c r="F28" s="116">
        <v>1289.0999999999999</v>
      </c>
      <c r="G28">
        <v>18877</v>
      </c>
      <c r="H28" s="116"/>
      <c r="I28" s="116"/>
      <c r="L28" s="170">
        <v>44145</v>
      </c>
      <c r="M28" s="116">
        <v>258.33999999999997</v>
      </c>
      <c r="N28" s="116">
        <v>259.79000000000002</v>
      </c>
      <c r="O28" s="116">
        <v>255.91</v>
      </c>
      <c r="P28" s="116">
        <v>259.77999999999997</v>
      </c>
      <c r="Q28" s="116">
        <v>1291.7</v>
      </c>
      <c r="R28">
        <v>225620</v>
      </c>
    </row>
    <row r="29" spans="1:18" x14ac:dyDescent="0.25">
      <c r="A29" s="170">
        <v>44141</v>
      </c>
      <c r="B29" s="116">
        <v>259.39999999999998</v>
      </c>
      <c r="C29" s="116">
        <v>256.02</v>
      </c>
      <c r="D29" s="116">
        <v>255.64</v>
      </c>
      <c r="E29" s="116">
        <v>259</v>
      </c>
      <c r="F29" s="116">
        <v>1280.0999999999999</v>
      </c>
      <c r="G29">
        <v>10998</v>
      </c>
      <c r="H29" s="116"/>
      <c r="I29" s="116"/>
      <c r="L29" s="170">
        <v>44146</v>
      </c>
      <c r="M29" s="116">
        <v>257.04000000000002</v>
      </c>
      <c r="N29" s="116">
        <v>259.74</v>
      </c>
      <c r="O29" s="116">
        <v>255</v>
      </c>
      <c r="P29" s="116">
        <v>259.2</v>
      </c>
      <c r="Q29" s="116">
        <v>1285.2</v>
      </c>
      <c r="R29">
        <v>138462</v>
      </c>
    </row>
    <row r="30" spans="1:18" x14ac:dyDescent="0.25">
      <c r="A30" s="170">
        <v>44144</v>
      </c>
      <c r="B30" s="116">
        <v>259.52</v>
      </c>
      <c r="C30" s="116">
        <v>258.69</v>
      </c>
      <c r="D30" s="116">
        <v>255.64</v>
      </c>
      <c r="E30" s="116">
        <v>256.8</v>
      </c>
      <c r="F30" s="116">
        <v>1293.45</v>
      </c>
      <c r="G30">
        <v>21774</v>
      </c>
      <c r="H30" s="116"/>
      <c r="I30" s="116"/>
      <c r="L30" s="170">
        <v>44147</v>
      </c>
      <c r="M30" s="116">
        <v>261.07</v>
      </c>
      <c r="N30" s="116">
        <v>263.8</v>
      </c>
      <c r="O30" s="116">
        <v>257.8</v>
      </c>
      <c r="P30" s="116">
        <v>257.95999999999998</v>
      </c>
      <c r="Q30" s="116">
        <v>1305.3499999999999</v>
      </c>
      <c r="R30">
        <v>245795</v>
      </c>
    </row>
    <row r="31" spans="1:18" x14ac:dyDescent="0.25">
      <c r="A31" s="170">
        <v>44145</v>
      </c>
      <c r="B31" s="116">
        <v>259.93</v>
      </c>
      <c r="C31" s="116">
        <v>258.11</v>
      </c>
      <c r="D31" s="116">
        <v>256.02999999999997</v>
      </c>
      <c r="E31" s="116">
        <v>258.8</v>
      </c>
      <c r="F31" s="116">
        <v>1290.55</v>
      </c>
      <c r="G31">
        <v>6987</v>
      </c>
      <c r="H31" s="116"/>
      <c r="I31" s="116"/>
      <c r="L31" s="170">
        <v>44148</v>
      </c>
      <c r="M31" s="116">
        <v>260.18</v>
      </c>
      <c r="N31" s="116">
        <v>262.82</v>
      </c>
      <c r="O31" s="116">
        <v>259.8</v>
      </c>
      <c r="P31" s="116">
        <v>260.99</v>
      </c>
      <c r="Q31" s="116">
        <v>1300.9000000000001</v>
      </c>
      <c r="R31">
        <v>127037</v>
      </c>
    </row>
    <row r="32" spans="1:18" x14ac:dyDescent="0.25">
      <c r="A32" s="170">
        <v>44146</v>
      </c>
      <c r="B32" s="116">
        <v>260</v>
      </c>
      <c r="C32" s="116">
        <v>256.91000000000003</v>
      </c>
      <c r="D32" s="116">
        <v>255</v>
      </c>
      <c r="E32" s="116">
        <v>259</v>
      </c>
      <c r="F32" s="116">
        <v>1284.55</v>
      </c>
      <c r="G32">
        <v>22351</v>
      </c>
      <c r="H32" s="116"/>
      <c r="I32" s="116"/>
      <c r="L32" s="170">
        <v>44149</v>
      </c>
      <c r="M32" s="116">
        <v>262.18</v>
      </c>
      <c r="N32" s="116">
        <v>262.60000000000002</v>
      </c>
      <c r="O32" s="116">
        <v>260.95999999999998</v>
      </c>
      <c r="P32" s="116">
        <v>262</v>
      </c>
      <c r="Q32" s="116">
        <v>1310.9</v>
      </c>
      <c r="R32">
        <v>18763</v>
      </c>
    </row>
    <row r="33" spans="1:18" x14ac:dyDescent="0.25">
      <c r="A33" s="170">
        <v>44147</v>
      </c>
      <c r="B33" s="116">
        <v>263.99</v>
      </c>
      <c r="C33" s="116">
        <v>261.07</v>
      </c>
      <c r="D33" s="116">
        <v>257.04000000000002</v>
      </c>
      <c r="E33" s="116">
        <v>257.04000000000002</v>
      </c>
      <c r="F33" s="116">
        <v>1305.3499999999999</v>
      </c>
      <c r="G33">
        <v>19826</v>
      </c>
      <c r="H33" s="116"/>
      <c r="I33" s="116"/>
      <c r="L33" s="170">
        <v>44152</v>
      </c>
      <c r="M33" s="116">
        <v>272.06</v>
      </c>
      <c r="N33" s="116">
        <v>274</v>
      </c>
      <c r="O33" s="116">
        <v>263.19</v>
      </c>
      <c r="P33" s="116">
        <v>263.19</v>
      </c>
      <c r="Q33" s="116">
        <v>1360.3</v>
      </c>
      <c r="R33">
        <v>514752</v>
      </c>
    </row>
    <row r="34" spans="1:18" x14ac:dyDescent="0.25">
      <c r="A34" s="170">
        <v>44148</v>
      </c>
      <c r="B34" s="116">
        <v>262.64</v>
      </c>
      <c r="C34" s="116">
        <v>260.12</v>
      </c>
      <c r="D34" s="116">
        <v>259.8</v>
      </c>
      <c r="E34" s="116">
        <v>260</v>
      </c>
      <c r="F34" s="116">
        <v>1300.5999999999999</v>
      </c>
      <c r="G34">
        <v>9172</v>
      </c>
      <c r="H34" s="116"/>
      <c r="I34" s="116"/>
      <c r="L34" s="170">
        <v>44153</v>
      </c>
      <c r="M34" s="116">
        <v>271.39999999999998</v>
      </c>
      <c r="N34" s="116">
        <v>275.38</v>
      </c>
      <c r="O34" s="116">
        <v>270.3</v>
      </c>
      <c r="P34" s="116">
        <v>274</v>
      </c>
      <c r="Q34" s="116">
        <v>1357</v>
      </c>
      <c r="R34">
        <v>159255</v>
      </c>
    </row>
    <row r="35" spans="1:18" x14ac:dyDescent="0.25">
      <c r="A35" s="170">
        <v>44149</v>
      </c>
      <c r="B35" s="116">
        <v>263</v>
      </c>
      <c r="C35" s="116">
        <v>262.27</v>
      </c>
      <c r="D35" s="116">
        <v>260.58</v>
      </c>
      <c r="E35" s="116">
        <v>263</v>
      </c>
      <c r="F35" s="116">
        <v>1311.35</v>
      </c>
      <c r="G35">
        <v>3864</v>
      </c>
      <c r="H35" s="116"/>
      <c r="I35" s="116"/>
      <c r="L35" s="170">
        <v>44154</v>
      </c>
      <c r="M35" s="116">
        <v>275.2</v>
      </c>
      <c r="N35" s="116">
        <v>276.98</v>
      </c>
      <c r="O35" s="116">
        <v>268.81</v>
      </c>
      <c r="P35" s="116">
        <v>271.8</v>
      </c>
      <c r="Q35" s="116">
        <v>1376</v>
      </c>
      <c r="R35">
        <v>216180</v>
      </c>
    </row>
    <row r="36" spans="1:18" x14ac:dyDescent="0.25">
      <c r="A36" s="170">
        <v>44152</v>
      </c>
      <c r="B36" s="116">
        <v>273.49</v>
      </c>
      <c r="C36" s="116">
        <v>271.42</v>
      </c>
      <c r="D36" s="116">
        <v>262.27</v>
      </c>
      <c r="E36" s="116">
        <v>262.27</v>
      </c>
      <c r="F36" s="116">
        <v>1357.1</v>
      </c>
      <c r="G36">
        <v>56340</v>
      </c>
      <c r="H36" s="116"/>
      <c r="I36" s="116"/>
      <c r="L36" s="170">
        <v>44155</v>
      </c>
      <c r="M36" s="116">
        <v>277.77</v>
      </c>
      <c r="N36" s="116">
        <v>279.89999999999998</v>
      </c>
      <c r="O36" s="116">
        <v>271</v>
      </c>
      <c r="P36" s="116">
        <v>275.45</v>
      </c>
      <c r="Q36" s="116">
        <v>1388.85</v>
      </c>
      <c r="R36">
        <v>244030</v>
      </c>
    </row>
    <row r="37" spans="1:18" x14ac:dyDescent="0.25">
      <c r="A37" s="170">
        <v>44153</v>
      </c>
      <c r="B37" s="116">
        <v>275.12</v>
      </c>
      <c r="C37" s="116">
        <v>271.16000000000003</v>
      </c>
      <c r="D37" s="116">
        <v>270.41000000000003</v>
      </c>
      <c r="E37" s="116">
        <v>272.04000000000002</v>
      </c>
      <c r="F37" s="116">
        <v>1355.8</v>
      </c>
      <c r="G37">
        <v>20476</v>
      </c>
      <c r="H37" s="116"/>
      <c r="I37" s="116"/>
      <c r="L37" s="170">
        <v>44158</v>
      </c>
      <c r="M37" s="116">
        <v>289.82</v>
      </c>
      <c r="N37" s="116">
        <v>292</v>
      </c>
      <c r="O37" s="116">
        <v>278</v>
      </c>
      <c r="P37" s="116">
        <v>279.99</v>
      </c>
      <c r="Q37" s="116">
        <v>1449.1</v>
      </c>
      <c r="R37">
        <v>466959</v>
      </c>
    </row>
    <row r="38" spans="1:18" x14ac:dyDescent="0.25">
      <c r="A38" s="170">
        <v>44154</v>
      </c>
      <c r="B38" s="116">
        <v>276.60000000000002</v>
      </c>
      <c r="C38" s="116">
        <v>275.33</v>
      </c>
      <c r="D38" s="116">
        <v>268.39999999999998</v>
      </c>
      <c r="E38" s="116">
        <v>268.39999999999998</v>
      </c>
      <c r="F38" s="116">
        <v>1376.65</v>
      </c>
      <c r="G38">
        <v>17309</v>
      </c>
      <c r="H38" s="116"/>
      <c r="I38" s="116"/>
      <c r="L38" s="170">
        <v>44159</v>
      </c>
      <c r="M38" s="116">
        <v>287.69</v>
      </c>
      <c r="N38" s="116">
        <v>294.27999999999997</v>
      </c>
      <c r="O38" s="116">
        <v>284.39999999999998</v>
      </c>
      <c r="P38" s="116">
        <v>293.77999999999997</v>
      </c>
      <c r="Q38" s="116">
        <v>1438.45</v>
      </c>
      <c r="R38">
        <v>155863</v>
      </c>
    </row>
    <row r="39" spans="1:18" x14ac:dyDescent="0.25">
      <c r="A39" s="170">
        <v>44155</v>
      </c>
      <c r="B39" s="116">
        <v>279.79000000000002</v>
      </c>
      <c r="C39" s="116">
        <v>277.76</v>
      </c>
      <c r="D39" s="116">
        <v>273</v>
      </c>
      <c r="E39" s="116">
        <v>273</v>
      </c>
      <c r="F39" s="116">
        <v>1388.8</v>
      </c>
      <c r="G39">
        <v>125482</v>
      </c>
      <c r="H39" s="116"/>
      <c r="I39" s="116"/>
      <c r="L39" s="170">
        <v>44160</v>
      </c>
      <c r="M39" s="116">
        <v>295.89</v>
      </c>
      <c r="N39" s="116">
        <v>299.74</v>
      </c>
      <c r="O39" s="116">
        <v>285.69</v>
      </c>
      <c r="P39" s="116">
        <v>288</v>
      </c>
      <c r="Q39" s="116">
        <v>1479.45</v>
      </c>
      <c r="R39">
        <v>640300</v>
      </c>
    </row>
    <row r="40" spans="1:18" x14ac:dyDescent="0.25">
      <c r="A40" s="170">
        <v>44158</v>
      </c>
      <c r="B40" s="116">
        <v>291.97000000000003</v>
      </c>
      <c r="C40" s="116">
        <v>289.73</v>
      </c>
      <c r="D40" s="116">
        <v>278</v>
      </c>
      <c r="E40" s="116">
        <v>278</v>
      </c>
      <c r="F40" s="116">
        <v>1448.65</v>
      </c>
      <c r="G40">
        <v>43464</v>
      </c>
      <c r="H40" s="116"/>
      <c r="I40" s="116"/>
      <c r="L40" s="170">
        <v>44161</v>
      </c>
      <c r="M40" s="116">
        <v>295.91000000000003</v>
      </c>
      <c r="N40" s="116">
        <v>298</v>
      </c>
      <c r="O40" s="116">
        <v>291.20999999999998</v>
      </c>
      <c r="P40" s="116">
        <v>298</v>
      </c>
      <c r="Q40" s="116">
        <v>1479.55</v>
      </c>
      <c r="R40">
        <v>153673</v>
      </c>
    </row>
    <row r="41" spans="1:18" x14ac:dyDescent="0.25">
      <c r="A41" s="170">
        <v>44159</v>
      </c>
      <c r="B41" s="116">
        <v>294.44</v>
      </c>
      <c r="C41" s="116">
        <v>287.45999999999998</v>
      </c>
      <c r="D41" s="116">
        <v>284.44</v>
      </c>
      <c r="E41" s="116">
        <v>293.8</v>
      </c>
      <c r="F41" s="116">
        <v>1437.3</v>
      </c>
      <c r="G41">
        <v>12823</v>
      </c>
      <c r="H41" s="116"/>
      <c r="I41" s="116"/>
      <c r="L41" s="170">
        <v>44162</v>
      </c>
      <c r="M41" s="116">
        <v>289.02999999999997</v>
      </c>
      <c r="N41" s="116">
        <v>295.77999999999997</v>
      </c>
      <c r="O41" s="116">
        <v>287.33</v>
      </c>
      <c r="P41" s="116">
        <v>295.77999999999997</v>
      </c>
      <c r="Q41" s="116">
        <v>1445.15</v>
      </c>
      <c r="R41">
        <v>64131</v>
      </c>
    </row>
    <row r="42" spans="1:18" x14ac:dyDescent="0.25">
      <c r="A42" s="170">
        <v>44160</v>
      </c>
      <c r="B42" s="116">
        <v>299.8</v>
      </c>
      <c r="C42" s="116">
        <v>295.55</v>
      </c>
      <c r="D42" s="116">
        <v>285.68</v>
      </c>
      <c r="E42" s="116">
        <v>287.60000000000002</v>
      </c>
      <c r="F42" s="116">
        <v>1477.75</v>
      </c>
      <c r="G42">
        <v>52953</v>
      </c>
      <c r="H42" s="116"/>
      <c r="I42" s="116"/>
      <c r="L42" s="170">
        <v>44166</v>
      </c>
      <c r="M42" s="116">
        <v>290.07</v>
      </c>
      <c r="N42" s="116">
        <v>294.2</v>
      </c>
      <c r="O42" s="116">
        <v>287.33999999999997</v>
      </c>
      <c r="P42" s="116">
        <v>288.8</v>
      </c>
      <c r="Q42" s="116">
        <v>1450.35</v>
      </c>
      <c r="R42">
        <v>110134</v>
      </c>
    </row>
    <row r="43" spans="1:18" x14ac:dyDescent="0.25">
      <c r="A43" s="170">
        <v>44161</v>
      </c>
      <c r="B43" s="116">
        <v>298</v>
      </c>
      <c r="C43" s="116">
        <v>295.05</v>
      </c>
      <c r="D43" s="116">
        <v>291.18</v>
      </c>
      <c r="E43" s="116">
        <v>297.39999999999998</v>
      </c>
      <c r="F43" s="116">
        <v>1475.25</v>
      </c>
      <c r="G43">
        <v>12643</v>
      </c>
      <c r="H43" s="116"/>
      <c r="I43" s="116"/>
      <c r="L43" s="170">
        <v>44167</v>
      </c>
      <c r="M43" s="116">
        <v>291.56</v>
      </c>
      <c r="N43" s="116">
        <v>293.77999999999997</v>
      </c>
      <c r="O43" s="116">
        <v>285.13</v>
      </c>
      <c r="P43" s="116">
        <v>290</v>
      </c>
      <c r="Q43" s="116">
        <v>1457.8</v>
      </c>
      <c r="R43">
        <v>102564</v>
      </c>
    </row>
    <row r="44" spans="1:18" x14ac:dyDescent="0.25">
      <c r="A44" s="170">
        <v>44162</v>
      </c>
      <c r="B44" s="116">
        <v>296.08999999999997</v>
      </c>
      <c r="C44" s="116">
        <v>288.82</v>
      </c>
      <c r="D44" s="116">
        <v>287.42</v>
      </c>
      <c r="E44" s="116">
        <v>296</v>
      </c>
      <c r="F44" s="116">
        <v>1444.1</v>
      </c>
      <c r="G44">
        <v>10614</v>
      </c>
      <c r="H44" s="116"/>
      <c r="I44" s="116"/>
      <c r="L44" s="170">
        <v>44168</v>
      </c>
      <c r="M44" s="116">
        <v>289.12</v>
      </c>
      <c r="N44" s="116">
        <v>293.58999999999997</v>
      </c>
      <c r="O44" s="116">
        <v>288.2</v>
      </c>
      <c r="P44" s="116">
        <v>290.22000000000003</v>
      </c>
      <c r="Q44" s="116">
        <v>1445.6</v>
      </c>
      <c r="R44">
        <v>48322</v>
      </c>
    </row>
    <row r="45" spans="1:18" x14ac:dyDescent="0.25">
      <c r="A45" s="170">
        <v>44166</v>
      </c>
      <c r="B45" s="116">
        <v>294.12</v>
      </c>
      <c r="C45" s="116">
        <v>290.02</v>
      </c>
      <c r="D45" s="116">
        <v>287.39</v>
      </c>
      <c r="E45" s="116">
        <v>290</v>
      </c>
      <c r="F45" s="116">
        <v>1450.1</v>
      </c>
      <c r="G45">
        <v>9100</v>
      </c>
      <c r="H45" s="116"/>
      <c r="I45" s="116"/>
      <c r="L45" s="170">
        <v>44169</v>
      </c>
      <c r="M45" s="116">
        <v>292.61</v>
      </c>
      <c r="N45" s="116">
        <v>294</v>
      </c>
      <c r="O45" s="116">
        <v>288.33</v>
      </c>
      <c r="P45" s="116">
        <v>290.39999999999998</v>
      </c>
      <c r="Q45" s="116">
        <v>1463.05</v>
      </c>
      <c r="R45">
        <v>77127</v>
      </c>
    </row>
    <row r="46" spans="1:18" x14ac:dyDescent="0.25">
      <c r="A46" s="170">
        <v>44167</v>
      </c>
      <c r="B46" s="116">
        <v>293.8</v>
      </c>
      <c r="C46" s="116">
        <v>291.39</v>
      </c>
      <c r="D46" s="116">
        <v>288.07</v>
      </c>
      <c r="E46" s="116">
        <v>290.02</v>
      </c>
      <c r="F46" s="116">
        <v>1456.95</v>
      </c>
      <c r="G46">
        <v>9522</v>
      </c>
      <c r="H46" s="116"/>
      <c r="I46" s="116"/>
      <c r="L46" s="170">
        <v>44172</v>
      </c>
      <c r="M46" s="116">
        <v>291.04000000000002</v>
      </c>
      <c r="N46" s="116">
        <v>296</v>
      </c>
      <c r="O46" s="116">
        <v>287.25</v>
      </c>
      <c r="P46" s="116">
        <v>293.92</v>
      </c>
      <c r="Q46" s="116">
        <v>1455.2</v>
      </c>
      <c r="R46">
        <v>201898</v>
      </c>
    </row>
    <row r="47" spans="1:18" x14ac:dyDescent="0.25">
      <c r="A47" s="170">
        <v>44168</v>
      </c>
      <c r="B47" s="116">
        <v>293.8</v>
      </c>
      <c r="C47" s="116">
        <v>289.06</v>
      </c>
      <c r="D47" s="116">
        <v>288.27</v>
      </c>
      <c r="E47" s="116">
        <v>291.39</v>
      </c>
      <c r="F47" s="116">
        <v>1445.3</v>
      </c>
      <c r="G47">
        <v>3850</v>
      </c>
      <c r="H47" s="116"/>
      <c r="I47" s="116"/>
      <c r="L47" s="170">
        <v>44173</v>
      </c>
      <c r="M47" s="116">
        <v>292.76</v>
      </c>
      <c r="N47" s="116">
        <v>295.8</v>
      </c>
      <c r="O47" s="116">
        <v>291.43</v>
      </c>
      <c r="P47" s="116">
        <v>292</v>
      </c>
      <c r="Q47" s="116">
        <v>1463.8</v>
      </c>
      <c r="R47">
        <v>82535</v>
      </c>
    </row>
    <row r="48" spans="1:18" x14ac:dyDescent="0.25">
      <c r="A48" s="170">
        <v>44169</v>
      </c>
      <c r="B48" s="116">
        <v>294</v>
      </c>
      <c r="C48" s="116">
        <v>292.58</v>
      </c>
      <c r="D48" s="116">
        <v>288.41000000000003</v>
      </c>
      <c r="E48" s="116">
        <v>290</v>
      </c>
      <c r="F48" s="116">
        <v>1462.9</v>
      </c>
      <c r="G48">
        <v>11264</v>
      </c>
      <c r="H48" s="116"/>
      <c r="I48" s="116"/>
      <c r="L48" s="170">
        <v>44174</v>
      </c>
      <c r="M48" s="116">
        <v>294.07</v>
      </c>
      <c r="N48" s="116">
        <v>297</v>
      </c>
      <c r="O48" s="116">
        <v>292.39999999999998</v>
      </c>
      <c r="P48" s="116">
        <v>292.99</v>
      </c>
      <c r="Q48" s="116">
        <v>1470.35</v>
      </c>
      <c r="R48">
        <v>313925</v>
      </c>
    </row>
    <row r="49" spans="1:18" x14ac:dyDescent="0.25">
      <c r="A49" s="170">
        <v>44172</v>
      </c>
      <c r="B49" s="116">
        <v>296</v>
      </c>
      <c r="C49" s="116">
        <v>291.48</v>
      </c>
      <c r="D49" s="116">
        <v>287.54000000000002</v>
      </c>
      <c r="E49" s="116">
        <v>292.58</v>
      </c>
      <c r="F49" s="116">
        <v>1457.4</v>
      </c>
      <c r="G49">
        <v>11264</v>
      </c>
      <c r="H49" s="116"/>
      <c r="I49" s="116"/>
      <c r="L49" s="170">
        <v>44175</v>
      </c>
      <c r="M49" s="116">
        <v>300.95</v>
      </c>
      <c r="N49" s="116">
        <v>304.93</v>
      </c>
      <c r="O49" s="116">
        <v>291.64999999999998</v>
      </c>
      <c r="P49" s="116">
        <v>294.07</v>
      </c>
      <c r="Q49" s="116">
        <v>1504.75</v>
      </c>
      <c r="R49">
        <v>605787</v>
      </c>
    </row>
    <row r="50" spans="1:18" x14ac:dyDescent="0.25">
      <c r="A50" s="170">
        <v>44173</v>
      </c>
      <c r="B50" s="116">
        <v>295.8</v>
      </c>
      <c r="C50" s="116">
        <v>292.43</v>
      </c>
      <c r="D50" s="116">
        <v>290</v>
      </c>
      <c r="E50" s="116">
        <v>290.2</v>
      </c>
      <c r="F50" s="116">
        <v>1462.15</v>
      </c>
      <c r="G50">
        <v>15640</v>
      </c>
      <c r="H50" s="116"/>
      <c r="I50" s="116"/>
      <c r="L50" s="170">
        <v>44176</v>
      </c>
      <c r="M50" s="116">
        <v>299.82</v>
      </c>
      <c r="N50" s="116">
        <v>304.8</v>
      </c>
      <c r="O50" s="116">
        <v>294.97000000000003</v>
      </c>
      <c r="P50" s="116">
        <v>303.39999999999998</v>
      </c>
      <c r="Q50" s="116">
        <v>1499.1</v>
      </c>
      <c r="R50">
        <v>146974</v>
      </c>
    </row>
    <row r="51" spans="1:18" x14ac:dyDescent="0.25">
      <c r="A51" s="170">
        <v>44174</v>
      </c>
      <c r="B51" s="116">
        <v>297</v>
      </c>
      <c r="C51" s="116">
        <v>293.87</v>
      </c>
      <c r="D51" s="116">
        <v>292.39999999999998</v>
      </c>
      <c r="E51" s="116">
        <v>293.18</v>
      </c>
      <c r="F51" s="116">
        <v>1469.35</v>
      </c>
      <c r="G51">
        <v>145631</v>
      </c>
      <c r="H51" s="116"/>
      <c r="I51" s="116"/>
      <c r="L51" s="170">
        <v>44179</v>
      </c>
      <c r="M51" s="116">
        <v>301.95</v>
      </c>
      <c r="N51" s="116">
        <v>306.60000000000002</v>
      </c>
      <c r="O51" s="116">
        <v>298</v>
      </c>
      <c r="P51" s="116">
        <v>301.11</v>
      </c>
      <c r="Q51" s="116">
        <v>1509.75</v>
      </c>
      <c r="R51">
        <v>240597</v>
      </c>
    </row>
    <row r="52" spans="1:18" x14ac:dyDescent="0.25">
      <c r="A52" s="170">
        <v>44175</v>
      </c>
      <c r="B52" s="116">
        <v>305</v>
      </c>
      <c r="C52" s="116">
        <v>301.43</v>
      </c>
      <c r="D52" s="116">
        <v>291.5</v>
      </c>
      <c r="E52" s="116">
        <v>293.87</v>
      </c>
      <c r="F52" s="116">
        <v>1507.15</v>
      </c>
      <c r="G52">
        <v>48947</v>
      </c>
      <c r="H52" s="116"/>
      <c r="I52" s="116"/>
      <c r="L52" s="170">
        <v>44180</v>
      </c>
      <c r="M52" s="116">
        <v>301.88</v>
      </c>
      <c r="N52" s="116">
        <v>303.60000000000002</v>
      </c>
      <c r="O52" s="116">
        <v>299</v>
      </c>
      <c r="P52" s="116">
        <v>302</v>
      </c>
      <c r="Q52" s="116">
        <v>1509.4</v>
      </c>
      <c r="R52">
        <v>152371</v>
      </c>
    </row>
    <row r="53" spans="1:18" x14ac:dyDescent="0.25">
      <c r="A53" s="170">
        <v>44176</v>
      </c>
      <c r="B53" s="116">
        <v>304.99</v>
      </c>
      <c r="C53" s="116">
        <v>299.20999999999998</v>
      </c>
      <c r="D53" s="116">
        <v>294.64</v>
      </c>
      <c r="E53" s="116">
        <v>302.22000000000003</v>
      </c>
      <c r="F53" s="116">
        <v>1496.05</v>
      </c>
      <c r="G53">
        <v>20452</v>
      </c>
      <c r="H53" s="116"/>
      <c r="I53" s="116"/>
      <c r="L53" s="170">
        <v>44181</v>
      </c>
      <c r="M53" s="116">
        <v>301.87</v>
      </c>
      <c r="N53" s="116">
        <v>307.60000000000002</v>
      </c>
      <c r="O53" s="116">
        <v>299.01</v>
      </c>
      <c r="P53" s="116">
        <v>301.8</v>
      </c>
      <c r="Q53" s="116">
        <v>1509.35</v>
      </c>
      <c r="R53">
        <v>102512</v>
      </c>
    </row>
    <row r="54" spans="1:18" x14ac:dyDescent="0.25">
      <c r="A54" s="170">
        <v>44179</v>
      </c>
      <c r="B54" s="116">
        <v>306.39999999999998</v>
      </c>
      <c r="C54" s="116">
        <v>301.89999999999998</v>
      </c>
      <c r="D54" s="116">
        <v>298</v>
      </c>
      <c r="E54" s="116">
        <v>305</v>
      </c>
      <c r="F54" s="116">
        <v>1509.5</v>
      </c>
      <c r="G54">
        <v>12930</v>
      </c>
      <c r="H54" s="116"/>
      <c r="I54" s="116"/>
      <c r="L54" s="170">
        <v>44182</v>
      </c>
      <c r="M54" s="116">
        <v>301.89999999999998</v>
      </c>
      <c r="N54" s="116">
        <v>306.52</v>
      </c>
      <c r="O54" s="116">
        <v>301</v>
      </c>
      <c r="P54" s="116">
        <v>302.89999999999998</v>
      </c>
      <c r="Q54" s="116">
        <v>1509.5</v>
      </c>
      <c r="R54">
        <v>68814</v>
      </c>
    </row>
    <row r="55" spans="1:18" x14ac:dyDescent="0.25">
      <c r="A55" s="170">
        <v>44180</v>
      </c>
      <c r="B55" s="116">
        <v>303.60000000000002</v>
      </c>
      <c r="C55" s="116">
        <v>302.05</v>
      </c>
      <c r="D55" s="116">
        <v>298.83</v>
      </c>
      <c r="E55" s="116">
        <v>301.95</v>
      </c>
      <c r="F55" s="116">
        <v>1510.25</v>
      </c>
      <c r="G55">
        <v>7998</v>
      </c>
      <c r="H55" s="116"/>
      <c r="I55" s="116"/>
      <c r="L55" s="170">
        <v>44183</v>
      </c>
      <c r="M55" s="116">
        <v>320.22000000000003</v>
      </c>
      <c r="N55" s="116">
        <v>324.8</v>
      </c>
      <c r="O55" s="116">
        <v>299.01</v>
      </c>
      <c r="P55" s="116">
        <v>302.14</v>
      </c>
      <c r="Q55" s="116">
        <v>1601.1</v>
      </c>
      <c r="R55">
        <v>741937</v>
      </c>
    </row>
    <row r="56" spans="1:18" x14ac:dyDescent="0.25">
      <c r="A56" s="170">
        <v>44181</v>
      </c>
      <c r="B56" s="116">
        <v>307.39999999999998</v>
      </c>
      <c r="C56" s="116">
        <v>301.93</v>
      </c>
      <c r="D56" s="116">
        <v>299.41000000000003</v>
      </c>
      <c r="E56" s="116">
        <v>302.64999999999998</v>
      </c>
      <c r="F56" s="116">
        <v>1509.65</v>
      </c>
      <c r="G56">
        <v>25095</v>
      </c>
      <c r="H56" s="116"/>
      <c r="I56" s="116"/>
      <c r="L56" s="170">
        <v>44186</v>
      </c>
      <c r="M56" s="116">
        <v>337.57</v>
      </c>
      <c r="N56" s="116">
        <v>350.4</v>
      </c>
      <c r="O56" s="116">
        <v>322.05</v>
      </c>
      <c r="P56" s="116">
        <v>323.69</v>
      </c>
      <c r="Q56" s="116">
        <v>1687.85</v>
      </c>
      <c r="R56">
        <v>1699343</v>
      </c>
    </row>
    <row r="57" spans="1:18" x14ac:dyDescent="0.25">
      <c r="A57" s="170">
        <v>44182</v>
      </c>
      <c r="B57" s="116">
        <v>306</v>
      </c>
      <c r="C57" s="116">
        <v>301.70999999999998</v>
      </c>
      <c r="D57" s="116">
        <v>301</v>
      </c>
      <c r="E57" s="116">
        <v>302.93</v>
      </c>
      <c r="F57" s="116">
        <v>1508.55</v>
      </c>
      <c r="G57">
        <v>15837</v>
      </c>
      <c r="H57" s="116"/>
      <c r="I57" s="116"/>
      <c r="L57" s="170">
        <v>44187</v>
      </c>
      <c r="M57" s="116">
        <v>335.38</v>
      </c>
      <c r="N57" s="116">
        <v>348</v>
      </c>
      <c r="O57" s="116">
        <v>310</v>
      </c>
      <c r="P57" s="116">
        <v>348</v>
      </c>
      <c r="Q57" s="116">
        <v>1676.9</v>
      </c>
      <c r="R57">
        <v>619219</v>
      </c>
    </row>
    <row r="58" spans="1:18" x14ac:dyDescent="0.25">
      <c r="A58" s="170">
        <v>44183</v>
      </c>
      <c r="B58" s="116">
        <v>324.94</v>
      </c>
      <c r="C58" s="116">
        <v>320.18</v>
      </c>
      <c r="D58" s="116">
        <v>299.2</v>
      </c>
      <c r="E58" s="116">
        <v>302.5</v>
      </c>
      <c r="F58" s="116">
        <v>1600.9</v>
      </c>
      <c r="G58">
        <v>105665</v>
      </c>
      <c r="H58" s="116"/>
      <c r="I58" s="116"/>
      <c r="L58" s="170">
        <v>44188</v>
      </c>
      <c r="M58" s="116">
        <v>334.63</v>
      </c>
      <c r="N58" s="116">
        <v>344</v>
      </c>
      <c r="O58" s="116">
        <v>330.8</v>
      </c>
      <c r="P58" s="116">
        <v>338.8</v>
      </c>
      <c r="Q58" s="116">
        <v>1673.15</v>
      </c>
      <c r="R58">
        <v>314154</v>
      </c>
    </row>
    <row r="59" spans="1:18" x14ac:dyDescent="0.25">
      <c r="A59" s="170">
        <v>44186</v>
      </c>
      <c r="B59" s="116">
        <v>350.46</v>
      </c>
      <c r="C59" s="116">
        <v>337.25</v>
      </c>
      <c r="D59" s="116">
        <v>321.51</v>
      </c>
      <c r="E59" s="116">
        <v>323.60000000000002</v>
      </c>
      <c r="F59" s="116">
        <v>1686.25</v>
      </c>
      <c r="G59">
        <v>237595</v>
      </c>
      <c r="H59" s="116"/>
      <c r="I59" s="116"/>
      <c r="L59" s="170">
        <v>44189</v>
      </c>
      <c r="M59" s="116">
        <v>339.02</v>
      </c>
      <c r="N59" s="116">
        <v>346.7</v>
      </c>
      <c r="O59" s="116">
        <v>335.2</v>
      </c>
      <c r="P59" s="116">
        <v>337.6</v>
      </c>
      <c r="Q59" s="116">
        <v>1695.1</v>
      </c>
      <c r="R59">
        <v>257655</v>
      </c>
    </row>
    <row r="60" spans="1:18" x14ac:dyDescent="0.25">
      <c r="A60" s="170">
        <v>44187</v>
      </c>
      <c r="B60" s="116">
        <v>347.77</v>
      </c>
      <c r="C60" s="116">
        <v>335.65</v>
      </c>
      <c r="D60" s="116">
        <v>316</v>
      </c>
      <c r="E60" s="116">
        <v>341</v>
      </c>
      <c r="F60" s="116">
        <v>1678.25</v>
      </c>
      <c r="G60">
        <v>72617</v>
      </c>
      <c r="H60" s="116"/>
      <c r="I60" s="116"/>
      <c r="L60" s="170">
        <v>44193</v>
      </c>
      <c r="M60" s="116">
        <v>345.21</v>
      </c>
      <c r="N60" s="116">
        <v>349.8</v>
      </c>
      <c r="O60" s="116">
        <v>336.01</v>
      </c>
      <c r="P60" s="116">
        <v>340.8</v>
      </c>
      <c r="Q60" s="116">
        <v>1726.05</v>
      </c>
      <c r="R60">
        <v>228668</v>
      </c>
    </row>
    <row r="61" spans="1:18" x14ac:dyDescent="0.25">
      <c r="A61" s="170">
        <v>44188</v>
      </c>
      <c r="B61" s="116">
        <v>343.42</v>
      </c>
      <c r="C61" s="116">
        <v>334.45</v>
      </c>
      <c r="D61" s="116">
        <v>331</v>
      </c>
      <c r="E61" s="116">
        <v>337</v>
      </c>
      <c r="F61" s="116">
        <v>1672.25</v>
      </c>
      <c r="G61">
        <v>31898</v>
      </c>
      <c r="H61" s="116"/>
      <c r="I61" s="116"/>
      <c r="L61" s="170">
        <v>44194</v>
      </c>
      <c r="M61" s="116">
        <v>367.15</v>
      </c>
      <c r="N61" s="116">
        <v>373</v>
      </c>
      <c r="O61" s="116">
        <v>344.73</v>
      </c>
      <c r="P61" s="116">
        <v>347.59</v>
      </c>
      <c r="Q61" s="116">
        <v>1835.75</v>
      </c>
      <c r="R61">
        <v>823821</v>
      </c>
    </row>
    <row r="62" spans="1:18" x14ac:dyDescent="0.25">
      <c r="A62" s="170">
        <v>44189</v>
      </c>
      <c r="B62" s="116">
        <v>346.7</v>
      </c>
      <c r="C62" s="116">
        <v>338.52</v>
      </c>
      <c r="D62" s="116">
        <v>335.02</v>
      </c>
      <c r="E62" s="116">
        <v>339.8</v>
      </c>
      <c r="F62" s="116">
        <v>1692.6</v>
      </c>
      <c r="G62">
        <v>33585</v>
      </c>
      <c r="H62" s="116"/>
      <c r="I62" s="116"/>
      <c r="L62" s="170">
        <v>44195</v>
      </c>
      <c r="M62" s="116">
        <v>359.27</v>
      </c>
      <c r="N62" s="116">
        <v>378</v>
      </c>
      <c r="O62" s="116">
        <v>350.49</v>
      </c>
      <c r="P62" s="116">
        <v>377.6</v>
      </c>
      <c r="Q62" s="116">
        <v>1796.35</v>
      </c>
      <c r="R62">
        <v>830410</v>
      </c>
    </row>
    <row r="63" spans="1:18" x14ac:dyDescent="0.25">
      <c r="A63" s="170">
        <v>44193</v>
      </c>
      <c r="B63" s="116">
        <v>349.8</v>
      </c>
      <c r="C63" s="116">
        <v>345.56</v>
      </c>
      <c r="D63" s="116">
        <v>336.31</v>
      </c>
      <c r="E63" s="116">
        <v>339.02</v>
      </c>
      <c r="F63" s="116">
        <v>1727.8</v>
      </c>
      <c r="G63">
        <v>30125</v>
      </c>
      <c r="H63" s="116"/>
      <c r="I63" s="116"/>
      <c r="L63" s="170">
        <v>44196</v>
      </c>
      <c r="M63" s="116">
        <v>361.14</v>
      </c>
      <c r="N63" s="116">
        <v>367.8</v>
      </c>
      <c r="O63" s="116">
        <v>354.02</v>
      </c>
      <c r="P63" s="116">
        <v>356.57</v>
      </c>
      <c r="Q63" s="116">
        <v>1805.7</v>
      </c>
      <c r="R63">
        <v>391078</v>
      </c>
    </row>
    <row r="64" spans="1:18" x14ac:dyDescent="0.25">
      <c r="A64" s="170">
        <v>44194</v>
      </c>
      <c r="B64" s="116">
        <v>374</v>
      </c>
      <c r="C64" s="116">
        <v>367.83</v>
      </c>
      <c r="D64" s="116">
        <v>344.93</v>
      </c>
      <c r="E64" s="116">
        <v>347.96</v>
      </c>
      <c r="F64" s="116">
        <v>1839.15</v>
      </c>
      <c r="G64">
        <v>130763</v>
      </c>
      <c r="H64" s="116"/>
      <c r="I64" s="116"/>
      <c r="L64" s="170">
        <v>44197</v>
      </c>
      <c r="M64" s="116">
        <v>357.85</v>
      </c>
      <c r="N64" s="116">
        <v>371</v>
      </c>
      <c r="O64" s="116">
        <v>350.4</v>
      </c>
      <c r="P64" s="116">
        <v>358.2</v>
      </c>
      <c r="Q64" s="116">
        <v>1789.25</v>
      </c>
      <c r="R64">
        <v>308193</v>
      </c>
    </row>
    <row r="65" spans="1:18" x14ac:dyDescent="0.25">
      <c r="A65" s="170">
        <v>44195</v>
      </c>
      <c r="B65" s="116">
        <v>377.92</v>
      </c>
      <c r="C65" s="116">
        <v>358.95</v>
      </c>
      <c r="D65" s="116">
        <v>350.72</v>
      </c>
      <c r="E65" s="116">
        <v>373.98</v>
      </c>
      <c r="F65" s="116">
        <v>1794.75</v>
      </c>
      <c r="G65">
        <v>105662</v>
      </c>
      <c r="H65" s="116"/>
      <c r="I65" s="116"/>
      <c r="L65" s="170">
        <v>44200</v>
      </c>
      <c r="M65" s="116">
        <v>365.09</v>
      </c>
      <c r="N65" s="116">
        <v>369.98</v>
      </c>
      <c r="O65" s="116">
        <v>352</v>
      </c>
      <c r="P65" s="116">
        <v>359.3</v>
      </c>
      <c r="Q65" s="116">
        <v>1825.45</v>
      </c>
      <c r="R65">
        <v>297889</v>
      </c>
    </row>
    <row r="66" spans="1:18" x14ac:dyDescent="0.25">
      <c r="A66" s="170">
        <v>44196</v>
      </c>
      <c r="B66" s="116">
        <v>367.6</v>
      </c>
      <c r="C66" s="116">
        <v>361.09</v>
      </c>
      <c r="D66" s="116">
        <v>354.6</v>
      </c>
      <c r="E66" s="116">
        <v>357.97</v>
      </c>
      <c r="F66" s="116">
        <v>1805.45</v>
      </c>
      <c r="G66">
        <v>43098</v>
      </c>
      <c r="H66" s="116"/>
      <c r="I66" s="116"/>
      <c r="L66" s="170">
        <v>44201</v>
      </c>
      <c r="M66" s="116">
        <v>360.52</v>
      </c>
      <c r="N66" s="116">
        <v>371.37</v>
      </c>
      <c r="O66" s="116">
        <v>358</v>
      </c>
      <c r="P66" s="116">
        <v>362</v>
      </c>
      <c r="Q66" s="116">
        <v>1802.6</v>
      </c>
      <c r="R66">
        <v>118804</v>
      </c>
    </row>
    <row r="67" spans="1:18" x14ac:dyDescent="0.25">
      <c r="A67" s="170">
        <v>44197</v>
      </c>
      <c r="B67" s="116">
        <v>371.16</v>
      </c>
      <c r="C67" s="116">
        <v>357.96</v>
      </c>
      <c r="D67" s="116">
        <v>350.41</v>
      </c>
      <c r="E67" s="116">
        <v>360.2</v>
      </c>
      <c r="F67" s="116">
        <v>1789.8</v>
      </c>
      <c r="G67">
        <v>36697</v>
      </c>
      <c r="H67" s="116"/>
      <c r="I67" s="116"/>
      <c r="L67" s="170">
        <v>44202</v>
      </c>
      <c r="M67" s="116">
        <v>356.78</v>
      </c>
      <c r="N67" s="116">
        <v>364.41</v>
      </c>
      <c r="O67" s="116">
        <v>352.22</v>
      </c>
      <c r="P67" s="116">
        <v>362.39</v>
      </c>
      <c r="Q67" s="116">
        <v>1783.9</v>
      </c>
      <c r="R67">
        <v>101368</v>
      </c>
    </row>
    <row r="68" spans="1:18" x14ac:dyDescent="0.25">
      <c r="A68" s="170">
        <v>44200</v>
      </c>
      <c r="B68" s="116">
        <v>370</v>
      </c>
      <c r="C68" s="116">
        <v>365.31</v>
      </c>
      <c r="D68" s="116">
        <v>352.05</v>
      </c>
      <c r="E68" s="116">
        <v>360</v>
      </c>
      <c r="F68" s="116">
        <v>1826.55</v>
      </c>
      <c r="G68">
        <v>40027</v>
      </c>
      <c r="H68" s="116"/>
      <c r="I68" s="116"/>
      <c r="L68" s="170">
        <v>44203</v>
      </c>
      <c r="M68" s="116">
        <v>361.49</v>
      </c>
      <c r="N68" s="116">
        <v>365.2</v>
      </c>
      <c r="O68" s="116">
        <v>353.6</v>
      </c>
      <c r="P68" s="116">
        <v>360.02</v>
      </c>
      <c r="Q68" s="116">
        <v>1807.45</v>
      </c>
      <c r="R68">
        <v>118012</v>
      </c>
    </row>
    <row r="69" spans="1:18" x14ac:dyDescent="0.25">
      <c r="A69" s="170">
        <v>44201</v>
      </c>
      <c r="B69" s="116">
        <v>371.2</v>
      </c>
      <c r="C69" s="116">
        <v>360.25</v>
      </c>
      <c r="D69" s="116">
        <v>357.51</v>
      </c>
      <c r="E69" s="116">
        <v>362</v>
      </c>
      <c r="F69" s="116">
        <v>1801.25</v>
      </c>
      <c r="G69">
        <v>17523</v>
      </c>
      <c r="H69" s="116"/>
      <c r="I69" s="116"/>
      <c r="L69" s="170">
        <v>44204</v>
      </c>
      <c r="M69" s="116">
        <v>357.39</v>
      </c>
      <c r="N69" s="116">
        <v>364.6</v>
      </c>
      <c r="O69" s="116">
        <v>355.39</v>
      </c>
      <c r="P69" s="116">
        <v>364.5</v>
      </c>
      <c r="Q69" s="116">
        <v>1786.95</v>
      </c>
      <c r="R69">
        <v>75264</v>
      </c>
    </row>
    <row r="70" spans="1:18" x14ac:dyDescent="0.25">
      <c r="A70" s="170">
        <v>44202</v>
      </c>
      <c r="B70" s="116">
        <v>364</v>
      </c>
      <c r="C70" s="116">
        <v>356.33</v>
      </c>
      <c r="D70" s="116">
        <v>352</v>
      </c>
      <c r="E70" s="116">
        <v>360.4</v>
      </c>
      <c r="F70" s="116">
        <v>1781.65</v>
      </c>
      <c r="G70">
        <v>16439</v>
      </c>
      <c r="H70" s="116"/>
      <c r="I70" s="116"/>
      <c r="L70" s="170">
        <v>44207</v>
      </c>
      <c r="M70" s="116">
        <v>359.15</v>
      </c>
      <c r="N70" s="116">
        <v>361.59</v>
      </c>
      <c r="O70" s="116">
        <v>356.2</v>
      </c>
      <c r="P70" s="116">
        <v>358.93</v>
      </c>
      <c r="Q70" s="116">
        <v>1795.75</v>
      </c>
      <c r="R70">
        <v>73679</v>
      </c>
    </row>
    <row r="71" spans="1:18" x14ac:dyDescent="0.25">
      <c r="A71" s="170">
        <v>44203</v>
      </c>
      <c r="B71" s="116">
        <v>364.99</v>
      </c>
      <c r="C71" s="116">
        <v>361.42</v>
      </c>
      <c r="D71" s="116">
        <v>354</v>
      </c>
      <c r="E71" s="116">
        <v>362.6</v>
      </c>
      <c r="F71" s="116">
        <v>1807.1</v>
      </c>
      <c r="G71">
        <v>11602</v>
      </c>
      <c r="H71" s="116"/>
      <c r="I71" s="116"/>
      <c r="L71" s="170">
        <v>44208</v>
      </c>
      <c r="M71" s="116">
        <v>360.53</v>
      </c>
      <c r="N71" s="116">
        <v>365.6</v>
      </c>
      <c r="O71" s="116">
        <v>357.42</v>
      </c>
      <c r="P71" s="116">
        <v>360.8</v>
      </c>
      <c r="Q71" s="116">
        <v>1802.65</v>
      </c>
      <c r="R71">
        <v>164883</v>
      </c>
    </row>
    <row r="72" spans="1:18" x14ac:dyDescent="0.25">
      <c r="A72" s="170">
        <v>44204</v>
      </c>
      <c r="B72" s="116">
        <v>365</v>
      </c>
      <c r="C72" s="116">
        <v>357.29</v>
      </c>
      <c r="D72" s="116">
        <v>356.01</v>
      </c>
      <c r="E72" s="116">
        <v>365</v>
      </c>
      <c r="F72" s="116">
        <v>1786.45</v>
      </c>
      <c r="G72">
        <v>9592</v>
      </c>
      <c r="H72" s="116"/>
      <c r="I72" s="116"/>
      <c r="L72" s="170">
        <v>44209</v>
      </c>
      <c r="M72" s="116">
        <v>368.15</v>
      </c>
      <c r="N72" s="116">
        <v>373</v>
      </c>
      <c r="O72" s="116">
        <v>359.21</v>
      </c>
      <c r="P72" s="116">
        <v>363.59</v>
      </c>
      <c r="Q72" s="116">
        <v>1840.75</v>
      </c>
      <c r="R72">
        <v>199541</v>
      </c>
    </row>
    <row r="73" spans="1:18" x14ac:dyDescent="0.25">
      <c r="A73" s="170">
        <v>44207</v>
      </c>
      <c r="B73" s="116">
        <v>361.53</v>
      </c>
      <c r="C73" s="116">
        <v>358.92</v>
      </c>
      <c r="D73" s="116">
        <v>356.21</v>
      </c>
      <c r="E73" s="116">
        <v>359.62</v>
      </c>
      <c r="F73" s="116">
        <v>1794.6</v>
      </c>
      <c r="G73">
        <v>5736</v>
      </c>
      <c r="H73" s="116"/>
      <c r="I73" s="116"/>
      <c r="L73" s="170">
        <v>44210</v>
      </c>
      <c r="M73" s="116">
        <v>362.29</v>
      </c>
      <c r="N73" s="116">
        <v>370.8</v>
      </c>
      <c r="O73" s="116">
        <v>360.6</v>
      </c>
      <c r="P73" s="116">
        <v>370</v>
      </c>
      <c r="Q73" s="116">
        <v>1811.45</v>
      </c>
      <c r="R73">
        <v>49784</v>
      </c>
    </row>
    <row r="74" spans="1:18" x14ac:dyDescent="0.25">
      <c r="A74" s="170">
        <v>44208</v>
      </c>
      <c r="B74" s="116">
        <v>365.66</v>
      </c>
      <c r="C74" s="116">
        <v>360.19</v>
      </c>
      <c r="D74" s="116">
        <v>357.99</v>
      </c>
      <c r="E74" s="116">
        <v>361.8</v>
      </c>
      <c r="F74" s="116">
        <v>1800.95</v>
      </c>
      <c r="G74">
        <v>7304</v>
      </c>
      <c r="H74" s="116"/>
      <c r="I74" s="116"/>
      <c r="L74" s="170">
        <v>44211</v>
      </c>
      <c r="M74" s="116">
        <v>361.64</v>
      </c>
      <c r="N74" s="116">
        <v>365.2</v>
      </c>
      <c r="O74" s="116">
        <v>360</v>
      </c>
      <c r="P74" s="116">
        <v>363</v>
      </c>
      <c r="Q74" s="116">
        <v>1808.2</v>
      </c>
      <c r="R74">
        <v>38152</v>
      </c>
    </row>
    <row r="75" spans="1:18" x14ac:dyDescent="0.25">
      <c r="A75" s="170">
        <v>44209</v>
      </c>
      <c r="B75" s="116">
        <v>373.09</v>
      </c>
      <c r="C75" s="116">
        <v>368.21</v>
      </c>
      <c r="D75" s="116">
        <v>359.41</v>
      </c>
      <c r="E75" s="116">
        <v>362</v>
      </c>
      <c r="F75" s="116">
        <v>1841.05</v>
      </c>
      <c r="G75">
        <v>17735</v>
      </c>
      <c r="H75" s="116"/>
      <c r="I75" s="116"/>
      <c r="L75" s="170">
        <v>44214</v>
      </c>
      <c r="M75" s="116">
        <v>362.33</v>
      </c>
      <c r="N75" s="116">
        <v>366</v>
      </c>
      <c r="O75" s="116">
        <v>351</v>
      </c>
      <c r="P75" s="116">
        <v>361</v>
      </c>
      <c r="Q75" s="116">
        <v>1811.65</v>
      </c>
      <c r="R75">
        <v>81468</v>
      </c>
    </row>
    <row r="76" spans="1:18" x14ac:dyDescent="0.25">
      <c r="A76" s="170">
        <v>44210</v>
      </c>
      <c r="B76" s="116">
        <v>371</v>
      </c>
      <c r="C76" s="116">
        <v>362.25</v>
      </c>
      <c r="D76" s="116">
        <v>360.66</v>
      </c>
      <c r="E76" s="116">
        <v>371</v>
      </c>
      <c r="F76" s="116">
        <v>1811.25</v>
      </c>
      <c r="G76">
        <v>9401</v>
      </c>
      <c r="H76" s="116"/>
      <c r="I76" s="116"/>
      <c r="L76" s="170">
        <v>44215</v>
      </c>
      <c r="M76" s="116">
        <v>361.75</v>
      </c>
      <c r="N76" s="116">
        <v>364.47</v>
      </c>
      <c r="O76" s="116">
        <v>360.2</v>
      </c>
      <c r="P76" s="116">
        <v>364</v>
      </c>
      <c r="Q76" s="116">
        <v>1808.75</v>
      </c>
      <c r="R76">
        <v>25430</v>
      </c>
    </row>
    <row r="77" spans="1:18" x14ac:dyDescent="0.25">
      <c r="A77" s="170">
        <v>44211</v>
      </c>
      <c r="B77" s="116">
        <v>366</v>
      </c>
      <c r="C77" s="116">
        <v>361.58</v>
      </c>
      <c r="D77" s="116">
        <v>360.16</v>
      </c>
      <c r="E77" s="116">
        <v>366</v>
      </c>
      <c r="F77" s="116">
        <v>1807.9</v>
      </c>
      <c r="G77">
        <v>5174</v>
      </c>
      <c r="H77" s="116"/>
      <c r="I77" s="116"/>
      <c r="L77" s="170">
        <v>44216</v>
      </c>
      <c r="M77" s="116">
        <v>358.92</v>
      </c>
      <c r="N77" s="116">
        <v>363.6</v>
      </c>
      <c r="O77" s="116">
        <v>358</v>
      </c>
      <c r="P77" s="116">
        <v>361.8</v>
      </c>
      <c r="Q77" s="116">
        <v>1794.6</v>
      </c>
      <c r="R77">
        <v>28155</v>
      </c>
    </row>
    <row r="78" spans="1:18" x14ac:dyDescent="0.25">
      <c r="A78" s="170">
        <v>44214</v>
      </c>
      <c r="B78" s="116">
        <v>366.22</v>
      </c>
      <c r="C78" s="116">
        <v>362.08</v>
      </c>
      <c r="D78" s="116">
        <v>351.2</v>
      </c>
      <c r="E78" s="116">
        <v>363.8</v>
      </c>
      <c r="F78" s="116">
        <v>1810.4</v>
      </c>
      <c r="G78">
        <v>14677</v>
      </c>
      <c r="H78" s="116"/>
      <c r="I78" s="116"/>
      <c r="L78" s="170">
        <v>44217</v>
      </c>
      <c r="M78" s="116">
        <v>358.18</v>
      </c>
      <c r="N78" s="116">
        <v>367.58</v>
      </c>
      <c r="O78" s="116">
        <v>355.83</v>
      </c>
      <c r="P78" s="116">
        <v>361.95</v>
      </c>
      <c r="Q78" s="116">
        <v>1790.9</v>
      </c>
      <c r="R78">
        <v>80497</v>
      </c>
    </row>
    <row r="79" spans="1:18" x14ac:dyDescent="0.25">
      <c r="A79" s="170">
        <v>44215</v>
      </c>
      <c r="B79" s="116">
        <v>364.4</v>
      </c>
      <c r="C79" s="116">
        <v>361.52</v>
      </c>
      <c r="D79" s="116">
        <v>360.4</v>
      </c>
      <c r="E79" s="116">
        <v>363.4</v>
      </c>
      <c r="F79" s="116">
        <v>1807.6</v>
      </c>
      <c r="G79">
        <v>4510</v>
      </c>
      <c r="H79" s="116"/>
      <c r="I79" s="116"/>
      <c r="L79" s="170">
        <v>44218</v>
      </c>
      <c r="M79" s="116">
        <v>356.1</v>
      </c>
      <c r="N79" s="116">
        <v>362.33</v>
      </c>
      <c r="O79" s="116">
        <v>353.45</v>
      </c>
      <c r="P79" s="116">
        <v>357.99</v>
      </c>
      <c r="Q79" s="116">
        <v>1780.5</v>
      </c>
      <c r="R79">
        <v>42799</v>
      </c>
    </row>
    <row r="80" spans="1:18" x14ac:dyDescent="0.25">
      <c r="A80" s="170">
        <v>44216</v>
      </c>
      <c r="B80" s="116">
        <v>362.92</v>
      </c>
      <c r="C80" s="116">
        <v>358.83</v>
      </c>
      <c r="D80" s="116">
        <v>358</v>
      </c>
      <c r="E80" s="116">
        <v>361.8</v>
      </c>
      <c r="F80" s="116">
        <v>1794.15</v>
      </c>
      <c r="G80">
        <v>3511</v>
      </c>
      <c r="H80" s="116"/>
      <c r="I80" s="116"/>
      <c r="L80" s="170">
        <v>44221</v>
      </c>
      <c r="M80" s="116">
        <v>356.79</v>
      </c>
      <c r="N80" s="116">
        <v>361.94</v>
      </c>
      <c r="O80" s="116">
        <v>352.81</v>
      </c>
      <c r="P80" s="116">
        <v>359</v>
      </c>
      <c r="Q80" s="116">
        <v>1783.95</v>
      </c>
      <c r="R80">
        <v>42983</v>
      </c>
    </row>
    <row r="81" spans="1:18" x14ac:dyDescent="0.25">
      <c r="A81" s="170">
        <v>44217</v>
      </c>
      <c r="B81" s="116">
        <v>367.4</v>
      </c>
      <c r="C81" s="116">
        <v>358.8</v>
      </c>
      <c r="D81" s="116">
        <v>356</v>
      </c>
      <c r="E81" s="116">
        <v>363</v>
      </c>
      <c r="F81" s="116">
        <v>1794</v>
      </c>
      <c r="G81">
        <v>7329</v>
      </c>
      <c r="H81" s="116"/>
      <c r="I81" s="116"/>
      <c r="L81" s="170">
        <v>44223</v>
      </c>
      <c r="M81" s="116">
        <v>359.63</v>
      </c>
      <c r="N81" s="116">
        <v>361</v>
      </c>
      <c r="O81" s="116">
        <v>356.02</v>
      </c>
      <c r="P81" s="116">
        <v>356.02</v>
      </c>
      <c r="Q81" s="116">
        <v>1798.15</v>
      </c>
      <c r="R81">
        <v>48426</v>
      </c>
    </row>
    <row r="82" spans="1:18" x14ac:dyDescent="0.25">
      <c r="A82" s="170">
        <v>44218</v>
      </c>
      <c r="B82" s="116">
        <v>362</v>
      </c>
      <c r="C82" s="116">
        <v>356.14</v>
      </c>
      <c r="D82" s="116">
        <v>353.29</v>
      </c>
      <c r="E82" s="116">
        <v>355</v>
      </c>
      <c r="F82" s="116">
        <v>1780.7</v>
      </c>
      <c r="G82">
        <v>9637</v>
      </c>
      <c r="H82" s="116"/>
      <c r="I82" s="116"/>
      <c r="L82" s="170">
        <v>44224</v>
      </c>
      <c r="M82" s="116">
        <v>360.3</v>
      </c>
      <c r="N82" s="116">
        <v>366</v>
      </c>
      <c r="O82" s="116">
        <v>357</v>
      </c>
      <c r="P82" s="116">
        <v>357.02</v>
      </c>
      <c r="Q82" s="116">
        <v>1801.5</v>
      </c>
      <c r="R82">
        <v>70587</v>
      </c>
    </row>
    <row r="83" spans="1:18" x14ac:dyDescent="0.25">
      <c r="A83" s="170">
        <v>44221</v>
      </c>
      <c r="B83" s="116">
        <v>361.2</v>
      </c>
      <c r="C83" s="116">
        <v>356.81</v>
      </c>
      <c r="D83" s="116">
        <v>352.84</v>
      </c>
      <c r="E83" s="116">
        <v>356</v>
      </c>
      <c r="F83" s="116">
        <v>1784.05</v>
      </c>
      <c r="G83">
        <v>8594</v>
      </c>
      <c r="H83" s="116"/>
      <c r="I83" s="116"/>
      <c r="L83" s="170">
        <v>44225</v>
      </c>
      <c r="M83" s="116">
        <v>355.35</v>
      </c>
      <c r="N83" s="116">
        <v>367.2</v>
      </c>
      <c r="O83" s="116">
        <v>351.6</v>
      </c>
      <c r="P83" s="116">
        <v>362.08</v>
      </c>
      <c r="Q83" s="116">
        <v>1776.75</v>
      </c>
      <c r="R83">
        <v>110295</v>
      </c>
    </row>
    <row r="84" spans="1:18" x14ac:dyDescent="0.25">
      <c r="A84" s="170">
        <v>44223</v>
      </c>
      <c r="B84" s="116">
        <v>360.6</v>
      </c>
      <c r="C84" s="116">
        <v>359.55</v>
      </c>
      <c r="D84" s="116">
        <v>356</v>
      </c>
      <c r="E84" s="116">
        <v>358</v>
      </c>
      <c r="F84" s="116">
        <v>1797.75</v>
      </c>
      <c r="G84">
        <v>5516</v>
      </c>
      <c r="H84" s="116"/>
      <c r="I84" s="116"/>
      <c r="L84" s="170">
        <v>44228</v>
      </c>
      <c r="M84" s="116">
        <v>359.41</v>
      </c>
      <c r="N84" s="116">
        <v>364.69</v>
      </c>
      <c r="O84" s="116">
        <v>354.02</v>
      </c>
      <c r="P84" s="116">
        <v>356</v>
      </c>
      <c r="Q84" s="116">
        <v>1797.05</v>
      </c>
      <c r="R84">
        <v>110133</v>
      </c>
    </row>
    <row r="85" spans="1:18" x14ac:dyDescent="0.25">
      <c r="A85" s="170">
        <v>44224</v>
      </c>
      <c r="B85" s="116">
        <v>366</v>
      </c>
      <c r="C85" s="116">
        <v>360.18</v>
      </c>
      <c r="D85" s="116">
        <v>357</v>
      </c>
      <c r="E85" s="116">
        <v>359.55</v>
      </c>
      <c r="F85" s="116">
        <v>1800.9</v>
      </c>
      <c r="G85">
        <v>4581</v>
      </c>
      <c r="H85" s="116"/>
      <c r="I85" s="116"/>
      <c r="L85" s="170">
        <v>44229</v>
      </c>
      <c r="M85" s="116">
        <v>361.91</v>
      </c>
      <c r="N85" s="116">
        <v>364.39</v>
      </c>
      <c r="O85" s="116">
        <v>360</v>
      </c>
      <c r="P85" s="116">
        <v>360.2</v>
      </c>
      <c r="Q85" s="116">
        <v>1809.55</v>
      </c>
      <c r="R85">
        <v>44588</v>
      </c>
    </row>
    <row r="86" spans="1:18" x14ac:dyDescent="0.25">
      <c r="A86" s="170">
        <v>44225</v>
      </c>
      <c r="B86" s="116">
        <v>366.86</v>
      </c>
      <c r="C86" s="116">
        <v>355.42</v>
      </c>
      <c r="D86" s="116">
        <v>351.4</v>
      </c>
      <c r="E86" s="116">
        <v>362.73</v>
      </c>
      <c r="F86" s="116">
        <v>1777.1</v>
      </c>
      <c r="G86">
        <v>4713</v>
      </c>
      <c r="H86" s="116"/>
      <c r="I86" s="116"/>
      <c r="L86" s="170">
        <v>44230</v>
      </c>
      <c r="M86" s="116">
        <v>362.56</v>
      </c>
      <c r="N86" s="116">
        <v>364.79</v>
      </c>
      <c r="O86" s="116">
        <v>360.74</v>
      </c>
      <c r="P86" s="116">
        <v>363</v>
      </c>
      <c r="Q86" s="116">
        <v>1812.8</v>
      </c>
      <c r="R86">
        <v>36467</v>
      </c>
    </row>
    <row r="87" spans="1:18" x14ac:dyDescent="0.25">
      <c r="A87" s="170">
        <v>44228</v>
      </c>
      <c r="B87" s="116">
        <v>364</v>
      </c>
      <c r="C87" s="116">
        <v>359.23</v>
      </c>
      <c r="D87" s="116">
        <v>353.73</v>
      </c>
      <c r="E87" s="116">
        <v>361.8</v>
      </c>
      <c r="F87" s="116">
        <v>1796.15</v>
      </c>
      <c r="G87">
        <v>11047</v>
      </c>
      <c r="H87" s="116"/>
      <c r="I87" s="116"/>
      <c r="L87" s="170">
        <v>44231</v>
      </c>
      <c r="M87" s="116">
        <v>371.19</v>
      </c>
      <c r="N87" s="116">
        <v>383.8</v>
      </c>
      <c r="O87" s="116">
        <v>362</v>
      </c>
      <c r="P87" s="116">
        <v>362.6</v>
      </c>
      <c r="Q87" s="116">
        <v>1855.95</v>
      </c>
      <c r="R87">
        <v>210401</v>
      </c>
    </row>
    <row r="88" spans="1:18" x14ac:dyDescent="0.25">
      <c r="A88" s="170">
        <v>44229</v>
      </c>
      <c r="B88" s="116">
        <v>364.36</v>
      </c>
      <c r="C88" s="116">
        <v>361.42</v>
      </c>
      <c r="D88" s="116">
        <v>359.23</v>
      </c>
      <c r="E88" s="116">
        <v>359.23</v>
      </c>
      <c r="F88" s="116">
        <v>1807.1</v>
      </c>
      <c r="G88">
        <v>4201</v>
      </c>
      <c r="H88" s="116"/>
      <c r="I88" s="116"/>
      <c r="L88" s="170">
        <v>44232</v>
      </c>
      <c r="M88" s="116">
        <v>364.49</v>
      </c>
      <c r="N88" s="116">
        <v>374.8</v>
      </c>
      <c r="O88" s="116">
        <v>362.23</v>
      </c>
      <c r="P88" s="116">
        <v>372.99</v>
      </c>
      <c r="Q88" s="116">
        <v>1822.45</v>
      </c>
      <c r="R88">
        <v>66705</v>
      </c>
    </row>
    <row r="89" spans="1:18" x14ac:dyDescent="0.25">
      <c r="A89" s="170">
        <v>44230</v>
      </c>
      <c r="B89" s="116">
        <v>364.65</v>
      </c>
      <c r="C89" s="116">
        <v>362.71</v>
      </c>
      <c r="D89" s="116">
        <v>360.6</v>
      </c>
      <c r="E89" s="116">
        <v>363.2</v>
      </c>
      <c r="F89" s="116">
        <v>1813.55</v>
      </c>
      <c r="G89">
        <v>4477</v>
      </c>
      <c r="H89" s="116"/>
      <c r="I89" s="116"/>
      <c r="L89" s="170">
        <v>44235</v>
      </c>
      <c r="M89" s="116">
        <v>370.7</v>
      </c>
      <c r="N89" s="116">
        <v>374.09</v>
      </c>
      <c r="O89" s="116">
        <v>365.2</v>
      </c>
      <c r="P89" s="116">
        <v>366.95</v>
      </c>
      <c r="Q89" s="116">
        <v>1853.5</v>
      </c>
      <c r="R89">
        <v>267384</v>
      </c>
    </row>
    <row r="90" spans="1:18" x14ac:dyDescent="0.25">
      <c r="A90" s="170">
        <v>44231</v>
      </c>
      <c r="B90" s="116">
        <v>384</v>
      </c>
      <c r="C90" s="116">
        <v>371.29</v>
      </c>
      <c r="D90" s="116">
        <v>359.2</v>
      </c>
      <c r="E90" s="116">
        <v>359.2</v>
      </c>
      <c r="F90" s="116">
        <v>1856.45</v>
      </c>
      <c r="G90">
        <v>24684</v>
      </c>
      <c r="H90" s="116"/>
      <c r="I90" s="116"/>
      <c r="L90" s="170">
        <v>44236</v>
      </c>
      <c r="M90" s="116">
        <v>373.92</v>
      </c>
      <c r="N90" s="116">
        <v>396</v>
      </c>
      <c r="O90" s="116">
        <v>371</v>
      </c>
      <c r="P90" s="116">
        <v>373.3</v>
      </c>
      <c r="Q90" s="116">
        <v>1869.6</v>
      </c>
      <c r="R90">
        <v>349201</v>
      </c>
    </row>
    <row r="91" spans="1:18" x14ac:dyDescent="0.25">
      <c r="A91" s="170">
        <v>44232</v>
      </c>
      <c r="B91" s="116">
        <v>375.01</v>
      </c>
      <c r="C91" s="116">
        <v>364.43</v>
      </c>
      <c r="D91" s="116">
        <v>362.21</v>
      </c>
      <c r="E91" s="116">
        <v>372.4</v>
      </c>
      <c r="F91" s="116">
        <v>1822.15</v>
      </c>
      <c r="G91">
        <v>9354</v>
      </c>
      <c r="H91" s="116"/>
      <c r="I91" s="116"/>
      <c r="L91" s="170">
        <v>44237</v>
      </c>
      <c r="M91" s="116">
        <v>374.62</v>
      </c>
      <c r="N91" s="116">
        <v>389.32</v>
      </c>
      <c r="O91" s="116">
        <v>371</v>
      </c>
      <c r="P91" s="116">
        <v>377.2</v>
      </c>
      <c r="Q91" s="116">
        <v>1873.1</v>
      </c>
      <c r="R91">
        <v>242790</v>
      </c>
    </row>
    <row r="92" spans="1:18" x14ac:dyDescent="0.25">
      <c r="A92" s="170">
        <v>44235</v>
      </c>
      <c r="B92" s="116">
        <v>373.93</v>
      </c>
      <c r="C92" s="116">
        <v>370.62</v>
      </c>
      <c r="D92" s="116">
        <v>365.67</v>
      </c>
      <c r="E92" s="116">
        <v>366.6</v>
      </c>
      <c r="F92" s="116">
        <v>1853.1</v>
      </c>
      <c r="G92">
        <v>14655</v>
      </c>
      <c r="H92" s="116"/>
      <c r="I92" s="116"/>
      <c r="L92" s="170">
        <v>44238</v>
      </c>
      <c r="M92" s="116">
        <v>395.77</v>
      </c>
      <c r="N92" s="116">
        <v>401.6</v>
      </c>
      <c r="O92" s="116">
        <v>375.99</v>
      </c>
      <c r="P92" s="116">
        <v>375.99</v>
      </c>
      <c r="Q92" s="116">
        <v>1978.85</v>
      </c>
      <c r="R92">
        <v>293161</v>
      </c>
    </row>
    <row r="93" spans="1:18" x14ac:dyDescent="0.25">
      <c r="A93" s="170">
        <v>44236</v>
      </c>
      <c r="B93" s="116">
        <v>395.98</v>
      </c>
      <c r="C93" s="116">
        <v>374.46</v>
      </c>
      <c r="D93" s="116">
        <v>370.89</v>
      </c>
      <c r="E93" s="116">
        <v>372</v>
      </c>
      <c r="F93" s="116">
        <v>1872.3</v>
      </c>
      <c r="G93">
        <v>32385</v>
      </c>
      <c r="H93" s="116"/>
      <c r="I93" s="116"/>
      <c r="L93" s="170">
        <v>44239</v>
      </c>
      <c r="M93" s="116">
        <v>386.07</v>
      </c>
      <c r="N93" s="116">
        <v>404.66</v>
      </c>
      <c r="O93" s="116">
        <v>382</v>
      </c>
      <c r="P93" s="116">
        <v>401</v>
      </c>
      <c r="Q93" s="116">
        <v>1930.35</v>
      </c>
      <c r="R93">
        <v>194527</v>
      </c>
    </row>
    <row r="94" spans="1:18" x14ac:dyDescent="0.25">
      <c r="A94" s="170">
        <v>44237</v>
      </c>
      <c r="B94" s="116">
        <v>389.37</v>
      </c>
      <c r="C94" s="116">
        <v>374.43</v>
      </c>
      <c r="D94" s="116">
        <v>370.88</v>
      </c>
      <c r="E94" s="116">
        <v>380</v>
      </c>
      <c r="F94" s="116">
        <v>1872.15</v>
      </c>
      <c r="G94">
        <v>57661</v>
      </c>
      <c r="H94" s="116"/>
      <c r="I94" s="116"/>
      <c r="L94" s="170">
        <v>44242</v>
      </c>
      <c r="M94" s="116">
        <v>382.91</v>
      </c>
      <c r="N94" s="116">
        <v>394</v>
      </c>
      <c r="O94" s="116">
        <v>380</v>
      </c>
      <c r="P94" s="116">
        <v>390.55</v>
      </c>
      <c r="Q94" s="116">
        <v>1914.55</v>
      </c>
      <c r="R94">
        <v>160252</v>
      </c>
    </row>
    <row r="95" spans="1:18" x14ac:dyDescent="0.25">
      <c r="A95" s="170">
        <v>44238</v>
      </c>
      <c r="B95" s="116">
        <v>401.2</v>
      </c>
      <c r="C95" s="116">
        <v>395.58</v>
      </c>
      <c r="D95" s="116">
        <v>376.43</v>
      </c>
      <c r="E95" s="116">
        <v>378.8</v>
      </c>
      <c r="F95" s="116">
        <v>1977.9</v>
      </c>
      <c r="G95">
        <v>43931</v>
      </c>
      <c r="H95" s="116"/>
      <c r="I95" s="116"/>
      <c r="L95" s="170">
        <v>44243</v>
      </c>
      <c r="M95" s="116">
        <v>380.5</v>
      </c>
      <c r="N95" s="116">
        <v>386.73</v>
      </c>
      <c r="O95" s="116">
        <v>377.99</v>
      </c>
      <c r="P95" s="116">
        <v>385.97</v>
      </c>
      <c r="Q95" s="116">
        <v>1902.5</v>
      </c>
      <c r="R95">
        <v>106453</v>
      </c>
    </row>
    <row r="96" spans="1:18" x14ac:dyDescent="0.25">
      <c r="A96" s="170">
        <v>44239</v>
      </c>
      <c r="B96" s="116">
        <v>407.99</v>
      </c>
      <c r="C96" s="116">
        <v>385.41</v>
      </c>
      <c r="D96" s="116">
        <v>380.88</v>
      </c>
      <c r="E96" s="116">
        <v>398</v>
      </c>
      <c r="F96" s="116">
        <v>1927.05</v>
      </c>
      <c r="G96">
        <v>26943</v>
      </c>
      <c r="H96" s="116"/>
      <c r="I96" s="116"/>
      <c r="L96" s="170">
        <v>44244</v>
      </c>
      <c r="M96" s="116">
        <v>378.83</v>
      </c>
      <c r="N96" s="116">
        <v>383.99</v>
      </c>
      <c r="O96" s="116">
        <v>376.18</v>
      </c>
      <c r="P96" s="116">
        <v>379.98</v>
      </c>
      <c r="Q96" s="116">
        <v>1894.15</v>
      </c>
      <c r="R96">
        <v>66659</v>
      </c>
    </row>
    <row r="97" spans="1:18" x14ac:dyDescent="0.25">
      <c r="A97" s="170">
        <v>44242</v>
      </c>
      <c r="B97" s="116">
        <v>392.06</v>
      </c>
      <c r="C97" s="116">
        <v>381.9</v>
      </c>
      <c r="D97" s="116">
        <v>380</v>
      </c>
      <c r="E97" s="116">
        <v>391.6</v>
      </c>
      <c r="F97" s="116">
        <v>1909.5</v>
      </c>
      <c r="G97">
        <v>10392</v>
      </c>
      <c r="H97" s="116"/>
      <c r="I97" s="116"/>
      <c r="L97" s="170">
        <v>44245</v>
      </c>
      <c r="M97" s="116">
        <v>376.63</v>
      </c>
      <c r="N97" s="116">
        <v>382.8</v>
      </c>
      <c r="O97" s="116">
        <v>374</v>
      </c>
      <c r="P97" s="116">
        <v>380.65</v>
      </c>
      <c r="Q97" s="116">
        <v>1883.15</v>
      </c>
      <c r="R97">
        <v>72720</v>
      </c>
    </row>
    <row r="98" spans="1:18" x14ac:dyDescent="0.25">
      <c r="A98" s="170">
        <v>44243</v>
      </c>
      <c r="B98" s="116">
        <v>386.03</v>
      </c>
      <c r="C98" s="116">
        <v>380.44</v>
      </c>
      <c r="D98" s="116">
        <v>378.01</v>
      </c>
      <c r="E98" s="116">
        <v>385.8</v>
      </c>
      <c r="F98" s="116">
        <v>1902.2</v>
      </c>
      <c r="G98">
        <v>7277</v>
      </c>
      <c r="H98" s="116"/>
      <c r="I98" s="116"/>
      <c r="L98" s="170">
        <v>44246</v>
      </c>
      <c r="M98" s="116">
        <v>364.4</v>
      </c>
      <c r="N98" s="116">
        <v>378.5</v>
      </c>
      <c r="O98" s="116">
        <v>362</v>
      </c>
      <c r="P98" s="116">
        <v>376.63</v>
      </c>
      <c r="Q98" s="116">
        <v>1822</v>
      </c>
      <c r="R98">
        <v>110825</v>
      </c>
    </row>
    <row r="99" spans="1:18" x14ac:dyDescent="0.25">
      <c r="A99" s="170">
        <v>44244</v>
      </c>
      <c r="B99" s="116">
        <v>384.27</v>
      </c>
      <c r="C99" s="116">
        <v>378.12</v>
      </c>
      <c r="D99" s="116">
        <v>376.5</v>
      </c>
      <c r="E99" s="116">
        <v>380.44</v>
      </c>
      <c r="F99" s="116">
        <v>1890.6</v>
      </c>
      <c r="G99">
        <v>7825</v>
      </c>
      <c r="H99" s="116"/>
      <c r="I99" s="116"/>
      <c r="L99" s="170">
        <v>44249</v>
      </c>
      <c r="M99" s="116">
        <v>343.48</v>
      </c>
      <c r="N99" s="116">
        <v>364.2</v>
      </c>
      <c r="O99" s="116">
        <v>340.2</v>
      </c>
      <c r="P99" s="116">
        <v>364.2</v>
      </c>
      <c r="Q99" s="116">
        <v>1717.4</v>
      </c>
      <c r="R99">
        <v>274208</v>
      </c>
    </row>
    <row r="100" spans="1:18" x14ac:dyDescent="0.25">
      <c r="A100" s="170">
        <v>44245</v>
      </c>
      <c r="B100" s="116">
        <v>392.49</v>
      </c>
      <c r="C100" s="116">
        <v>375.92</v>
      </c>
      <c r="D100" s="116">
        <v>373.56</v>
      </c>
      <c r="E100" s="116">
        <v>392.49</v>
      </c>
      <c r="F100" s="116">
        <v>1879.6</v>
      </c>
      <c r="G100">
        <v>5016</v>
      </c>
      <c r="H100" s="116"/>
      <c r="I100" s="116"/>
      <c r="L100" s="170">
        <v>44250</v>
      </c>
      <c r="M100" s="116">
        <v>351.96</v>
      </c>
      <c r="N100" s="116">
        <v>359.09</v>
      </c>
      <c r="O100" s="116">
        <v>346.19</v>
      </c>
      <c r="P100" s="116">
        <v>346.19</v>
      </c>
      <c r="Q100" s="116">
        <v>1759.8</v>
      </c>
      <c r="R100">
        <v>246882</v>
      </c>
    </row>
    <row r="101" spans="1:18" x14ac:dyDescent="0.25">
      <c r="A101" s="170">
        <v>44246</v>
      </c>
      <c r="B101" s="116">
        <v>378.85</v>
      </c>
      <c r="C101" s="116">
        <v>363.75</v>
      </c>
      <c r="D101" s="116">
        <v>361</v>
      </c>
      <c r="E101" s="116">
        <v>376.6</v>
      </c>
      <c r="F101" s="116">
        <v>1818.75</v>
      </c>
      <c r="G101">
        <v>11313</v>
      </c>
      <c r="H101" s="116"/>
      <c r="I101" s="116"/>
      <c r="L101" s="170">
        <v>44251</v>
      </c>
      <c r="M101" s="116">
        <v>361.55</v>
      </c>
      <c r="N101" s="116">
        <v>363.99</v>
      </c>
      <c r="O101" s="116">
        <v>352.22</v>
      </c>
      <c r="P101" s="116">
        <v>354.8</v>
      </c>
      <c r="Q101" s="116">
        <v>1807.75</v>
      </c>
      <c r="R101">
        <v>34331</v>
      </c>
    </row>
    <row r="102" spans="1:18" x14ac:dyDescent="0.25">
      <c r="A102" s="170">
        <v>44249</v>
      </c>
      <c r="B102" s="116">
        <v>363.35</v>
      </c>
      <c r="C102" s="116">
        <v>343.95</v>
      </c>
      <c r="D102" s="116">
        <v>340.05</v>
      </c>
      <c r="E102" s="116">
        <v>363.35</v>
      </c>
      <c r="F102" s="116">
        <v>1719.75</v>
      </c>
      <c r="G102">
        <v>30525</v>
      </c>
      <c r="H102" s="116"/>
      <c r="I102" s="116"/>
      <c r="L102" s="170">
        <v>44252</v>
      </c>
      <c r="M102" s="116">
        <v>361.39</v>
      </c>
      <c r="N102" s="116">
        <v>366</v>
      </c>
      <c r="O102" s="116">
        <v>360</v>
      </c>
      <c r="P102" s="116">
        <v>362.6</v>
      </c>
      <c r="Q102" s="116">
        <v>1806.95</v>
      </c>
      <c r="R102">
        <v>106348</v>
      </c>
    </row>
    <row r="103" spans="1:18" x14ac:dyDescent="0.25">
      <c r="A103" s="170">
        <v>44250</v>
      </c>
      <c r="B103" s="116">
        <v>358.66</v>
      </c>
      <c r="C103" s="116">
        <v>352.11</v>
      </c>
      <c r="D103" s="116">
        <v>346.02</v>
      </c>
      <c r="E103" s="116">
        <v>350</v>
      </c>
      <c r="F103" s="116">
        <v>1760.55</v>
      </c>
      <c r="G103">
        <v>17107</v>
      </c>
      <c r="H103" s="116"/>
      <c r="I103" s="116"/>
      <c r="L103" s="170">
        <v>44253</v>
      </c>
      <c r="M103" s="116">
        <v>365.1</v>
      </c>
      <c r="N103" s="116">
        <v>370.79</v>
      </c>
      <c r="O103" s="116">
        <v>354.01</v>
      </c>
      <c r="P103" s="116">
        <v>359</v>
      </c>
      <c r="Q103" s="116">
        <v>1825.5</v>
      </c>
      <c r="R103">
        <v>99429</v>
      </c>
    </row>
    <row r="104" spans="1:18" x14ac:dyDescent="0.25">
      <c r="A104" s="170">
        <v>44251</v>
      </c>
      <c r="B104" s="116">
        <v>363.6</v>
      </c>
      <c r="C104" s="116">
        <v>361.28</v>
      </c>
      <c r="D104" s="116">
        <v>354.65</v>
      </c>
      <c r="E104" s="116">
        <v>356</v>
      </c>
      <c r="F104" s="116">
        <v>1806.4</v>
      </c>
      <c r="G104">
        <v>11729</v>
      </c>
      <c r="H104" s="116"/>
      <c r="I104" s="116"/>
      <c r="L104" s="170">
        <v>44256</v>
      </c>
      <c r="M104" s="116">
        <v>372.27</v>
      </c>
      <c r="N104" s="116">
        <v>375</v>
      </c>
      <c r="O104" s="116">
        <v>364.01</v>
      </c>
      <c r="P104" s="116">
        <v>368</v>
      </c>
      <c r="Q104" s="116">
        <v>1861.35</v>
      </c>
      <c r="R104">
        <v>172938</v>
      </c>
    </row>
    <row r="105" spans="1:18" x14ac:dyDescent="0.25">
      <c r="A105" s="170">
        <v>44252</v>
      </c>
      <c r="B105" s="116">
        <v>366.23</v>
      </c>
      <c r="C105" s="116">
        <v>361.33</v>
      </c>
      <c r="D105" s="116">
        <v>360.1</v>
      </c>
      <c r="E105" s="116">
        <v>364.6</v>
      </c>
      <c r="F105" s="116">
        <v>1806.65</v>
      </c>
      <c r="G105">
        <v>3507</v>
      </c>
      <c r="H105" s="116"/>
      <c r="I105" s="116"/>
      <c r="L105" s="170">
        <v>44257</v>
      </c>
      <c r="M105" s="116">
        <v>379.3</v>
      </c>
      <c r="N105" s="116">
        <v>383.2</v>
      </c>
      <c r="O105" s="116">
        <v>371.94</v>
      </c>
      <c r="P105" s="116">
        <v>372</v>
      </c>
      <c r="Q105" s="116">
        <v>1896.5</v>
      </c>
      <c r="R105">
        <v>138265</v>
      </c>
    </row>
    <row r="106" spans="1:18" x14ac:dyDescent="0.25">
      <c r="A106" s="170">
        <v>44253</v>
      </c>
      <c r="B106" s="116">
        <v>370.92</v>
      </c>
      <c r="C106" s="116">
        <v>364.97</v>
      </c>
      <c r="D106" s="116">
        <v>356</v>
      </c>
      <c r="E106" s="116">
        <v>360</v>
      </c>
      <c r="F106" s="116">
        <v>1824.85</v>
      </c>
      <c r="G106">
        <v>7391</v>
      </c>
      <c r="H106" s="116"/>
      <c r="I106" s="116"/>
      <c r="L106" s="170">
        <v>44258</v>
      </c>
      <c r="M106" s="116">
        <v>379.41</v>
      </c>
      <c r="N106" s="116">
        <v>387.8</v>
      </c>
      <c r="O106" s="116">
        <v>373</v>
      </c>
      <c r="P106" s="116">
        <v>373</v>
      </c>
      <c r="Q106" s="116">
        <v>1897.05</v>
      </c>
      <c r="R106">
        <v>278465</v>
      </c>
    </row>
    <row r="107" spans="1:18" x14ac:dyDescent="0.25">
      <c r="A107" s="170">
        <v>44256</v>
      </c>
      <c r="B107" s="116">
        <v>375</v>
      </c>
      <c r="C107" s="116">
        <v>372.5</v>
      </c>
      <c r="D107" s="116">
        <v>364.2</v>
      </c>
      <c r="E107" s="116">
        <v>373</v>
      </c>
      <c r="F107" s="116">
        <v>1862.5</v>
      </c>
      <c r="G107">
        <v>3264</v>
      </c>
      <c r="H107" s="116"/>
      <c r="I107" s="116"/>
      <c r="L107" s="170">
        <v>44259</v>
      </c>
      <c r="M107" s="116">
        <v>380.43</v>
      </c>
      <c r="N107" s="116">
        <v>385.13</v>
      </c>
      <c r="O107" s="116">
        <v>376.2</v>
      </c>
      <c r="P107" s="116">
        <v>376.2</v>
      </c>
      <c r="Q107" s="116">
        <v>1902.15</v>
      </c>
      <c r="R107">
        <v>68531</v>
      </c>
    </row>
    <row r="108" spans="1:18" x14ac:dyDescent="0.25">
      <c r="A108" s="170">
        <v>44257</v>
      </c>
      <c r="B108" s="116">
        <v>383.45</v>
      </c>
      <c r="C108" s="116">
        <v>379.05</v>
      </c>
      <c r="D108" s="116">
        <v>371.59</v>
      </c>
      <c r="E108" s="116">
        <v>372.35</v>
      </c>
      <c r="F108" s="116">
        <v>1895.25</v>
      </c>
      <c r="G108">
        <v>7882</v>
      </c>
      <c r="H108" s="116"/>
      <c r="I108" s="116"/>
      <c r="L108" s="170">
        <v>44260</v>
      </c>
      <c r="M108" s="116">
        <v>380.11</v>
      </c>
      <c r="N108" s="116">
        <v>383</v>
      </c>
      <c r="O108" s="116">
        <v>377.11</v>
      </c>
      <c r="P108" s="116">
        <v>380.99</v>
      </c>
      <c r="Q108" s="116">
        <v>1900.55</v>
      </c>
      <c r="R108">
        <v>46402</v>
      </c>
    </row>
    <row r="109" spans="1:18" x14ac:dyDescent="0.25">
      <c r="A109" s="170">
        <v>44258</v>
      </c>
      <c r="B109" s="116">
        <v>388.02</v>
      </c>
      <c r="C109" s="116">
        <v>379.2</v>
      </c>
      <c r="D109" s="116">
        <v>374.76</v>
      </c>
      <c r="E109" s="116">
        <v>381</v>
      </c>
      <c r="F109" s="116">
        <v>1896</v>
      </c>
      <c r="G109">
        <v>10497</v>
      </c>
      <c r="H109" s="116"/>
      <c r="I109" s="116"/>
      <c r="L109" s="170">
        <v>44263</v>
      </c>
      <c r="M109" s="116">
        <v>379.44</v>
      </c>
      <c r="N109" s="116">
        <v>385.79</v>
      </c>
      <c r="O109" s="116">
        <v>377.6</v>
      </c>
      <c r="P109" s="116">
        <v>383</v>
      </c>
      <c r="Q109" s="116">
        <v>1897.2</v>
      </c>
      <c r="R109">
        <v>93100</v>
      </c>
    </row>
    <row r="110" spans="1:18" x14ac:dyDescent="0.25">
      <c r="A110" s="170">
        <v>44259</v>
      </c>
      <c r="B110" s="116">
        <v>385.49</v>
      </c>
      <c r="C110" s="116">
        <v>380.87</v>
      </c>
      <c r="D110" s="116">
        <v>377.72</v>
      </c>
      <c r="E110" s="116">
        <v>379.4</v>
      </c>
      <c r="F110" s="116">
        <v>1904.35</v>
      </c>
      <c r="G110">
        <v>2521</v>
      </c>
      <c r="H110" s="116"/>
      <c r="I110" s="116"/>
      <c r="L110" s="170">
        <v>44264</v>
      </c>
      <c r="M110" s="116">
        <v>373.11</v>
      </c>
      <c r="N110" s="116">
        <v>383.09</v>
      </c>
      <c r="O110" s="116">
        <v>368</v>
      </c>
      <c r="P110" s="116">
        <v>380</v>
      </c>
      <c r="Q110" s="116">
        <v>1865.55</v>
      </c>
      <c r="R110">
        <v>46054</v>
      </c>
    </row>
    <row r="111" spans="1:18" x14ac:dyDescent="0.25">
      <c r="A111" s="170">
        <v>44260</v>
      </c>
      <c r="B111" s="116">
        <v>383.09</v>
      </c>
      <c r="C111" s="116">
        <v>380.25</v>
      </c>
      <c r="D111" s="116">
        <v>377.09</v>
      </c>
      <c r="E111" s="116">
        <v>383.09</v>
      </c>
      <c r="F111" s="116">
        <v>1901.25</v>
      </c>
      <c r="G111">
        <v>5296</v>
      </c>
      <c r="H111" s="116"/>
      <c r="I111" s="116"/>
      <c r="L111" s="170">
        <v>44265</v>
      </c>
      <c r="M111" s="116">
        <v>369.61</v>
      </c>
      <c r="N111" s="116">
        <v>376.1</v>
      </c>
      <c r="O111" s="116">
        <v>368.83</v>
      </c>
      <c r="P111" s="116">
        <v>376</v>
      </c>
      <c r="Q111" s="116">
        <v>1848.05</v>
      </c>
      <c r="R111">
        <v>34000</v>
      </c>
    </row>
    <row r="112" spans="1:18" x14ac:dyDescent="0.25">
      <c r="A112" s="170">
        <v>44263</v>
      </c>
      <c r="B112" s="116">
        <v>385.8</v>
      </c>
      <c r="C112" s="116">
        <v>379.42</v>
      </c>
      <c r="D112" s="116">
        <v>378</v>
      </c>
      <c r="E112" s="116">
        <v>383.2</v>
      </c>
      <c r="F112" s="116">
        <v>1897.1</v>
      </c>
      <c r="G112">
        <v>52234</v>
      </c>
      <c r="H112" s="116"/>
      <c r="I112" s="116"/>
      <c r="L112" s="170">
        <v>44267</v>
      </c>
      <c r="M112" s="116">
        <v>374.89</v>
      </c>
      <c r="N112" s="116">
        <v>377.6</v>
      </c>
      <c r="O112" s="116">
        <v>365.62</v>
      </c>
      <c r="P112" s="116">
        <v>372</v>
      </c>
      <c r="Q112" s="116">
        <v>1874.45</v>
      </c>
      <c r="R112">
        <v>270024</v>
      </c>
    </row>
    <row r="113" spans="1:18" x14ac:dyDescent="0.25">
      <c r="A113" s="170">
        <v>44264</v>
      </c>
      <c r="B113" s="116">
        <v>382.55</v>
      </c>
      <c r="C113" s="116">
        <v>373.39</v>
      </c>
      <c r="D113" s="116">
        <v>368.75</v>
      </c>
      <c r="E113" s="116">
        <v>379.42</v>
      </c>
      <c r="F113" s="116">
        <v>1866.95</v>
      </c>
      <c r="G113">
        <v>4382</v>
      </c>
      <c r="H113" s="116"/>
      <c r="I113" s="116"/>
      <c r="L113" s="170">
        <v>44270</v>
      </c>
      <c r="M113" s="116">
        <v>372.54</v>
      </c>
      <c r="N113" s="116">
        <v>379.29</v>
      </c>
      <c r="O113" s="116">
        <v>370.2</v>
      </c>
      <c r="P113" s="116">
        <v>377.52</v>
      </c>
      <c r="Q113" s="116">
        <v>1862.7</v>
      </c>
      <c r="R113">
        <v>39215</v>
      </c>
    </row>
    <row r="114" spans="1:18" x14ac:dyDescent="0.25">
      <c r="A114" s="170">
        <v>44265</v>
      </c>
      <c r="B114" s="116">
        <v>376.42</v>
      </c>
      <c r="C114" s="116">
        <v>369.38</v>
      </c>
      <c r="D114" s="116">
        <v>368.84</v>
      </c>
      <c r="E114" s="116">
        <v>373.21</v>
      </c>
      <c r="F114" s="116">
        <v>1846.9</v>
      </c>
      <c r="G114">
        <v>3831</v>
      </c>
      <c r="H114" s="116"/>
      <c r="I114" s="116"/>
      <c r="L114" s="170">
        <v>44271</v>
      </c>
      <c r="M114" s="116">
        <v>373.57</v>
      </c>
      <c r="N114" s="116">
        <v>377.42</v>
      </c>
      <c r="O114" s="116">
        <v>371</v>
      </c>
      <c r="P114" s="116">
        <v>374</v>
      </c>
      <c r="Q114" s="116">
        <v>1867.85</v>
      </c>
      <c r="R114">
        <v>115601</v>
      </c>
    </row>
    <row r="115" spans="1:18" x14ac:dyDescent="0.25">
      <c r="A115" s="170">
        <v>44267</v>
      </c>
      <c r="B115" s="116">
        <v>377.51</v>
      </c>
      <c r="C115" s="116">
        <v>374.38</v>
      </c>
      <c r="D115" s="116">
        <v>365.61</v>
      </c>
      <c r="E115" s="116">
        <v>367.2</v>
      </c>
      <c r="F115" s="116">
        <v>1871.9</v>
      </c>
      <c r="G115">
        <v>6658</v>
      </c>
      <c r="H115" s="116"/>
      <c r="I115" s="116"/>
      <c r="L115" s="170">
        <v>44272</v>
      </c>
      <c r="M115" s="116">
        <v>370.11</v>
      </c>
      <c r="N115" s="116">
        <v>377.7</v>
      </c>
      <c r="O115" s="116">
        <v>366</v>
      </c>
      <c r="P115" s="116">
        <v>375.54</v>
      </c>
      <c r="Q115" s="116">
        <v>1850.55</v>
      </c>
      <c r="R115">
        <v>80778</v>
      </c>
    </row>
    <row r="116" spans="1:18" x14ac:dyDescent="0.25">
      <c r="A116" s="170">
        <v>44270</v>
      </c>
      <c r="B116" s="116">
        <v>379.05</v>
      </c>
      <c r="C116" s="116">
        <v>372.9</v>
      </c>
      <c r="D116" s="116">
        <v>370.77</v>
      </c>
      <c r="E116" s="116">
        <v>377.8</v>
      </c>
      <c r="F116" s="116">
        <v>1864.5</v>
      </c>
      <c r="G116">
        <v>3184</v>
      </c>
      <c r="H116" s="116"/>
      <c r="I116" s="116"/>
      <c r="L116" s="170">
        <v>44273</v>
      </c>
      <c r="M116" s="116">
        <v>373</v>
      </c>
      <c r="N116" s="116">
        <v>376</v>
      </c>
      <c r="O116" s="116">
        <v>367.12</v>
      </c>
      <c r="P116" s="116">
        <v>373</v>
      </c>
      <c r="Q116" s="116">
        <v>1865</v>
      </c>
      <c r="R116">
        <v>70737</v>
      </c>
    </row>
    <row r="117" spans="1:18" x14ac:dyDescent="0.25">
      <c r="A117" s="170">
        <v>44271</v>
      </c>
      <c r="B117" s="116">
        <v>377.04</v>
      </c>
      <c r="C117" s="116">
        <v>373.88</v>
      </c>
      <c r="D117" s="116">
        <v>371.66</v>
      </c>
      <c r="E117" s="116">
        <v>374</v>
      </c>
      <c r="F117" s="116">
        <v>1869.4</v>
      </c>
      <c r="G117">
        <v>3540</v>
      </c>
      <c r="H117" s="116"/>
      <c r="I117" s="116"/>
      <c r="L117" s="170">
        <v>44274</v>
      </c>
      <c r="M117" s="116">
        <v>369.55</v>
      </c>
      <c r="N117" s="116">
        <v>374.4</v>
      </c>
      <c r="O117" s="116">
        <v>359.2</v>
      </c>
      <c r="P117" s="116">
        <v>373</v>
      </c>
      <c r="Q117" s="116">
        <v>1847.75</v>
      </c>
      <c r="R117">
        <v>54709</v>
      </c>
    </row>
    <row r="118" spans="1:18" x14ac:dyDescent="0.25">
      <c r="A118" s="170">
        <v>44272</v>
      </c>
      <c r="B118" s="116">
        <v>377.87</v>
      </c>
      <c r="C118" s="116">
        <v>369.72</v>
      </c>
      <c r="D118" s="116">
        <v>366.2</v>
      </c>
      <c r="E118" s="116">
        <v>377.8</v>
      </c>
      <c r="F118" s="116">
        <v>1848.6</v>
      </c>
      <c r="G118">
        <v>8095</v>
      </c>
      <c r="H118" s="116"/>
      <c r="I118" s="116"/>
      <c r="L118" s="170">
        <v>44277</v>
      </c>
      <c r="M118" s="116">
        <v>373.17</v>
      </c>
      <c r="N118" s="116">
        <v>378.6</v>
      </c>
      <c r="O118" s="116">
        <v>366.48</v>
      </c>
      <c r="P118" s="116">
        <v>372.4</v>
      </c>
      <c r="Q118" s="116">
        <v>1865.85</v>
      </c>
      <c r="R118">
        <v>105102</v>
      </c>
    </row>
    <row r="119" spans="1:18" x14ac:dyDescent="0.25">
      <c r="A119" s="170">
        <v>44273</v>
      </c>
      <c r="B119" s="116">
        <v>376</v>
      </c>
      <c r="C119" s="116">
        <v>372.87</v>
      </c>
      <c r="D119" s="116">
        <v>367.2</v>
      </c>
      <c r="E119" s="116">
        <v>369.8</v>
      </c>
      <c r="F119" s="116">
        <v>1864.35</v>
      </c>
      <c r="G119">
        <v>5197</v>
      </c>
      <c r="H119" s="116"/>
      <c r="I119" s="116"/>
      <c r="L119" s="170">
        <v>44278</v>
      </c>
      <c r="M119" s="116">
        <v>376.13</v>
      </c>
      <c r="N119" s="116">
        <v>378.96</v>
      </c>
      <c r="O119" s="116">
        <v>370.2</v>
      </c>
      <c r="P119" s="116">
        <v>375.2</v>
      </c>
      <c r="Q119" s="116">
        <v>1880.65</v>
      </c>
      <c r="R119">
        <v>107830</v>
      </c>
    </row>
    <row r="120" spans="1:18" x14ac:dyDescent="0.25">
      <c r="A120" s="170">
        <v>44274</v>
      </c>
      <c r="B120" s="116">
        <v>374.21</v>
      </c>
      <c r="C120" s="116">
        <v>368.85</v>
      </c>
      <c r="D120" s="116">
        <v>359.1</v>
      </c>
      <c r="E120" s="116">
        <v>370.08</v>
      </c>
      <c r="F120" s="116">
        <v>1844.25</v>
      </c>
      <c r="G120">
        <v>5135</v>
      </c>
      <c r="H120" s="116"/>
      <c r="I120" s="116"/>
      <c r="L120" s="170">
        <v>44279</v>
      </c>
      <c r="M120" s="116">
        <v>368.36</v>
      </c>
      <c r="N120" s="116">
        <v>375.6</v>
      </c>
      <c r="O120" s="116">
        <v>366.12</v>
      </c>
      <c r="P120" s="116">
        <v>375.6</v>
      </c>
      <c r="Q120" s="116">
        <v>1841.8</v>
      </c>
      <c r="R120">
        <v>28809</v>
      </c>
    </row>
    <row r="121" spans="1:18" x14ac:dyDescent="0.25">
      <c r="A121" s="170">
        <v>44277</v>
      </c>
      <c r="B121" s="116">
        <v>378.31</v>
      </c>
      <c r="C121" s="116">
        <v>372.85</v>
      </c>
      <c r="D121" s="116">
        <v>366.6</v>
      </c>
      <c r="E121" s="116">
        <v>369.4</v>
      </c>
      <c r="F121" s="116">
        <v>1864.25</v>
      </c>
      <c r="G121">
        <v>3408</v>
      </c>
      <c r="H121" s="116"/>
      <c r="I121" s="116"/>
      <c r="L121" s="170">
        <v>44280</v>
      </c>
      <c r="M121" s="116">
        <v>355.5</v>
      </c>
      <c r="N121" s="116">
        <v>371</v>
      </c>
      <c r="O121" s="116">
        <v>351.58</v>
      </c>
      <c r="P121" s="116">
        <v>370.19</v>
      </c>
      <c r="Q121" s="116">
        <v>1777.5</v>
      </c>
      <c r="R121">
        <v>120258</v>
      </c>
    </row>
    <row r="122" spans="1:18" x14ac:dyDescent="0.25">
      <c r="A122" s="170">
        <v>44278</v>
      </c>
      <c r="B122" s="116">
        <v>378.38</v>
      </c>
      <c r="C122" s="116">
        <v>376.08</v>
      </c>
      <c r="D122" s="116">
        <v>371</v>
      </c>
      <c r="E122" s="116">
        <v>375.6</v>
      </c>
      <c r="F122" s="116">
        <v>1880.4</v>
      </c>
      <c r="G122">
        <v>3537</v>
      </c>
      <c r="H122" s="116"/>
      <c r="I122" s="116"/>
      <c r="L122" s="170">
        <v>44281</v>
      </c>
      <c r="M122" s="116">
        <v>353.76</v>
      </c>
      <c r="N122" s="116">
        <v>359</v>
      </c>
      <c r="O122" s="116">
        <v>348.3</v>
      </c>
      <c r="P122" s="116">
        <v>357.99</v>
      </c>
      <c r="Q122" s="116">
        <v>1768.8</v>
      </c>
      <c r="R122">
        <v>66357</v>
      </c>
    </row>
    <row r="123" spans="1:18" x14ac:dyDescent="0.25">
      <c r="A123" s="170">
        <v>44279</v>
      </c>
      <c r="B123" s="116">
        <v>374.8</v>
      </c>
      <c r="C123" s="116">
        <v>368.62</v>
      </c>
      <c r="D123" s="116">
        <v>366.88</v>
      </c>
      <c r="E123" s="116">
        <v>374.09</v>
      </c>
      <c r="F123" s="116">
        <v>1843.1</v>
      </c>
      <c r="G123">
        <v>4278</v>
      </c>
      <c r="H123" s="116"/>
      <c r="I123" s="116"/>
      <c r="L123" s="170">
        <v>44285</v>
      </c>
      <c r="M123" s="116">
        <v>362.93</v>
      </c>
      <c r="N123" s="116">
        <v>370</v>
      </c>
      <c r="O123" s="116">
        <v>355.24</v>
      </c>
      <c r="P123" s="116">
        <v>358</v>
      </c>
      <c r="Q123" s="116">
        <v>1814.65</v>
      </c>
      <c r="R123">
        <v>110433</v>
      </c>
    </row>
    <row r="124" spans="1:18" x14ac:dyDescent="0.25">
      <c r="A124" s="170">
        <v>44280</v>
      </c>
      <c r="B124" s="116">
        <v>369.61</v>
      </c>
      <c r="C124" s="116">
        <v>355.02</v>
      </c>
      <c r="D124" s="116">
        <v>351.62</v>
      </c>
      <c r="E124" s="116">
        <v>368</v>
      </c>
      <c r="F124" s="116">
        <v>1775.1</v>
      </c>
      <c r="G124">
        <v>11848</v>
      </c>
      <c r="H124" s="116"/>
      <c r="I124" s="116"/>
      <c r="L124" s="170">
        <v>44286</v>
      </c>
      <c r="M124" s="116">
        <v>369.28</v>
      </c>
      <c r="N124" s="116">
        <v>370.98</v>
      </c>
      <c r="O124" s="116">
        <v>358.41</v>
      </c>
      <c r="P124" s="116">
        <v>361.8</v>
      </c>
      <c r="Q124" s="116">
        <v>1846.4</v>
      </c>
      <c r="R124">
        <v>93876</v>
      </c>
    </row>
    <row r="125" spans="1:18" x14ac:dyDescent="0.25">
      <c r="A125" s="170">
        <v>44281</v>
      </c>
      <c r="B125" s="116">
        <v>358.2</v>
      </c>
      <c r="C125" s="116">
        <v>353.42</v>
      </c>
      <c r="D125" s="116">
        <v>350.2</v>
      </c>
      <c r="E125" s="116">
        <v>356.21</v>
      </c>
      <c r="F125" s="116">
        <v>1767.1</v>
      </c>
      <c r="G125">
        <v>3877</v>
      </c>
      <c r="H125" s="116"/>
      <c r="I125" s="116"/>
      <c r="L125" s="170">
        <v>44287</v>
      </c>
      <c r="M125" s="116">
        <v>367.3</v>
      </c>
      <c r="N125" s="116">
        <v>373.58</v>
      </c>
      <c r="O125" s="116">
        <v>365.6</v>
      </c>
      <c r="P125" s="116">
        <v>373</v>
      </c>
      <c r="Q125" s="116">
        <v>1836.5</v>
      </c>
      <c r="R125">
        <v>34863</v>
      </c>
    </row>
    <row r="126" spans="1:18" x14ac:dyDescent="0.25">
      <c r="A126" s="170">
        <v>44285</v>
      </c>
      <c r="B126" s="116">
        <v>369.99</v>
      </c>
      <c r="C126" s="116">
        <v>360.26</v>
      </c>
      <c r="D126" s="116">
        <v>355.53</v>
      </c>
      <c r="E126" s="116">
        <v>359.46</v>
      </c>
      <c r="F126" s="116">
        <v>1801.3</v>
      </c>
      <c r="G126">
        <v>12730</v>
      </c>
      <c r="H126" s="116"/>
      <c r="I126" s="116"/>
      <c r="L126" s="170">
        <v>44291</v>
      </c>
      <c r="M126" s="116">
        <v>366.06</v>
      </c>
      <c r="N126" s="116">
        <v>370.97</v>
      </c>
      <c r="O126" s="116">
        <v>363.46</v>
      </c>
      <c r="P126" s="116">
        <v>368</v>
      </c>
      <c r="Q126" s="116">
        <v>1830.3</v>
      </c>
      <c r="R126">
        <v>36682</v>
      </c>
    </row>
    <row r="127" spans="1:18" x14ac:dyDescent="0.25">
      <c r="A127" s="170">
        <v>44286</v>
      </c>
      <c r="B127" s="116">
        <v>376</v>
      </c>
      <c r="C127" s="116">
        <v>370.54</v>
      </c>
      <c r="D127" s="116">
        <v>359.86</v>
      </c>
      <c r="E127" s="116">
        <v>363.97</v>
      </c>
      <c r="F127" s="116">
        <v>1852.7</v>
      </c>
      <c r="G127">
        <v>5272</v>
      </c>
      <c r="H127" s="116"/>
      <c r="I127" s="116"/>
      <c r="L127" s="170">
        <v>44292</v>
      </c>
      <c r="M127" s="116">
        <v>364.09</v>
      </c>
      <c r="N127" s="116">
        <v>367</v>
      </c>
      <c r="O127" s="116">
        <v>360.92</v>
      </c>
      <c r="P127" s="116">
        <v>367</v>
      </c>
      <c r="Q127" s="116">
        <v>1820.45</v>
      </c>
      <c r="R127">
        <v>57850</v>
      </c>
    </row>
    <row r="128" spans="1:18" x14ac:dyDescent="0.25">
      <c r="A128" s="170">
        <v>44287</v>
      </c>
      <c r="B128" s="116">
        <v>373.26</v>
      </c>
      <c r="C128" s="116">
        <v>367.32</v>
      </c>
      <c r="D128" s="116">
        <v>366.3</v>
      </c>
      <c r="E128" s="116">
        <v>370.54</v>
      </c>
      <c r="F128" s="116">
        <v>1836.6</v>
      </c>
      <c r="G128">
        <v>3666</v>
      </c>
      <c r="H128" s="116"/>
      <c r="I128" s="116"/>
      <c r="L128" s="170">
        <v>44293</v>
      </c>
      <c r="M128" s="116">
        <v>363.55</v>
      </c>
      <c r="N128" s="116">
        <v>365.6</v>
      </c>
      <c r="O128" s="116">
        <v>359.2</v>
      </c>
      <c r="P128" s="116">
        <v>364</v>
      </c>
      <c r="Q128" s="116">
        <v>1817.75</v>
      </c>
      <c r="R128">
        <v>44976</v>
      </c>
    </row>
    <row r="129" spans="1:18" x14ac:dyDescent="0.25">
      <c r="A129" s="170">
        <v>44291</v>
      </c>
      <c r="B129" s="116">
        <v>370.76</v>
      </c>
      <c r="C129" s="116">
        <v>365.56</v>
      </c>
      <c r="D129" s="116">
        <v>363.31</v>
      </c>
      <c r="E129" s="116">
        <v>367.32</v>
      </c>
      <c r="F129" s="116">
        <v>1827.8</v>
      </c>
      <c r="G129">
        <v>6355</v>
      </c>
      <c r="H129" s="116"/>
      <c r="I129" s="116"/>
      <c r="L129" s="170">
        <v>44294</v>
      </c>
      <c r="M129" s="116">
        <v>370.92</v>
      </c>
      <c r="N129" s="116">
        <v>374.96</v>
      </c>
      <c r="O129" s="116">
        <v>362.58</v>
      </c>
      <c r="P129" s="116">
        <v>362.58</v>
      </c>
      <c r="Q129" s="116">
        <v>1854.6</v>
      </c>
      <c r="R129">
        <v>83273</v>
      </c>
    </row>
    <row r="130" spans="1:18" x14ac:dyDescent="0.25">
      <c r="A130" s="170">
        <v>44292</v>
      </c>
      <c r="B130" s="116">
        <v>367</v>
      </c>
      <c r="C130" s="116">
        <v>364.26</v>
      </c>
      <c r="D130" s="116">
        <v>360.81</v>
      </c>
      <c r="E130" s="116">
        <v>362.07</v>
      </c>
      <c r="F130" s="116">
        <v>1821.3</v>
      </c>
      <c r="G130">
        <v>2564</v>
      </c>
      <c r="H130" s="116"/>
      <c r="I130" s="116"/>
      <c r="L130" s="170">
        <v>44295</v>
      </c>
      <c r="M130" s="116">
        <v>367.65</v>
      </c>
      <c r="N130" s="116">
        <v>378</v>
      </c>
      <c r="O130" s="116">
        <v>365.04</v>
      </c>
      <c r="P130" s="116">
        <v>372</v>
      </c>
      <c r="Q130" s="116">
        <v>1838.25</v>
      </c>
      <c r="R130">
        <v>63200</v>
      </c>
    </row>
    <row r="131" spans="1:18" x14ac:dyDescent="0.25">
      <c r="A131" s="170">
        <v>44293</v>
      </c>
      <c r="B131" s="116">
        <v>365.53</v>
      </c>
      <c r="C131" s="116">
        <v>363.57</v>
      </c>
      <c r="D131" s="116">
        <v>359.53</v>
      </c>
      <c r="E131" s="116">
        <v>361.04</v>
      </c>
      <c r="F131" s="116">
        <v>1817.85</v>
      </c>
      <c r="G131">
        <v>4683</v>
      </c>
      <c r="H131" s="116"/>
      <c r="I131" s="116"/>
      <c r="L131" s="170">
        <v>44298</v>
      </c>
      <c r="M131" s="116">
        <v>359.5</v>
      </c>
      <c r="N131" s="116">
        <v>367</v>
      </c>
      <c r="O131" s="116">
        <v>354.3</v>
      </c>
      <c r="P131" s="116">
        <v>367</v>
      </c>
      <c r="Q131" s="116">
        <v>1797.5</v>
      </c>
      <c r="R131">
        <v>71001</v>
      </c>
    </row>
    <row r="132" spans="1:18" x14ac:dyDescent="0.25">
      <c r="A132" s="170">
        <v>44294</v>
      </c>
      <c r="B132" s="116">
        <v>374.4</v>
      </c>
      <c r="C132" s="116">
        <v>371.07</v>
      </c>
      <c r="D132" s="116">
        <v>363.03</v>
      </c>
      <c r="E132" s="116">
        <v>365.2</v>
      </c>
      <c r="F132" s="116">
        <v>1855.35</v>
      </c>
      <c r="G132">
        <v>8306</v>
      </c>
      <c r="H132" s="116"/>
      <c r="I132" s="116"/>
      <c r="L132" s="170">
        <v>44299</v>
      </c>
      <c r="M132" s="116">
        <v>358.59</v>
      </c>
      <c r="N132" s="116">
        <v>363.14</v>
      </c>
      <c r="O132" s="116">
        <v>356</v>
      </c>
      <c r="P132" s="116">
        <v>359</v>
      </c>
      <c r="Q132" s="116">
        <v>1792.95</v>
      </c>
      <c r="R132">
        <v>53712</v>
      </c>
    </row>
    <row r="133" spans="1:18" x14ac:dyDescent="0.25">
      <c r="A133" s="170">
        <v>44295</v>
      </c>
      <c r="B133" s="116">
        <v>378</v>
      </c>
      <c r="C133" s="116">
        <v>367.44</v>
      </c>
      <c r="D133" s="116">
        <v>365.2</v>
      </c>
      <c r="E133" s="116">
        <v>367</v>
      </c>
      <c r="F133" s="116">
        <v>1837.2</v>
      </c>
      <c r="G133">
        <v>8436</v>
      </c>
      <c r="H133" s="116"/>
      <c r="I133" s="116"/>
      <c r="L133" s="170">
        <v>44301</v>
      </c>
      <c r="M133" s="116">
        <v>370.86</v>
      </c>
      <c r="N133" s="116">
        <v>373</v>
      </c>
      <c r="O133" s="116">
        <v>356.4</v>
      </c>
      <c r="P133" s="116">
        <v>356.4</v>
      </c>
      <c r="Q133" s="116">
        <v>1854.3</v>
      </c>
      <c r="R133">
        <v>71494</v>
      </c>
    </row>
    <row r="134" spans="1:18" x14ac:dyDescent="0.25">
      <c r="A134" s="170">
        <v>44298</v>
      </c>
      <c r="B134" s="116">
        <v>364</v>
      </c>
      <c r="C134" s="116">
        <v>359.15</v>
      </c>
      <c r="D134" s="116">
        <v>354.54</v>
      </c>
      <c r="E134" s="116">
        <v>364</v>
      </c>
      <c r="F134" s="116">
        <v>1795.75</v>
      </c>
      <c r="G134">
        <v>5114</v>
      </c>
      <c r="H134" s="116"/>
      <c r="I134" s="116"/>
      <c r="L134" s="170">
        <v>44302</v>
      </c>
      <c r="M134" s="116">
        <v>413.39</v>
      </c>
      <c r="N134" s="116">
        <v>420</v>
      </c>
      <c r="O134" s="116">
        <v>371.07</v>
      </c>
      <c r="P134" s="116">
        <v>373</v>
      </c>
      <c r="Q134" s="116">
        <v>2066.9499999999998</v>
      </c>
      <c r="R134">
        <v>798764</v>
      </c>
    </row>
    <row r="135" spans="1:18" x14ac:dyDescent="0.25">
      <c r="A135" s="170">
        <v>44299</v>
      </c>
      <c r="B135" s="116">
        <v>363.05</v>
      </c>
      <c r="C135" s="116">
        <v>358.28</v>
      </c>
      <c r="D135" s="116">
        <v>356.84</v>
      </c>
      <c r="E135" s="116">
        <v>360</v>
      </c>
      <c r="F135" s="116">
        <v>1791.4</v>
      </c>
      <c r="G135">
        <v>2003</v>
      </c>
      <c r="H135" s="116"/>
      <c r="I135" s="116"/>
      <c r="L135" s="170">
        <v>44305</v>
      </c>
      <c r="M135" s="116">
        <v>406.13</v>
      </c>
      <c r="N135" s="116">
        <v>431.6</v>
      </c>
      <c r="O135" s="116">
        <v>393.39</v>
      </c>
      <c r="P135" s="116">
        <v>402</v>
      </c>
      <c r="Q135" s="116">
        <v>2030.65</v>
      </c>
      <c r="R135">
        <v>641485</v>
      </c>
    </row>
    <row r="136" spans="1:18" x14ac:dyDescent="0.25">
      <c r="A136" s="170">
        <v>44301</v>
      </c>
      <c r="B136" s="116">
        <v>372.78</v>
      </c>
      <c r="C136" s="116">
        <v>370.55</v>
      </c>
      <c r="D136" s="116">
        <v>358.64</v>
      </c>
      <c r="E136" s="116">
        <v>359.09</v>
      </c>
      <c r="F136" s="116">
        <v>1852.75</v>
      </c>
      <c r="G136">
        <v>4342</v>
      </c>
      <c r="H136" s="116"/>
      <c r="I136" s="116"/>
      <c r="L136" s="170">
        <v>44306</v>
      </c>
      <c r="M136" s="116">
        <v>426.92</v>
      </c>
      <c r="N136" s="116">
        <v>431.85</v>
      </c>
      <c r="O136" s="116">
        <v>407.4</v>
      </c>
      <c r="P136" s="116">
        <v>408</v>
      </c>
      <c r="Q136" s="116">
        <v>2134.6</v>
      </c>
      <c r="R136">
        <v>259253</v>
      </c>
    </row>
    <row r="137" spans="1:18" x14ac:dyDescent="0.25">
      <c r="A137" s="170">
        <v>44302</v>
      </c>
      <c r="B137" s="116">
        <v>419.9</v>
      </c>
      <c r="C137" s="116">
        <v>412.41</v>
      </c>
      <c r="D137" s="116">
        <v>373.36</v>
      </c>
      <c r="E137" s="116">
        <v>374</v>
      </c>
      <c r="F137" s="116">
        <v>2062.0500000000002</v>
      </c>
      <c r="G137">
        <v>61425</v>
      </c>
      <c r="H137" s="116"/>
      <c r="I137" s="116"/>
      <c r="L137" s="170">
        <v>44308</v>
      </c>
      <c r="M137" s="116">
        <v>423.23</v>
      </c>
      <c r="N137" s="116">
        <v>439.4</v>
      </c>
      <c r="O137" s="116">
        <v>419.2</v>
      </c>
      <c r="P137" s="116">
        <v>431.8</v>
      </c>
      <c r="Q137" s="116">
        <v>2116.15</v>
      </c>
      <c r="R137">
        <v>164492</v>
      </c>
    </row>
    <row r="138" spans="1:18" x14ac:dyDescent="0.25">
      <c r="A138" s="170">
        <v>44305</v>
      </c>
      <c r="B138" s="116">
        <v>431.48</v>
      </c>
      <c r="C138" s="116">
        <v>406.16</v>
      </c>
      <c r="D138" s="116">
        <v>393.05</v>
      </c>
      <c r="E138" s="116">
        <v>407.6</v>
      </c>
      <c r="F138" s="116">
        <v>2030.8</v>
      </c>
      <c r="G138">
        <v>44273</v>
      </c>
      <c r="H138" s="116"/>
      <c r="I138" s="116"/>
      <c r="L138" s="170">
        <v>44309</v>
      </c>
      <c r="M138" s="116">
        <v>419.21</v>
      </c>
      <c r="N138" s="116">
        <v>428.53</v>
      </c>
      <c r="O138" s="116">
        <v>415.6</v>
      </c>
      <c r="P138" s="116">
        <v>424.4</v>
      </c>
      <c r="Q138" s="116">
        <v>2096.0500000000002</v>
      </c>
      <c r="R138">
        <v>62897</v>
      </c>
    </row>
    <row r="139" spans="1:18" x14ac:dyDescent="0.25">
      <c r="A139" s="170">
        <v>44306</v>
      </c>
      <c r="B139" s="116">
        <v>431.6</v>
      </c>
      <c r="C139" s="116">
        <v>427.61</v>
      </c>
      <c r="D139" s="116">
        <v>407</v>
      </c>
      <c r="E139" s="116">
        <v>408.39</v>
      </c>
      <c r="F139" s="116">
        <v>2138.0500000000002</v>
      </c>
      <c r="G139">
        <v>34282</v>
      </c>
      <c r="H139" s="116"/>
      <c r="I139" s="116"/>
      <c r="L139" s="170">
        <v>44312</v>
      </c>
      <c r="M139" s="116">
        <v>432.88</v>
      </c>
      <c r="N139" s="116">
        <v>445.79</v>
      </c>
      <c r="O139" s="116">
        <v>421</v>
      </c>
      <c r="P139" s="116">
        <v>427.01</v>
      </c>
      <c r="Q139" s="116">
        <v>2164.4</v>
      </c>
      <c r="R139">
        <v>187543</v>
      </c>
    </row>
    <row r="140" spans="1:18" x14ac:dyDescent="0.25">
      <c r="A140" s="170">
        <v>44308</v>
      </c>
      <c r="B140" s="116">
        <v>439.2</v>
      </c>
      <c r="C140" s="116">
        <v>423.22</v>
      </c>
      <c r="D140" s="116">
        <v>419.01</v>
      </c>
      <c r="E140" s="116">
        <v>426.2</v>
      </c>
      <c r="F140" s="116">
        <v>2116.1</v>
      </c>
      <c r="G140">
        <v>22429</v>
      </c>
      <c r="H140" s="116"/>
      <c r="I140" s="116"/>
      <c r="L140" s="170">
        <v>44313</v>
      </c>
      <c r="M140" s="116">
        <v>456.57</v>
      </c>
      <c r="N140" s="116">
        <v>467</v>
      </c>
      <c r="O140" s="116">
        <v>435.21</v>
      </c>
      <c r="P140" s="116">
        <v>436.35</v>
      </c>
      <c r="Q140" s="116">
        <v>2282.85</v>
      </c>
      <c r="R140">
        <v>283376</v>
      </c>
    </row>
    <row r="141" spans="1:18" x14ac:dyDescent="0.25">
      <c r="A141" s="170">
        <v>44309</v>
      </c>
      <c r="B141" s="116">
        <v>428.62</v>
      </c>
      <c r="C141" s="116">
        <v>418.97</v>
      </c>
      <c r="D141" s="116">
        <v>415.74</v>
      </c>
      <c r="E141" s="116">
        <v>428</v>
      </c>
      <c r="F141" s="116">
        <v>2094.85</v>
      </c>
      <c r="G141">
        <v>6551</v>
      </c>
      <c r="H141" s="116"/>
      <c r="I141" s="116"/>
      <c r="L141" s="170">
        <v>44314</v>
      </c>
      <c r="M141" s="116">
        <v>474.44</v>
      </c>
      <c r="N141" s="116">
        <v>482.59</v>
      </c>
      <c r="O141" s="116">
        <v>466.2</v>
      </c>
      <c r="P141" s="116">
        <v>469.8</v>
      </c>
      <c r="Q141" s="116">
        <v>2372.1999999999998</v>
      </c>
      <c r="R141">
        <v>365484</v>
      </c>
    </row>
    <row r="142" spans="1:18" x14ac:dyDescent="0.25">
      <c r="A142" s="170">
        <v>44312</v>
      </c>
      <c r="B142" s="116">
        <v>445.8</v>
      </c>
      <c r="C142" s="116">
        <v>433.37</v>
      </c>
      <c r="D142" s="116">
        <v>422.99</v>
      </c>
      <c r="E142" s="116">
        <v>427.76</v>
      </c>
      <c r="F142" s="116">
        <v>2166.85</v>
      </c>
      <c r="G142">
        <v>20559</v>
      </c>
      <c r="H142" s="116"/>
      <c r="I142" s="116"/>
      <c r="L142" s="170">
        <v>44315</v>
      </c>
      <c r="M142" s="116">
        <v>473.61</v>
      </c>
      <c r="N142" s="116">
        <v>485.86</v>
      </c>
      <c r="O142" s="116">
        <v>470.27</v>
      </c>
      <c r="P142" s="116">
        <v>478.78</v>
      </c>
      <c r="Q142" s="116">
        <v>2368.0500000000002</v>
      </c>
      <c r="R142">
        <v>135109</v>
      </c>
    </row>
    <row r="143" spans="1:18" x14ac:dyDescent="0.25">
      <c r="A143" s="170">
        <v>44313</v>
      </c>
      <c r="B143" s="116">
        <v>466.2</v>
      </c>
      <c r="C143" s="116">
        <v>457.97</v>
      </c>
      <c r="D143" s="116">
        <v>435.97</v>
      </c>
      <c r="E143" s="116">
        <v>438.78</v>
      </c>
      <c r="F143" s="116">
        <v>2289.85</v>
      </c>
      <c r="G143">
        <v>29110</v>
      </c>
      <c r="H143" s="116"/>
      <c r="I143" s="116"/>
      <c r="L143" s="170">
        <v>44316</v>
      </c>
      <c r="M143" s="116">
        <v>464.65</v>
      </c>
      <c r="N143" s="116">
        <v>472.4</v>
      </c>
      <c r="O143" s="116">
        <v>422.79</v>
      </c>
      <c r="P143" s="116">
        <v>472.4</v>
      </c>
      <c r="Q143" s="116">
        <v>2323.25</v>
      </c>
      <c r="R143">
        <v>98934</v>
      </c>
    </row>
    <row r="144" spans="1:18" x14ac:dyDescent="0.25">
      <c r="A144" s="170">
        <v>44314</v>
      </c>
      <c r="B144" s="116">
        <v>482.94</v>
      </c>
      <c r="C144" s="116">
        <v>474.39</v>
      </c>
      <c r="D144" s="116">
        <v>466.2</v>
      </c>
      <c r="E144" s="116">
        <v>471</v>
      </c>
      <c r="F144" s="116">
        <v>2371.9499999999998</v>
      </c>
      <c r="G144">
        <v>29528</v>
      </c>
      <c r="H144" s="116"/>
      <c r="I144" s="116"/>
      <c r="L144" s="170">
        <v>44319</v>
      </c>
      <c r="M144" s="116">
        <v>462.7</v>
      </c>
      <c r="N144" s="116">
        <v>477.52</v>
      </c>
      <c r="O144" s="116">
        <v>458.8</v>
      </c>
      <c r="P144" s="116">
        <v>464.65</v>
      </c>
      <c r="Q144" s="116">
        <v>2313.5</v>
      </c>
      <c r="R144">
        <v>102267</v>
      </c>
    </row>
    <row r="145" spans="1:18" x14ac:dyDescent="0.25">
      <c r="A145" s="170">
        <v>44315</v>
      </c>
      <c r="B145" s="116">
        <v>485.79</v>
      </c>
      <c r="C145" s="116">
        <v>473.25</v>
      </c>
      <c r="D145" s="116">
        <v>470</v>
      </c>
      <c r="E145" s="116">
        <v>479.99</v>
      </c>
      <c r="F145" s="116">
        <v>2366.25</v>
      </c>
      <c r="G145">
        <v>20686</v>
      </c>
      <c r="H145" s="116"/>
      <c r="I145" s="116"/>
      <c r="L145" s="170">
        <v>44320</v>
      </c>
      <c r="M145" s="116">
        <v>450.21</v>
      </c>
      <c r="N145" s="116">
        <v>471.1</v>
      </c>
      <c r="O145" s="116">
        <v>446.6</v>
      </c>
      <c r="P145" s="116">
        <v>464</v>
      </c>
      <c r="Q145" s="116">
        <v>2251.0500000000002</v>
      </c>
      <c r="R145">
        <v>124484</v>
      </c>
    </row>
    <row r="146" spans="1:18" x14ac:dyDescent="0.25">
      <c r="A146" s="170">
        <v>44316</v>
      </c>
      <c r="B146" s="116">
        <v>473.6</v>
      </c>
      <c r="C146" s="116">
        <v>464.76</v>
      </c>
      <c r="D146" s="116">
        <v>459.62</v>
      </c>
      <c r="E146" s="116">
        <v>473.6</v>
      </c>
      <c r="F146" s="116">
        <v>2323.8000000000002</v>
      </c>
      <c r="G146">
        <v>7994</v>
      </c>
      <c r="H146" s="116"/>
      <c r="I146" s="116"/>
      <c r="L146" s="170">
        <v>44321</v>
      </c>
      <c r="M146" s="116">
        <v>448.9</v>
      </c>
      <c r="N146" s="116">
        <v>459.6</v>
      </c>
      <c r="O146" s="116">
        <v>442.22</v>
      </c>
      <c r="P146" s="116">
        <v>450</v>
      </c>
      <c r="Q146" s="116">
        <v>2244.5</v>
      </c>
      <c r="R146">
        <v>78635</v>
      </c>
    </row>
    <row r="147" spans="1:18" x14ac:dyDescent="0.25">
      <c r="A147" s="170">
        <v>44319</v>
      </c>
      <c r="B147" s="116">
        <v>477.16</v>
      </c>
      <c r="C147" s="116">
        <v>462.58</v>
      </c>
      <c r="D147" s="116">
        <v>458.51</v>
      </c>
      <c r="E147" s="116">
        <v>460.01</v>
      </c>
      <c r="F147" s="116">
        <v>2312.9</v>
      </c>
      <c r="G147">
        <v>15679</v>
      </c>
      <c r="H147" s="116"/>
      <c r="I147" s="116"/>
      <c r="L147" s="170">
        <v>44322</v>
      </c>
      <c r="M147" s="116">
        <v>441.9</v>
      </c>
      <c r="N147" s="116">
        <v>456.72</v>
      </c>
      <c r="O147" s="116">
        <v>440.4</v>
      </c>
      <c r="P147" s="116">
        <v>452.8</v>
      </c>
      <c r="Q147" s="116">
        <v>2209.5</v>
      </c>
      <c r="R147">
        <v>64896</v>
      </c>
    </row>
    <row r="148" spans="1:18" x14ac:dyDescent="0.25">
      <c r="A148" s="170">
        <v>44320</v>
      </c>
      <c r="B148" s="116">
        <v>470.22</v>
      </c>
      <c r="C148" s="116">
        <v>450.11</v>
      </c>
      <c r="D148" s="116">
        <v>443.99</v>
      </c>
      <c r="E148" s="116">
        <v>465</v>
      </c>
      <c r="F148" s="116">
        <v>2250.5500000000002</v>
      </c>
      <c r="G148">
        <v>11657</v>
      </c>
      <c r="H148" s="116"/>
      <c r="I148" s="116"/>
      <c r="L148" s="170">
        <v>44323</v>
      </c>
      <c r="M148" s="116">
        <v>441.48</v>
      </c>
      <c r="N148" s="116">
        <v>449.8</v>
      </c>
      <c r="O148" s="116">
        <v>440</v>
      </c>
      <c r="P148" s="116">
        <v>443.9</v>
      </c>
      <c r="Q148" s="116">
        <v>2207.4</v>
      </c>
      <c r="R148">
        <v>95184</v>
      </c>
    </row>
    <row r="149" spans="1:18" x14ac:dyDescent="0.25">
      <c r="A149" s="170">
        <v>44321</v>
      </c>
      <c r="B149" s="116">
        <v>459.6</v>
      </c>
      <c r="C149" s="116">
        <v>448.59</v>
      </c>
      <c r="D149" s="116">
        <v>442.6</v>
      </c>
      <c r="E149" s="116">
        <v>457.4</v>
      </c>
      <c r="F149" s="116">
        <v>2242.9499999999998</v>
      </c>
      <c r="G149">
        <v>7913</v>
      </c>
      <c r="H149" s="116"/>
      <c r="I149" s="116"/>
      <c r="L149" s="170">
        <v>44326</v>
      </c>
      <c r="M149" s="116">
        <v>471.89</v>
      </c>
      <c r="N149" s="116">
        <v>485.6</v>
      </c>
      <c r="O149" s="116">
        <v>442.33</v>
      </c>
      <c r="P149" s="116">
        <v>448</v>
      </c>
      <c r="Q149" s="116">
        <v>2359.4499999999998</v>
      </c>
      <c r="R149">
        <v>369608</v>
      </c>
    </row>
    <row r="150" spans="1:18" x14ac:dyDescent="0.25">
      <c r="A150" s="170">
        <v>44322</v>
      </c>
      <c r="B150" s="116">
        <v>456.2</v>
      </c>
      <c r="C150" s="116">
        <v>441.76</v>
      </c>
      <c r="D150" s="116">
        <v>440.73</v>
      </c>
      <c r="E150" s="116">
        <v>455.9</v>
      </c>
      <c r="F150" s="116">
        <v>2208.8000000000002</v>
      </c>
      <c r="G150">
        <v>6490</v>
      </c>
      <c r="H150" s="116"/>
      <c r="I150" s="116"/>
      <c r="L150" s="170">
        <v>44327</v>
      </c>
      <c r="M150" s="116">
        <v>465.62</v>
      </c>
      <c r="N150" s="116">
        <v>479.6</v>
      </c>
      <c r="O150" s="116">
        <v>462</v>
      </c>
      <c r="P150" s="116">
        <v>468</v>
      </c>
      <c r="Q150" s="116">
        <v>2328.1</v>
      </c>
      <c r="R150">
        <v>185347</v>
      </c>
    </row>
    <row r="151" spans="1:18" x14ac:dyDescent="0.25">
      <c r="A151" s="170">
        <v>44323</v>
      </c>
      <c r="B151" s="116">
        <v>450.01</v>
      </c>
      <c r="C151" s="116">
        <v>441.21</v>
      </c>
      <c r="D151" s="116">
        <v>440.17</v>
      </c>
      <c r="E151" s="116">
        <v>448</v>
      </c>
      <c r="F151" s="116">
        <v>2206.0500000000002</v>
      </c>
      <c r="G151">
        <v>5925</v>
      </c>
      <c r="H151" s="116"/>
      <c r="I151" s="116"/>
      <c r="L151" s="170">
        <v>44328</v>
      </c>
      <c r="M151" s="116">
        <v>471.67</v>
      </c>
      <c r="N151" s="116">
        <v>478.89</v>
      </c>
      <c r="O151" s="116">
        <v>466</v>
      </c>
      <c r="P151" s="116">
        <v>466</v>
      </c>
      <c r="Q151" s="116">
        <v>2358.35</v>
      </c>
      <c r="R151">
        <v>116293</v>
      </c>
    </row>
    <row r="152" spans="1:18" x14ac:dyDescent="0.25">
      <c r="A152" s="170">
        <v>44326</v>
      </c>
      <c r="B152" s="116">
        <v>484.85</v>
      </c>
      <c r="C152" s="116">
        <v>473.4</v>
      </c>
      <c r="D152" s="116">
        <v>442.09</v>
      </c>
      <c r="E152" s="116">
        <v>449.8</v>
      </c>
      <c r="F152" s="116">
        <v>2367</v>
      </c>
      <c r="G152">
        <v>14050</v>
      </c>
      <c r="H152" s="116"/>
      <c r="I152" s="116"/>
      <c r="L152" s="170">
        <v>44330</v>
      </c>
      <c r="M152" s="116">
        <v>455.17</v>
      </c>
      <c r="N152" s="116">
        <v>477</v>
      </c>
      <c r="O152" s="116">
        <v>449.61</v>
      </c>
      <c r="P152" s="116">
        <v>477</v>
      </c>
      <c r="Q152" s="116">
        <v>2275.85</v>
      </c>
      <c r="R152">
        <v>125345</v>
      </c>
    </row>
    <row r="153" spans="1:18" x14ac:dyDescent="0.25">
      <c r="A153" s="170">
        <v>44327</v>
      </c>
      <c r="B153" s="116">
        <v>479.1</v>
      </c>
      <c r="C153" s="116">
        <v>465.2</v>
      </c>
      <c r="D153" s="116">
        <v>462</v>
      </c>
      <c r="E153" s="116">
        <v>466</v>
      </c>
      <c r="F153" s="116">
        <v>2326</v>
      </c>
      <c r="G153">
        <v>14597</v>
      </c>
      <c r="H153" s="116"/>
      <c r="I153" s="116"/>
      <c r="L153" s="170">
        <v>44333</v>
      </c>
      <c r="M153" s="116">
        <v>456.71</v>
      </c>
      <c r="N153" s="116">
        <v>465</v>
      </c>
      <c r="O153" s="116">
        <v>453.17</v>
      </c>
      <c r="P153" s="116">
        <v>460.32</v>
      </c>
      <c r="Q153" s="116">
        <v>2283.5500000000002</v>
      </c>
      <c r="R153">
        <v>92537</v>
      </c>
    </row>
    <row r="154" spans="1:18" x14ac:dyDescent="0.25">
      <c r="A154" s="170">
        <v>44328</v>
      </c>
      <c r="B154" s="116">
        <v>478.79</v>
      </c>
      <c r="C154" s="116">
        <v>471.67</v>
      </c>
      <c r="D154" s="116">
        <v>466.54</v>
      </c>
      <c r="E154" s="116">
        <v>467.99</v>
      </c>
      <c r="F154" s="116">
        <v>2358.35</v>
      </c>
      <c r="G154">
        <v>8131</v>
      </c>
      <c r="H154" s="116"/>
      <c r="I154" s="116"/>
      <c r="L154" s="170">
        <v>44334</v>
      </c>
      <c r="M154" s="116">
        <v>464.71</v>
      </c>
      <c r="N154" s="116">
        <v>467.07</v>
      </c>
      <c r="O154" s="116">
        <v>455.12</v>
      </c>
      <c r="P154" s="116">
        <v>458</v>
      </c>
      <c r="Q154" s="116">
        <v>2323.5500000000002</v>
      </c>
      <c r="R154">
        <v>116353</v>
      </c>
    </row>
    <row r="155" spans="1:18" x14ac:dyDescent="0.25">
      <c r="A155" s="170">
        <v>44330</v>
      </c>
      <c r="B155" s="116">
        <v>479</v>
      </c>
      <c r="C155" s="116">
        <v>455.32</v>
      </c>
      <c r="D155" s="116">
        <v>449.28</v>
      </c>
      <c r="E155" s="116">
        <v>479</v>
      </c>
      <c r="F155" s="116">
        <v>2276.6</v>
      </c>
      <c r="G155">
        <v>13372</v>
      </c>
      <c r="H155" s="116"/>
      <c r="I155" s="116"/>
      <c r="L155" s="170">
        <v>44335</v>
      </c>
      <c r="M155" s="116">
        <v>463.12</v>
      </c>
      <c r="N155" s="116">
        <v>464.48</v>
      </c>
      <c r="O155" s="116">
        <v>456.03</v>
      </c>
      <c r="P155" s="116">
        <v>464</v>
      </c>
      <c r="Q155" s="116">
        <v>2315.6</v>
      </c>
      <c r="R155">
        <v>89114</v>
      </c>
    </row>
    <row r="156" spans="1:18" x14ac:dyDescent="0.25">
      <c r="A156" s="170">
        <v>44333</v>
      </c>
      <c r="B156" s="116">
        <v>464.91</v>
      </c>
      <c r="C156" s="116">
        <v>456.45</v>
      </c>
      <c r="D156" s="116">
        <v>452.68</v>
      </c>
      <c r="E156" s="116">
        <v>460</v>
      </c>
      <c r="F156" s="116">
        <v>2282.25</v>
      </c>
      <c r="G156">
        <v>7761</v>
      </c>
      <c r="H156" s="116"/>
      <c r="I156" s="116"/>
      <c r="L156" s="170">
        <v>44336</v>
      </c>
      <c r="M156" s="116">
        <v>466.25</v>
      </c>
      <c r="N156" s="116">
        <v>468.99</v>
      </c>
      <c r="O156" s="116">
        <v>459.23</v>
      </c>
      <c r="P156" s="116">
        <v>463.8</v>
      </c>
      <c r="Q156" s="116">
        <v>2331.25</v>
      </c>
      <c r="R156">
        <v>94211</v>
      </c>
    </row>
    <row r="157" spans="1:18" x14ac:dyDescent="0.25">
      <c r="A157" s="170">
        <v>44334</v>
      </c>
      <c r="B157" s="116">
        <v>467.35</v>
      </c>
      <c r="C157" s="116">
        <v>464.69</v>
      </c>
      <c r="D157" s="116">
        <v>456.52</v>
      </c>
      <c r="E157" s="116">
        <v>460</v>
      </c>
      <c r="F157" s="116">
        <v>2323.4499999999998</v>
      </c>
      <c r="G157">
        <v>6141</v>
      </c>
      <c r="H157" s="116"/>
      <c r="I157" s="116"/>
      <c r="L157" s="170">
        <v>44337</v>
      </c>
      <c r="M157" s="116">
        <v>482.41</v>
      </c>
      <c r="N157" s="116">
        <v>505.05</v>
      </c>
      <c r="O157" s="116">
        <v>468</v>
      </c>
      <c r="P157" s="116">
        <v>468.2</v>
      </c>
      <c r="Q157" s="116">
        <v>2412.0500000000002</v>
      </c>
      <c r="R157">
        <v>476728</v>
      </c>
    </row>
    <row r="158" spans="1:18" x14ac:dyDescent="0.25">
      <c r="A158" s="170">
        <v>44335</v>
      </c>
      <c r="B158" s="116">
        <v>464</v>
      </c>
      <c r="C158" s="116">
        <v>462.49</v>
      </c>
      <c r="D158" s="116">
        <v>456.2</v>
      </c>
      <c r="E158" s="116">
        <v>464</v>
      </c>
      <c r="F158" s="116">
        <v>2312.4499999999998</v>
      </c>
      <c r="G158">
        <v>6337</v>
      </c>
      <c r="H158" s="116"/>
      <c r="I158" s="116"/>
      <c r="L158" s="170">
        <v>44340</v>
      </c>
      <c r="M158" s="116">
        <v>507.27</v>
      </c>
      <c r="N158" s="116">
        <v>514.6</v>
      </c>
      <c r="O158" s="116">
        <v>489.59</v>
      </c>
      <c r="P158" s="116">
        <v>489.6</v>
      </c>
      <c r="Q158" s="116">
        <v>2536.35</v>
      </c>
      <c r="R158">
        <v>399526</v>
      </c>
    </row>
    <row r="159" spans="1:18" x14ac:dyDescent="0.25">
      <c r="A159" s="170">
        <v>44336</v>
      </c>
      <c r="B159" s="116">
        <v>469.17</v>
      </c>
      <c r="C159" s="116">
        <v>466.44</v>
      </c>
      <c r="D159" s="116">
        <v>459.24</v>
      </c>
      <c r="E159" s="116">
        <v>464.89</v>
      </c>
      <c r="F159" s="116">
        <v>2332.1999999999998</v>
      </c>
      <c r="G159">
        <v>3580</v>
      </c>
      <c r="H159" s="116"/>
      <c r="I159" s="116"/>
      <c r="L159" s="170">
        <v>44341</v>
      </c>
      <c r="M159" s="116">
        <v>492.42</v>
      </c>
      <c r="N159" s="116">
        <v>523.78</v>
      </c>
      <c r="O159" s="116">
        <v>487.04</v>
      </c>
      <c r="P159" s="116">
        <v>517.79999999999995</v>
      </c>
      <c r="Q159" s="116">
        <v>2462.1</v>
      </c>
      <c r="R159">
        <v>324002</v>
      </c>
    </row>
    <row r="160" spans="1:18" x14ac:dyDescent="0.25">
      <c r="A160" s="170">
        <v>44337</v>
      </c>
      <c r="B160" s="116">
        <v>504.99</v>
      </c>
      <c r="C160" s="116">
        <v>482.29</v>
      </c>
      <c r="D160" s="116">
        <v>467.79</v>
      </c>
      <c r="E160" s="116">
        <v>467.79</v>
      </c>
      <c r="F160" s="116">
        <v>2411.4499999999998</v>
      </c>
      <c r="G160">
        <v>61781</v>
      </c>
      <c r="H160" s="116"/>
      <c r="I160" s="116"/>
      <c r="L160" s="170">
        <v>44342</v>
      </c>
      <c r="M160" s="116">
        <v>484.55</v>
      </c>
      <c r="N160" s="116">
        <v>504.8</v>
      </c>
      <c r="O160" s="116">
        <v>480.27</v>
      </c>
      <c r="P160" s="116">
        <v>493</v>
      </c>
      <c r="Q160" s="116">
        <v>2422.75</v>
      </c>
      <c r="R160">
        <v>282082</v>
      </c>
    </row>
    <row r="161" spans="1:18" x14ac:dyDescent="0.25">
      <c r="A161" s="170">
        <v>44340</v>
      </c>
      <c r="B161" s="116">
        <v>524.11</v>
      </c>
      <c r="C161" s="116">
        <v>509.52</v>
      </c>
      <c r="D161" s="116">
        <v>489.73</v>
      </c>
      <c r="E161" s="116">
        <v>495.66</v>
      </c>
      <c r="F161" s="116">
        <v>2547.6</v>
      </c>
      <c r="G161">
        <v>36193</v>
      </c>
      <c r="H161" s="116"/>
      <c r="I161" s="116"/>
      <c r="L161" s="170">
        <v>44343</v>
      </c>
      <c r="M161" s="116">
        <v>483.88</v>
      </c>
      <c r="N161" s="116">
        <v>518.96</v>
      </c>
      <c r="O161" s="116">
        <v>480</v>
      </c>
      <c r="P161" s="116">
        <v>491</v>
      </c>
      <c r="Q161" s="116">
        <v>2419.4</v>
      </c>
      <c r="R161">
        <v>974042</v>
      </c>
    </row>
    <row r="162" spans="1:18" x14ac:dyDescent="0.25">
      <c r="A162" s="170">
        <v>44341</v>
      </c>
      <c r="B162" s="116">
        <v>524</v>
      </c>
      <c r="C162" s="116">
        <v>492.69</v>
      </c>
      <c r="D162" s="116">
        <v>487.01</v>
      </c>
      <c r="E162" s="116">
        <v>524</v>
      </c>
      <c r="F162" s="116">
        <v>2463.4499999999998</v>
      </c>
      <c r="G162">
        <v>42970</v>
      </c>
      <c r="H162" s="116"/>
      <c r="I162" s="116"/>
      <c r="L162" s="170">
        <v>44344</v>
      </c>
      <c r="M162" s="116">
        <v>501.87</v>
      </c>
      <c r="N162" s="116">
        <v>505</v>
      </c>
      <c r="O162" s="116">
        <v>488.2</v>
      </c>
      <c r="P162" s="116">
        <v>488.56</v>
      </c>
      <c r="Q162" s="116">
        <v>2509.35</v>
      </c>
      <c r="R162">
        <v>283933</v>
      </c>
    </row>
    <row r="163" spans="1:18" x14ac:dyDescent="0.25">
      <c r="A163" s="170">
        <v>44342</v>
      </c>
      <c r="B163" s="116">
        <v>509.8</v>
      </c>
      <c r="C163" s="116">
        <v>484.31</v>
      </c>
      <c r="D163" s="116">
        <v>482.2</v>
      </c>
      <c r="E163" s="116">
        <v>496</v>
      </c>
      <c r="F163" s="116">
        <v>2421.5500000000002</v>
      </c>
      <c r="G163">
        <v>33630</v>
      </c>
      <c r="H163" s="116"/>
      <c r="I163" s="116"/>
      <c r="L163" s="170">
        <v>44347</v>
      </c>
      <c r="M163" s="116">
        <v>500.38</v>
      </c>
      <c r="N163" s="116">
        <v>516.79999999999995</v>
      </c>
      <c r="O163" s="116">
        <v>498.45</v>
      </c>
      <c r="P163" s="116">
        <v>503.98</v>
      </c>
      <c r="Q163" s="116">
        <v>2501.9</v>
      </c>
      <c r="R163">
        <v>177534</v>
      </c>
    </row>
    <row r="164" spans="1:18" x14ac:dyDescent="0.25">
      <c r="A164" s="170">
        <v>44343</v>
      </c>
      <c r="B164" s="116">
        <v>518.99</v>
      </c>
      <c r="C164" s="116">
        <v>484.13</v>
      </c>
      <c r="D164" s="116">
        <v>480.07</v>
      </c>
      <c r="E164" s="116">
        <v>490</v>
      </c>
      <c r="F164" s="116">
        <v>2420.65</v>
      </c>
      <c r="G164">
        <v>55594</v>
      </c>
      <c r="H164" s="116"/>
      <c r="I164" s="116"/>
      <c r="L164" s="170">
        <v>44348</v>
      </c>
      <c r="M164" s="116">
        <v>501.91</v>
      </c>
      <c r="N164" s="116">
        <v>507.56</v>
      </c>
      <c r="O164" s="116">
        <v>498.2</v>
      </c>
      <c r="P164" s="116">
        <v>505.74</v>
      </c>
      <c r="Q164" s="116">
        <v>2509.5500000000002</v>
      </c>
      <c r="R164">
        <v>118136</v>
      </c>
    </row>
    <row r="165" spans="1:18" x14ac:dyDescent="0.25">
      <c r="A165" s="170">
        <v>44344</v>
      </c>
      <c r="B165" s="116">
        <v>504.4</v>
      </c>
      <c r="C165" s="116">
        <v>502.13</v>
      </c>
      <c r="D165" s="116">
        <v>485.7</v>
      </c>
      <c r="E165" s="116">
        <v>485.7</v>
      </c>
      <c r="F165" s="116">
        <v>2510.65</v>
      </c>
      <c r="G165">
        <v>38898</v>
      </c>
      <c r="H165" s="116"/>
      <c r="I165" s="116"/>
      <c r="L165" s="170">
        <v>44349</v>
      </c>
      <c r="M165" s="116">
        <v>503.28</v>
      </c>
      <c r="N165" s="116">
        <v>506.87</v>
      </c>
      <c r="O165" s="116">
        <v>498.2</v>
      </c>
      <c r="P165" s="116">
        <v>500.02</v>
      </c>
      <c r="Q165" s="116">
        <v>2516.4</v>
      </c>
      <c r="R165">
        <v>115243</v>
      </c>
    </row>
    <row r="166" spans="1:18" x14ac:dyDescent="0.25">
      <c r="A166" s="170">
        <v>44347</v>
      </c>
      <c r="B166" s="116">
        <v>516.13</v>
      </c>
      <c r="C166" s="116">
        <v>500.3</v>
      </c>
      <c r="D166" s="116">
        <v>499</v>
      </c>
      <c r="E166" s="116">
        <v>502.01</v>
      </c>
      <c r="F166" s="116">
        <v>2501.5</v>
      </c>
      <c r="G166">
        <v>24607</v>
      </c>
      <c r="H166" s="116"/>
      <c r="I166" s="116"/>
      <c r="L166" s="170">
        <v>44350</v>
      </c>
      <c r="M166" s="116">
        <v>502.32</v>
      </c>
      <c r="N166" s="116">
        <v>506.76</v>
      </c>
      <c r="O166" s="116">
        <v>500</v>
      </c>
      <c r="P166" s="116">
        <v>506.76</v>
      </c>
      <c r="Q166" s="116">
        <v>2511.6</v>
      </c>
      <c r="R166">
        <v>95592</v>
      </c>
    </row>
    <row r="167" spans="1:18" x14ac:dyDescent="0.25">
      <c r="A167" s="170">
        <v>44348</v>
      </c>
      <c r="B167" s="116">
        <v>508</v>
      </c>
      <c r="C167" s="116">
        <v>502.19</v>
      </c>
      <c r="D167" s="116">
        <v>498.62</v>
      </c>
      <c r="E167" s="116">
        <v>508</v>
      </c>
      <c r="F167" s="116">
        <v>2510.9499999999998</v>
      </c>
      <c r="G167">
        <v>9900</v>
      </c>
      <c r="H167" s="116"/>
      <c r="I167" s="116"/>
      <c r="L167" s="170">
        <v>44351</v>
      </c>
      <c r="M167" s="116">
        <v>506.6</v>
      </c>
      <c r="N167" s="116">
        <v>513.29999999999995</v>
      </c>
      <c r="O167" s="116">
        <v>504.96</v>
      </c>
      <c r="P167" s="116">
        <v>506</v>
      </c>
      <c r="Q167" s="116">
        <v>2533</v>
      </c>
      <c r="R167">
        <v>131885</v>
      </c>
    </row>
    <row r="168" spans="1:18" x14ac:dyDescent="0.25">
      <c r="A168" s="170">
        <v>44349</v>
      </c>
      <c r="B168" s="116">
        <v>506.79</v>
      </c>
      <c r="C168" s="116">
        <v>503.13</v>
      </c>
      <c r="D168" s="116">
        <v>498.39</v>
      </c>
      <c r="E168" s="116">
        <v>501.59</v>
      </c>
      <c r="F168" s="116">
        <v>2515.65</v>
      </c>
      <c r="G168">
        <v>12750</v>
      </c>
      <c r="H168" s="116"/>
      <c r="I168" s="116"/>
      <c r="L168" s="170">
        <v>44354</v>
      </c>
      <c r="M168" s="116">
        <v>550.21</v>
      </c>
      <c r="N168" s="116">
        <v>558.6</v>
      </c>
      <c r="O168" s="116">
        <v>510.02</v>
      </c>
      <c r="P168" s="116">
        <v>511.6</v>
      </c>
      <c r="Q168" s="116">
        <v>2751.05</v>
      </c>
      <c r="R168">
        <v>421910</v>
      </c>
    </row>
    <row r="169" spans="1:18" x14ac:dyDescent="0.25">
      <c r="A169" s="170">
        <v>44350</v>
      </c>
      <c r="B169" s="116">
        <v>509.6</v>
      </c>
      <c r="C169" s="116">
        <v>502.28</v>
      </c>
      <c r="D169" s="116">
        <v>500.2</v>
      </c>
      <c r="E169" s="116">
        <v>509.6</v>
      </c>
      <c r="F169" s="116">
        <v>2511.4</v>
      </c>
      <c r="G169">
        <v>4282</v>
      </c>
      <c r="H169" s="116"/>
      <c r="I169" s="116"/>
      <c r="L169" s="170">
        <v>44355</v>
      </c>
      <c r="M169" s="116">
        <v>538.87</v>
      </c>
      <c r="N169" s="116">
        <v>555.19000000000005</v>
      </c>
      <c r="O169" s="116">
        <v>533.6</v>
      </c>
      <c r="P169" s="116">
        <v>555</v>
      </c>
      <c r="Q169" s="116">
        <v>2694.35</v>
      </c>
      <c r="R169">
        <v>231842</v>
      </c>
    </row>
    <row r="170" spans="1:18" x14ac:dyDescent="0.25">
      <c r="A170" s="170">
        <v>44351</v>
      </c>
      <c r="B170" s="116">
        <v>513.51</v>
      </c>
      <c r="C170" s="116">
        <v>506.53</v>
      </c>
      <c r="D170" s="116">
        <v>504.7</v>
      </c>
      <c r="E170" s="116">
        <v>506.28</v>
      </c>
      <c r="F170" s="116">
        <v>2532.65</v>
      </c>
      <c r="G170">
        <v>9996</v>
      </c>
      <c r="H170" s="116"/>
      <c r="I170" s="116"/>
      <c r="L170" s="170">
        <v>44356</v>
      </c>
      <c r="M170" s="116">
        <v>536.41</v>
      </c>
      <c r="N170" s="116">
        <v>545</v>
      </c>
      <c r="O170" s="116">
        <v>530.20000000000005</v>
      </c>
      <c r="P170" s="116">
        <v>541.79999999999995</v>
      </c>
      <c r="Q170" s="116">
        <v>2682.05</v>
      </c>
      <c r="R170">
        <v>145762</v>
      </c>
    </row>
    <row r="171" spans="1:18" x14ac:dyDescent="0.25">
      <c r="A171" s="170">
        <v>44354</v>
      </c>
      <c r="B171" s="116">
        <v>558</v>
      </c>
      <c r="C171" s="116">
        <v>550.16</v>
      </c>
      <c r="D171" s="116">
        <v>510.2</v>
      </c>
      <c r="E171" s="116">
        <v>510.2</v>
      </c>
      <c r="F171" s="116">
        <v>2750.8</v>
      </c>
      <c r="G171">
        <v>31828</v>
      </c>
      <c r="H171" s="116"/>
      <c r="I171" s="116"/>
      <c r="L171" s="170">
        <v>44357</v>
      </c>
      <c r="M171" s="116">
        <v>538.45000000000005</v>
      </c>
      <c r="N171" s="116">
        <v>551</v>
      </c>
      <c r="O171" s="116">
        <v>532.52</v>
      </c>
      <c r="P171" s="116">
        <v>538.76</v>
      </c>
      <c r="Q171" s="116">
        <v>2692.25</v>
      </c>
      <c r="R171">
        <v>157487</v>
      </c>
    </row>
    <row r="172" spans="1:18" x14ac:dyDescent="0.25">
      <c r="A172" s="170">
        <v>44355</v>
      </c>
      <c r="B172" s="116">
        <v>555.75</v>
      </c>
      <c r="C172" s="116">
        <v>538.46</v>
      </c>
      <c r="D172" s="116">
        <v>532.79999999999995</v>
      </c>
      <c r="E172" s="116">
        <v>553.13</v>
      </c>
      <c r="F172" s="116">
        <v>2692.3</v>
      </c>
      <c r="G172">
        <v>18316</v>
      </c>
      <c r="H172" s="116"/>
      <c r="I172" s="116"/>
      <c r="L172" s="170">
        <v>44358</v>
      </c>
      <c r="M172" s="116">
        <v>556.91</v>
      </c>
      <c r="N172" s="116">
        <v>589</v>
      </c>
      <c r="O172" s="116">
        <v>540.20000000000005</v>
      </c>
      <c r="P172" s="116">
        <v>544</v>
      </c>
      <c r="Q172" s="116">
        <v>2784.55</v>
      </c>
      <c r="R172">
        <v>943079</v>
      </c>
    </row>
    <row r="173" spans="1:18" x14ac:dyDescent="0.25">
      <c r="A173" s="170">
        <v>44356</v>
      </c>
      <c r="B173" s="116">
        <v>545.49</v>
      </c>
      <c r="C173" s="116">
        <v>536.29</v>
      </c>
      <c r="D173" s="116">
        <v>530</v>
      </c>
      <c r="E173" s="116">
        <v>542.26</v>
      </c>
      <c r="F173" s="116">
        <v>2681.45</v>
      </c>
      <c r="G173">
        <v>12992</v>
      </c>
      <c r="H173" s="116"/>
      <c r="I173" s="116"/>
      <c r="L173" s="170">
        <v>44361</v>
      </c>
      <c r="M173" s="116">
        <v>568.74</v>
      </c>
      <c r="N173" s="116">
        <v>572</v>
      </c>
      <c r="O173" s="116">
        <v>545.1</v>
      </c>
      <c r="P173" s="116">
        <v>560.98</v>
      </c>
      <c r="Q173" s="116">
        <v>2843.7</v>
      </c>
      <c r="R173">
        <v>278036</v>
      </c>
    </row>
    <row r="174" spans="1:18" x14ac:dyDescent="0.25">
      <c r="A174" s="170">
        <v>44357</v>
      </c>
      <c r="B174" s="116">
        <v>551.46</v>
      </c>
      <c r="C174" s="116">
        <v>538.21</v>
      </c>
      <c r="D174" s="116">
        <v>533</v>
      </c>
      <c r="E174" s="116">
        <v>540</v>
      </c>
      <c r="F174" s="116">
        <v>2691.05</v>
      </c>
      <c r="G174">
        <v>12218</v>
      </c>
      <c r="H174" s="116"/>
      <c r="I174" s="116"/>
      <c r="L174" s="170">
        <v>44362</v>
      </c>
      <c r="M174" s="116">
        <v>570.74</v>
      </c>
      <c r="N174" s="116">
        <v>575.1</v>
      </c>
      <c r="O174" s="116">
        <v>562.6</v>
      </c>
      <c r="P174" s="116">
        <v>573</v>
      </c>
      <c r="Q174" s="116">
        <v>2853.7</v>
      </c>
      <c r="R174">
        <v>186663</v>
      </c>
    </row>
    <row r="175" spans="1:18" x14ac:dyDescent="0.25">
      <c r="A175" s="170">
        <v>44358</v>
      </c>
      <c r="B175" s="116">
        <v>588.96</v>
      </c>
      <c r="C175" s="116">
        <v>557.04999999999995</v>
      </c>
      <c r="D175" s="116">
        <v>538.20000000000005</v>
      </c>
      <c r="E175" s="116">
        <v>538.20000000000005</v>
      </c>
      <c r="F175" s="116">
        <v>2785.25</v>
      </c>
      <c r="G175">
        <v>72505</v>
      </c>
      <c r="H175" s="116"/>
      <c r="I175" s="116"/>
      <c r="L175" s="170">
        <v>44363</v>
      </c>
      <c r="M175" s="116">
        <v>573.85</v>
      </c>
      <c r="N175" s="116">
        <v>576.73</v>
      </c>
      <c r="O175" s="116">
        <v>564.4</v>
      </c>
      <c r="P175" s="116">
        <v>571.4</v>
      </c>
      <c r="Q175" s="116">
        <v>2869.25</v>
      </c>
      <c r="R175">
        <v>118563</v>
      </c>
    </row>
    <row r="176" spans="1:18" x14ac:dyDescent="0.25">
      <c r="A176" s="170">
        <v>44361</v>
      </c>
      <c r="B176" s="116">
        <v>571.4</v>
      </c>
      <c r="C176" s="116">
        <v>569.11</v>
      </c>
      <c r="D176" s="116">
        <v>544.97</v>
      </c>
      <c r="E176" s="116">
        <v>558</v>
      </c>
      <c r="F176" s="116">
        <v>2845.55</v>
      </c>
      <c r="G176">
        <v>67685</v>
      </c>
      <c r="H176" s="116"/>
      <c r="I176" s="116"/>
      <c r="L176" s="170">
        <v>44364</v>
      </c>
      <c r="M176" s="116">
        <v>568.54</v>
      </c>
      <c r="N176" s="116">
        <v>572</v>
      </c>
      <c r="O176" s="116">
        <v>565.14</v>
      </c>
      <c r="P176" s="116">
        <v>568.20000000000005</v>
      </c>
      <c r="Q176" s="116">
        <v>2842.7</v>
      </c>
      <c r="R176">
        <v>84971</v>
      </c>
    </row>
    <row r="177" spans="1:18" x14ac:dyDescent="0.25">
      <c r="A177" s="170">
        <v>44362</v>
      </c>
      <c r="B177" s="116">
        <v>575.57000000000005</v>
      </c>
      <c r="C177" s="116">
        <v>570.64</v>
      </c>
      <c r="D177" s="116">
        <v>562.79999999999995</v>
      </c>
      <c r="E177" s="116">
        <v>571.4</v>
      </c>
      <c r="F177" s="116">
        <v>2853.2</v>
      </c>
      <c r="G177">
        <v>23897</v>
      </c>
      <c r="H177" s="116"/>
      <c r="I177" s="116"/>
      <c r="L177" s="170">
        <v>44365</v>
      </c>
      <c r="M177" s="116">
        <v>556.28</v>
      </c>
      <c r="N177" s="116">
        <v>572</v>
      </c>
      <c r="O177" s="116">
        <v>541.24</v>
      </c>
      <c r="P177" s="116">
        <v>571.59</v>
      </c>
      <c r="Q177" s="116">
        <v>2781.4</v>
      </c>
      <c r="R177">
        <v>564482</v>
      </c>
    </row>
    <row r="178" spans="1:18" x14ac:dyDescent="0.25">
      <c r="A178" s="170">
        <v>44363</v>
      </c>
      <c r="B178" s="116">
        <v>576.26</v>
      </c>
      <c r="C178" s="116">
        <v>573.91</v>
      </c>
      <c r="D178" s="116">
        <v>564.66</v>
      </c>
      <c r="E178" s="116">
        <v>573.96</v>
      </c>
      <c r="F178" s="116">
        <v>2869.55</v>
      </c>
      <c r="G178">
        <v>6965</v>
      </c>
      <c r="H178" s="116"/>
      <c r="I178" s="116"/>
      <c r="L178" s="170">
        <v>44368</v>
      </c>
      <c r="M178" s="116">
        <v>559.23</v>
      </c>
      <c r="N178" s="116">
        <v>571.98</v>
      </c>
      <c r="O178" s="116">
        <v>552.01</v>
      </c>
      <c r="P178" s="116">
        <v>554</v>
      </c>
      <c r="Q178" s="116">
        <v>2796.15</v>
      </c>
      <c r="R178">
        <v>132488</v>
      </c>
    </row>
    <row r="179" spans="1:18" x14ac:dyDescent="0.25">
      <c r="A179" s="170">
        <v>44364</v>
      </c>
      <c r="B179" s="116">
        <v>571.86</v>
      </c>
      <c r="C179" s="116">
        <v>568.66</v>
      </c>
      <c r="D179" s="116">
        <v>562</v>
      </c>
      <c r="E179" s="116">
        <v>566.4</v>
      </c>
      <c r="F179" s="116">
        <v>2843.3</v>
      </c>
      <c r="G179">
        <v>11878</v>
      </c>
      <c r="H179" s="116"/>
      <c r="I179" s="116"/>
      <c r="L179" s="170">
        <v>44369</v>
      </c>
      <c r="M179" s="116">
        <v>550.78</v>
      </c>
      <c r="N179" s="116">
        <v>567.08000000000004</v>
      </c>
      <c r="O179" s="116">
        <v>549.20000000000005</v>
      </c>
      <c r="P179" s="116">
        <v>562.79999999999995</v>
      </c>
      <c r="Q179" s="116">
        <v>2753.9</v>
      </c>
      <c r="R179">
        <v>163657</v>
      </c>
    </row>
    <row r="180" spans="1:18" x14ac:dyDescent="0.25">
      <c r="A180" s="170">
        <v>44365</v>
      </c>
      <c r="B180" s="116">
        <v>572.35</v>
      </c>
      <c r="C180" s="116">
        <v>555.79999999999995</v>
      </c>
      <c r="D180" s="116">
        <v>540.85</v>
      </c>
      <c r="E180" s="116">
        <v>570</v>
      </c>
      <c r="F180" s="116">
        <v>2779</v>
      </c>
      <c r="G180">
        <v>37566</v>
      </c>
      <c r="H180" s="116"/>
      <c r="I180" s="116"/>
      <c r="L180" s="170">
        <v>44370</v>
      </c>
      <c r="M180" s="116">
        <v>557.66999999999996</v>
      </c>
      <c r="N180" s="116">
        <v>559.79999999999995</v>
      </c>
      <c r="O180" s="116">
        <v>548</v>
      </c>
      <c r="P180" s="116">
        <v>554.79999999999995</v>
      </c>
      <c r="Q180" s="116">
        <v>2788.35</v>
      </c>
      <c r="R180">
        <v>86714</v>
      </c>
    </row>
    <row r="181" spans="1:18" x14ac:dyDescent="0.25">
      <c r="A181" s="170">
        <v>44368</v>
      </c>
      <c r="B181" s="116">
        <v>572.29</v>
      </c>
      <c r="C181" s="116">
        <v>558.9</v>
      </c>
      <c r="D181" s="116">
        <v>552.88</v>
      </c>
      <c r="E181" s="116">
        <v>558.79999999999995</v>
      </c>
      <c r="F181" s="116">
        <v>2794.5</v>
      </c>
      <c r="G181">
        <v>14565</v>
      </c>
      <c r="H181" s="116"/>
      <c r="I181" s="116"/>
      <c r="L181" s="170">
        <v>44371</v>
      </c>
      <c r="M181" s="116">
        <v>555.46</v>
      </c>
      <c r="N181" s="116">
        <v>558.6</v>
      </c>
      <c r="O181" s="116">
        <v>552</v>
      </c>
      <c r="P181" s="116">
        <v>557.20000000000005</v>
      </c>
      <c r="Q181" s="116">
        <v>2777.3</v>
      </c>
      <c r="R181">
        <v>47018</v>
      </c>
    </row>
    <row r="182" spans="1:18" x14ac:dyDescent="0.25">
      <c r="A182" s="170">
        <v>44369</v>
      </c>
      <c r="B182" s="116">
        <v>565.91999999999996</v>
      </c>
      <c r="C182" s="116">
        <v>551.17999999999995</v>
      </c>
      <c r="D182" s="116">
        <v>549.4</v>
      </c>
      <c r="E182" s="116">
        <v>564.15</v>
      </c>
      <c r="F182" s="116">
        <v>2755.9</v>
      </c>
      <c r="G182">
        <v>9078</v>
      </c>
      <c r="H182" s="116"/>
      <c r="I182" s="116"/>
      <c r="L182" s="170">
        <v>44372</v>
      </c>
      <c r="M182" s="116">
        <v>554.66</v>
      </c>
      <c r="N182" s="116">
        <v>558.96</v>
      </c>
      <c r="O182" s="116">
        <v>548.71</v>
      </c>
      <c r="P182" s="116">
        <v>555.4</v>
      </c>
      <c r="Q182" s="116">
        <v>2773.3</v>
      </c>
      <c r="R182">
        <v>68877</v>
      </c>
    </row>
    <row r="183" spans="1:18" x14ac:dyDescent="0.25">
      <c r="A183" s="170">
        <v>44370</v>
      </c>
      <c r="B183" s="116">
        <v>559.42999999999995</v>
      </c>
      <c r="C183" s="116">
        <v>557.37</v>
      </c>
      <c r="D183" s="116">
        <v>548.01</v>
      </c>
      <c r="E183" s="116">
        <v>555</v>
      </c>
      <c r="F183" s="116">
        <v>2786.85</v>
      </c>
      <c r="G183">
        <v>10005</v>
      </c>
      <c r="H183" s="116"/>
      <c r="I183" s="116"/>
      <c r="L183" s="170">
        <v>44375</v>
      </c>
      <c r="M183" s="116">
        <v>558.09</v>
      </c>
      <c r="N183" s="116">
        <v>566.74</v>
      </c>
      <c r="O183" s="116">
        <v>556.03</v>
      </c>
      <c r="P183" s="116">
        <v>557.01</v>
      </c>
      <c r="Q183" s="116">
        <v>2790.45</v>
      </c>
      <c r="R183">
        <v>104667</v>
      </c>
    </row>
    <row r="184" spans="1:18" x14ac:dyDescent="0.25">
      <c r="A184" s="170">
        <v>44371</v>
      </c>
      <c r="B184" s="116">
        <v>559.57000000000005</v>
      </c>
      <c r="C184" s="116">
        <v>554.75</v>
      </c>
      <c r="D184" s="116">
        <v>552.21</v>
      </c>
      <c r="E184" s="116">
        <v>554.23</v>
      </c>
      <c r="F184" s="116">
        <v>2773.75</v>
      </c>
      <c r="G184">
        <v>3243</v>
      </c>
      <c r="H184" s="116"/>
      <c r="I184" s="116"/>
      <c r="L184" s="170">
        <v>44376</v>
      </c>
      <c r="M184" s="116">
        <v>551.54999999999995</v>
      </c>
      <c r="N184" s="116">
        <v>560.82000000000005</v>
      </c>
      <c r="O184" s="116">
        <v>550</v>
      </c>
      <c r="P184" s="116">
        <v>557.79999999999995</v>
      </c>
      <c r="Q184" s="116">
        <v>2757.75</v>
      </c>
      <c r="R184">
        <v>70397</v>
      </c>
    </row>
    <row r="185" spans="1:18" x14ac:dyDescent="0.25">
      <c r="A185" s="170">
        <v>44372</v>
      </c>
      <c r="B185" s="116">
        <v>561.99</v>
      </c>
      <c r="C185" s="116">
        <v>554.62</v>
      </c>
      <c r="D185" s="116">
        <v>548.75</v>
      </c>
      <c r="E185" s="116">
        <v>561.99</v>
      </c>
      <c r="F185" s="116">
        <v>2773.1</v>
      </c>
      <c r="G185">
        <v>6451</v>
      </c>
      <c r="H185" s="116"/>
      <c r="I185" s="116"/>
      <c r="L185" s="170">
        <v>44377</v>
      </c>
      <c r="M185" s="116">
        <v>558.48</v>
      </c>
      <c r="N185" s="116">
        <v>561.6</v>
      </c>
      <c r="O185" s="116">
        <v>553</v>
      </c>
      <c r="P185" s="116">
        <v>554</v>
      </c>
      <c r="Q185" s="116">
        <v>2792.4</v>
      </c>
      <c r="R185">
        <v>96875</v>
      </c>
    </row>
    <row r="186" spans="1:18" x14ac:dyDescent="0.25">
      <c r="A186" s="170">
        <v>44375</v>
      </c>
      <c r="B186" s="116">
        <v>571.20000000000005</v>
      </c>
      <c r="C186" s="116">
        <v>557.89</v>
      </c>
      <c r="D186" s="116">
        <v>554.61</v>
      </c>
      <c r="E186" s="116">
        <v>554.61</v>
      </c>
      <c r="F186" s="116">
        <v>2789.45</v>
      </c>
      <c r="G186">
        <v>79560</v>
      </c>
      <c r="H186" s="116"/>
      <c r="I186" s="116"/>
      <c r="L186" s="170">
        <v>44378</v>
      </c>
      <c r="M186" s="116">
        <v>556.39</v>
      </c>
      <c r="N186" s="116">
        <v>561.41999999999996</v>
      </c>
      <c r="O186" s="116">
        <v>554.21</v>
      </c>
      <c r="P186" s="116">
        <v>560</v>
      </c>
      <c r="Q186" s="116">
        <v>2781.95</v>
      </c>
      <c r="R186">
        <v>45653</v>
      </c>
    </row>
    <row r="187" spans="1:18" x14ac:dyDescent="0.25">
      <c r="A187" s="170">
        <v>44376</v>
      </c>
      <c r="B187" s="116">
        <v>560.96</v>
      </c>
      <c r="C187" s="116">
        <v>551.85</v>
      </c>
      <c r="D187" s="116">
        <v>550</v>
      </c>
      <c r="E187" s="116">
        <v>557.4</v>
      </c>
      <c r="F187" s="116">
        <v>2759.25</v>
      </c>
      <c r="G187">
        <v>4433</v>
      </c>
      <c r="H187" s="116"/>
      <c r="I187" s="116"/>
      <c r="L187" s="170">
        <v>44379</v>
      </c>
      <c r="M187" s="116">
        <v>574.07000000000005</v>
      </c>
      <c r="N187" s="116">
        <v>576.99</v>
      </c>
      <c r="O187" s="116">
        <v>552.52</v>
      </c>
      <c r="P187" s="116">
        <v>556.76</v>
      </c>
      <c r="Q187" s="116">
        <v>2870.35</v>
      </c>
      <c r="R187">
        <v>304563</v>
      </c>
    </row>
    <row r="188" spans="1:18" x14ac:dyDescent="0.25">
      <c r="A188" s="170">
        <v>44377</v>
      </c>
      <c r="B188" s="116">
        <v>561</v>
      </c>
      <c r="C188" s="116">
        <v>557.91</v>
      </c>
      <c r="D188" s="116">
        <v>552.61</v>
      </c>
      <c r="E188" s="116">
        <v>559.79999999999995</v>
      </c>
      <c r="F188" s="116">
        <v>2789.55</v>
      </c>
      <c r="G188">
        <v>10540</v>
      </c>
      <c r="H188" s="116"/>
      <c r="I188" s="116"/>
      <c r="L188" s="170">
        <v>44382</v>
      </c>
      <c r="M188" s="116">
        <v>567.87</v>
      </c>
      <c r="N188" s="116">
        <v>592</v>
      </c>
      <c r="O188" s="116">
        <v>564.27</v>
      </c>
      <c r="P188" s="116">
        <v>586</v>
      </c>
      <c r="Q188" s="116">
        <v>2839.35</v>
      </c>
      <c r="R188">
        <v>174306</v>
      </c>
    </row>
    <row r="189" spans="1:18" x14ac:dyDescent="0.25">
      <c r="A189" s="170">
        <v>44378</v>
      </c>
      <c r="B189" s="116">
        <v>569.55999999999995</v>
      </c>
      <c r="C189" s="116">
        <v>556.6</v>
      </c>
      <c r="D189" s="116">
        <v>554.16</v>
      </c>
      <c r="E189" s="116">
        <v>569.55999999999995</v>
      </c>
      <c r="F189" s="116">
        <v>2783</v>
      </c>
      <c r="G189">
        <v>3766</v>
      </c>
      <c r="H189" s="116"/>
      <c r="I189" s="116"/>
      <c r="L189" s="170">
        <v>44383</v>
      </c>
      <c r="M189" s="116">
        <v>602.34</v>
      </c>
      <c r="N189" s="116">
        <v>614.61</v>
      </c>
      <c r="O189" s="116">
        <v>565.09</v>
      </c>
      <c r="P189" s="116">
        <v>569.20000000000005</v>
      </c>
      <c r="Q189" s="116">
        <v>3011.7</v>
      </c>
      <c r="R189">
        <v>407131</v>
      </c>
    </row>
    <row r="190" spans="1:18" x14ac:dyDescent="0.25">
      <c r="A190" s="170">
        <v>44379</v>
      </c>
      <c r="B190" s="116">
        <v>576.83000000000004</v>
      </c>
      <c r="C190" s="116">
        <v>574.17999999999995</v>
      </c>
      <c r="D190" s="116">
        <v>552.6</v>
      </c>
      <c r="E190" s="116">
        <v>559.6</v>
      </c>
      <c r="F190" s="116">
        <v>2870.9</v>
      </c>
      <c r="G190">
        <v>34084</v>
      </c>
      <c r="H190" s="116"/>
      <c r="I190" s="116"/>
      <c r="L190" s="170">
        <v>44384</v>
      </c>
      <c r="M190" s="116">
        <v>587.77</v>
      </c>
      <c r="N190" s="116">
        <v>602.79999999999995</v>
      </c>
      <c r="O190" s="116">
        <v>586</v>
      </c>
      <c r="P190" s="116">
        <v>602.79999999999995</v>
      </c>
      <c r="Q190" s="116">
        <v>2938.85</v>
      </c>
      <c r="R190">
        <v>169822</v>
      </c>
    </row>
    <row r="191" spans="1:18" x14ac:dyDescent="0.25">
      <c r="A191" s="170">
        <v>44382</v>
      </c>
      <c r="B191" s="116">
        <v>590</v>
      </c>
      <c r="C191" s="116">
        <v>568.23</v>
      </c>
      <c r="D191" s="116">
        <v>564.19000000000005</v>
      </c>
      <c r="E191" s="116">
        <v>584.4</v>
      </c>
      <c r="F191" s="116">
        <v>2841.15</v>
      </c>
      <c r="G191">
        <v>22796</v>
      </c>
      <c r="H191" s="116"/>
      <c r="I191" s="116"/>
      <c r="L191" s="170">
        <v>44385</v>
      </c>
      <c r="M191" s="116">
        <v>585.64</v>
      </c>
      <c r="N191" s="116">
        <v>599.39</v>
      </c>
      <c r="O191" s="116">
        <v>582.86</v>
      </c>
      <c r="P191" s="116">
        <v>587.6</v>
      </c>
      <c r="Q191" s="116">
        <v>2928.2</v>
      </c>
      <c r="R191">
        <v>132449</v>
      </c>
    </row>
    <row r="192" spans="1:18" x14ac:dyDescent="0.25">
      <c r="A192" s="170">
        <v>44383</v>
      </c>
      <c r="B192" s="116">
        <v>614.12</v>
      </c>
      <c r="C192" s="116">
        <v>601.02</v>
      </c>
      <c r="D192" s="116">
        <v>564.20000000000005</v>
      </c>
      <c r="E192" s="116">
        <v>564.20000000000005</v>
      </c>
      <c r="F192" s="116">
        <v>3005.1</v>
      </c>
      <c r="G192">
        <v>43939</v>
      </c>
      <c r="H192" s="116"/>
      <c r="I192" s="116"/>
      <c r="L192" s="170">
        <v>44386</v>
      </c>
      <c r="M192" s="116">
        <v>575.84</v>
      </c>
      <c r="N192" s="116">
        <v>585.54999999999995</v>
      </c>
      <c r="O192" s="116">
        <v>572.4</v>
      </c>
      <c r="P192" s="116">
        <v>584</v>
      </c>
      <c r="Q192" s="116">
        <v>2879.2</v>
      </c>
      <c r="R192">
        <v>168154</v>
      </c>
    </row>
    <row r="193" spans="1:18" x14ac:dyDescent="0.25">
      <c r="A193" s="170">
        <v>44384</v>
      </c>
      <c r="B193" s="116">
        <v>603.33000000000004</v>
      </c>
      <c r="C193" s="116">
        <v>587.61</v>
      </c>
      <c r="D193" s="116">
        <v>585.64</v>
      </c>
      <c r="E193" s="116">
        <v>601.22</v>
      </c>
      <c r="F193" s="116">
        <v>2938.05</v>
      </c>
      <c r="G193">
        <v>10262</v>
      </c>
      <c r="H193" s="116"/>
      <c r="I193" s="116"/>
      <c r="L193" s="170">
        <v>44389</v>
      </c>
      <c r="M193" s="116">
        <v>572.74</v>
      </c>
      <c r="N193" s="116">
        <v>582</v>
      </c>
      <c r="O193" s="116">
        <v>570.6</v>
      </c>
      <c r="P193" s="116">
        <v>577.79999999999995</v>
      </c>
      <c r="Q193" s="116">
        <v>2863.7</v>
      </c>
      <c r="R193">
        <v>294074</v>
      </c>
    </row>
    <row r="194" spans="1:18" x14ac:dyDescent="0.25">
      <c r="A194" s="170">
        <v>44385</v>
      </c>
      <c r="B194" s="116">
        <v>598.91</v>
      </c>
      <c r="C194" s="116">
        <v>585.24</v>
      </c>
      <c r="D194" s="116">
        <v>582.87</v>
      </c>
      <c r="E194" s="116">
        <v>589.20000000000005</v>
      </c>
      <c r="F194" s="116">
        <v>2926.2</v>
      </c>
      <c r="G194">
        <v>215108</v>
      </c>
      <c r="H194" s="116"/>
      <c r="I194" s="116"/>
      <c r="L194" s="170">
        <v>44390</v>
      </c>
      <c r="M194" s="116">
        <v>602.28</v>
      </c>
      <c r="N194" s="116">
        <v>609.6</v>
      </c>
      <c r="O194" s="116">
        <v>571</v>
      </c>
      <c r="P194" s="116">
        <v>573.20000000000005</v>
      </c>
      <c r="Q194" s="116">
        <v>3011.4</v>
      </c>
      <c r="R194">
        <v>666143</v>
      </c>
    </row>
    <row r="195" spans="1:18" x14ac:dyDescent="0.25">
      <c r="A195" s="170">
        <v>44386</v>
      </c>
      <c r="B195" s="116">
        <v>585.6</v>
      </c>
      <c r="C195" s="116">
        <v>576.30999999999995</v>
      </c>
      <c r="D195" s="116">
        <v>572.61</v>
      </c>
      <c r="E195" s="116">
        <v>585.6</v>
      </c>
      <c r="F195" s="116">
        <v>2881.55</v>
      </c>
      <c r="G195">
        <v>9791</v>
      </c>
      <c r="H195" s="116"/>
      <c r="I195" s="116"/>
      <c r="L195" s="170">
        <v>44391</v>
      </c>
      <c r="M195" s="116">
        <v>691.19</v>
      </c>
      <c r="N195" s="116">
        <v>720</v>
      </c>
      <c r="O195" s="116">
        <v>592.91</v>
      </c>
      <c r="P195" s="116">
        <v>599.4</v>
      </c>
      <c r="Q195" s="116">
        <v>3455.95</v>
      </c>
      <c r="R195">
        <v>1910213</v>
      </c>
    </row>
    <row r="196" spans="1:18" x14ac:dyDescent="0.25">
      <c r="A196" s="170">
        <v>44389</v>
      </c>
      <c r="B196" s="116">
        <v>580.95000000000005</v>
      </c>
      <c r="C196" s="116">
        <v>572.82000000000005</v>
      </c>
      <c r="D196" s="116">
        <v>570.61</v>
      </c>
      <c r="E196" s="116">
        <v>578.55999999999995</v>
      </c>
      <c r="F196" s="116">
        <v>2864.1</v>
      </c>
      <c r="G196">
        <v>15037</v>
      </c>
      <c r="H196" s="116"/>
      <c r="I196" s="116"/>
      <c r="L196" s="170">
        <v>44392</v>
      </c>
      <c r="M196" s="116">
        <v>670.95</v>
      </c>
      <c r="N196" s="116">
        <v>748.13</v>
      </c>
      <c r="O196" s="116">
        <v>662.8</v>
      </c>
      <c r="P196" s="116">
        <v>700.8</v>
      </c>
      <c r="Q196" s="116">
        <v>3354.75</v>
      </c>
      <c r="R196">
        <v>2306107</v>
      </c>
    </row>
    <row r="197" spans="1:18" x14ac:dyDescent="0.25">
      <c r="A197" s="170">
        <v>44390</v>
      </c>
      <c r="B197" s="116">
        <v>609.44000000000005</v>
      </c>
      <c r="C197" s="116">
        <v>602.44000000000005</v>
      </c>
      <c r="D197" s="116">
        <v>571</v>
      </c>
      <c r="E197" s="116">
        <v>573.02</v>
      </c>
      <c r="F197" s="116">
        <v>3012.2</v>
      </c>
      <c r="G197">
        <v>61953</v>
      </c>
      <c r="H197" s="116"/>
      <c r="I197" s="116"/>
      <c r="L197" s="170">
        <v>44393</v>
      </c>
      <c r="M197" s="116">
        <v>686.79</v>
      </c>
      <c r="N197" s="116">
        <v>718</v>
      </c>
      <c r="O197" s="116">
        <v>678</v>
      </c>
      <c r="P197" s="116">
        <v>679.8</v>
      </c>
      <c r="Q197" s="116">
        <v>3433.95</v>
      </c>
      <c r="R197">
        <v>1231516</v>
      </c>
    </row>
    <row r="198" spans="1:18" x14ac:dyDescent="0.25">
      <c r="A198" s="170">
        <v>44391</v>
      </c>
      <c r="B198" s="116">
        <v>720</v>
      </c>
      <c r="C198" s="116">
        <v>690.4</v>
      </c>
      <c r="D198" s="116">
        <v>592.85</v>
      </c>
      <c r="E198" s="116">
        <v>599.6</v>
      </c>
      <c r="F198" s="116">
        <v>3452</v>
      </c>
      <c r="G198">
        <v>171930</v>
      </c>
      <c r="H198" s="116"/>
      <c r="I198" s="116"/>
      <c r="L198" s="170">
        <v>44396</v>
      </c>
      <c r="M198" s="116">
        <v>689.3</v>
      </c>
      <c r="N198" s="116">
        <v>706</v>
      </c>
      <c r="O198" s="116">
        <v>669.61</v>
      </c>
      <c r="P198" s="116">
        <v>682.6</v>
      </c>
      <c r="Q198" s="116">
        <v>3446.5</v>
      </c>
      <c r="R198">
        <v>626795</v>
      </c>
    </row>
    <row r="199" spans="1:18" x14ac:dyDescent="0.25">
      <c r="A199" s="170">
        <v>44392</v>
      </c>
      <c r="B199" s="116">
        <v>748.34</v>
      </c>
      <c r="C199" s="116">
        <v>671.25</v>
      </c>
      <c r="D199" s="116">
        <v>662.8</v>
      </c>
      <c r="E199" s="116">
        <v>699.8</v>
      </c>
      <c r="F199" s="116">
        <v>3356.25</v>
      </c>
      <c r="G199">
        <v>153925</v>
      </c>
      <c r="H199" s="116"/>
      <c r="I199" s="116"/>
      <c r="L199" s="170">
        <v>44397</v>
      </c>
      <c r="M199" s="116">
        <v>683.96</v>
      </c>
      <c r="N199" s="116">
        <v>705</v>
      </c>
      <c r="O199" s="116">
        <v>680.53</v>
      </c>
      <c r="P199" s="116">
        <v>695</v>
      </c>
      <c r="Q199" s="116">
        <v>3419.8</v>
      </c>
      <c r="R199">
        <v>250007</v>
      </c>
    </row>
    <row r="200" spans="1:18" x14ac:dyDescent="0.25">
      <c r="A200" s="170">
        <v>44393</v>
      </c>
      <c r="B200" s="116">
        <v>717.8</v>
      </c>
      <c r="C200" s="116">
        <v>687.02</v>
      </c>
      <c r="D200" s="116">
        <v>680.34</v>
      </c>
      <c r="E200" s="116">
        <v>684</v>
      </c>
      <c r="F200" s="116">
        <v>3435.1</v>
      </c>
      <c r="G200">
        <v>125154</v>
      </c>
      <c r="H200" s="116"/>
      <c r="I200" s="116"/>
      <c r="L200" s="170">
        <v>44399</v>
      </c>
      <c r="M200" s="116">
        <v>672.88</v>
      </c>
      <c r="N200" s="116">
        <v>699.8</v>
      </c>
      <c r="O200" s="116">
        <v>670.02</v>
      </c>
      <c r="P200" s="116">
        <v>693</v>
      </c>
      <c r="Q200" s="116">
        <v>3364.4</v>
      </c>
      <c r="R200">
        <v>186965</v>
      </c>
    </row>
    <row r="201" spans="1:18" x14ac:dyDescent="0.25">
      <c r="A201" s="170">
        <v>44396</v>
      </c>
      <c r="B201" s="116">
        <v>705.99</v>
      </c>
      <c r="C201" s="116">
        <v>689.34</v>
      </c>
      <c r="D201" s="116">
        <v>669.02</v>
      </c>
      <c r="E201" s="116">
        <v>680</v>
      </c>
      <c r="F201" s="116">
        <v>3446.7</v>
      </c>
      <c r="G201">
        <v>75996</v>
      </c>
      <c r="H201" s="116"/>
      <c r="I201" s="116"/>
      <c r="L201" s="170">
        <v>44400</v>
      </c>
      <c r="M201" s="116">
        <v>662.06</v>
      </c>
      <c r="N201" s="116">
        <v>679.64</v>
      </c>
      <c r="O201" s="116">
        <v>655.45</v>
      </c>
      <c r="P201" s="116">
        <v>673.6</v>
      </c>
      <c r="Q201" s="116">
        <v>3310.3</v>
      </c>
      <c r="R201">
        <v>164076</v>
      </c>
    </row>
    <row r="202" spans="1:18" x14ac:dyDescent="0.25">
      <c r="A202" s="170">
        <v>44397</v>
      </c>
      <c r="B202" s="116">
        <v>705</v>
      </c>
      <c r="C202" s="116">
        <v>684.06</v>
      </c>
      <c r="D202" s="116">
        <v>680.01</v>
      </c>
      <c r="E202" s="116">
        <v>693</v>
      </c>
      <c r="F202" s="116">
        <v>3420.3</v>
      </c>
      <c r="G202">
        <v>43297</v>
      </c>
      <c r="H202" s="116"/>
      <c r="I202" s="116"/>
      <c r="L202" s="170">
        <v>44403</v>
      </c>
      <c r="M202" s="116">
        <v>638.9</v>
      </c>
      <c r="N202" s="116">
        <v>662</v>
      </c>
      <c r="O202" s="116">
        <v>636.5</v>
      </c>
      <c r="P202" s="116">
        <v>662</v>
      </c>
      <c r="Q202" s="116">
        <v>3194.5</v>
      </c>
      <c r="R202">
        <v>262944</v>
      </c>
    </row>
    <row r="203" spans="1:18" x14ac:dyDescent="0.25">
      <c r="A203" s="170">
        <v>44399</v>
      </c>
      <c r="B203" s="116">
        <v>699.8</v>
      </c>
      <c r="C203" s="116">
        <v>672.95</v>
      </c>
      <c r="D203" s="116">
        <v>670.4</v>
      </c>
      <c r="E203" s="116">
        <v>696</v>
      </c>
      <c r="F203" s="116">
        <v>3364.75</v>
      </c>
      <c r="G203">
        <v>29523</v>
      </c>
      <c r="H203" s="116"/>
      <c r="I203" s="116"/>
      <c r="L203" s="170">
        <v>44404</v>
      </c>
      <c r="M203" s="116">
        <v>645.33000000000004</v>
      </c>
      <c r="N203" s="116">
        <v>665</v>
      </c>
      <c r="O203" s="116">
        <v>640.32000000000005</v>
      </c>
      <c r="P203" s="116">
        <v>644.67999999999995</v>
      </c>
      <c r="Q203" s="116">
        <v>3226.65</v>
      </c>
      <c r="R203">
        <v>262041</v>
      </c>
    </row>
    <row r="204" spans="1:18" x14ac:dyDescent="0.25">
      <c r="A204" s="170">
        <v>44400</v>
      </c>
      <c r="B204" s="116">
        <v>679.28</v>
      </c>
      <c r="C204" s="116">
        <v>661.88</v>
      </c>
      <c r="D204" s="116">
        <v>655.78</v>
      </c>
      <c r="E204" s="116">
        <v>676.8</v>
      </c>
      <c r="F204" s="116">
        <v>3309.4</v>
      </c>
      <c r="G204">
        <v>30787</v>
      </c>
      <c r="H204" s="116"/>
      <c r="I204" s="116"/>
      <c r="L204" s="170">
        <v>44405</v>
      </c>
      <c r="M204" s="116">
        <v>633.86</v>
      </c>
      <c r="N204" s="116">
        <v>656.09</v>
      </c>
      <c r="O204" s="116">
        <v>627.30999999999995</v>
      </c>
      <c r="P204" s="116">
        <v>647.4</v>
      </c>
      <c r="Q204" s="116">
        <v>3169.3</v>
      </c>
      <c r="R204">
        <v>179599</v>
      </c>
    </row>
    <row r="205" spans="1:18" x14ac:dyDescent="0.25">
      <c r="A205" s="170">
        <v>44403</v>
      </c>
      <c r="B205" s="116">
        <v>663.98</v>
      </c>
      <c r="C205" s="116">
        <v>638.15</v>
      </c>
      <c r="D205" s="116">
        <v>633</v>
      </c>
      <c r="E205" s="116">
        <v>663.98</v>
      </c>
      <c r="F205" s="116">
        <v>3190.75</v>
      </c>
      <c r="G205">
        <v>19319</v>
      </c>
      <c r="H205" s="116"/>
      <c r="I205" s="116"/>
      <c r="L205" s="170">
        <v>44406</v>
      </c>
      <c r="M205" s="116">
        <v>658.11</v>
      </c>
      <c r="N205" s="116">
        <v>663.2</v>
      </c>
      <c r="O205" s="116">
        <v>636.01</v>
      </c>
      <c r="P205" s="116">
        <v>640</v>
      </c>
      <c r="Q205" s="116">
        <v>3290.55</v>
      </c>
      <c r="R205">
        <v>303864</v>
      </c>
    </row>
    <row r="206" spans="1:18" x14ac:dyDescent="0.25">
      <c r="A206" s="170">
        <v>44404</v>
      </c>
      <c r="B206" s="116">
        <v>665.38</v>
      </c>
      <c r="C206" s="116">
        <v>645.42999999999995</v>
      </c>
      <c r="D206" s="116">
        <v>640</v>
      </c>
      <c r="E206" s="116">
        <v>648</v>
      </c>
      <c r="F206" s="116">
        <v>3227.15</v>
      </c>
      <c r="G206">
        <v>14248</v>
      </c>
      <c r="H206" s="116"/>
      <c r="I206" s="116"/>
      <c r="L206" s="170">
        <v>44407</v>
      </c>
      <c r="M206" s="116">
        <v>668.15</v>
      </c>
      <c r="N206" s="116">
        <v>675</v>
      </c>
      <c r="O206" s="116">
        <v>652.73</v>
      </c>
      <c r="P206" s="116">
        <v>660</v>
      </c>
      <c r="Q206" s="116">
        <v>3340.75</v>
      </c>
      <c r="R206">
        <v>208165</v>
      </c>
    </row>
    <row r="207" spans="1:18" x14ac:dyDescent="0.25">
      <c r="A207" s="170">
        <v>44405</v>
      </c>
      <c r="B207" s="116">
        <v>655.39</v>
      </c>
      <c r="C207" s="116">
        <v>633.08000000000004</v>
      </c>
      <c r="D207" s="116">
        <v>627.95000000000005</v>
      </c>
      <c r="E207" s="116">
        <v>648</v>
      </c>
      <c r="F207" s="116">
        <v>3165.4</v>
      </c>
      <c r="G207">
        <v>19454</v>
      </c>
      <c r="H207" s="116"/>
      <c r="I207" s="116"/>
      <c r="L207" s="170">
        <v>44410</v>
      </c>
      <c r="M207" s="116">
        <v>699.47</v>
      </c>
      <c r="N207" s="116">
        <v>705.54</v>
      </c>
      <c r="O207" s="116">
        <v>670</v>
      </c>
      <c r="P207" s="116">
        <v>675.6</v>
      </c>
      <c r="Q207" s="116">
        <v>3497.35</v>
      </c>
      <c r="R207">
        <v>450748</v>
      </c>
    </row>
    <row r="208" spans="1:18" x14ac:dyDescent="0.25">
      <c r="A208" s="170">
        <v>44406</v>
      </c>
      <c r="B208" s="116">
        <v>663.17</v>
      </c>
      <c r="C208" s="116">
        <v>658.1</v>
      </c>
      <c r="D208" s="116">
        <v>635.29</v>
      </c>
      <c r="E208" s="116">
        <v>640</v>
      </c>
      <c r="F208" s="116">
        <v>3290.5</v>
      </c>
      <c r="G208">
        <v>15003</v>
      </c>
      <c r="H208" s="116"/>
      <c r="I208" s="116"/>
      <c r="L208" s="170">
        <v>44411</v>
      </c>
      <c r="M208" s="116">
        <v>697.89</v>
      </c>
      <c r="N208" s="116">
        <v>709</v>
      </c>
      <c r="O208" s="116">
        <v>693.01</v>
      </c>
      <c r="P208" s="116">
        <v>703.8</v>
      </c>
      <c r="Q208" s="116">
        <v>3489.45</v>
      </c>
      <c r="R208">
        <v>173987</v>
      </c>
    </row>
    <row r="209" spans="1:18" x14ac:dyDescent="0.25">
      <c r="A209" s="170">
        <v>44407</v>
      </c>
      <c r="B209" s="116">
        <v>676.26</v>
      </c>
      <c r="C209" s="116">
        <v>668.89</v>
      </c>
      <c r="D209" s="116">
        <v>652.80999999999995</v>
      </c>
      <c r="E209" s="116">
        <v>663.99</v>
      </c>
      <c r="F209" s="116">
        <v>3344.45</v>
      </c>
      <c r="G209">
        <v>7963</v>
      </c>
      <c r="H209" s="116"/>
      <c r="I209" s="116"/>
      <c r="L209" s="170">
        <v>44412</v>
      </c>
      <c r="M209" s="116">
        <v>693.04</v>
      </c>
      <c r="N209" s="116">
        <v>702.41</v>
      </c>
      <c r="O209" s="116">
        <v>688.2</v>
      </c>
      <c r="P209" s="116">
        <v>702</v>
      </c>
      <c r="Q209" s="116">
        <v>3465.2</v>
      </c>
      <c r="R209">
        <v>116198</v>
      </c>
    </row>
    <row r="210" spans="1:18" x14ac:dyDescent="0.25">
      <c r="A210" s="170">
        <v>44410</v>
      </c>
      <c r="B210" s="116">
        <v>705</v>
      </c>
      <c r="C210" s="116">
        <v>699.26</v>
      </c>
      <c r="D210" s="116">
        <v>669.77</v>
      </c>
      <c r="E210" s="116">
        <v>670.2</v>
      </c>
      <c r="F210" s="116">
        <v>3496.3</v>
      </c>
      <c r="G210">
        <v>62553</v>
      </c>
      <c r="H210" s="116"/>
      <c r="I210" s="116"/>
      <c r="L210" s="170">
        <v>44413</v>
      </c>
      <c r="M210" s="116">
        <v>680.55</v>
      </c>
      <c r="N210" s="116">
        <v>695.89</v>
      </c>
      <c r="O210" s="116">
        <v>678.1</v>
      </c>
      <c r="P210" s="116">
        <v>695.7</v>
      </c>
      <c r="Q210" s="116">
        <v>3402.75</v>
      </c>
      <c r="R210">
        <v>125788</v>
      </c>
    </row>
    <row r="211" spans="1:18" x14ac:dyDescent="0.25">
      <c r="A211" s="170">
        <v>44411</v>
      </c>
      <c r="B211" s="116">
        <v>712</v>
      </c>
      <c r="C211" s="116">
        <v>698.28</v>
      </c>
      <c r="D211" s="116">
        <v>693.23</v>
      </c>
      <c r="E211" s="116">
        <v>706.6</v>
      </c>
      <c r="F211" s="116">
        <v>3491.4</v>
      </c>
      <c r="G211">
        <v>15234</v>
      </c>
      <c r="H211" s="116"/>
      <c r="I211" s="116"/>
      <c r="L211" s="170">
        <v>44414</v>
      </c>
      <c r="M211" s="116">
        <v>656.51</v>
      </c>
      <c r="N211" s="116">
        <v>678.2</v>
      </c>
      <c r="O211" s="116">
        <v>655</v>
      </c>
      <c r="P211" s="116">
        <v>676</v>
      </c>
      <c r="Q211" s="116">
        <v>3282.55</v>
      </c>
      <c r="R211">
        <v>209038</v>
      </c>
    </row>
    <row r="212" spans="1:18" x14ac:dyDescent="0.25">
      <c r="A212" s="170">
        <v>44412</v>
      </c>
      <c r="B212" s="116">
        <v>702.79</v>
      </c>
      <c r="C212" s="116">
        <v>692.54</v>
      </c>
      <c r="D212" s="116">
        <v>687.94</v>
      </c>
      <c r="E212" s="116">
        <v>700.4</v>
      </c>
      <c r="F212" s="116">
        <v>3462.7</v>
      </c>
      <c r="G212">
        <v>20038</v>
      </c>
      <c r="H212" s="116"/>
      <c r="I212" s="116"/>
      <c r="L212" s="170">
        <v>44417</v>
      </c>
      <c r="M212" s="116">
        <v>649.02</v>
      </c>
      <c r="N212" s="116">
        <v>673.2</v>
      </c>
      <c r="O212" s="116">
        <v>644</v>
      </c>
      <c r="P212" s="116">
        <v>662</v>
      </c>
      <c r="Q212" s="116">
        <v>3245.1</v>
      </c>
      <c r="R212">
        <v>197214</v>
      </c>
    </row>
    <row r="213" spans="1:18" x14ac:dyDescent="0.25">
      <c r="A213" s="170">
        <v>44413</v>
      </c>
      <c r="B213" s="116">
        <v>699</v>
      </c>
      <c r="C213" s="116">
        <v>680.59</v>
      </c>
      <c r="D213" s="116">
        <v>678.6</v>
      </c>
      <c r="E213" s="116">
        <v>699</v>
      </c>
      <c r="F213" s="116">
        <v>3402.95</v>
      </c>
      <c r="G213">
        <v>8268</v>
      </c>
      <c r="H213" s="116"/>
      <c r="I213" s="116"/>
      <c r="L213" s="170">
        <v>44418</v>
      </c>
      <c r="M213" s="116">
        <v>639.88</v>
      </c>
      <c r="N213" s="116">
        <v>665.9</v>
      </c>
      <c r="O213" s="116">
        <v>560.20000000000005</v>
      </c>
      <c r="P213" s="116">
        <v>653.70000000000005</v>
      </c>
      <c r="Q213" s="116">
        <v>3199.4</v>
      </c>
      <c r="R213">
        <v>867475</v>
      </c>
    </row>
    <row r="214" spans="1:18" x14ac:dyDescent="0.25">
      <c r="A214" s="170">
        <v>44414</v>
      </c>
      <c r="B214" s="116">
        <v>680.59</v>
      </c>
      <c r="C214" s="116">
        <v>656.81</v>
      </c>
      <c r="D214" s="116">
        <v>655.8</v>
      </c>
      <c r="E214" s="116">
        <v>680.59</v>
      </c>
      <c r="F214" s="116">
        <v>3284.05</v>
      </c>
      <c r="G214">
        <v>27452</v>
      </c>
      <c r="H214" s="116"/>
      <c r="I214" s="116"/>
      <c r="L214" s="170">
        <v>44419</v>
      </c>
      <c r="M214" s="116">
        <v>621.76</v>
      </c>
      <c r="N214" s="116">
        <v>660</v>
      </c>
      <c r="O214" s="116">
        <v>606.9</v>
      </c>
      <c r="P214" s="116">
        <v>648</v>
      </c>
      <c r="Q214" s="116">
        <v>3108.8</v>
      </c>
      <c r="R214">
        <v>522113</v>
      </c>
    </row>
    <row r="215" spans="1:18" x14ac:dyDescent="0.25">
      <c r="A215" s="170">
        <v>44417</v>
      </c>
      <c r="B215" s="116">
        <v>673</v>
      </c>
      <c r="C215" s="116">
        <v>649.4</v>
      </c>
      <c r="D215" s="116">
        <v>644</v>
      </c>
      <c r="E215" s="116">
        <v>660</v>
      </c>
      <c r="F215" s="116">
        <v>3247</v>
      </c>
      <c r="G215">
        <v>25593</v>
      </c>
      <c r="H215" s="116"/>
      <c r="I215" s="116"/>
      <c r="L215" s="170">
        <v>44420</v>
      </c>
      <c r="M215" s="116">
        <v>614.59</v>
      </c>
      <c r="N215" s="116">
        <v>633.20000000000005</v>
      </c>
      <c r="O215" s="116">
        <v>611</v>
      </c>
      <c r="P215" s="116">
        <v>627.55999999999995</v>
      </c>
      <c r="Q215" s="116">
        <v>3072.95</v>
      </c>
      <c r="R215">
        <v>296987</v>
      </c>
    </row>
    <row r="216" spans="1:18" x14ac:dyDescent="0.25">
      <c r="A216" s="170">
        <v>44418</v>
      </c>
      <c r="B216" s="116">
        <v>664.96</v>
      </c>
      <c r="C216" s="116">
        <v>639.77</v>
      </c>
      <c r="D216" s="116">
        <v>560.20000000000005</v>
      </c>
      <c r="E216" s="116">
        <v>649.4</v>
      </c>
      <c r="F216" s="116">
        <v>3198.85</v>
      </c>
      <c r="G216">
        <v>88584</v>
      </c>
      <c r="H216" s="116"/>
      <c r="I216" s="116"/>
      <c r="L216" s="170">
        <v>44421</v>
      </c>
      <c r="M216" s="116">
        <v>625.53</v>
      </c>
      <c r="N216" s="116">
        <v>629.72</v>
      </c>
      <c r="O216" s="116">
        <v>615</v>
      </c>
      <c r="P216" s="116">
        <v>622.32000000000005</v>
      </c>
      <c r="Q216" s="116">
        <v>3127.65</v>
      </c>
      <c r="R216">
        <v>225314</v>
      </c>
    </row>
    <row r="217" spans="1:18" x14ac:dyDescent="0.25">
      <c r="A217" s="170">
        <v>44419</v>
      </c>
      <c r="B217" s="116">
        <v>662.96</v>
      </c>
      <c r="C217" s="116">
        <v>621.63</v>
      </c>
      <c r="D217" s="116">
        <v>607.62</v>
      </c>
      <c r="E217" s="116">
        <v>662.96</v>
      </c>
      <c r="F217" s="116">
        <v>3108.15</v>
      </c>
      <c r="G217">
        <v>23130</v>
      </c>
      <c r="H217" s="116"/>
      <c r="I217" s="116"/>
      <c r="L217" s="170">
        <v>44424</v>
      </c>
      <c r="M217" s="116">
        <v>647.65</v>
      </c>
      <c r="N217" s="116">
        <v>652</v>
      </c>
      <c r="O217" s="116">
        <v>629.36</v>
      </c>
      <c r="P217" s="116">
        <v>630</v>
      </c>
      <c r="Q217" s="116">
        <v>3238.25</v>
      </c>
      <c r="R217">
        <v>382437</v>
      </c>
    </row>
    <row r="218" spans="1:18" x14ac:dyDescent="0.25">
      <c r="A218" s="170">
        <v>44420</v>
      </c>
      <c r="B218" s="116">
        <v>632.71</v>
      </c>
      <c r="C218" s="116">
        <v>614.80999999999995</v>
      </c>
      <c r="D218" s="116">
        <v>610.99</v>
      </c>
      <c r="E218" s="116">
        <v>629.6</v>
      </c>
      <c r="F218" s="116">
        <v>3074.05</v>
      </c>
      <c r="G218">
        <v>11296</v>
      </c>
      <c r="H218" s="116"/>
      <c r="I218" s="116"/>
      <c r="L218" s="170">
        <v>44425</v>
      </c>
      <c r="M218" s="116">
        <v>640.14</v>
      </c>
      <c r="N218" s="116">
        <v>655.79</v>
      </c>
      <c r="O218" s="116">
        <v>630.58000000000004</v>
      </c>
      <c r="P218" s="116">
        <v>648.1</v>
      </c>
      <c r="Q218" s="116">
        <v>3200.7</v>
      </c>
      <c r="R218">
        <v>343003</v>
      </c>
    </row>
    <row r="219" spans="1:18" x14ac:dyDescent="0.25">
      <c r="A219" s="170">
        <v>44421</v>
      </c>
      <c r="B219" s="116">
        <v>629.70000000000005</v>
      </c>
      <c r="C219" s="116">
        <v>624.80999999999995</v>
      </c>
      <c r="D219" s="116">
        <v>616</v>
      </c>
      <c r="E219" s="116">
        <v>620</v>
      </c>
      <c r="F219" s="116">
        <v>3124.05</v>
      </c>
      <c r="G219">
        <v>23465</v>
      </c>
      <c r="H219" s="116"/>
      <c r="I219" s="116"/>
      <c r="L219" s="170">
        <v>44426</v>
      </c>
      <c r="M219" s="116">
        <v>646.71</v>
      </c>
      <c r="N219" s="116">
        <v>653.74</v>
      </c>
      <c r="O219" s="116">
        <v>642.09</v>
      </c>
      <c r="P219" s="116">
        <v>645.35</v>
      </c>
      <c r="Q219" s="116">
        <v>3233.55</v>
      </c>
      <c r="R219">
        <v>153012</v>
      </c>
    </row>
    <row r="220" spans="1:18" x14ac:dyDescent="0.25">
      <c r="A220" s="170">
        <v>44424</v>
      </c>
      <c r="B220" s="116">
        <v>652.20000000000005</v>
      </c>
      <c r="C220" s="116">
        <v>647.97</v>
      </c>
      <c r="D220" s="116">
        <v>629.89</v>
      </c>
      <c r="E220" s="116">
        <v>630</v>
      </c>
      <c r="F220" s="116">
        <v>3239.85</v>
      </c>
      <c r="G220">
        <v>15646</v>
      </c>
      <c r="H220" s="116"/>
      <c r="I220" s="116"/>
      <c r="L220" s="170">
        <v>44428</v>
      </c>
      <c r="M220" s="116">
        <v>636.28</v>
      </c>
      <c r="N220" s="116">
        <v>646</v>
      </c>
      <c r="O220" s="116">
        <v>630.79999999999995</v>
      </c>
      <c r="P220" s="116">
        <v>646</v>
      </c>
      <c r="Q220" s="116">
        <v>3181.4</v>
      </c>
      <c r="R220">
        <v>92323</v>
      </c>
    </row>
    <row r="221" spans="1:18" x14ac:dyDescent="0.25">
      <c r="A221" s="170">
        <v>44425</v>
      </c>
      <c r="B221" s="116">
        <v>655.6</v>
      </c>
      <c r="C221" s="116">
        <v>639.88</v>
      </c>
      <c r="D221" s="116">
        <v>631</v>
      </c>
      <c r="E221" s="116">
        <v>645</v>
      </c>
      <c r="F221" s="116">
        <v>3199.4</v>
      </c>
      <c r="G221">
        <v>27150</v>
      </c>
      <c r="H221" s="116"/>
      <c r="I221" s="116"/>
      <c r="L221" s="170">
        <v>44431</v>
      </c>
      <c r="M221" s="116">
        <v>614.95000000000005</v>
      </c>
      <c r="N221" s="116">
        <v>642.39</v>
      </c>
      <c r="O221" s="116">
        <v>608.4</v>
      </c>
      <c r="P221" s="116">
        <v>638</v>
      </c>
      <c r="Q221" s="116">
        <v>3074.75</v>
      </c>
      <c r="R221">
        <v>220373</v>
      </c>
    </row>
    <row r="222" spans="1:18" x14ac:dyDescent="0.25">
      <c r="A222" s="170">
        <v>44426</v>
      </c>
      <c r="B222" s="116">
        <v>652.62</v>
      </c>
      <c r="C222" s="116">
        <v>646.29999999999995</v>
      </c>
      <c r="D222" s="116">
        <v>643.38</v>
      </c>
      <c r="E222" s="116">
        <v>647.55999999999995</v>
      </c>
      <c r="F222" s="116">
        <v>3231.5</v>
      </c>
      <c r="G222">
        <v>6890</v>
      </c>
      <c r="H222" s="116"/>
      <c r="I222" s="116"/>
      <c r="L222" s="170">
        <v>44432</v>
      </c>
      <c r="M222" s="116">
        <v>636.79</v>
      </c>
      <c r="N222" s="116">
        <v>642</v>
      </c>
      <c r="O222" s="116">
        <v>615.79999999999995</v>
      </c>
      <c r="P222" s="116">
        <v>619.98</v>
      </c>
      <c r="Q222" s="116">
        <v>3183.95</v>
      </c>
      <c r="R222">
        <v>160416</v>
      </c>
    </row>
    <row r="223" spans="1:18" x14ac:dyDescent="0.25">
      <c r="A223" s="170">
        <v>44428</v>
      </c>
      <c r="B223" s="116">
        <v>646.6</v>
      </c>
      <c r="C223" s="116">
        <v>636.49</v>
      </c>
      <c r="D223" s="116">
        <v>633.6</v>
      </c>
      <c r="E223" s="116">
        <v>646.4</v>
      </c>
      <c r="F223" s="116">
        <v>3182.45</v>
      </c>
      <c r="G223">
        <v>78780</v>
      </c>
      <c r="H223" s="116"/>
      <c r="I223" s="116"/>
      <c r="L223" s="170">
        <v>44433</v>
      </c>
      <c r="M223" s="116">
        <v>638.64</v>
      </c>
      <c r="N223" s="116">
        <v>645.12</v>
      </c>
      <c r="O223" s="116">
        <v>631.99</v>
      </c>
      <c r="P223" s="116">
        <v>641</v>
      </c>
      <c r="Q223" s="116">
        <v>3193.2</v>
      </c>
      <c r="R223">
        <v>115048</v>
      </c>
    </row>
    <row r="224" spans="1:18" x14ac:dyDescent="0.25">
      <c r="A224" s="170">
        <v>44431</v>
      </c>
      <c r="B224" s="116">
        <v>643.08000000000004</v>
      </c>
      <c r="C224" s="116">
        <v>614.66999999999996</v>
      </c>
      <c r="D224" s="116">
        <v>608.79999999999995</v>
      </c>
      <c r="E224" s="116">
        <v>636.49</v>
      </c>
      <c r="F224" s="116">
        <v>3073.35</v>
      </c>
      <c r="G224">
        <v>29744</v>
      </c>
      <c r="H224" s="116"/>
      <c r="I224" s="116"/>
      <c r="L224" s="170">
        <v>44434</v>
      </c>
      <c r="M224" s="116">
        <v>648.66</v>
      </c>
      <c r="N224" s="116">
        <v>654</v>
      </c>
      <c r="O224" s="116">
        <v>631.99</v>
      </c>
      <c r="P224" s="116">
        <v>641.76</v>
      </c>
      <c r="Q224" s="116">
        <v>3243.3</v>
      </c>
      <c r="R224">
        <v>250563</v>
      </c>
    </row>
    <row r="225" spans="1:18" x14ac:dyDescent="0.25">
      <c r="A225" s="170">
        <v>44432</v>
      </c>
      <c r="B225" s="116">
        <v>642.55999999999995</v>
      </c>
      <c r="C225" s="116">
        <v>636.39</v>
      </c>
      <c r="D225" s="116">
        <v>615.12</v>
      </c>
      <c r="E225" s="116">
        <v>624</v>
      </c>
      <c r="F225" s="116">
        <v>3181.95</v>
      </c>
      <c r="G225">
        <v>9421</v>
      </c>
      <c r="H225" s="116"/>
      <c r="I225" s="116"/>
      <c r="L225" s="170">
        <v>44435</v>
      </c>
      <c r="M225" s="116">
        <v>687.01</v>
      </c>
      <c r="N225" s="116">
        <v>707.98</v>
      </c>
      <c r="O225" s="116">
        <v>657.8</v>
      </c>
      <c r="P225" s="116">
        <v>657.8</v>
      </c>
      <c r="Q225" s="116">
        <v>3435.05</v>
      </c>
      <c r="R225">
        <v>1377299</v>
      </c>
    </row>
    <row r="226" spans="1:18" x14ac:dyDescent="0.25">
      <c r="A226" s="170">
        <v>44433</v>
      </c>
      <c r="B226" s="116">
        <v>645.37</v>
      </c>
      <c r="C226" s="116">
        <v>638.24</v>
      </c>
      <c r="D226" s="116">
        <v>632.67999999999995</v>
      </c>
      <c r="E226" s="116">
        <v>641.99</v>
      </c>
      <c r="F226" s="116">
        <v>3191.2</v>
      </c>
      <c r="G226">
        <v>5676</v>
      </c>
      <c r="H226" s="116"/>
      <c r="I226" s="116"/>
      <c r="L226" s="170">
        <v>44438</v>
      </c>
      <c r="M226" s="116">
        <v>717.62</v>
      </c>
      <c r="N226" s="116">
        <v>720</v>
      </c>
      <c r="O226" s="116">
        <v>697.03</v>
      </c>
      <c r="P226" s="116">
        <v>698.54</v>
      </c>
      <c r="Q226" s="116">
        <v>3588.1</v>
      </c>
      <c r="R226">
        <v>501603</v>
      </c>
    </row>
    <row r="227" spans="1:18" x14ac:dyDescent="0.25">
      <c r="A227" s="170">
        <v>44434</v>
      </c>
      <c r="B227" s="116">
        <v>653.79999999999995</v>
      </c>
      <c r="C227" s="116">
        <v>648.21</v>
      </c>
      <c r="D227" s="116">
        <v>632.74</v>
      </c>
      <c r="E227" s="116">
        <v>643.99</v>
      </c>
      <c r="F227" s="116">
        <v>3241.05</v>
      </c>
      <c r="G227">
        <v>8817</v>
      </c>
      <c r="H227" s="116"/>
      <c r="I227" s="116"/>
      <c r="L227" s="170">
        <v>44439</v>
      </c>
      <c r="M227" s="116">
        <v>763.35</v>
      </c>
      <c r="N227" s="116">
        <v>787.98</v>
      </c>
      <c r="O227" s="116">
        <v>703</v>
      </c>
      <c r="P227" s="116">
        <v>717.62</v>
      </c>
      <c r="Q227" s="116">
        <v>3816.75</v>
      </c>
      <c r="R227">
        <v>839485</v>
      </c>
    </row>
    <row r="228" spans="1:18" x14ac:dyDescent="0.25">
      <c r="A228" s="170">
        <v>44435</v>
      </c>
      <c r="B228" s="116">
        <v>708</v>
      </c>
      <c r="C228" s="116">
        <v>687.48</v>
      </c>
      <c r="D228" s="116">
        <v>658</v>
      </c>
      <c r="E228" s="116">
        <v>658.8</v>
      </c>
      <c r="F228" s="116">
        <v>3437.4</v>
      </c>
      <c r="G228">
        <v>67716</v>
      </c>
      <c r="H228" s="116"/>
      <c r="I228" s="116"/>
      <c r="L228" s="170">
        <v>44440</v>
      </c>
      <c r="M228" s="116">
        <v>792.09</v>
      </c>
      <c r="N228" s="116">
        <v>813.48</v>
      </c>
      <c r="O228" s="116">
        <v>777.77</v>
      </c>
      <c r="P228" s="116">
        <v>784.2</v>
      </c>
      <c r="Q228" s="116">
        <v>3960.45</v>
      </c>
      <c r="R228">
        <v>839931</v>
      </c>
    </row>
    <row r="229" spans="1:18" x14ac:dyDescent="0.25">
      <c r="A229" s="170">
        <v>44438</v>
      </c>
      <c r="B229" s="116">
        <v>720</v>
      </c>
      <c r="C229" s="116">
        <v>717.2</v>
      </c>
      <c r="D229" s="116">
        <v>693</v>
      </c>
      <c r="E229" s="116">
        <v>693</v>
      </c>
      <c r="F229" s="116">
        <v>3586</v>
      </c>
      <c r="G229">
        <v>59700</v>
      </c>
      <c r="H229" s="116"/>
      <c r="I229" s="116"/>
      <c r="L229" s="170">
        <v>44441</v>
      </c>
      <c r="M229" s="116">
        <v>761.31</v>
      </c>
      <c r="N229" s="116">
        <v>795.57</v>
      </c>
      <c r="O229" s="116">
        <v>758</v>
      </c>
      <c r="P229" s="116">
        <v>795</v>
      </c>
      <c r="Q229" s="116">
        <v>3806.55</v>
      </c>
      <c r="R229">
        <v>396225</v>
      </c>
    </row>
    <row r="230" spans="1:18" x14ac:dyDescent="0.25">
      <c r="A230" s="170">
        <v>44439</v>
      </c>
      <c r="B230" s="116">
        <v>787.79</v>
      </c>
      <c r="C230" s="116">
        <v>763.76</v>
      </c>
      <c r="D230" s="116">
        <v>703.05</v>
      </c>
      <c r="E230" s="116">
        <v>722</v>
      </c>
      <c r="F230" s="116">
        <v>3818.8</v>
      </c>
      <c r="G230">
        <v>54717</v>
      </c>
      <c r="H230" s="116"/>
      <c r="I230" s="116"/>
      <c r="L230" s="170">
        <v>44442</v>
      </c>
      <c r="M230" s="116">
        <v>745.07</v>
      </c>
      <c r="N230" s="116">
        <v>767.93</v>
      </c>
      <c r="O230" s="116">
        <v>742</v>
      </c>
      <c r="P230" s="116">
        <v>763.76</v>
      </c>
      <c r="Q230" s="116">
        <v>3725.35</v>
      </c>
      <c r="R230">
        <v>378965</v>
      </c>
    </row>
    <row r="231" spans="1:18" x14ac:dyDescent="0.25">
      <c r="A231" s="170">
        <v>44440</v>
      </c>
      <c r="B231" s="116">
        <v>812.8</v>
      </c>
      <c r="C231" s="116">
        <v>791.63</v>
      </c>
      <c r="D231" s="116">
        <v>776.72</v>
      </c>
      <c r="E231" s="116">
        <v>782.4</v>
      </c>
      <c r="F231" s="116">
        <v>3958.15</v>
      </c>
      <c r="G231">
        <v>81485</v>
      </c>
      <c r="H231" s="116"/>
      <c r="I231" s="116"/>
      <c r="L231" s="170">
        <v>44445</v>
      </c>
      <c r="M231" s="116">
        <v>754.93</v>
      </c>
      <c r="N231" s="116">
        <v>767.93</v>
      </c>
      <c r="O231" s="116">
        <v>749</v>
      </c>
      <c r="P231" s="116">
        <v>750</v>
      </c>
      <c r="Q231" s="116">
        <v>3774.65</v>
      </c>
      <c r="R231">
        <v>200079</v>
      </c>
    </row>
    <row r="232" spans="1:18" x14ac:dyDescent="0.25">
      <c r="A232" s="170">
        <v>44441</v>
      </c>
      <c r="B232" s="116">
        <v>796.4</v>
      </c>
      <c r="C232" s="116">
        <v>760.48</v>
      </c>
      <c r="D232" s="116">
        <v>755.01</v>
      </c>
      <c r="E232" s="116">
        <v>792.21</v>
      </c>
      <c r="F232" s="116">
        <v>3802.4</v>
      </c>
      <c r="G232">
        <v>20959</v>
      </c>
      <c r="H232" s="116"/>
      <c r="I232" s="116"/>
      <c r="L232" s="170">
        <v>44446</v>
      </c>
      <c r="M232" s="116">
        <v>747.24</v>
      </c>
      <c r="N232" s="116">
        <v>759.6</v>
      </c>
      <c r="O232" s="116">
        <v>744.03</v>
      </c>
      <c r="P232" s="116">
        <v>758.58</v>
      </c>
      <c r="Q232" s="116">
        <v>3736.2</v>
      </c>
      <c r="R232">
        <v>128222</v>
      </c>
    </row>
    <row r="233" spans="1:18" x14ac:dyDescent="0.25">
      <c r="A233" s="170">
        <v>44442</v>
      </c>
      <c r="B233" s="116">
        <v>768.8</v>
      </c>
      <c r="C233" s="116">
        <v>744.92</v>
      </c>
      <c r="D233" s="116">
        <v>742.2</v>
      </c>
      <c r="E233" s="116">
        <v>768.8</v>
      </c>
      <c r="F233" s="116">
        <v>3724.6</v>
      </c>
      <c r="G233">
        <v>18865</v>
      </c>
      <c r="H233" s="116"/>
      <c r="I233" s="116"/>
      <c r="L233" s="170">
        <v>44447</v>
      </c>
      <c r="M233" s="116">
        <v>740.74</v>
      </c>
      <c r="N233" s="116">
        <v>752.96</v>
      </c>
      <c r="O233" s="116">
        <v>736</v>
      </c>
      <c r="P233" s="116">
        <v>749</v>
      </c>
      <c r="Q233" s="116">
        <v>3703.7</v>
      </c>
      <c r="R233">
        <v>190577</v>
      </c>
    </row>
    <row r="234" spans="1:18" x14ac:dyDescent="0.25">
      <c r="A234" s="170">
        <v>44445</v>
      </c>
      <c r="B234" s="116">
        <v>765.2</v>
      </c>
      <c r="C234" s="116">
        <v>754.77</v>
      </c>
      <c r="D234" s="116">
        <v>751.49</v>
      </c>
      <c r="E234" s="116">
        <v>754.8</v>
      </c>
      <c r="F234" s="116">
        <v>3773.85</v>
      </c>
      <c r="G234">
        <v>9777</v>
      </c>
      <c r="H234" s="116"/>
      <c r="I234" s="116"/>
      <c r="L234" s="170">
        <v>44448</v>
      </c>
      <c r="M234" s="116">
        <v>737.64</v>
      </c>
      <c r="N234" s="116">
        <v>743.35</v>
      </c>
      <c r="O234" s="116">
        <v>733.59</v>
      </c>
      <c r="P234" s="116">
        <v>740.74</v>
      </c>
      <c r="Q234" s="116">
        <v>3688.2</v>
      </c>
      <c r="R234">
        <v>197245</v>
      </c>
    </row>
    <row r="235" spans="1:18" x14ac:dyDescent="0.25">
      <c r="A235" s="170">
        <v>44446</v>
      </c>
      <c r="B235" s="116">
        <v>763.4</v>
      </c>
      <c r="C235" s="116">
        <v>747.22</v>
      </c>
      <c r="D235" s="116">
        <v>744.13</v>
      </c>
      <c r="E235" s="116">
        <v>763.4</v>
      </c>
      <c r="F235" s="116">
        <v>3736.1</v>
      </c>
      <c r="G235">
        <v>6333</v>
      </c>
      <c r="H235" s="116"/>
      <c r="I235" s="116"/>
      <c r="L235" s="170">
        <v>44452</v>
      </c>
      <c r="M235" s="116">
        <v>720.73</v>
      </c>
      <c r="N235" s="116">
        <v>738.39</v>
      </c>
      <c r="O235" s="116">
        <v>718.16</v>
      </c>
      <c r="P235" s="116">
        <v>738.39</v>
      </c>
      <c r="Q235" s="116">
        <v>3603.65</v>
      </c>
      <c r="R235">
        <v>275539</v>
      </c>
    </row>
    <row r="236" spans="1:18" x14ac:dyDescent="0.25">
      <c r="A236" s="170">
        <v>44447</v>
      </c>
      <c r="B236" s="116">
        <v>755</v>
      </c>
      <c r="C236" s="116">
        <v>741.22</v>
      </c>
      <c r="D236" s="116">
        <v>736.01</v>
      </c>
      <c r="E236" s="116">
        <v>755</v>
      </c>
      <c r="F236" s="116">
        <v>3706.1</v>
      </c>
      <c r="G236">
        <v>8403</v>
      </c>
      <c r="H236" s="116"/>
      <c r="I236" s="116"/>
      <c r="L236" s="170">
        <v>44453</v>
      </c>
      <c r="M236" s="116">
        <v>721.7</v>
      </c>
      <c r="N236" s="116">
        <v>734.8</v>
      </c>
      <c r="O236" s="116">
        <v>720</v>
      </c>
      <c r="P236" s="116">
        <v>724.8</v>
      </c>
      <c r="Q236" s="116">
        <v>3608.5</v>
      </c>
      <c r="R236">
        <v>227624</v>
      </c>
    </row>
    <row r="237" spans="1:18" x14ac:dyDescent="0.25">
      <c r="A237" s="170">
        <v>44448</v>
      </c>
      <c r="B237" s="116">
        <v>742.75</v>
      </c>
      <c r="C237" s="116">
        <v>737.34</v>
      </c>
      <c r="D237" s="116">
        <v>734</v>
      </c>
      <c r="E237" s="116">
        <v>740.4</v>
      </c>
      <c r="F237" s="116">
        <v>3686.7</v>
      </c>
      <c r="G237">
        <v>16438</v>
      </c>
      <c r="H237" s="116"/>
      <c r="I237" s="116"/>
      <c r="L237" s="170">
        <v>44454</v>
      </c>
      <c r="M237" s="116">
        <v>721.3</v>
      </c>
      <c r="N237" s="116">
        <v>724</v>
      </c>
      <c r="O237" s="116">
        <v>714.4</v>
      </c>
      <c r="P237" s="116">
        <v>723.79</v>
      </c>
      <c r="Q237" s="116">
        <v>3606.5</v>
      </c>
      <c r="R237">
        <v>150175</v>
      </c>
    </row>
    <row r="238" spans="1:18" x14ac:dyDescent="0.25">
      <c r="A238" s="170">
        <v>44452</v>
      </c>
      <c r="B238" s="116">
        <v>740.17</v>
      </c>
      <c r="C238" s="116">
        <v>720.92</v>
      </c>
      <c r="D238" s="116">
        <v>718.8</v>
      </c>
      <c r="E238" s="116">
        <v>737.34</v>
      </c>
      <c r="F238" s="116">
        <v>3604.6</v>
      </c>
      <c r="G238">
        <v>11503</v>
      </c>
      <c r="H238" s="116"/>
      <c r="I238" s="116"/>
      <c r="L238" s="170">
        <v>44455</v>
      </c>
      <c r="M238" s="116">
        <v>722.3</v>
      </c>
      <c r="N238" s="116">
        <v>725.78</v>
      </c>
      <c r="O238" s="116">
        <v>720.18</v>
      </c>
      <c r="P238" s="116">
        <v>724.58</v>
      </c>
      <c r="Q238" s="116">
        <v>3611.5</v>
      </c>
      <c r="R238">
        <v>135194</v>
      </c>
    </row>
    <row r="239" spans="1:18" x14ac:dyDescent="0.25">
      <c r="A239" s="170">
        <v>44453</v>
      </c>
      <c r="B239" s="116">
        <v>737</v>
      </c>
      <c r="C239" s="116">
        <v>721.49</v>
      </c>
      <c r="D239" s="116">
        <v>719.9</v>
      </c>
      <c r="E239" s="116">
        <v>723</v>
      </c>
      <c r="F239" s="116">
        <v>3607.45</v>
      </c>
      <c r="G239">
        <v>27599</v>
      </c>
      <c r="H239" s="116"/>
      <c r="I239" s="116"/>
      <c r="L239" s="170">
        <v>44456</v>
      </c>
      <c r="M239" s="116">
        <v>721.99</v>
      </c>
      <c r="N239" s="116">
        <v>727.96</v>
      </c>
      <c r="O239" s="116">
        <v>718.44</v>
      </c>
      <c r="P239" s="116">
        <v>725.4</v>
      </c>
      <c r="Q239" s="116">
        <v>3609.95</v>
      </c>
      <c r="R239">
        <v>260433</v>
      </c>
    </row>
    <row r="240" spans="1:18" x14ac:dyDescent="0.25">
      <c r="A240" s="170">
        <v>44454</v>
      </c>
      <c r="B240" s="116">
        <v>724.38</v>
      </c>
      <c r="C240" s="116">
        <v>721.66</v>
      </c>
      <c r="D240" s="116">
        <v>715</v>
      </c>
      <c r="E240" s="116">
        <v>721.6</v>
      </c>
      <c r="F240" s="116">
        <v>3608.3</v>
      </c>
      <c r="G240">
        <v>8527</v>
      </c>
      <c r="H240" s="116"/>
      <c r="I240" s="116"/>
      <c r="L240" s="170">
        <v>44459</v>
      </c>
      <c r="M240" s="116">
        <v>711.48</v>
      </c>
      <c r="N240" s="116">
        <v>747.71</v>
      </c>
      <c r="O240" s="116">
        <v>708</v>
      </c>
      <c r="P240" s="116">
        <v>721.6</v>
      </c>
      <c r="Q240" s="116">
        <v>3557.4</v>
      </c>
      <c r="R240">
        <v>306475</v>
      </c>
    </row>
    <row r="241" spans="1:18" x14ac:dyDescent="0.25">
      <c r="A241" s="170">
        <v>44455</v>
      </c>
      <c r="B241" s="116">
        <v>729.99</v>
      </c>
      <c r="C241" s="116">
        <v>722.74</v>
      </c>
      <c r="D241" s="116">
        <v>720.2</v>
      </c>
      <c r="E241" s="116">
        <v>729.99</v>
      </c>
      <c r="F241" s="116">
        <v>3613.7</v>
      </c>
      <c r="G241">
        <v>15797</v>
      </c>
      <c r="H241" s="116"/>
      <c r="I241" s="116"/>
      <c r="L241" s="170">
        <v>44460</v>
      </c>
      <c r="M241" s="116">
        <v>686.22</v>
      </c>
      <c r="N241" s="116">
        <v>714</v>
      </c>
      <c r="O241" s="116">
        <v>678.57</v>
      </c>
      <c r="P241" s="116">
        <v>711.92</v>
      </c>
      <c r="Q241" s="116">
        <v>3431.1</v>
      </c>
      <c r="R241">
        <v>389416</v>
      </c>
    </row>
    <row r="242" spans="1:18" x14ac:dyDescent="0.25">
      <c r="A242" s="170">
        <v>44456</v>
      </c>
      <c r="B242" s="116">
        <v>726.72</v>
      </c>
      <c r="C242" s="116">
        <v>722.01</v>
      </c>
      <c r="D242" s="116">
        <v>718</v>
      </c>
      <c r="E242" s="116">
        <v>724.6</v>
      </c>
      <c r="F242" s="116">
        <v>3610.05</v>
      </c>
      <c r="G242">
        <v>15882</v>
      </c>
      <c r="H242" s="116"/>
      <c r="I242" s="116"/>
      <c r="L242" s="170">
        <v>44461</v>
      </c>
      <c r="M242" s="116">
        <v>686.63</v>
      </c>
      <c r="N242" s="116">
        <v>697.53</v>
      </c>
      <c r="O242" s="116">
        <v>680.11</v>
      </c>
      <c r="P242" s="116">
        <v>692.8</v>
      </c>
      <c r="Q242" s="116">
        <v>3433.15</v>
      </c>
      <c r="R242">
        <v>247761</v>
      </c>
    </row>
    <row r="243" spans="1:18" x14ac:dyDescent="0.25">
      <c r="A243" s="170">
        <v>44459</v>
      </c>
      <c r="B243" s="116">
        <v>747.97</v>
      </c>
      <c r="C243" s="116">
        <v>712.01</v>
      </c>
      <c r="D243" s="116">
        <v>710</v>
      </c>
      <c r="E243" s="116">
        <v>722.46</v>
      </c>
      <c r="F243" s="116">
        <v>3560.05</v>
      </c>
      <c r="G243">
        <v>34247</v>
      </c>
      <c r="H243" s="116"/>
      <c r="I243" s="116"/>
      <c r="L243" s="170">
        <v>44462</v>
      </c>
      <c r="M243" s="116">
        <v>681.07</v>
      </c>
      <c r="N243" s="116">
        <v>700.76</v>
      </c>
      <c r="O243" s="116">
        <v>678.61</v>
      </c>
      <c r="P243" s="116">
        <v>693.6</v>
      </c>
      <c r="Q243" s="116">
        <v>3405.35</v>
      </c>
      <c r="R243">
        <v>303259</v>
      </c>
    </row>
    <row r="244" spans="1:18" x14ac:dyDescent="0.25">
      <c r="A244" s="170">
        <v>44460</v>
      </c>
      <c r="B244" s="116">
        <v>714.71</v>
      </c>
      <c r="C244" s="116">
        <v>686.44</v>
      </c>
      <c r="D244" s="116">
        <v>678.38</v>
      </c>
      <c r="E244" s="116">
        <v>706</v>
      </c>
      <c r="F244" s="116">
        <v>3432.2</v>
      </c>
      <c r="G244">
        <v>49888</v>
      </c>
      <c r="H244" s="116"/>
      <c r="I244" s="116"/>
      <c r="L244" s="170">
        <v>44463</v>
      </c>
      <c r="M244" s="116">
        <v>674.57</v>
      </c>
      <c r="N244" s="116">
        <v>692.88</v>
      </c>
      <c r="O244" s="116">
        <v>673.23</v>
      </c>
      <c r="P244" s="116">
        <v>688.45</v>
      </c>
      <c r="Q244" s="116">
        <v>3372.85</v>
      </c>
      <c r="R244">
        <v>199385</v>
      </c>
    </row>
    <row r="245" spans="1:18" x14ac:dyDescent="0.25">
      <c r="A245" s="170">
        <v>44461</v>
      </c>
      <c r="B245" s="116">
        <v>698.97</v>
      </c>
      <c r="C245" s="116">
        <v>686.06</v>
      </c>
      <c r="D245" s="116">
        <v>680.2</v>
      </c>
      <c r="E245" s="116">
        <v>694</v>
      </c>
      <c r="F245" s="116">
        <v>3430.3</v>
      </c>
      <c r="G245">
        <v>22492</v>
      </c>
      <c r="H245" s="116"/>
      <c r="I245" s="116"/>
      <c r="L245" s="170">
        <v>44466</v>
      </c>
      <c r="M245" s="116">
        <v>651.34</v>
      </c>
      <c r="N245" s="116">
        <v>682.99</v>
      </c>
      <c r="O245" s="116">
        <v>650</v>
      </c>
      <c r="P245" s="116">
        <v>681.6</v>
      </c>
      <c r="Q245" s="116">
        <v>3256.7</v>
      </c>
      <c r="R245">
        <v>523822</v>
      </c>
    </row>
    <row r="246" spans="1:18" x14ac:dyDescent="0.25">
      <c r="A246" s="170">
        <v>44462</v>
      </c>
      <c r="B246" s="116">
        <v>700.98</v>
      </c>
      <c r="C246" s="116">
        <v>681.45</v>
      </c>
      <c r="D246" s="116">
        <v>679.51</v>
      </c>
      <c r="E246" s="116">
        <v>698.36</v>
      </c>
      <c r="F246" s="116">
        <v>3407.25</v>
      </c>
      <c r="G246">
        <v>11204</v>
      </c>
      <c r="H246" s="116"/>
      <c r="I246" s="116"/>
      <c r="L246" s="170">
        <v>44467</v>
      </c>
      <c r="M246" s="116">
        <v>691.04</v>
      </c>
      <c r="N246" s="116">
        <v>698.96</v>
      </c>
      <c r="O246" s="116">
        <v>654.41999999999996</v>
      </c>
      <c r="P246" s="116">
        <v>656.8</v>
      </c>
      <c r="Q246" s="116">
        <v>3455.2</v>
      </c>
      <c r="R246">
        <v>1112135</v>
      </c>
    </row>
    <row r="247" spans="1:18" x14ac:dyDescent="0.25">
      <c r="A247" s="170">
        <v>44463</v>
      </c>
      <c r="B247" s="116">
        <v>692.6</v>
      </c>
      <c r="C247" s="116">
        <v>674.91</v>
      </c>
      <c r="D247" s="116">
        <v>673.2</v>
      </c>
      <c r="E247" s="116">
        <v>690</v>
      </c>
      <c r="F247" s="116">
        <v>3374.55</v>
      </c>
      <c r="G247">
        <v>23533</v>
      </c>
      <c r="H247" s="116"/>
      <c r="I247" s="116"/>
      <c r="L247" s="170">
        <v>44468</v>
      </c>
      <c r="M247" s="116">
        <v>626.92999999999995</v>
      </c>
      <c r="N247" s="116">
        <v>680</v>
      </c>
      <c r="O247" s="116">
        <v>622.20000000000005</v>
      </c>
      <c r="P247" s="116">
        <v>680</v>
      </c>
      <c r="Q247" s="116">
        <v>3134.65</v>
      </c>
      <c r="R247">
        <v>1938275</v>
      </c>
    </row>
    <row r="248" spans="1:18" x14ac:dyDescent="0.25">
      <c r="A248" s="170">
        <v>44466</v>
      </c>
      <c r="B248" s="116">
        <v>684.79</v>
      </c>
      <c r="C248" s="116">
        <v>651.29999999999995</v>
      </c>
      <c r="D248" s="116">
        <v>650</v>
      </c>
      <c r="E248" s="116">
        <v>680</v>
      </c>
      <c r="F248" s="116">
        <v>3256.5</v>
      </c>
      <c r="G248">
        <v>63802</v>
      </c>
      <c r="H248" s="116"/>
      <c r="I248" s="116"/>
      <c r="L248" s="170">
        <v>44469</v>
      </c>
      <c r="M248" s="116">
        <v>606.91</v>
      </c>
      <c r="N248" s="116">
        <v>641.79999999999995</v>
      </c>
      <c r="O248" s="116">
        <v>604</v>
      </c>
      <c r="P248" s="116">
        <v>627</v>
      </c>
      <c r="Q248" s="116">
        <v>3034.55</v>
      </c>
      <c r="R248">
        <v>1385793</v>
      </c>
    </row>
    <row r="249" spans="1:18" x14ac:dyDescent="0.25">
      <c r="A249" s="170">
        <v>44467</v>
      </c>
      <c r="B249" s="116">
        <v>698.79</v>
      </c>
      <c r="C249" s="116">
        <v>691.02</v>
      </c>
      <c r="D249" s="116">
        <v>655.6</v>
      </c>
      <c r="E249" s="116">
        <v>659</v>
      </c>
      <c r="F249" s="116">
        <v>3455.1</v>
      </c>
      <c r="G249">
        <v>45825</v>
      </c>
      <c r="H249" s="116"/>
      <c r="I249" s="116"/>
      <c r="L249" s="170">
        <v>44470</v>
      </c>
      <c r="M249" s="116">
        <v>597.12</v>
      </c>
      <c r="N249" s="116">
        <v>617</v>
      </c>
      <c r="O249" s="116">
        <v>595</v>
      </c>
      <c r="P249" s="116">
        <v>608</v>
      </c>
      <c r="Q249" s="116">
        <v>2985.6</v>
      </c>
      <c r="R249">
        <v>1076811</v>
      </c>
    </row>
    <row r="250" spans="1:18" x14ac:dyDescent="0.25">
      <c r="A250" s="170">
        <v>44468</v>
      </c>
      <c r="B250" s="116">
        <v>684.6</v>
      </c>
      <c r="C250" s="116">
        <v>627.17999999999995</v>
      </c>
      <c r="D250" s="116">
        <v>622.24</v>
      </c>
      <c r="E250" s="116">
        <v>684.6</v>
      </c>
      <c r="F250" s="116">
        <v>3135.9</v>
      </c>
      <c r="G250">
        <v>89125</v>
      </c>
      <c r="H250" s="116"/>
      <c r="I250" s="116"/>
      <c r="L250" s="170">
        <v>44473</v>
      </c>
      <c r="M250" s="116">
        <v>626.25</v>
      </c>
      <c r="N250" s="116">
        <v>632</v>
      </c>
      <c r="O250" s="116">
        <v>605.20000000000005</v>
      </c>
      <c r="P250" s="116">
        <v>607.98</v>
      </c>
      <c r="Q250" s="116">
        <v>3131.25</v>
      </c>
      <c r="R250">
        <v>928556</v>
      </c>
    </row>
    <row r="251" spans="1:18" x14ac:dyDescent="0.25">
      <c r="A251" s="170">
        <v>44469</v>
      </c>
      <c r="B251" s="116">
        <v>642.58000000000004</v>
      </c>
      <c r="C251" s="116">
        <v>607.04999999999995</v>
      </c>
      <c r="D251" s="116">
        <v>604</v>
      </c>
      <c r="E251" s="116">
        <v>627.20000000000005</v>
      </c>
      <c r="F251" s="116">
        <v>3035.25</v>
      </c>
      <c r="G251">
        <v>138500</v>
      </c>
      <c r="H251" s="116"/>
      <c r="I251" s="116"/>
      <c r="L251" s="170">
        <v>44474</v>
      </c>
      <c r="M251" s="116">
        <v>621.42999999999995</v>
      </c>
      <c r="N251" s="116">
        <v>634.04</v>
      </c>
      <c r="O251" s="116">
        <v>620</v>
      </c>
      <c r="P251" s="116">
        <v>630.79999999999995</v>
      </c>
      <c r="Q251" s="116">
        <v>3107.15</v>
      </c>
      <c r="R251">
        <v>569386</v>
      </c>
    </row>
    <row r="252" spans="1:18" x14ac:dyDescent="0.25">
      <c r="A252" s="170">
        <v>44470</v>
      </c>
      <c r="B252" s="116">
        <v>616.79999999999995</v>
      </c>
      <c r="C252" s="116">
        <v>597.21</v>
      </c>
      <c r="D252" s="116">
        <v>595</v>
      </c>
      <c r="E252" s="116">
        <v>608</v>
      </c>
      <c r="F252" s="116">
        <v>2986.05</v>
      </c>
      <c r="G252">
        <v>355116</v>
      </c>
      <c r="H252" s="116"/>
      <c r="I252" s="116"/>
      <c r="L252" s="170">
        <v>44475</v>
      </c>
      <c r="M252" s="116">
        <v>623.52</v>
      </c>
      <c r="N252" s="116">
        <v>633.98</v>
      </c>
      <c r="O252" s="116">
        <v>616.65</v>
      </c>
      <c r="P252" s="116">
        <v>628</v>
      </c>
      <c r="Q252" s="116">
        <v>3117.6</v>
      </c>
      <c r="R252">
        <v>400282</v>
      </c>
    </row>
    <row r="253" spans="1:18" x14ac:dyDescent="0.25">
      <c r="A253" s="170">
        <v>44473</v>
      </c>
      <c r="B253" s="116">
        <v>631.6</v>
      </c>
      <c r="C253" s="116">
        <v>626.16999999999996</v>
      </c>
      <c r="D253" s="116">
        <v>603.01</v>
      </c>
      <c r="E253" s="116">
        <v>605.79999999999995</v>
      </c>
      <c r="F253" s="116">
        <v>3130.85</v>
      </c>
      <c r="G253">
        <v>106285</v>
      </c>
      <c r="H253" s="116"/>
      <c r="I253" s="116"/>
      <c r="L253" s="170">
        <v>44476</v>
      </c>
      <c r="M253" s="116">
        <v>621.61</v>
      </c>
      <c r="N253" s="116">
        <v>629</v>
      </c>
      <c r="O253" s="116">
        <v>618.42999999999995</v>
      </c>
      <c r="P253" s="116">
        <v>629</v>
      </c>
      <c r="Q253" s="116">
        <v>3108.05</v>
      </c>
      <c r="R253">
        <v>221699</v>
      </c>
    </row>
    <row r="254" spans="1:18" x14ac:dyDescent="0.25">
      <c r="A254" s="170">
        <v>44474</v>
      </c>
      <c r="B254" s="116">
        <v>634.1</v>
      </c>
      <c r="C254" s="116">
        <v>621.58000000000004</v>
      </c>
      <c r="D254" s="116">
        <v>620</v>
      </c>
      <c r="E254" s="116">
        <v>633.4</v>
      </c>
      <c r="F254" s="116">
        <v>3107.9</v>
      </c>
      <c r="G254">
        <v>24306</v>
      </c>
      <c r="H254" s="116"/>
      <c r="I254" s="116"/>
      <c r="L254" s="170">
        <v>44477</v>
      </c>
      <c r="M254" s="116">
        <v>624.70000000000005</v>
      </c>
      <c r="N254" s="116">
        <v>642.25</v>
      </c>
      <c r="O254" s="116">
        <v>609.92999999999995</v>
      </c>
      <c r="P254" s="116">
        <v>622</v>
      </c>
      <c r="Q254" s="116">
        <v>3123.5</v>
      </c>
      <c r="R254">
        <v>461953</v>
      </c>
    </row>
    <row r="255" spans="1:18" x14ac:dyDescent="0.25">
      <c r="A255" s="170">
        <v>44475</v>
      </c>
      <c r="B255" s="116">
        <v>633.99</v>
      </c>
      <c r="C255" s="116">
        <v>623.5</v>
      </c>
      <c r="D255" s="116">
        <v>616.9</v>
      </c>
      <c r="E255" s="116">
        <v>629.89</v>
      </c>
      <c r="F255" s="116">
        <v>3117.5</v>
      </c>
      <c r="G255">
        <v>81499</v>
      </c>
      <c r="H255" s="116"/>
      <c r="I255" s="116"/>
      <c r="L255" s="170">
        <v>44480</v>
      </c>
      <c r="M255" s="116">
        <v>626.72</v>
      </c>
      <c r="N255" s="116">
        <v>635.98</v>
      </c>
      <c r="O255" s="116">
        <v>625.4</v>
      </c>
      <c r="P255" s="116">
        <v>630</v>
      </c>
      <c r="Q255" s="116">
        <v>3133.6</v>
      </c>
      <c r="R255">
        <v>215584</v>
      </c>
    </row>
    <row r="256" spans="1:18" x14ac:dyDescent="0.25">
      <c r="A256" s="170">
        <v>44476</v>
      </c>
      <c r="B256" s="116">
        <v>632.9</v>
      </c>
      <c r="C256" s="116">
        <v>621.69000000000005</v>
      </c>
      <c r="D256" s="116">
        <v>618.89</v>
      </c>
      <c r="E256" s="116">
        <v>632.9</v>
      </c>
      <c r="F256" s="116">
        <v>3108.45</v>
      </c>
      <c r="G256">
        <v>10735</v>
      </c>
      <c r="H256" s="116"/>
      <c r="I256" s="116"/>
      <c r="L256" s="170">
        <v>44481</v>
      </c>
      <c r="M256" s="116">
        <v>623.26</v>
      </c>
      <c r="N256" s="116">
        <v>632.16999999999996</v>
      </c>
      <c r="O256" s="116">
        <v>619.66</v>
      </c>
      <c r="P256" s="116">
        <v>626.52</v>
      </c>
      <c r="Q256" s="116">
        <v>3116.3</v>
      </c>
      <c r="R256">
        <v>175973</v>
      </c>
    </row>
    <row r="257" spans="1:18" x14ac:dyDescent="0.25">
      <c r="A257" s="170">
        <v>44477</v>
      </c>
      <c r="B257" s="116">
        <v>641.97</v>
      </c>
      <c r="C257" s="116">
        <v>624.83000000000004</v>
      </c>
      <c r="D257" s="116">
        <v>610.27</v>
      </c>
      <c r="E257" s="116">
        <v>622</v>
      </c>
      <c r="F257" s="116">
        <v>3124.15</v>
      </c>
      <c r="G257">
        <v>62635</v>
      </c>
      <c r="H257" s="116"/>
      <c r="I257" s="116"/>
      <c r="L257" s="170">
        <v>44482</v>
      </c>
      <c r="M257" s="116">
        <v>616.37</v>
      </c>
      <c r="N257" s="116">
        <v>626</v>
      </c>
      <c r="O257" s="116">
        <v>615.03</v>
      </c>
      <c r="P257" s="116">
        <v>625</v>
      </c>
      <c r="Q257" s="116">
        <v>3081.85</v>
      </c>
      <c r="R257">
        <v>219883</v>
      </c>
    </row>
    <row r="258" spans="1:18" x14ac:dyDescent="0.25">
      <c r="A258" s="170">
        <v>44480</v>
      </c>
      <c r="B258" s="116">
        <v>635.66999999999996</v>
      </c>
      <c r="C258" s="116">
        <v>626.64</v>
      </c>
      <c r="D258" s="116">
        <v>625</v>
      </c>
      <c r="E258" s="116">
        <v>630.83000000000004</v>
      </c>
      <c r="F258" s="116">
        <v>3133.2</v>
      </c>
      <c r="G258">
        <v>37740</v>
      </c>
      <c r="H258" s="116"/>
      <c r="I258" s="116"/>
      <c r="L258" s="170">
        <v>44483</v>
      </c>
      <c r="M258" s="116">
        <v>612.13</v>
      </c>
      <c r="N258" s="116">
        <v>619.79999999999995</v>
      </c>
      <c r="O258" s="116">
        <v>610.85</v>
      </c>
      <c r="P258" s="116">
        <v>619.79999999999995</v>
      </c>
      <c r="Q258" s="116">
        <v>3060.65</v>
      </c>
      <c r="R258">
        <v>220403</v>
      </c>
    </row>
    <row r="259" spans="1:18" x14ac:dyDescent="0.25">
      <c r="A259" s="170">
        <v>44481</v>
      </c>
      <c r="B259" s="116">
        <v>631.89</v>
      </c>
      <c r="C259" s="116">
        <v>623.09</v>
      </c>
      <c r="D259" s="116">
        <v>619.63</v>
      </c>
      <c r="E259" s="116">
        <v>629.6</v>
      </c>
      <c r="F259" s="116">
        <v>3115.45</v>
      </c>
      <c r="G259">
        <v>9667</v>
      </c>
      <c r="H259" s="116"/>
      <c r="I259" s="116"/>
      <c r="L259" s="170">
        <v>44487</v>
      </c>
      <c r="M259" s="116">
        <v>618.9</v>
      </c>
      <c r="N259" s="116">
        <v>628</v>
      </c>
      <c r="O259" s="116">
        <v>614</v>
      </c>
      <c r="P259" s="116">
        <v>619</v>
      </c>
      <c r="Q259" s="116">
        <v>3094.5</v>
      </c>
      <c r="R259">
        <v>243399</v>
      </c>
    </row>
    <row r="260" spans="1:18" x14ac:dyDescent="0.25">
      <c r="A260" s="170">
        <v>44482</v>
      </c>
      <c r="B260" s="116">
        <v>626.79</v>
      </c>
      <c r="C260" s="116">
        <v>616.53</v>
      </c>
      <c r="D260" s="116">
        <v>614.57000000000005</v>
      </c>
      <c r="E260" s="116">
        <v>624.6</v>
      </c>
      <c r="F260" s="116">
        <v>3082.65</v>
      </c>
      <c r="G260">
        <v>11465</v>
      </c>
      <c r="H260" s="116"/>
      <c r="I260" s="116"/>
      <c r="L260" s="170">
        <v>44488</v>
      </c>
      <c r="M260" s="116">
        <v>617.16</v>
      </c>
      <c r="N260" s="116">
        <v>627</v>
      </c>
      <c r="O260" s="116">
        <v>614</v>
      </c>
      <c r="P260" s="116">
        <v>620</v>
      </c>
      <c r="Q260" s="116">
        <v>3085.8</v>
      </c>
      <c r="R260">
        <v>215014</v>
      </c>
    </row>
    <row r="261" spans="1:18" x14ac:dyDescent="0.25">
      <c r="A261" s="170">
        <v>44483</v>
      </c>
      <c r="B261" s="116">
        <v>620</v>
      </c>
      <c r="C261" s="116">
        <v>612.46</v>
      </c>
      <c r="D261" s="116">
        <v>611</v>
      </c>
      <c r="E261" s="116">
        <v>616.53</v>
      </c>
      <c r="F261" s="116">
        <v>3062.3</v>
      </c>
      <c r="G261">
        <v>36823</v>
      </c>
      <c r="H261" s="116"/>
      <c r="I261" s="116"/>
      <c r="L261" s="170">
        <v>44489</v>
      </c>
      <c r="M261" s="116">
        <v>618.80999999999995</v>
      </c>
      <c r="N261" s="116">
        <v>626.79999999999995</v>
      </c>
      <c r="O261" s="116">
        <v>603.25</v>
      </c>
      <c r="P261" s="116">
        <v>623.54</v>
      </c>
      <c r="Q261" s="116">
        <v>3094.05</v>
      </c>
      <c r="R261">
        <v>291728</v>
      </c>
    </row>
    <row r="262" spans="1:18" x14ac:dyDescent="0.25">
      <c r="A262" s="170">
        <v>44487</v>
      </c>
      <c r="B262" s="116">
        <v>627.47</v>
      </c>
      <c r="C262" s="116">
        <v>618.66</v>
      </c>
      <c r="D262" s="116">
        <v>612.46</v>
      </c>
      <c r="E262" s="116">
        <v>618</v>
      </c>
      <c r="F262" s="116">
        <v>3093.3</v>
      </c>
      <c r="G262">
        <v>37273</v>
      </c>
      <c r="H262" s="116"/>
      <c r="I262" s="116"/>
      <c r="L262" s="170">
        <v>44490</v>
      </c>
      <c r="M262" s="116">
        <v>614.36</v>
      </c>
      <c r="N262" s="116">
        <v>618.79999999999995</v>
      </c>
      <c r="O262" s="116">
        <v>604.4</v>
      </c>
      <c r="P262" s="116">
        <v>618</v>
      </c>
      <c r="Q262" s="116">
        <v>3071.8</v>
      </c>
      <c r="R262">
        <v>220740</v>
      </c>
    </row>
    <row r="263" spans="1:18" x14ac:dyDescent="0.25">
      <c r="A263" s="170">
        <v>44488</v>
      </c>
      <c r="B263" s="116">
        <v>626.98</v>
      </c>
      <c r="C263" s="116">
        <v>616.94000000000005</v>
      </c>
      <c r="D263" s="116">
        <v>614.03</v>
      </c>
      <c r="E263" s="116">
        <v>624.6</v>
      </c>
      <c r="F263" s="116">
        <v>3084.7</v>
      </c>
      <c r="G263">
        <v>9868</v>
      </c>
      <c r="H263" s="116"/>
      <c r="I263" s="116"/>
      <c r="L263" s="170">
        <v>44491</v>
      </c>
      <c r="M263" s="116">
        <v>614.92999999999995</v>
      </c>
      <c r="N263" s="116">
        <v>620.47</v>
      </c>
      <c r="O263" s="116">
        <v>609.52</v>
      </c>
      <c r="P263" s="116">
        <v>615</v>
      </c>
      <c r="Q263" s="116">
        <v>3074.65</v>
      </c>
      <c r="R263">
        <v>162705</v>
      </c>
    </row>
    <row r="264" spans="1:18" x14ac:dyDescent="0.25">
      <c r="A264" s="170">
        <v>44489</v>
      </c>
      <c r="B264" s="116">
        <v>625.79999999999995</v>
      </c>
      <c r="C264" s="116">
        <v>618.38</v>
      </c>
      <c r="D264" s="116">
        <v>603.52</v>
      </c>
      <c r="E264" s="116">
        <v>625.79999999999995</v>
      </c>
      <c r="F264" s="116">
        <v>3091.9</v>
      </c>
      <c r="G264">
        <v>13849</v>
      </c>
      <c r="H264" s="116"/>
      <c r="I264" s="116"/>
      <c r="L264" s="170">
        <v>44494</v>
      </c>
      <c r="M264" s="116">
        <v>586.46</v>
      </c>
      <c r="N264" s="116">
        <v>617.53</v>
      </c>
      <c r="O264" s="116">
        <v>580</v>
      </c>
      <c r="P264" s="116">
        <v>617</v>
      </c>
      <c r="Q264" s="116">
        <v>2932.3</v>
      </c>
      <c r="R264">
        <v>314724</v>
      </c>
    </row>
    <row r="265" spans="1:18" x14ac:dyDescent="0.25">
      <c r="A265" s="170">
        <v>44490</v>
      </c>
      <c r="B265" s="116">
        <v>618.20000000000005</v>
      </c>
      <c r="C265" s="116">
        <v>613.91</v>
      </c>
      <c r="D265" s="116">
        <v>604.79999999999995</v>
      </c>
      <c r="E265" s="116">
        <v>618.20000000000005</v>
      </c>
      <c r="F265" s="116">
        <v>3069.55</v>
      </c>
      <c r="G265">
        <v>7409</v>
      </c>
      <c r="H265" s="116"/>
      <c r="I265" s="116"/>
      <c r="L265" s="170">
        <v>44495</v>
      </c>
      <c r="M265" s="116">
        <v>603.23</v>
      </c>
      <c r="N265" s="116">
        <v>604.79999999999995</v>
      </c>
      <c r="O265" s="116">
        <v>582.29</v>
      </c>
      <c r="P265" s="116">
        <v>586</v>
      </c>
      <c r="Q265" s="116">
        <v>3016.15</v>
      </c>
      <c r="R265">
        <v>108059</v>
      </c>
    </row>
    <row r="266" spans="1:18" x14ac:dyDescent="0.25">
      <c r="A266" s="170">
        <v>44491</v>
      </c>
      <c r="B266" s="116">
        <v>620.29999999999995</v>
      </c>
      <c r="C266" s="116">
        <v>614.87</v>
      </c>
      <c r="D266" s="116">
        <v>609.41999999999996</v>
      </c>
      <c r="E266" s="116">
        <v>613.20000000000005</v>
      </c>
      <c r="F266" s="116">
        <v>3074.35</v>
      </c>
      <c r="G266">
        <v>8174</v>
      </c>
      <c r="H266" s="116"/>
      <c r="I266" s="116"/>
      <c r="L266" s="170">
        <v>44496</v>
      </c>
      <c r="M266" s="116">
        <v>602.75</v>
      </c>
      <c r="N266" s="116">
        <v>613</v>
      </c>
      <c r="O266" s="116">
        <v>601</v>
      </c>
      <c r="P266" s="116">
        <v>607.6</v>
      </c>
      <c r="Q266" s="116">
        <v>3013.75</v>
      </c>
      <c r="R266">
        <v>164665</v>
      </c>
    </row>
    <row r="267" spans="1:18" x14ac:dyDescent="0.25">
      <c r="A267" s="170">
        <v>44494</v>
      </c>
      <c r="B267" s="116">
        <v>619.6</v>
      </c>
      <c r="C267" s="116">
        <v>586.52</v>
      </c>
      <c r="D267" s="116">
        <v>580.41</v>
      </c>
      <c r="E267" s="116">
        <v>619.6</v>
      </c>
      <c r="F267" s="116">
        <v>2932.6</v>
      </c>
      <c r="G267">
        <v>11857</v>
      </c>
      <c r="H267" s="116"/>
      <c r="I267" s="116"/>
      <c r="L267" s="170">
        <v>44497</v>
      </c>
      <c r="M267" s="116">
        <v>603.57000000000005</v>
      </c>
      <c r="N267" s="116">
        <v>610</v>
      </c>
      <c r="O267" s="116">
        <v>598.04</v>
      </c>
      <c r="P267" s="116">
        <v>600.99</v>
      </c>
      <c r="Q267" s="116">
        <v>3017.85</v>
      </c>
      <c r="R267">
        <v>148850</v>
      </c>
    </row>
    <row r="268" spans="1:18" x14ac:dyDescent="0.25">
      <c r="A268" s="170">
        <v>44495</v>
      </c>
      <c r="B268" s="116">
        <v>604.79999999999995</v>
      </c>
      <c r="C268" s="116">
        <v>603.13</v>
      </c>
      <c r="D268" s="116">
        <v>575</v>
      </c>
      <c r="E268" s="116">
        <v>585</v>
      </c>
      <c r="F268" s="116">
        <v>3015.65</v>
      </c>
      <c r="G268">
        <v>30413</v>
      </c>
      <c r="H268" s="116"/>
      <c r="I268" s="116"/>
      <c r="L268" s="170">
        <v>44498</v>
      </c>
      <c r="M268" s="116">
        <v>602.41999999999996</v>
      </c>
      <c r="N268" s="116">
        <v>606.42999999999995</v>
      </c>
      <c r="O268" s="116">
        <v>585.34</v>
      </c>
      <c r="P268" s="116">
        <v>601.79999999999995</v>
      </c>
      <c r="Q268" s="116">
        <v>3012.1</v>
      </c>
      <c r="R268">
        <v>96598</v>
      </c>
    </row>
    <row r="269" spans="1:18" x14ac:dyDescent="0.25">
      <c r="A269" s="170">
        <v>44496</v>
      </c>
      <c r="B269" s="116">
        <v>612.4</v>
      </c>
      <c r="C269" s="116">
        <v>603.27</v>
      </c>
      <c r="D269" s="116">
        <v>601.6</v>
      </c>
      <c r="E269" s="116">
        <v>606</v>
      </c>
      <c r="F269" s="116">
        <v>3016.35</v>
      </c>
      <c r="G269">
        <v>3918</v>
      </c>
      <c r="H269" s="116"/>
      <c r="I269" s="116"/>
      <c r="L269" s="170">
        <v>44501</v>
      </c>
      <c r="M269" s="116">
        <v>596.94000000000005</v>
      </c>
      <c r="N269" s="116">
        <v>610.6</v>
      </c>
      <c r="O269" s="116">
        <v>594</v>
      </c>
      <c r="P269" s="116">
        <v>602.41999999999996</v>
      </c>
      <c r="Q269" s="116">
        <v>2984.7</v>
      </c>
      <c r="R269">
        <v>333264</v>
      </c>
    </row>
    <row r="270" spans="1:18" x14ac:dyDescent="0.25">
      <c r="A270" s="170">
        <v>44497</v>
      </c>
      <c r="B270" s="116">
        <v>610</v>
      </c>
      <c r="C270" s="116">
        <v>603.01</v>
      </c>
      <c r="D270" s="116">
        <v>597.44000000000005</v>
      </c>
      <c r="E270" s="116">
        <v>600</v>
      </c>
      <c r="F270" s="116">
        <v>3015.05</v>
      </c>
      <c r="G270">
        <v>37672</v>
      </c>
      <c r="H270" s="116"/>
      <c r="I270" s="116"/>
      <c r="L270" s="170">
        <v>44502</v>
      </c>
      <c r="M270" s="116">
        <v>594.29999999999995</v>
      </c>
      <c r="N270" s="116">
        <v>606.01</v>
      </c>
      <c r="O270" s="116">
        <v>592.67999999999995</v>
      </c>
      <c r="P270" s="116">
        <v>595</v>
      </c>
      <c r="Q270" s="116">
        <v>2971.5</v>
      </c>
      <c r="R270">
        <v>150849</v>
      </c>
    </row>
    <row r="271" spans="1:18" x14ac:dyDescent="0.25">
      <c r="A271" s="170">
        <v>44498</v>
      </c>
      <c r="B271" s="116">
        <v>605.70000000000005</v>
      </c>
      <c r="C271" s="116">
        <v>602.59</v>
      </c>
      <c r="D271" s="116">
        <v>585.21</v>
      </c>
      <c r="E271" s="116">
        <v>605.19000000000005</v>
      </c>
      <c r="F271" s="116">
        <v>3012.95</v>
      </c>
      <c r="G271">
        <v>5210</v>
      </c>
      <c r="H271" s="116"/>
      <c r="I271" s="116"/>
      <c r="L271" s="170">
        <v>44503</v>
      </c>
      <c r="M271" s="116">
        <v>592.51</v>
      </c>
      <c r="N271" s="116">
        <v>597.96</v>
      </c>
      <c r="O271" s="116">
        <v>589</v>
      </c>
      <c r="P271" s="116">
        <v>594.29999999999995</v>
      </c>
      <c r="Q271" s="116">
        <v>2962.55</v>
      </c>
      <c r="R271">
        <v>137229</v>
      </c>
    </row>
    <row r="272" spans="1:18" x14ac:dyDescent="0.25">
      <c r="A272" s="170">
        <v>44501</v>
      </c>
      <c r="B272" s="116">
        <v>610</v>
      </c>
      <c r="C272" s="116">
        <v>596.98</v>
      </c>
      <c r="D272" s="116">
        <v>594</v>
      </c>
      <c r="E272" s="116">
        <v>600</v>
      </c>
      <c r="F272" s="116">
        <v>2984.9</v>
      </c>
      <c r="G272">
        <v>17059</v>
      </c>
      <c r="H272" s="116"/>
      <c r="I272" s="116"/>
      <c r="L272" s="170">
        <v>44504</v>
      </c>
      <c r="M272" s="116">
        <v>606.47</v>
      </c>
      <c r="N272" s="116">
        <v>608.6</v>
      </c>
      <c r="O272" s="116">
        <v>596.42999999999995</v>
      </c>
      <c r="P272" s="116">
        <v>597.92999999999995</v>
      </c>
      <c r="Q272" s="116">
        <v>3032.35</v>
      </c>
      <c r="R272">
        <v>40352</v>
      </c>
    </row>
    <row r="273" spans="1:18" x14ac:dyDescent="0.25">
      <c r="A273" s="170">
        <v>44502</v>
      </c>
      <c r="B273" s="116">
        <v>606</v>
      </c>
      <c r="C273" s="116">
        <v>594.38</v>
      </c>
      <c r="D273" s="116">
        <v>593</v>
      </c>
      <c r="E273" s="116">
        <v>596.98</v>
      </c>
      <c r="F273" s="116">
        <v>2971.9</v>
      </c>
      <c r="G273">
        <v>11143</v>
      </c>
      <c r="H273" s="116"/>
      <c r="I273" s="116"/>
      <c r="L273" s="170">
        <v>44508</v>
      </c>
      <c r="M273" s="116">
        <v>603.41</v>
      </c>
      <c r="N273" s="116">
        <v>619.08000000000004</v>
      </c>
      <c r="O273" s="116">
        <v>602</v>
      </c>
      <c r="P273" s="116">
        <v>617</v>
      </c>
      <c r="Q273" s="116">
        <v>3017.05</v>
      </c>
      <c r="R273">
        <v>196699</v>
      </c>
    </row>
    <row r="274" spans="1:18" x14ac:dyDescent="0.25">
      <c r="A274" s="170">
        <v>44503</v>
      </c>
      <c r="B274" s="116">
        <v>599.99</v>
      </c>
      <c r="C274" s="116">
        <v>592.22</v>
      </c>
      <c r="D274" s="116">
        <v>588.16999999999996</v>
      </c>
      <c r="E274" s="116">
        <v>599.99</v>
      </c>
      <c r="F274" s="116">
        <v>2961.1</v>
      </c>
      <c r="G274">
        <v>17701</v>
      </c>
      <c r="H274" s="116"/>
      <c r="I274" s="116"/>
      <c r="L274" s="170">
        <v>44509</v>
      </c>
      <c r="M274" s="116">
        <v>599.98</v>
      </c>
      <c r="N274" s="116">
        <v>609.79999999999995</v>
      </c>
      <c r="O274" s="116">
        <v>598</v>
      </c>
      <c r="P274" s="116">
        <v>609.79999999999995</v>
      </c>
      <c r="Q274" s="116">
        <v>2999.9</v>
      </c>
      <c r="R274">
        <v>146993</v>
      </c>
    </row>
    <row r="275" spans="1:18" x14ac:dyDescent="0.25">
      <c r="A275" s="170">
        <v>44504</v>
      </c>
      <c r="B275" s="116">
        <v>608.98</v>
      </c>
      <c r="C275" s="116">
        <v>606.30999999999995</v>
      </c>
      <c r="D275" s="116">
        <v>598.29</v>
      </c>
      <c r="E275" s="116">
        <v>599.6</v>
      </c>
      <c r="F275" s="116">
        <v>3031.55</v>
      </c>
      <c r="G275">
        <v>2873</v>
      </c>
      <c r="H275" s="116"/>
      <c r="I275" s="116"/>
      <c r="L275" s="170">
        <v>44510</v>
      </c>
      <c r="M275" s="116">
        <v>599.87</v>
      </c>
      <c r="N275" s="116">
        <v>605.17999999999995</v>
      </c>
      <c r="O275" s="116">
        <v>598.67999999999995</v>
      </c>
      <c r="P275" s="116">
        <v>599.6</v>
      </c>
      <c r="Q275" s="116">
        <v>2999.35</v>
      </c>
      <c r="R275">
        <v>61952</v>
      </c>
    </row>
    <row r="276" spans="1:18" x14ac:dyDescent="0.25">
      <c r="A276" s="170">
        <v>44508</v>
      </c>
      <c r="B276" s="116">
        <v>619.27</v>
      </c>
      <c r="C276" s="116">
        <v>603.83000000000004</v>
      </c>
      <c r="D276" s="116">
        <v>602.41</v>
      </c>
      <c r="E276" s="116">
        <v>618</v>
      </c>
      <c r="F276" s="116">
        <v>3019.15</v>
      </c>
      <c r="G276">
        <v>4074</v>
      </c>
      <c r="H276" s="116"/>
      <c r="I276" s="116"/>
      <c r="L276" s="170">
        <v>44511</v>
      </c>
      <c r="M276" s="116">
        <v>599.89</v>
      </c>
      <c r="N276" s="116">
        <v>603.79999999999995</v>
      </c>
      <c r="O276" s="116">
        <v>597.20000000000005</v>
      </c>
      <c r="P276" s="116">
        <v>603.77</v>
      </c>
      <c r="Q276" s="116">
        <v>2999.45</v>
      </c>
      <c r="R276">
        <v>126277</v>
      </c>
    </row>
    <row r="277" spans="1:18" x14ac:dyDescent="0.25">
      <c r="A277" s="170">
        <v>44509</v>
      </c>
      <c r="B277" s="116">
        <v>612.76</v>
      </c>
      <c r="C277" s="116">
        <v>600.15</v>
      </c>
      <c r="D277" s="116">
        <v>598</v>
      </c>
      <c r="E277" s="116">
        <v>605</v>
      </c>
      <c r="F277" s="116">
        <v>3000.75</v>
      </c>
      <c r="G277">
        <v>13107</v>
      </c>
      <c r="H277" s="116"/>
      <c r="I277" s="116"/>
      <c r="L277" s="170">
        <v>44512</v>
      </c>
      <c r="M277" s="116">
        <v>599.41</v>
      </c>
      <c r="N277" s="116">
        <v>604.6</v>
      </c>
      <c r="O277" s="116">
        <v>597.79999999999995</v>
      </c>
      <c r="P277" s="116">
        <v>604</v>
      </c>
      <c r="Q277" s="116">
        <v>2997.05</v>
      </c>
      <c r="R277">
        <v>93971</v>
      </c>
    </row>
    <row r="278" spans="1:18" x14ac:dyDescent="0.25">
      <c r="A278" s="170">
        <v>44510</v>
      </c>
      <c r="B278" s="116">
        <v>605</v>
      </c>
      <c r="C278" s="116">
        <v>599.63</v>
      </c>
      <c r="D278" s="116">
        <v>598</v>
      </c>
      <c r="E278" s="116">
        <v>600</v>
      </c>
      <c r="F278" s="116">
        <v>2998.15</v>
      </c>
      <c r="G278">
        <v>12485</v>
      </c>
      <c r="H278" s="116"/>
      <c r="I278" s="116"/>
      <c r="L278" s="170">
        <v>44515</v>
      </c>
      <c r="M278" s="116">
        <v>600.05999999999995</v>
      </c>
      <c r="N278" s="116">
        <v>610</v>
      </c>
      <c r="O278" s="116">
        <v>598.21</v>
      </c>
      <c r="P278" s="116">
        <v>605.6</v>
      </c>
      <c r="Q278" s="116">
        <v>3000.3</v>
      </c>
      <c r="R278">
        <v>262308</v>
      </c>
    </row>
    <row r="279" spans="1:18" x14ac:dyDescent="0.25">
      <c r="A279" s="170">
        <v>44511</v>
      </c>
      <c r="B279" s="116">
        <v>603.78</v>
      </c>
      <c r="C279" s="116">
        <v>599.73</v>
      </c>
      <c r="D279" s="116">
        <v>597.32000000000005</v>
      </c>
      <c r="E279" s="116">
        <v>600.52</v>
      </c>
      <c r="F279" s="116">
        <v>2998.65</v>
      </c>
      <c r="G279">
        <v>3590</v>
      </c>
      <c r="H279" s="116"/>
      <c r="I279" s="116"/>
      <c r="L279" s="170">
        <v>44516</v>
      </c>
      <c r="M279" s="116">
        <v>631.62</v>
      </c>
      <c r="N279" s="116">
        <v>634.96</v>
      </c>
      <c r="O279" s="116">
        <v>603.48</v>
      </c>
      <c r="P279" s="116">
        <v>607</v>
      </c>
      <c r="Q279" s="116">
        <v>3158.1</v>
      </c>
      <c r="R279">
        <v>603493</v>
      </c>
    </row>
    <row r="280" spans="1:18" x14ac:dyDescent="0.25">
      <c r="A280" s="170">
        <v>44512</v>
      </c>
      <c r="B280" s="116">
        <v>605.07000000000005</v>
      </c>
      <c r="C280" s="116">
        <v>599.30999999999995</v>
      </c>
      <c r="D280" s="116">
        <v>598.01</v>
      </c>
      <c r="E280" s="116">
        <v>603.6</v>
      </c>
      <c r="F280" s="116">
        <v>2996.55</v>
      </c>
      <c r="G280">
        <v>24396</v>
      </c>
      <c r="H280" s="116"/>
      <c r="I280" s="116"/>
      <c r="L280" s="170">
        <v>44517</v>
      </c>
      <c r="M280" s="116">
        <v>628.74</v>
      </c>
      <c r="N280" s="116">
        <v>650</v>
      </c>
      <c r="O280" s="116">
        <v>627</v>
      </c>
      <c r="P280" s="116">
        <v>639.6</v>
      </c>
      <c r="Q280" s="116">
        <v>3143.7</v>
      </c>
      <c r="R280">
        <v>513448</v>
      </c>
    </row>
    <row r="281" spans="1:18" x14ac:dyDescent="0.25">
      <c r="A281" s="170">
        <v>44515</v>
      </c>
      <c r="B281" s="116">
        <v>616.79</v>
      </c>
      <c r="C281" s="116">
        <v>599.88</v>
      </c>
      <c r="D281" s="116">
        <v>598.52</v>
      </c>
      <c r="E281" s="116">
        <v>616.79</v>
      </c>
      <c r="F281" s="116">
        <v>2999.4</v>
      </c>
      <c r="G281">
        <v>9270</v>
      </c>
      <c r="H281" s="116"/>
      <c r="I281" s="116"/>
      <c r="L281" s="170">
        <v>44518</v>
      </c>
      <c r="M281" s="116">
        <v>610.35</v>
      </c>
      <c r="N281" s="116">
        <v>634</v>
      </c>
      <c r="O281" s="116">
        <v>605.73</v>
      </c>
      <c r="P281" s="116">
        <v>630.79999999999995</v>
      </c>
      <c r="Q281" s="116">
        <v>3051.75</v>
      </c>
      <c r="R281">
        <v>225694</v>
      </c>
    </row>
    <row r="282" spans="1:18" x14ac:dyDescent="0.25">
      <c r="A282" s="170">
        <v>44516</v>
      </c>
      <c r="B282" s="116">
        <v>635.6</v>
      </c>
      <c r="C282" s="116">
        <v>632.82000000000005</v>
      </c>
      <c r="D282" s="116">
        <v>604.6</v>
      </c>
      <c r="E282" s="116">
        <v>609.79999999999995</v>
      </c>
      <c r="F282" s="116">
        <v>3164.1</v>
      </c>
      <c r="G282">
        <v>23758</v>
      </c>
      <c r="H282" s="116"/>
      <c r="I282" s="116"/>
      <c r="L282" s="170">
        <v>44522</v>
      </c>
      <c r="M282" s="116">
        <v>595.55999999999995</v>
      </c>
      <c r="N282" s="116">
        <v>612.51</v>
      </c>
      <c r="O282" s="116">
        <v>586.63</v>
      </c>
      <c r="P282" s="116">
        <v>612.51</v>
      </c>
      <c r="Q282" s="116">
        <v>2977.8</v>
      </c>
      <c r="R282">
        <v>169848</v>
      </c>
    </row>
    <row r="283" spans="1:18" x14ac:dyDescent="0.25">
      <c r="A283" s="170">
        <v>44517</v>
      </c>
      <c r="B283" s="116">
        <v>650</v>
      </c>
      <c r="C283" s="116">
        <v>628.97</v>
      </c>
      <c r="D283" s="116">
        <v>626.76</v>
      </c>
      <c r="E283" s="116">
        <v>639.79999999999995</v>
      </c>
      <c r="F283" s="116">
        <v>3144.85</v>
      </c>
      <c r="G283">
        <v>68659</v>
      </c>
      <c r="H283" s="116"/>
      <c r="I283" s="116"/>
      <c r="L283" s="170">
        <v>44523</v>
      </c>
      <c r="M283" s="116">
        <v>612.5</v>
      </c>
      <c r="N283" s="116">
        <v>615</v>
      </c>
      <c r="O283" s="116">
        <v>588.04</v>
      </c>
      <c r="P283" s="116">
        <v>591.02</v>
      </c>
      <c r="Q283" s="116">
        <v>3062.5</v>
      </c>
      <c r="R283">
        <v>92731</v>
      </c>
    </row>
    <row r="284" spans="1:18" x14ac:dyDescent="0.25">
      <c r="A284" s="170">
        <v>44518</v>
      </c>
      <c r="B284" s="116">
        <v>634.44000000000005</v>
      </c>
      <c r="C284" s="116">
        <v>610.49</v>
      </c>
      <c r="D284" s="116">
        <v>605.79999999999995</v>
      </c>
      <c r="E284" s="116">
        <v>628.97</v>
      </c>
      <c r="F284" s="116">
        <v>3052.45</v>
      </c>
      <c r="G284">
        <v>44587</v>
      </c>
      <c r="H284" s="116"/>
      <c r="I284" s="116"/>
      <c r="L284" s="170">
        <v>44524</v>
      </c>
      <c r="M284" s="116">
        <v>607.75</v>
      </c>
      <c r="N284" s="116">
        <v>615.57000000000005</v>
      </c>
      <c r="O284" s="116">
        <v>601</v>
      </c>
      <c r="P284" s="116">
        <v>615.20000000000005</v>
      </c>
      <c r="Q284" s="116">
        <v>3038.75</v>
      </c>
      <c r="R284">
        <v>130625</v>
      </c>
    </row>
    <row r="285" spans="1:18" x14ac:dyDescent="0.25">
      <c r="A285" s="170">
        <v>44522</v>
      </c>
      <c r="B285" s="116">
        <v>612.99</v>
      </c>
      <c r="C285" s="116">
        <v>596.19000000000005</v>
      </c>
      <c r="D285" s="116">
        <v>587</v>
      </c>
      <c r="E285" s="116">
        <v>606.61</v>
      </c>
      <c r="F285" s="116">
        <v>2980.95</v>
      </c>
      <c r="G285">
        <v>39082</v>
      </c>
      <c r="H285" s="116"/>
      <c r="I285" s="116"/>
      <c r="L285" s="170">
        <v>44525</v>
      </c>
      <c r="M285" s="116">
        <v>617.41</v>
      </c>
      <c r="N285" s="116">
        <v>628.08000000000004</v>
      </c>
      <c r="O285" s="116">
        <v>602</v>
      </c>
      <c r="P285" s="116">
        <v>608</v>
      </c>
      <c r="Q285" s="116">
        <v>3087.05</v>
      </c>
      <c r="R285">
        <v>163732</v>
      </c>
    </row>
    <row r="286" spans="1:18" x14ac:dyDescent="0.25">
      <c r="A286" s="170">
        <v>44523</v>
      </c>
      <c r="B286" s="116">
        <v>614.79999999999995</v>
      </c>
      <c r="C286" s="116">
        <v>612.58000000000004</v>
      </c>
      <c r="D286" s="116">
        <v>587</v>
      </c>
      <c r="E286" s="116">
        <v>590.4</v>
      </c>
      <c r="F286" s="116">
        <v>3062.9</v>
      </c>
      <c r="G286">
        <v>19253</v>
      </c>
      <c r="H286" s="116"/>
      <c r="I286" s="116"/>
      <c r="L286" s="170">
        <v>44526</v>
      </c>
      <c r="M286" s="116">
        <v>611.01</v>
      </c>
      <c r="N286" s="116">
        <v>622.94000000000005</v>
      </c>
      <c r="O286" s="116">
        <v>605.61</v>
      </c>
      <c r="P286" s="116">
        <v>612</v>
      </c>
      <c r="Q286" s="116">
        <v>3055.05</v>
      </c>
      <c r="R286">
        <v>220444</v>
      </c>
    </row>
    <row r="287" spans="1:18" x14ac:dyDescent="0.25">
      <c r="A287" s="170">
        <v>44524</v>
      </c>
      <c r="B287" s="116">
        <v>617.79999999999995</v>
      </c>
      <c r="C287" s="116">
        <v>606.96</v>
      </c>
      <c r="D287" s="116">
        <v>601.20000000000005</v>
      </c>
      <c r="E287" s="116">
        <v>614</v>
      </c>
      <c r="F287" s="116">
        <v>3034.8</v>
      </c>
      <c r="G287">
        <v>15172</v>
      </c>
      <c r="H287" s="116"/>
      <c r="I287" s="116"/>
      <c r="L287" s="170">
        <v>44529</v>
      </c>
      <c r="M287" s="116">
        <v>605.38</v>
      </c>
      <c r="N287" s="116">
        <v>610</v>
      </c>
      <c r="O287" s="116">
        <v>576.79999999999995</v>
      </c>
      <c r="P287" s="116">
        <v>594.84</v>
      </c>
      <c r="Q287" s="116">
        <v>3026.9</v>
      </c>
      <c r="R287">
        <v>147920</v>
      </c>
    </row>
    <row r="288" spans="1:18" x14ac:dyDescent="0.25">
      <c r="A288" s="170">
        <v>44525</v>
      </c>
      <c r="B288" s="116">
        <v>627.4</v>
      </c>
      <c r="C288" s="116">
        <v>616.08000000000004</v>
      </c>
      <c r="D288" s="116">
        <v>602.16</v>
      </c>
      <c r="E288" s="116">
        <v>610</v>
      </c>
      <c r="F288" s="116">
        <v>3080.4</v>
      </c>
      <c r="G288">
        <v>26862</v>
      </c>
      <c r="H288" s="116"/>
      <c r="I288" s="116"/>
      <c r="L288" s="170">
        <v>44530</v>
      </c>
      <c r="M288" s="116">
        <v>615.5</v>
      </c>
      <c r="N288" s="116">
        <v>620</v>
      </c>
      <c r="O288" s="116">
        <v>600</v>
      </c>
      <c r="P288" s="116">
        <v>611.6</v>
      </c>
      <c r="Q288" s="116">
        <v>3077.5</v>
      </c>
      <c r="R288">
        <v>243415</v>
      </c>
    </row>
    <row r="289" spans="1:18" x14ac:dyDescent="0.25">
      <c r="A289" s="170">
        <v>44526</v>
      </c>
      <c r="B289" s="116">
        <v>622.58000000000004</v>
      </c>
      <c r="C289" s="116">
        <v>613.96</v>
      </c>
      <c r="D289" s="116">
        <v>605.79</v>
      </c>
      <c r="E289" s="116">
        <v>614</v>
      </c>
      <c r="F289" s="116">
        <v>3069.8</v>
      </c>
      <c r="G289">
        <v>28460</v>
      </c>
      <c r="H289" s="116"/>
      <c r="I289" s="116"/>
      <c r="L289" s="170">
        <v>44531</v>
      </c>
      <c r="M289" s="116">
        <v>608.79</v>
      </c>
      <c r="N289" s="116">
        <v>620</v>
      </c>
      <c r="O289" s="116">
        <v>607</v>
      </c>
      <c r="P289" s="116">
        <v>607.14</v>
      </c>
      <c r="Q289" s="116">
        <v>3043.95</v>
      </c>
      <c r="R289">
        <v>132095</v>
      </c>
    </row>
    <row r="290" spans="1:18" x14ac:dyDescent="0.25">
      <c r="A290" s="170">
        <v>44529</v>
      </c>
      <c r="B290" s="116">
        <v>609.98</v>
      </c>
      <c r="C290" s="116">
        <v>604.9</v>
      </c>
      <c r="D290" s="116">
        <v>575.26</v>
      </c>
      <c r="E290" s="116">
        <v>585.20000000000005</v>
      </c>
      <c r="F290" s="116">
        <v>3024.5</v>
      </c>
      <c r="G290">
        <v>40964</v>
      </c>
      <c r="H290" s="116"/>
      <c r="I290" s="116"/>
      <c r="L290" s="170">
        <v>44532</v>
      </c>
      <c r="M290" s="116">
        <v>595.01</v>
      </c>
      <c r="N290" s="116">
        <v>611.74</v>
      </c>
      <c r="O290" s="116">
        <v>594.41999999999996</v>
      </c>
      <c r="P290" s="116">
        <v>610</v>
      </c>
      <c r="Q290" s="116">
        <v>2975.05</v>
      </c>
      <c r="R290">
        <v>240920</v>
      </c>
    </row>
    <row r="291" spans="1:18" x14ac:dyDescent="0.25">
      <c r="A291" s="170">
        <v>44530</v>
      </c>
      <c r="B291" s="116">
        <v>619.67999999999995</v>
      </c>
      <c r="C291" s="116">
        <v>613.11</v>
      </c>
      <c r="D291" s="116">
        <v>600</v>
      </c>
      <c r="E291" s="116">
        <v>617</v>
      </c>
      <c r="F291" s="116">
        <v>3065.55</v>
      </c>
      <c r="G291">
        <v>4311</v>
      </c>
      <c r="H291" s="116"/>
      <c r="I291" s="116"/>
      <c r="L291" s="170">
        <v>44533</v>
      </c>
      <c r="M291" s="116">
        <v>588.42999999999995</v>
      </c>
      <c r="N291" s="116">
        <v>600.99</v>
      </c>
      <c r="O291" s="116">
        <v>586.4</v>
      </c>
      <c r="P291" s="116">
        <v>598.79999999999995</v>
      </c>
      <c r="Q291" s="116">
        <v>2942.15</v>
      </c>
      <c r="R291">
        <v>242031</v>
      </c>
    </row>
    <row r="292" spans="1:18" x14ac:dyDescent="0.25">
      <c r="A292" s="170">
        <v>44531</v>
      </c>
      <c r="B292" s="116">
        <v>615.77</v>
      </c>
      <c r="C292" s="116">
        <v>608.41</v>
      </c>
      <c r="D292" s="116">
        <v>606.96</v>
      </c>
      <c r="E292" s="116">
        <v>610</v>
      </c>
      <c r="F292" s="116">
        <v>3042.05</v>
      </c>
      <c r="G292">
        <v>46011</v>
      </c>
      <c r="H292" s="116"/>
      <c r="I292" s="116"/>
      <c r="L292" s="170">
        <v>44536</v>
      </c>
      <c r="M292" s="116">
        <v>584.37</v>
      </c>
      <c r="N292" s="116">
        <v>593.99</v>
      </c>
      <c r="O292" s="116">
        <v>582</v>
      </c>
      <c r="P292" s="116">
        <v>593.99</v>
      </c>
      <c r="Q292" s="116">
        <v>2921.85</v>
      </c>
      <c r="R292">
        <v>162281</v>
      </c>
    </row>
    <row r="293" spans="1:18" x14ac:dyDescent="0.25">
      <c r="A293" s="170">
        <v>44532</v>
      </c>
      <c r="B293" s="116">
        <v>611.49</v>
      </c>
      <c r="C293" s="116">
        <v>595.04</v>
      </c>
      <c r="D293" s="116">
        <v>594.4</v>
      </c>
      <c r="E293" s="116">
        <v>610</v>
      </c>
      <c r="F293" s="116">
        <v>2975.2</v>
      </c>
      <c r="G293">
        <v>8311</v>
      </c>
      <c r="H293" s="116"/>
      <c r="I293" s="116"/>
      <c r="L293" s="170">
        <v>44537</v>
      </c>
      <c r="M293" s="116">
        <v>581.57000000000005</v>
      </c>
      <c r="N293" s="116">
        <v>588.97</v>
      </c>
      <c r="O293" s="116">
        <v>578.53</v>
      </c>
      <c r="P293" s="116">
        <v>586</v>
      </c>
      <c r="Q293" s="116">
        <v>2907.85</v>
      </c>
      <c r="R293">
        <v>153734</v>
      </c>
    </row>
    <row r="294" spans="1:18" x14ac:dyDescent="0.25">
      <c r="A294" s="170">
        <v>44533</v>
      </c>
      <c r="B294" s="116">
        <v>600</v>
      </c>
      <c r="C294" s="116">
        <v>588.66</v>
      </c>
      <c r="D294" s="116">
        <v>588</v>
      </c>
      <c r="E294" s="116">
        <v>595.04</v>
      </c>
      <c r="F294" s="116">
        <v>2943.3</v>
      </c>
      <c r="G294">
        <v>20564</v>
      </c>
      <c r="H294" s="116"/>
      <c r="I294" s="116"/>
      <c r="L294" s="170">
        <v>44538</v>
      </c>
      <c r="M294" s="116">
        <v>582.39</v>
      </c>
      <c r="N294" s="116">
        <v>590.41999999999996</v>
      </c>
      <c r="O294" s="116">
        <v>580.45000000000005</v>
      </c>
      <c r="P294" s="116">
        <v>585.91999999999996</v>
      </c>
      <c r="Q294" s="116">
        <v>2911.95</v>
      </c>
      <c r="R294">
        <v>135847</v>
      </c>
    </row>
    <row r="295" spans="1:18" x14ac:dyDescent="0.25">
      <c r="A295" s="170">
        <v>44536</v>
      </c>
      <c r="B295" s="116">
        <v>594.79999999999995</v>
      </c>
      <c r="C295" s="116">
        <v>584.21</v>
      </c>
      <c r="D295" s="116">
        <v>582</v>
      </c>
      <c r="E295" s="116">
        <v>590.04</v>
      </c>
      <c r="F295" s="116">
        <v>2921.05</v>
      </c>
      <c r="G295">
        <v>16103</v>
      </c>
      <c r="H295" s="116"/>
      <c r="I295" s="116"/>
      <c r="L295" s="170">
        <v>44539</v>
      </c>
      <c r="M295" s="116">
        <v>584.35</v>
      </c>
      <c r="N295" s="116">
        <v>595.47</v>
      </c>
      <c r="O295" s="116">
        <v>583</v>
      </c>
      <c r="P295" s="116">
        <v>584.98</v>
      </c>
      <c r="Q295" s="116">
        <v>2921.75</v>
      </c>
      <c r="R295">
        <v>104966</v>
      </c>
    </row>
    <row r="296" spans="1:18" x14ac:dyDescent="0.25">
      <c r="A296" s="170">
        <v>44537</v>
      </c>
      <c r="B296" s="116">
        <v>593</v>
      </c>
      <c r="C296" s="116">
        <v>581.72</v>
      </c>
      <c r="D296" s="116">
        <v>578.6</v>
      </c>
      <c r="E296" s="116">
        <v>593</v>
      </c>
      <c r="F296" s="116">
        <v>2908.6</v>
      </c>
      <c r="G296">
        <v>5121</v>
      </c>
      <c r="H296" s="116"/>
      <c r="I296" s="116"/>
      <c r="L296" s="170">
        <v>44540</v>
      </c>
      <c r="M296" s="116">
        <v>579.75</v>
      </c>
      <c r="N296" s="116">
        <v>586.67999999999995</v>
      </c>
      <c r="O296" s="116">
        <v>579</v>
      </c>
      <c r="P296" s="116">
        <v>585.79</v>
      </c>
      <c r="Q296" s="116">
        <v>2898.75</v>
      </c>
      <c r="R296">
        <v>124760</v>
      </c>
    </row>
    <row r="297" spans="1:18" x14ac:dyDescent="0.25">
      <c r="A297" s="170">
        <v>44538</v>
      </c>
      <c r="B297" s="116">
        <v>590.92999999999995</v>
      </c>
      <c r="C297" s="116">
        <v>582.76</v>
      </c>
      <c r="D297" s="116">
        <v>580.46</v>
      </c>
      <c r="E297" s="116">
        <v>583.4</v>
      </c>
      <c r="F297" s="116">
        <v>2913.8</v>
      </c>
      <c r="G297">
        <v>15945</v>
      </c>
      <c r="H297" s="116"/>
      <c r="I297" s="116"/>
      <c r="L297" s="170">
        <v>44543</v>
      </c>
      <c r="M297" s="116">
        <v>549.17999999999995</v>
      </c>
      <c r="N297" s="116">
        <v>569.79999999999995</v>
      </c>
      <c r="O297" s="116">
        <v>538</v>
      </c>
      <c r="P297" s="116">
        <v>555</v>
      </c>
      <c r="Q297" s="116">
        <v>2745.9</v>
      </c>
      <c r="R297">
        <v>4611975</v>
      </c>
    </row>
    <row r="298" spans="1:18" x14ac:dyDescent="0.25">
      <c r="A298" s="170">
        <v>44539</v>
      </c>
      <c r="B298" s="116">
        <v>595.20000000000005</v>
      </c>
      <c r="C298" s="116">
        <v>584.52</v>
      </c>
      <c r="D298" s="116">
        <v>583.4</v>
      </c>
      <c r="E298" s="116">
        <v>588.39</v>
      </c>
      <c r="F298" s="116">
        <v>2922.6</v>
      </c>
      <c r="G298">
        <v>16066</v>
      </c>
      <c r="H298" s="116"/>
      <c r="I298" s="116"/>
      <c r="L298" s="170">
        <v>44544</v>
      </c>
      <c r="M298" s="116">
        <v>553.54</v>
      </c>
      <c r="N298" s="116">
        <v>557.74</v>
      </c>
      <c r="O298" s="116">
        <v>546.46</v>
      </c>
      <c r="P298" s="116">
        <v>549.17999999999995</v>
      </c>
      <c r="Q298" s="116">
        <v>2767.7</v>
      </c>
      <c r="R298">
        <v>512124</v>
      </c>
    </row>
    <row r="299" spans="1:18" x14ac:dyDescent="0.25">
      <c r="A299" s="170">
        <v>44540</v>
      </c>
      <c r="B299" s="116">
        <v>587</v>
      </c>
      <c r="C299" s="116">
        <v>579.9</v>
      </c>
      <c r="D299" s="116">
        <v>579</v>
      </c>
      <c r="E299" s="116">
        <v>585</v>
      </c>
      <c r="F299" s="116">
        <v>2899.5</v>
      </c>
      <c r="G299">
        <v>19096</v>
      </c>
      <c r="H299" s="116"/>
      <c r="I299" s="116"/>
      <c r="L299" s="170">
        <v>44545</v>
      </c>
      <c r="M299" s="116">
        <v>556.70000000000005</v>
      </c>
      <c r="N299" s="116">
        <v>559.79999999999995</v>
      </c>
      <c r="O299" s="116">
        <v>550</v>
      </c>
      <c r="P299" s="116">
        <v>557.94000000000005</v>
      </c>
      <c r="Q299" s="116">
        <v>2783.5</v>
      </c>
      <c r="R299">
        <v>218668</v>
      </c>
    </row>
    <row r="300" spans="1:18" x14ac:dyDescent="0.25">
      <c r="A300" s="170">
        <v>44543</v>
      </c>
      <c r="B300" s="116">
        <v>570.5</v>
      </c>
      <c r="C300" s="116">
        <v>549.34</v>
      </c>
      <c r="D300" s="116">
        <v>538.11</v>
      </c>
      <c r="E300" s="116">
        <v>555</v>
      </c>
      <c r="F300" s="116">
        <v>2746.7</v>
      </c>
      <c r="G300">
        <v>2161068</v>
      </c>
      <c r="H300" s="116"/>
      <c r="I300" s="116"/>
      <c r="L300" s="170">
        <v>44546</v>
      </c>
      <c r="M300" s="116">
        <v>542.05999999999995</v>
      </c>
      <c r="N300" s="116">
        <v>563.78</v>
      </c>
      <c r="O300" s="116">
        <v>537.26</v>
      </c>
      <c r="P300" s="116">
        <v>560.94000000000005</v>
      </c>
      <c r="Q300" s="116">
        <v>2710.3</v>
      </c>
      <c r="R300">
        <v>307122</v>
      </c>
    </row>
    <row r="301" spans="1:18" x14ac:dyDescent="0.25">
      <c r="A301" s="170">
        <v>44544</v>
      </c>
      <c r="B301" s="116">
        <v>557.75</v>
      </c>
      <c r="C301" s="116">
        <v>553.37</v>
      </c>
      <c r="D301" s="116">
        <v>544.02</v>
      </c>
      <c r="E301" s="116">
        <v>548</v>
      </c>
      <c r="F301" s="116">
        <v>2766.85</v>
      </c>
      <c r="G301">
        <v>65679</v>
      </c>
      <c r="H301" s="116"/>
      <c r="I301" s="116"/>
      <c r="L301" s="170">
        <v>44547</v>
      </c>
      <c r="M301" s="116">
        <v>529.94000000000005</v>
      </c>
      <c r="N301" s="116">
        <v>547.77</v>
      </c>
      <c r="O301" s="116">
        <v>522.79999999999995</v>
      </c>
      <c r="P301" s="116">
        <v>547.77</v>
      </c>
      <c r="Q301" s="116">
        <v>2649.7</v>
      </c>
      <c r="R301">
        <v>302136</v>
      </c>
    </row>
    <row r="302" spans="1:18" x14ac:dyDescent="0.25">
      <c r="A302" s="170">
        <v>44545</v>
      </c>
      <c r="B302" s="116">
        <v>559.98</v>
      </c>
      <c r="C302" s="116">
        <v>556.66999999999996</v>
      </c>
      <c r="D302" s="116">
        <v>550.01</v>
      </c>
      <c r="E302" s="116">
        <v>558.79999999999995</v>
      </c>
      <c r="F302" s="116">
        <v>2783.35</v>
      </c>
      <c r="G302">
        <v>10341</v>
      </c>
      <c r="H302" s="116"/>
      <c r="I302" s="116"/>
      <c r="L302" s="170">
        <v>44550</v>
      </c>
      <c r="M302" s="116">
        <v>523.44000000000005</v>
      </c>
      <c r="N302" s="116">
        <v>527.99</v>
      </c>
      <c r="O302" s="116">
        <v>512.01</v>
      </c>
      <c r="P302" s="116">
        <v>522</v>
      </c>
      <c r="Q302" s="116">
        <v>2617.1999999999998</v>
      </c>
      <c r="R302">
        <v>280359</v>
      </c>
    </row>
    <row r="303" spans="1:18" x14ac:dyDescent="0.25">
      <c r="A303" s="170">
        <v>44546</v>
      </c>
      <c r="B303" s="116">
        <v>563.54</v>
      </c>
      <c r="C303" s="116">
        <v>542.15</v>
      </c>
      <c r="D303" s="116">
        <v>538</v>
      </c>
      <c r="E303" s="116">
        <v>560</v>
      </c>
      <c r="F303" s="116">
        <v>2710.75</v>
      </c>
      <c r="G303">
        <v>13244</v>
      </c>
      <c r="H303" s="116"/>
      <c r="I303" s="116"/>
      <c r="L303" s="170">
        <v>44551</v>
      </c>
      <c r="M303" s="116">
        <v>523.59</v>
      </c>
      <c r="N303" s="116">
        <v>535</v>
      </c>
      <c r="O303" s="116">
        <v>519.4</v>
      </c>
      <c r="P303" s="116">
        <v>529.4</v>
      </c>
      <c r="Q303" s="116">
        <v>2617.9499999999998</v>
      </c>
      <c r="R303">
        <v>180297</v>
      </c>
    </row>
    <row r="304" spans="1:18" x14ac:dyDescent="0.25">
      <c r="A304" s="170">
        <v>44547</v>
      </c>
      <c r="B304" s="116">
        <v>547</v>
      </c>
      <c r="C304" s="116">
        <v>529.54999999999995</v>
      </c>
      <c r="D304" s="116">
        <v>523.02</v>
      </c>
      <c r="E304" s="116">
        <v>546.20000000000005</v>
      </c>
      <c r="F304" s="116">
        <v>2647.75</v>
      </c>
      <c r="G304">
        <v>50969</v>
      </c>
      <c r="H304" s="116"/>
      <c r="I304" s="116"/>
      <c r="L304" s="170">
        <v>44552</v>
      </c>
      <c r="M304" s="116">
        <v>520.91999999999996</v>
      </c>
      <c r="N304" s="116">
        <v>529.79999999999995</v>
      </c>
      <c r="O304" s="116">
        <v>518.88</v>
      </c>
      <c r="P304" s="116">
        <v>529.79999999999995</v>
      </c>
      <c r="Q304" s="116">
        <v>2604.6</v>
      </c>
      <c r="R304">
        <v>117463</v>
      </c>
    </row>
    <row r="305" spans="1:18" x14ac:dyDescent="0.25">
      <c r="A305" s="170">
        <v>44550</v>
      </c>
      <c r="B305" s="116">
        <v>529.20000000000005</v>
      </c>
      <c r="C305" s="116">
        <v>520.84</v>
      </c>
      <c r="D305" s="116">
        <v>512</v>
      </c>
      <c r="E305" s="116">
        <v>527</v>
      </c>
      <c r="F305" s="116">
        <v>2604.1999999999998</v>
      </c>
      <c r="G305">
        <v>21752</v>
      </c>
      <c r="H305" s="116"/>
      <c r="I305" s="116"/>
      <c r="L305" s="170">
        <v>44553</v>
      </c>
      <c r="M305" s="116">
        <v>519.04</v>
      </c>
      <c r="N305" s="116">
        <v>527.13</v>
      </c>
      <c r="O305" s="116">
        <v>518.42999999999995</v>
      </c>
      <c r="P305" s="116">
        <v>522.98</v>
      </c>
      <c r="Q305" s="116">
        <v>2595.1999999999998</v>
      </c>
      <c r="R305">
        <v>100338</v>
      </c>
    </row>
    <row r="306" spans="1:18" x14ac:dyDescent="0.25">
      <c r="A306" s="170">
        <v>44551</v>
      </c>
      <c r="B306" s="116">
        <v>535.13</v>
      </c>
      <c r="C306" s="116">
        <v>523.65</v>
      </c>
      <c r="D306" s="116">
        <v>519.41</v>
      </c>
      <c r="E306" s="116">
        <v>527.6</v>
      </c>
      <c r="F306" s="116">
        <v>2618.25</v>
      </c>
      <c r="G306">
        <v>6574</v>
      </c>
      <c r="H306" s="116"/>
      <c r="I306" s="116"/>
      <c r="L306" s="170">
        <v>44554</v>
      </c>
      <c r="M306" s="116">
        <v>517.66999999999996</v>
      </c>
      <c r="N306" s="116">
        <v>523.97</v>
      </c>
      <c r="O306" s="116">
        <v>514.55999999999995</v>
      </c>
      <c r="P306" s="116">
        <v>523.97</v>
      </c>
      <c r="Q306" s="116">
        <v>2588.35</v>
      </c>
      <c r="R306">
        <v>85691</v>
      </c>
    </row>
    <row r="307" spans="1:18" x14ac:dyDescent="0.25">
      <c r="A307" s="170">
        <v>44552</v>
      </c>
      <c r="B307" s="116">
        <v>529.33000000000004</v>
      </c>
      <c r="C307" s="116">
        <v>521.04</v>
      </c>
      <c r="D307" s="116">
        <v>519.17999999999995</v>
      </c>
      <c r="E307" s="116">
        <v>528.45000000000005</v>
      </c>
      <c r="F307" s="116">
        <v>2605.1999999999998</v>
      </c>
      <c r="G307">
        <v>16722</v>
      </c>
      <c r="H307" s="116"/>
      <c r="I307" s="116"/>
      <c r="L307" s="170">
        <v>44557</v>
      </c>
      <c r="M307" s="116">
        <v>519.04</v>
      </c>
      <c r="N307" s="116">
        <v>525.39</v>
      </c>
      <c r="O307" s="116">
        <v>512.79</v>
      </c>
      <c r="P307" s="116">
        <v>517.6</v>
      </c>
      <c r="Q307" s="116">
        <v>2595.1999999999998</v>
      </c>
      <c r="R307">
        <v>110531</v>
      </c>
    </row>
    <row r="308" spans="1:18" x14ac:dyDescent="0.25">
      <c r="A308" s="170">
        <v>44553</v>
      </c>
      <c r="B308" s="116">
        <v>525.39</v>
      </c>
      <c r="C308" s="116">
        <v>519.21</v>
      </c>
      <c r="D308" s="116">
        <v>518.79999999999995</v>
      </c>
      <c r="E308" s="116">
        <v>524.6</v>
      </c>
      <c r="F308" s="116">
        <v>2596.0500000000002</v>
      </c>
      <c r="G308">
        <v>16238</v>
      </c>
      <c r="H308" s="116"/>
      <c r="I308" s="116"/>
      <c r="L308" s="170">
        <v>44558</v>
      </c>
      <c r="M308" s="116">
        <v>519.59</v>
      </c>
      <c r="N308" s="116">
        <v>524.16</v>
      </c>
      <c r="O308" s="116">
        <v>519</v>
      </c>
      <c r="P308" s="116">
        <v>523</v>
      </c>
      <c r="Q308" s="116">
        <v>2597.9499999999998</v>
      </c>
      <c r="R308">
        <v>95076</v>
      </c>
    </row>
    <row r="309" spans="1:18" x14ac:dyDescent="0.25">
      <c r="A309" s="170">
        <v>44554</v>
      </c>
      <c r="B309" s="116">
        <v>523.79999999999995</v>
      </c>
      <c r="C309" s="116">
        <v>517.73</v>
      </c>
      <c r="D309" s="116">
        <v>515</v>
      </c>
      <c r="E309" s="116">
        <v>523.79999999999995</v>
      </c>
      <c r="F309" s="116">
        <v>2588.65</v>
      </c>
      <c r="G309">
        <v>14801</v>
      </c>
      <c r="H309" s="116"/>
      <c r="I309" s="116"/>
      <c r="L309" s="170">
        <v>44559</v>
      </c>
      <c r="M309" s="116">
        <v>527.08000000000004</v>
      </c>
      <c r="N309" s="116">
        <v>529.6</v>
      </c>
      <c r="O309" s="116">
        <v>520.19000000000005</v>
      </c>
      <c r="P309" s="116">
        <v>520.19000000000005</v>
      </c>
      <c r="Q309" s="116">
        <v>2635.4</v>
      </c>
      <c r="R309">
        <v>136467</v>
      </c>
    </row>
    <row r="310" spans="1:18" x14ac:dyDescent="0.25">
      <c r="A310" s="170">
        <v>44557</v>
      </c>
      <c r="B310" s="116">
        <v>525</v>
      </c>
      <c r="C310" s="116">
        <v>519.13</v>
      </c>
      <c r="D310" s="116">
        <v>512.28</v>
      </c>
      <c r="E310" s="116">
        <v>518</v>
      </c>
      <c r="F310" s="116">
        <v>2595.65</v>
      </c>
      <c r="G310">
        <v>14889</v>
      </c>
      <c r="H310" s="116"/>
      <c r="I310" s="116"/>
      <c r="L310" s="170">
        <v>44560</v>
      </c>
      <c r="M310" s="116">
        <v>527.77</v>
      </c>
      <c r="N310" s="116">
        <v>530.35</v>
      </c>
      <c r="O310" s="116">
        <v>523.36</v>
      </c>
      <c r="P310" s="116">
        <v>528.4</v>
      </c>
      <c r="Q310" s="116">
        <v>2638.85</v>
      </c>
      <c r="R310">
        <v>107137</v>
      </c>
    </row>
    <row r="311" spans="1:18" x14ac:dyDescent="0.25">
      <c r="A311" s="170">
        <v>44558</v>
      </c>
      <c r="B311" s="116">
        <v>524</v>
      </c>
      <c r="C311" s="116">
        <v>519.84</v>
      </c>
      <c r="D311" s="116">
        <v>519.13</v>
      </c>
      <c r="E311" s="116">
        <v>520.20000000000005</v>
      </c>
      <c r="F311" s="116">
        <v>2599.1999999999998</v>
      </c>
      <c r="G311">
        <v>20035</v>
      </c>
      <c r="H311" s="116"/>
      <c r="I311" s="116"/>
      <c r="L311" s="170">
        <v>44561</v>
      </c>
      <c r="M311" s="116">
        <v>533.22</v>
      </c>
      <c r="N311" s="116">
        <v>534.98</v>
      </c>
      <c r="O311" s="116">
        <v>528</v>
      </c>
      <c r="P311" s="116">
        <v>528</v>
      </c>
      <c r="Q311" s="116">
        <v>2666.1</v>
      </c>
      <c r="R311">
        <v>98800</v>
      </c>
    </row>
    <row r="312" spans="1:18" x14ac:dyDescent="0.25">
      <c r="A312" s="170">
        <v>44559</v>
      </c>
      <c r="B312" s="116">
        <v>529.70000000000005</v>
      </c>
      <c r="C312" s="116">
        <v>526.20000000000005</v>
      </c>
      <c r="D312" s="116">
        <v>520.77</v>
      </c>
      <c r="E312" s="116">
        <v>521.99</v>
      </c>
      <c r="F312" s="116">
        <v>2631</v>
      </c>
      <c r="G312">
        <v>16273</v>
      </c>
      <c r="H312" s="116"/>
      <c r="I312" s="116"/>
      <c r="L312" s="170">
        <v>44564</v>
      </c>
      <c r="M312" s="116">
        <v>547.54</v>
      </c>
      <c r="N312" s="116">
        <v>550</v>
      </c>
      <c r="O312" s="116">
        <v>534.4</v>
      </c>
      <c r="P312" s="116">
        <v>536.79999999999995</v>
      </c>
      <c r="Q312" s="116">
        <v>2737.7</v>
      </c>
      <c r="R312">
        <v>149106</v>
      </c>
    </row>
    <row r="313" spans="1:18" x14ac:dyDescent="0.25">
      <c r="A313" s="170">
        <v>44560</v>
      </c>
      <c r="B313" s="116">
        <v>529.85</v>
      </c>
      <c r="C313" s="116">
        <v>528.54</v>
      </c>
      <c r="D313" s="116">
        <v>523.96</v>
      </c>
      <c r="E313" s="116">
        <v>528.79999999999995</v>
      </c>
      <c r="F313" s="116">
        <v>2642.7</v>
      </c>
      <c r="G313">
        <v>4023</v>
      </c>
      <c r="H313" s="116"/>
      <c r="I313" s="116"/>
      <c r="L313" s="170">
        <v>44565</v>
      </c>
      <c r="M313" s="116">
        <v>547.78</v>
      </c>
      <c r="N313" s="116">
        <v>552.97</v>
      </c>
      <c r="O313" s="116">
        <v>543.44000000000005</v>
      </c>
      <c r="P313" s="116">
        <v>552</v>
      </c>
      <c r="Q313" s="116">
        <v>2738.9</v>
      </c>
      <c r="R313">
        <v>103358</v>
      </c>
    </row>
    <row r="314" spans="1:18" x14ac:dyDescent="0.25">
      <c r="A314" s="170">
        <v>44561</v>
      </c>
      <c r="B314" s="116">
        <v>534.88</v>
      </c>
      <c r="C314" s="116">
        <v>533.4</v>
      </c>
      <c r="D314" s="116">
        <v>528.21</v>
      </c>
      <c r="E314" s="116">
        <v>532</v>
      </c>
      <c r="F314" s="116">
        <v>2667</v>
      </c>
      <c r="G314">
        <v>14274</v>
      </c>
      <c r="H314" s="116"/>
      <c r="I314" s="116"/>
      <c r="L314" s="170">
        <v>44566</v>
      </c>
      <c r="M314" s="116">
        <v>566.32000000000005</v>
      </c>
      <c r="N314" s="116">
        <v>574.98</v>
      </c>
      <c r="O314" s="116">
        <v>547.78</v>
      </c>
      <c r="P314" s="116">
        <v>547.78</v>
      </c>
      <c r="Q314" s="116">
        <v>2831.6</v>
      </c>
      <c r="R314">
        <v>378632</v>
      </c>
    </row>
    <row r="315" spans="1:18" x14ac:dyDescent="0.25">
      <c r="A315" s="170">
        <v>44564</v>
      </c>
      <c r="B315" s="116">
        <v>550</v>
      </c>
      <c r="C315" s="116">
        <v>547.85</v>
      </c>
      <c r="D315" s="116">
        <v>534.61</v>
      </c>
      <c r="E315" s="116">
        <v>536</v>
      </c>
      <c r="F315" s="116">
        <v>2739.25</v>
      </c>
      <c r="G315">
        <v>28148</v>
      </c>
      <c r="H315" s="116"/>
      <c r="I315" s="116"/>
      <c r="L315" s="170">
        <v>44567</v>
      </c>
      <c r="M315" s="116">
        <v>556.69000000000005</v>
      </c>
      <c r="N315" s="116">
        <v>566.65</v>
      </c>
      <c r="O315" s="116">
        <v>555</v>
      </c>
      <c r="P315" s="116">
        <v>566.6</v>
      </c>
      <c r="Q315" s="116">
        <v>2783.45</v>
      </c>
      <c r="R315">
        <v>119786</v>
      </c>
    </row>
    <row r="316" spans="1:18" x14ac:dyDescent="0.25">
      <c r="A316" s="170">
        <v>44565</v>
      </c>
      <c r="B316" s="116">
        <v>551.64</v>
      </c>
      <c r="C316" s="116">
        <v>547.39</v>
      </c>
      <c r="D316" s="116">
        <v>543.29</v>
      </c>
      <c r="E316" s="116">
        <v>551.6</v>
      </c>
      <c r="F316" s="116">
        <v>2736.95</v>
      </c>
      <c r="G316">
        <v>17620</v>
      </c>
      <c r="H316" s="116"/>
      <c r="I316" s="116"/>
      <c r="L316" s="170">
        <v>44568</v>
      </c>
      <c r="M316" s="116">
        <v>561.38</v>
      </c>
      <c r="N316" s="116">
        <v>567.69000000000005</v>
      </c>
      <c r="O316" s="116">
        <v>557.01</v>
      </c>
      <c r="P316" s="116">
        <v>560.6</v>
      </c>
      <c r="Q316" s="116">
        <v>2806.9</v>
      </c>
      <c r="R316">
        <v>113949</v>
      </c>
    </row>
    <row r="317" spans="1:18" x14ac:dyDescent="0.25">
      <c r="A317" s="170">
        <v>44566</v>
      </c>
      <c r="B317" s="116">
        <v>574.97</v>
      </c>
      <c r="C317" s="116">
        <v>566.30999999999995</v>
      </c>
      <c r="D317" s="116">
        <v>547.39</v>
      </c>
      <c r="E317" s="116">
        <v>548</v>
      </c>
      <c r="F317" s="116">
        <v>2831.55</v>
      </c>
      <c r="G317">
        <v>16800</v>
      </c>
      <c r="H317" s="116"/>
      <c r="I317" s="116"/>
      <c r="L317" s="170">
        <v>44571</v>
      </c>
      <c r="M317" s="116">
        <v>561.80999999999995</v>
      </c>
      <c r="N317" s="116">
        <v>564.79999999999995</v>
      </c>
      <c r="O317" s="116">
        <v>557.41</v>
      </c>
      <c r="P317" s="116">
        <v>563.79999999999995</v>
      </c>
      <c r="Q317" s="116">
        <v>2809.05</v>
      </c>
      <c r="R317">
        <v>96907</v>
      </c>
    </row>
    <row r="318" spans="1:18" x14ac:dyDescent="0.25">
      <c r="A318" s="170">
        <v>44567</v>
      </c>
      <c r="B318" s="116">
        <v>565.99</v>
      </c>
      <c r="C318" s="116">
        <v>556.78</v>
      </c>
      <c r="D318" s="116">
        <v>552.01</v>
      </c>
      <c r="E318" s="116">
        <v>552.01</v>
      </c>
      <c r="F318" s="116">
        <v>2783.9</v>
      </c>
      <c r="G318">
        <v>6014</v>
      </c>
      <c r="H318" s="116"/>
      <c r="I318" s="116"/>
      <c r="L318" s="170">
        <v>44572</v>
      </c>
      <c r="M318" s="116">
        <v>563.59</v>
      </c>
      <c r="N318" s="116">
        <v>569.6</v>
      </c>
      <c r="O318" s="116">
        <v>558.75</v>
      </c>
      <c r="P318" s="116">
        <v>563.76</v>
      </c>
      <c r="Q318" s="116">
        <v>2817.95</v>
      </c>
      <c r="R318">
        <v>105868</v>
      </c>
    </row>
    <row r="319" spans="1:18" x14ac:dyDescent="0.25">
      <c r="A319" s="170">
        <v>44568</v>
      </c>
      <c r="B319" s="116">
        <v>567.30999999999995</v>
      </c>
      <c r="C319" s="116">
        <v>560.92999999999995</v>
      </c>
      <c r="D319" s="116">
        <v>556.61</v>
      </c>
      <c r="E319" s="116">
        <v>556.61</v>
      </c>
      <c r="F319" s="116">
        <v>2804.65</v>
      </c>
      <c r="G319">
        <v>17604</v>
      </c>
      <c r="H319" s="116"/>
      <c r="I319" s="116"/>
      <c r="L319" s="170">
        <v>44573</v>
      </c>
      <c r="M319" s="116">
        <v>569.79999999999995</v>
      </c>
      <c r="N319" s="116">
        <v>573.20000000000005</v>
      </c>
      <c r="O319" s="116">
        <v>563.59</v>
      </c>
      <c r="P319" s="116">
        <v>566.20000000000005</v>
      </c>
      <c r="Q319" s="116">
        <v>2849</v>
      </c>
      <c r="R319">
        <v>110247</v>
      </c>
    </row>
    <row r="320" spans="1:18" x14ac:dyDescent="0.25">
      <c r="A320" s="170">
        <v>44571</v>
      </c>
      <c r="B320" s="116">
        <v>571</v>
      </c>
      <c r="C320" s="116">
        <v>561.98</v>
      </c>
      <c r="D320" s="116">
        <v>557.55999999999995</v>
      </c>
      <c r="E320" s="116">
        <v>571</v>
      </c>
      <c r="F320" s="116">
        <v>2809.9</v>
      </c>
      <c r="G320">
        <v>4682</v>
      </c>
      <c r="H320" s="116"/>
      <c r="I320" s="116"/>
      <c r="L320" s="170">
        <v>44574</v>
      </c>
      <c r="M320" s="116">
        <v>585.04</v>
      </c>
      <c r="N320" s="116">
        <v>591.6</v>
      </c>
      <c r="O320" s="116">
        <v>570.42999999999995</v>
      </c>
      <c r="P320" s="116">
        <v>573.6</v>
      </c>
      <c r="Q320" s="116">
        <v>2925.2</v>
      </c>
      <c r="R320">
        <v>313589</v>
      </c>
    </row>
    <row r="321" spans="1:18" x14ac:dyDescent="0.25">
      <c r="A321" s="170">
        <v>44572</v>
      </c>
      <c r="B321" s="116">
        <v>570</v>
      </c>
      <c r="C321" s="116">
        <v>563.12</v>
      </c>
      <c r="D321" s="116">
        <v>558.6</v>
      </c>
      <c r="E321" s="116">
        <v>564.99</v>
      </c>
      <c r="F321" s="116">
        <v>2815.6</v>
      </c>
      <c r="G321">
        <v>17534</v>
      </c>
      <c r="H321" s="116"/>
      <c r="I321" s="116"/>
      <c r="L321" s="170">
        <v>44575</v>
      </c>
      <c r="M321" s="116">
        <v>589.05999999999995</v>
      </c>
      <c r="N321" s="116">
        <v>593.99</v>
      </c>
      <c r="O321" s="116">
        <v>582.15</v>
      </c>
      <c r="P321" s="116">
        <v>586.75</v>
      </c>
      <c r="Q321" s="116">
        <v>2945.3</v>
      </c>
      <c r="R321">
        <v>145503</v>
      </c>
    </row>
    <row r="322" spans="1:18" x14ac:dyDescent="0.25">
      <c r="A322" s="170">
        <v>44573</v>
      </c>
      <c r="B322" s="116">
        <v>573.29</v>
      </c>
      <c r="C322" s="116">
        <v>569.89</v>
      </c>
      <c r="D322" s="116">
        <v>563.65</v>
      </c>
      <c r="E322" s="116">
        <v>571.57000000000005</v>
      </c>
      <c r="F322" s="116">
        <v>2849.45</v>
      </c>
      <c r="G322">
        <v>7099</v>
      </c>
      <c r="H322" s="116"/>
      <c r="I322" s="116"/>
      <c r="L322" s="170">
        <v>44578</v>
      </c>
      <c r="M322" s="116">
        <v>589.91999999999996</v>
      </c>
      <c r="N322" s="116">
        <v>594.29999999999995</v>
      </c>
      <c r="O322" s="116">
        <v>586.20000000000005</v>
      </c>
      <c r="P322" s="116">
        <v>594.29999999999995</v>
      </c>
      <c r="Q322" s="116">
        <v>2949.6</v>
      </c>
      <c r="R322">
        <v>135402</v>
      </c>
    </row>
    <row r="323" spans="1:18" x14ac:dyDescent="0.25">
      <c r="A323" s="170">
        <v>44574</v>
      </c>
      <c r="B323" s="116">
        <v>591.23</v>
      </c>
      <c r="C323" s="116">
        <v>585.24</v>
      </c>
      <c r="D323" s="116">
        <v>569.6</v>
      </c>
      <c r="E323" s="116">
        <v>569.6</v>
      </c>
      <c r="F323" s="116">
        <v>2926.2</v>
      </c>
      <c r="G323">
        <v>41957</v>
      </c>
      <c r="H323" s="116"/>
      <c r="I323" s="116"/>
      <c r="L323" s="170">
        <v>44579</v>
      </c>
      <c r="M323" s="116">
        <v>576.1</v>
      </c>
      <c r="N323" s="116">
        <v>591</v>
      </c>
      <c r="O323" s="116">
        <v>572.4</v>
      </c>
      <c r="P323" s="116">
        <v>590.20000000000005</v>
      </c>
      <c r="Q323" s="116">
        <v>2880.5</v>
      </c>
      <c r="R323">
        <v>247317</v>
      </c>
    </row>
    <row r="324" spans="1:18" x14ac:dyDescent="0.25">
      <c r="A324" s="170">
        <v>44575</v>
      </c>
      <c r="B324" s="116">
        <v>593.20000000000005</v>
      </c>
      <c r="C324" s="116">
        <v>588.84</v>
      </c>
      <c r="D324" s="116">
        <v>582</v>
      </c>
      <c r="E324" s="116">
        <v>586</v>
      </c>
      <c r="F324" s="116">
        <v>2944.2</v>
      </c>
      <c r="G324">
        <v>24576</v>
      </c>
      <c r="H324" s="116"/>
      <c r="I324" s="116"/>
      <c r="L324" s="170">
        <v>44580</v>
      </c>
      <c r="M324" s="116">
        <v>573.39</v>
      </c>
      <c r="N324" s="116">
        <v>575.21</v>
      </c>
      <c r="O324" s="116">
        <v>566</v>
      </c>
      <c r="P324" s="116">
        <v>572.5</v>
      </c>
      <c r="Q324" s="116">
        <v>2866.95</v>
      </c>
      <c r="R324">
        <v>83374</v>
      </c>
    </row>
    <row r="325" spans="1:18" x14ac:dyDescent="0.25">
      <c r="A325" s="170">
        <v>44578</v>
      </c>
      <c r="B325" s="116">
        <v>597</v>
      </c>
      <c r="C325" s="116">
        <v>590.14</v>
      </c>
      <c r="D325" s="116">
        <v>586.30999999999995</v>
      </c>
      <c r="E325" s="116">
        <v>597</v>
      </c>
      <c r="F325" s="116">
        <v>2950.7</v>
      </c>
      <c r="G325">
        <v>5615</v>
      </c>
      <c r="H325" s="116"/>
      <c r="I325" s="116"/>
      <c r="L325" s="170">
        <v>44581</v>
      </c>
      <c r="M325" s="116">
        <v>568.19000000000005</v>
      </c>
      <c r="N325" s="116">
        <v>577</v>
      </c>
      <c r="O325" s="116">
        <v>565</v>
      </c>
      <c r="P325" s="116">
        <v>576</v>
      </c>
      <c r="Q325" s="116">
        <v>2840.95</v>
      </c>
      <c r="R325">
        <v>44545</v>
      </c>
    </row>
    <row r="326" spans="1:18" x14ac:dyDescent="0.25">
      <c r="A326" s="170">
        <v>44579</v>
      </c>
      <c r="B326" s="116">
        <v>591</v>
      </c>
      <c r="C326" s="116">
        <v>575.22</v>
      </c>
      <c r="D326" s="116">
        <v>572.23</v>
      </c>
      <c r="E326" s="116">
        <v>591</v>
      </c>
      <c r="F326" s="116">
        <v>2876.1</v>
      </c>
      <c r="G326">
        <v>33237</v>
      </c>
      <c r="H326" s="116"/>
      <c r="I326" s="116"/>
      <c r="L326" s="170">
        <v>44582</v>
      </c>
      <c r="M326" s="116">
        <v>542.57000000000005</v>
      </c>
      <c r="N326" s="116">
        <v>567.79999999999995</v>
      </c>
      <c r="O326" s="116">
        <v>540.6</v>
      </c>
      <c r="P326" s="116">
        <v>567.79999999999995</v>
      </c>
      <c r="Q326" s="116">
        <v>2712.85</v>
      </c>
      <c r="R326">
        <v>263055</v>
      </c>
    </row>
    <row r="327" spans="1:18" x14ac:dyDescent="0.25">
      <c r="A327" s="170">
        <v>44580</v>
      </c>
      <c r="B327" s="116">
        <v>575.20000000000005</v>
      </c>
      <c r="C327" s="116">
        <v>573.19000000000005</v>
      </c>
      <c r="D327" s="116">
        <v>565</v>
      </c>
      <c r="E327" s="116">
        <v>575.20000000000005</v>
      </c>
      <c r="F327" s="116">
        <v>2865.95</v>
      </c>
      <c r="G327">
        <v>5152</v>
      </c>
      <c r="H327" s="116"/>
      <c r="I327" s="116"/>
      <c r="L327" s="170">
        <v>44585</v>
      </c>
      <c r="M327" s="116">
        <v>530.47</v>
      </c>
      <c r="N327" s="116">
        <v>542.57000000000005</v>
      </c>
      <c r="O327" s="116">
        <v>523.39</v>
      </c>
      <c r="P327" s="116">
        <v>542.20000000000005</v>
      </c>
      <c r="Q327" s="116">
        <v>2652.35</v>
      </c>
      <c r="R327">
        <v>202472</v>
      </c>
    </row>
    <row r="328" spans="1:18" x14ac:dyDescent="0.25">
      <c r="A328" s="170">
        <v>44581</v>
      </c>
      <c r="B328" s="116">
        <v>577.62</v>
      </c>
      <c r="C328" s="116">
        <v>567.92999999999995</v>
      </c>
      <c r="D328" s="116">
        <v>565.20000000000005</v>
      </c>
      <c r="E328" s="116">
        <v>570.37</v>
      </c>
      <c r="F328" s="116">
        <v>2839.65</v>
      </c>
      <c r="G328">
        <v>3258</v>
      </c>
      <c r="H328" s="116"/>
      <c r="I328" s="116"/>
      <c r="L328" s="170">
        <v>44586</v>
      </c>
      <c r="M328" s="116">
        <v>524.22</v>
      </c>
      <c r="N328" s="116">
        <v>527.74</v>
      </c>
      <c r="O328" s="116">
        <v>514.57000000000005</v>
      </c>
      <c r="P328" s="116">
        <v>525</v>
      </c>
      <c r="Q328" s="116">
        <v>2621.1</v>
      </c>
      <c r="R328">
        <v>335776</v>
      </c>
    </row>
    <row r="329" spans="1:18" x14ac:dyDescent="0.25">
      <c r="A329" s="170">
        <v>44582</v>
      </c>
      <c r="B329" s="116">
        <v>569</v>
      </c>
      <c r="C329" s="116">
        <v>542.74</v>
      </c>
      <c r="D329" s="116">
        <v>540.66</v>
      </c>
      <c r="E329" s="116">
        <v>569</v>
      </c>
      <c r="F329" s="116">
        <v>2713.7</v>
      </c>
      <c r="G329">
        <v>9817</v>
      </c>
      <c r="H329" s="116"/>
      <c r="I329" s="116"/>
      <c r="L329" s="170">
        <v>44588</v>
      </c>
      <c r="M329" s="116">
        <v>528.24</v>
      </c>
      <c r="N329" s="116">
        <v>531.47</v>
      </c>
      <c r="O329" s="116">
        <v>510.25</v>
      </c>
      <c r="P329" s="116">
        <v>520</v>
      </c>
      <c r="Q329" s="116">
        <v>2641.2</v>
      </c>
      <c r="R329">
        <v>216233</v>
      </c>
    </row>
    <row r="330" spans="1:18" x14ac:dyDescent="0.25">
      <c r="A330" s="170">
        <v>44585</v>
      </c>
      <c r="B330" s="116">
        <v>542.6</v>
      </c>
      <c r="C330" s="116">
        <v>530.17999999999995</v>
      </c>
      <c r="D330" s="116">
        <v>523.25</v>
      </c>
      <c r="E330" s="116">
        <v>535.20000000000005</v>
      </c>
      <c r="F330" s="116">
        <v>2650.9</v>
      </c>
      <c r="G330">
        <v>43256</v>
      </c>
      <c r="H330" s="116"/>
      <c r="I330" s="116"/>
      <c r="L330" s="170">
        <v>44589</v>
      </c>
      <c r="M330" s="116">
        <v>536.95000000000005</v>
      </c>
      <c r="N330" s="116">
        <v>547</v>
      </c>
      <c r="O330" s="116">
        <v>534</v>
      </c>
      <c r="P330" s="116">
        <v>537</v>
      </c>
      <c r="Q330" s="116">
        <v>2684.75</v>
      </c>
      <c r="R330">
        <v>97165</v>
      </c>
    </row>
    <row r="331" spans="1:18" x14ac:dyDescent="0.25">
      <c r="A331" s="170">
        <v>44586</v>
      </c>
      <c r="B331" s="116">
        <v>527.27</v>
      </c>
      <c r="C331" s="116">
        <v>524.25</v>
      </c>
      <c r="D331" s="116">
        <v>514.72</v>
      </c>
      <c r="E331" s="116">
        <v>526</v>
      </c>
      <c r="F331" s="116">
        <v>2621.25</v>
      </c>
      <c r="G331">
        <v>9085</v>
      </c>
      <c r="H331" s="116"/>
      <c r="I331" s="116"/>
      <c r="L331" s="170">
        <v>44592</v>
      </c>
      <c r="M331" s="116">
        <v>539.47</v>
      </c>
      <c r="N331" s="116">
        <v>549.37</v>
      </c>
      <c r="O331" s="116">
        <v>532.27</v>
      </c>
      <c r="P331" s="116">
        <v>543.74</v>
      </c>
      <c r="Q331" s="116">
        <v>2697.35</v>
      </c>
      <c r="R331">
        <v>107385</v>
      </c>
    </row>
    <row r="332" spans="1:18" x14ac:dyDescent="0.25">
      <c r="A332" s="170">
        <v>44588</v>
      </c>
      <c r="B332" s="116">
        <v>531.54999999999995</v>
      </c>
      <c r="C332" s="116">
        <v>528.16</v>
      </c>
      <c r="D332" s="116">
        <v>510.5</v>
      </c>
      <c r="E332" s="116">
        <v>522</v>
      </c>
      <c r="F332" s="116">
        <v>2640.8</v>
      </c>
      <c r="G332">
        <v>26445</v>
      </c>
      <c r="H332" s="116"/>
      <c r="I332" s="116"/>
      <c r="L332" s="170">
        <v>44593</v>
      </c>
      <c r="M332" s="116">
        <v>553.04</v>
      </c>
      <c r="N332" s="116">
        <v>556.99</v>
      </c>
      <c r="O332" s="116">
        <v>537.72</v>
      </c>
      <c r="P332" s="116">
        <v>545.53</v>
      </c>
      <c r="Q332" s="116">
        <v>2765.2</v>
      </c>
      <c r="R332">
        <v>118740</v>
      </c>
    </row>
    <row r="333" spans="1:18" x14ac:dyDescent="0.25">
      <c r="A333" s="170">
        <v>44589</v>
      </c>
      <c r="B333" s="116">
        <v>546.4</v>
      </c>
      <c r="C333" s="116">
        <v>537.03</v>
      </c>
      <c r="D333" s="116">
        <v>534.20000000000005</v>
      </c>
      <c r="E333" s="116">
        <v>535.99</v>
      </c>
      <c r="F333" s="116">
        <v>2685.15</v>
      </c>
      <c r="G333">
        <v>5744</v>
      </c>
      <c r="H333" s="116"/>
      <c r="I333" s="116"/>
      <c r="L333" s="170">
        <v>44594</v>
      </c>
      <c r="M333" s="116">
        <v>580.38</v>
      </c>
      <c r="N333" s="116">
        <v>589.6</v>
      </c>
      <c r="O333" s="116">
        <v>554</v>
      </c>
      <c r="P333" s="116">
        <v>556</v>
      </c>
      <c r="Q333" s="116">
        <v>2901.9</v>
      </c>
      <c r="R333">
        <v>349531</v>
      </c>
    </row>
    <row r="334" spans="1:18" x14ac:dyDescent="0.25">
      <c r="A334" s="170">
        <v>44592</v>
      </c>
      <c r="B334" s="116">
        <v>548.99</v>
      </c>
      <c r="C334" s="116">
        <v>539.58000000000004</v>
      </c>
      <c r="D334" s="116">
        <v>532.6</v>
      </c>
      <c r="E334" s="116">
        <v>544</v>
      </c>
      <c r="F334" s="116">
        <v>2697.9</v>
      </c>
      <c r="G334">
        <v>13619</v>
      </c>
      <c r="H334" s="116"/>
      <c r="I334" s="116"/>
      <c r="L334" s="170">
        <v>44595</v>
      </c>
      <c r="M334" s="116">
        <v>579.57000000000005</v>
      </c>
      <c r="N334" s="116">
        <v>587.78</v>
      </c>
      <c r="O334" s="116">
        <v>578</v>
      </c>
      <c r="P334" s="116">
        <v>587.6</v>
      </c>
      <c r="Q334" s="116">
        <v>2897.85</v>
      </c>
      <c r="R334">
        <v>280073</v>
      </c>
    </row>
    <row r="335" spans="1:18" x14ac:dyDescent="0.25">
      <c r="A335" s="170">
        <v>44593</v>
      </c>
      <c r="B335" s="116">
        <v>556.70000000000005</v>
      </c>
      <c r="C335" s="116">
        <v>552.45000000000005</v>
      </c>
      <c r="D335" s="116">
        <v>538.09</v>
      </c>
      <c r="E335" s="116">
        <v>541.48</v>
      </c>
      <c r="F335" s="116">
        <v>2762.25</v>
      </c>
      <c r="G335">
        <v>16400</v>
      </c>
      <c r="H335" s="116"/>
      <c r="I335" s="116"/>
      <c r="L335" s="170">
        <v>44596</v>
      </c>
      <c r="M335" s="116">
        <v>563.44000000000005</v>
      </c>
      <c r="N335" s="116">
        <v>577.97</v>
      </c>
      <c r="O335" s="116">
        <v>560.55999999999995</v>
      </c>
      <c r="P335" s="116">
        <v>576</v>
      </c>
      <c r="Q335" s="116">
        <v>2817.2</v>
      </c>
      <c r="R335">
        <v>114294</v>
      </c>
    </row>
    <row r="336" spans="1:18" x14ac:dyDescent="0.25">
      <c r="A336" s="170">
        <v>44594</v>
      </c>
      <c r="B336" s="116">
        <v>589.37</v>
      </c>
      <c r="C336" s="116">
        <v>580.44000000000005</v>
      </c>
      <c r="D336" s="116">
        <v>553</v>
      </c>
      <c r="E336" s="116">
        <v>553</v>
      </c>
      <c r="F336" s="116">
        <v>2902.2</v>
      </c>
      <c r="G336">
        <v>13356</v>
      </c>
      <c r="H336" s="116"/>
      <c r="I336" s="116"/>
      <c r="L336" s="170">
        <v>44599</v>
      </c>
      <c r="M336" s="116">
        <v>559.39</v>
      </c>
      <c r="N336" s="116">
        <v>563.4</v>
      </c>
      <c r="O336" s="116">
        <v>549.09</v>
      </c>
      <c r="P336" s="116">
        <v>563.4</v>
      </c>
      <c r="Q336" s="116">
        <v>2796.95</v>
      </c>
      <c r="R336">
        <v>85043</v>
      </c>
    </row>
    <row r="337" spans="1:18" x14ac:dyDescent="0.25">
      <c r="A337" s="170">
        <v>44595</v>
      </c>
      <c r="B337" s="116">
        <v>586</v>
      </c>
      <c r="C337" s="116">
        <v>579.13</v>
      </c>
      <c r="D337" s="116">
        <v>577.62</v>
      </c>
      <c r="E337" s="116">
        <v>583</v>
      </c>
      <c r="F337" s="116">
        <v>2895.65</v>
      </c>
      <c r="G337">
        <v>15563</v>
      </c>
      <c r="H337" s="116"/>
      <c r="I337" s="116"/>
      <c r="L337" s="170">
        <v>44600</v>
      </c>
      <c r="M337" s="116">
        <v>541.87</v>
      </c>
      <c r="N337" s="116">
        <v>566</v>
      </c>
      <c r="O337" s="116">
        <v>536.24</v>
      </c>
      <c r="P337" s="116">
        <v>559.39</v>
      </c>
      <c r="Q337" s="116">
        <v>2709.35</v>
      </c>
      <c r="R337">
        <v>142729</v>
      </c>
    </row>
    <row r="338" spans="1:18" x14ac:dyDescent="0.25">
      <c r="A338" s="170">
        <v>44596</v>
      </c>
      <c r="B338" s="116">
        <v>577.98</v>
      </c>
      <c r="C338" s="116">
        <v>562.59</v>
      </c>
      <c r="D338" s="116">
        <v>560</v>
      </c>
      <c r="E338" s="116">
        <v>577.98</v>
      </c>
      <c r="F338" s="116">
        <v>2812.95</v>
      </c>
      <c r="G338">
        <v>6482</v>
      </c>
      <c r="H338" s="116"/>
      <c r="I338" s="116"/>
      <c r="L338" s="170">
        <v>44601</v>
      </c>
      <c r="M338" s="116">
        <v>531.76</v>
      </c>
      <c r="N338" s="116">
        <v>547.6</v>
      </c>
      <c r="O338" s="116">
        <v>527.26</v>
      </c>
      <c r="P338" s="116">
        <v>547.6</v>
      </c>
      <c r="Q338" s="116">
        <v>2658.8</v>
      </c>
      <c r="R338">
        <v>228957</v>
      </c>
    </row>
    <row r="339" spans="1:18" x14ac:dyDescent="0.25">
      <c r="A339" s="170">
        <v>44599</v>
      </c>
      <c r="B339" s="116">
        <v>564.02</v>
      </c>
      <c r="C339" s="116">
        <v>559.21</v>
      </c>
      <c r="D339" s="116">
        <v>549.6</v>
      </c>
      <c r="E339" s="116">
        <v>564.02</v>
      </c>
      <c r="F339" s="116">
        <v>2796.05</v>
      </c>
      <c r="G339">
        <v>5208</v>
      </c>
      <c r="H339" s="116"/>
      <c r="I339" s="116"/>
      <c r="L339" s="170">
        <v>44602</v>
      </c>
      <c r="M339" s="116">
        <v>519.66999999999996</v>
      </c>
      <c r="N339" s="116">
        <v>541.59</v>
      </c>
      <c r="O339" s="116">
        <v>516</v>
      </c>
      <c r="P339" s="116">
        <v>536</v>
      </c>
      <c r="Q339" s="116">
        <v>2598.35</v>
      </c>
      <c r="R339">
        <v>433245</v>
      </c>
    </row>
    <row r="340" spans="1:18" x14ac:dyDescent="0.25">
      <c r="A340" s="170">
        <v>44600</v>
      </c>
      <c r="B340" s="116">
        <v>566.6</v>
      </c>
      <c r="C340" s="116">
        <v>541.96</v>
      </c>
      <c r="D340" s="116">
        <v>538</v>
      </c>
      <c r="E340" s="116">
        <v>566.6</v>
      </c>
      <c r="F340" s="116">
        <v>2709.8</v>
      </c>
      <c r="G340">
        <v>5777</v>
      </c>
      <c r="H340" s="116"/>
      <c r="I340" s="116"/>
      <c r="L340" s="170">
        <v>44603</v>
      </c>
      <c r="M340" s="116">
        <v>505.87</v>
      </c>
      <c r="N340" s="116">
        <v>523.61</v>
      </c>
      <c r="O340" s="116">
        <v>504</v>
      </c>
      <c r="P340" s="116">
        <v>519.66999999999996</v>
      </c>
      <c r="Q340" s="116">
        <v>2529.35</v>
      </c>
      <c r="R340">
        <v>378618</v>
      </c>
    </row>
    <row r="341" spans="1:18" x14ac:dyDescent="0.25">
      <c r="A341" s="170">
        <v>44601</v>
      </c>
      <c r="B341" s="116">
        <v>551.95000000000005</v>
      </c>
      <c r="C341" s="116">
        <v>532.07000000000005</v>
      </c>
      <c r="D341" s="116">
        <v>527.52</v>
      </c>
      <c r="E341" s="116">
        <v>551.95000000000005</v>
      </c>
      <c r="F341" s="116">
        <v>2660.35</v>
      </c>
      <c r="G341">
        <v>19438</v>
      </c>
      <c r="H341" s="116"/>
      <c r="I341" s="116"/>
      <c r="L341" s="170">
        <v>44606</v>
      </c>
      <c r="M341" s="116">
        <v>488.57</v>
      </c>
      <c r="N341" s="116">
        <v>499.98</v>
      </c>
      <c r="O341" s="116">
        <v>477.38</v>
      </c>
      <c r="P341" s="116">
        <v>494.6</v>
      </c>
      <c r="Q341" s="116">
        <v>2442.85</v>
      </c>
      <c r="R341">
        <v>467068</v>
      </c>
    </row>
    <row r="342" spans="1:18" x14ac:dyDescent="0.25">
      <c r="A342" s="170">
        <v>44602</v>
      </c>
      <c r="B342" s="116">
        <v>542.73</v>
      </c>
      <c r="C342" s="116">
        <v>519.89</v>
      </c>
      <c r="D342" s="116">
        <v>517.05999999999995</v>
      </c>
      <c r="E342" s="116">
        <v>533</v>
      </c>
      <c r="F342" s="116">
        <v>2599.4499999999998</v>
      </c>
      <c r="G342">
        <v>45046</v>
      </c>
      <c r="H342" s="116"/>
      <c r="I342" s="116"/>
      <c r="L342" s="170">
        <v>44607</v>
      </c>
      <c r="M342" s="116">
        <v>485.63</v>
      </c>
      <c r="N342" s="116">
        <v>502.92</v>
      </c>
      <c r="O342" s="116">
        <v>477.8</v>
      </c>
      <c r="P342" s="116">
        <v>499.69</v>
      </c>
      <c r="Q342" s="116">
        <v>2428.15</v>
      </c>
      <c r="R342">
        <v>386959</v>
      </c>
    </row>
    <row r="343" spans="1:18" x14ac:dyDescent="0.25">
      <c r="A343" s="170">
        <v>44603</v>
      </c>
      <c r="B343" s="116">
        <v>525.79999999999995</v>
      </c>
      <c r="C343" s="116">
        <v>505.87</v>
      </c>
      <c r="D343" s="116">
        <v>504.04</v>
      </c>
      <c r="E343" s="116">
        <v>521</v>
      </c>
      <c r="F343" s="116">
        <v>2529.35</v>
      </c>
      <c r="G343">
        <v>42646</v>
      </c>
      <c r="H343" s="116"/>
      <c r="I343" s="116"/>
      <c r="L343" s="170">
        <v>44608</v>
      </c>
      <c r="M343" s="116">
        <v>512.85</v>
      </c>
      <c r="N343" s="116">
        <v>517.6</v>
      </c>
      <c r="O343" s="116">
        <v>487.21</v>
      </c>
      <c r="P343" s="116">
        <v>493.13</v>
      </c>
      <c r="Q343" s="116">
        <v>2564.25</v>
      </c>
      <c r="R343">
        <v>478651</v>
      </c>
    </row>
    <row r="344" spans="1:18" x14ac:dyDescent="0.25">
      <c r="A344" s="170">
        <v>44606</v>
      </c>
      <c r="B344" s="116">
        <v>498.4</v>
      </c>
      <c r="C344" s="116">
        <v>487.53</v>
      </c>
      <c r="D344" s="116">
        <v>477.6</v>
      </c>
      <c r="E344" s="116">
        <v>490.05</v>
      </c>
      <c r="F344" s="116">
        <v>2437.65</v>
      </c>
      <c r="G344">
        <v>64050</v>
      </c>
      <c r="H344" s="116"/>
      <c r="I344" s="116"/>
      <c r="L344" s="170">
        <v>44609</v>
      </c>
      <c r="M344" s="116">
        <v>498.67</v>
      </c>
      <c r="N344" s="116">
        <v>517.79999999999995</v>
      </c>
      <c r="O344" s="116">
        <v>496.4</v>
      </c>
      <c r="P344" s="116">
        <v>513.4</v>
      </c>
      <c r="Q344" s="116">
        <v>2493.35</v>
      </c>
      <c r="R344">
        <v>161337</v>
      </c>
    </row>
    <row r="345" spans="1:18" x14ac:dyDescent="0.25">
      <c r="A345" s="170">
        <v>44607</v>
      </c>
      <c r="B345" s="116">
        <v>504</v>
      </c>
      <c r="C345" s="116">
        <v>485.44</v>
      </c>
      <c r="D345" s="116">
        <v>477.91</v>
      </c>
      <c r="E345" s="116">
        <v>502.8</v>
      </c>
      <c r="F345" s="116">
        <v>2427.1999999999998</v>
      </c>
      <c r="G345">
        <v>192256</v>
      </c>
      <c r="H345" s="116"/>
      <c r="I345" s="116"/>
      <c r="L345" s="170">
        <v>44610</v>
      </c>
      <c r="M345" s="116">
        <v>489.06</v>
      </c>
      <c r="N345" s="116">
        <v>495.43</v>
      </c>
      <c r="O345" s="116">
        <v>487.2</v>
      </c>
      <c r="P345" s="116">
        <v>492.8</v>
      </c>
      <c r="Q345" s="116">
        <v>2445.3000000000002</v>
      </c>
      <c r="R345">
        <v>87849</v>
      </c>
    </row>
    <row r="346" spans="1:18" x14ac:dyDescent="0.25">
      <c r="A346" s="170">
        <v>44608</v>
      </c>
      <c r="B346" s="116">
        <v>518.23</v>
      </c>
      <c r="C346" s="116">
        <v>513</v>
      </c>
      <c r="D346" s="116">
        <v>487.6</v>
      </c>
      <c r="E346" s="116">
        <v>497.8</v>
      </c>
      <c r="F346" s="116">
        <v>2565</v>
      </c>
      <c r="G346">
        <v>19750</v>
      </c>
      <c r="H346" s="116"/>
      <c r="I346" s="116"/>
      <c r="L346" s="170">
        <v>44613</v>
      </c>
      <c r="M346" s="116">
        <v>483.54</v>
      </c>
      <c r="N346" s="116">
        <v>488</v>
      </c>
      <c r="O346" s="116">
        <v>478.2</v>
      </c>
      <c r="P346" s="116">
        <v>486</v>
      </c>
      <c r="Q346" s="116">
        <v>2417.6999999999998</v>
      </c>
      <c r="R346">
        <v>241708</v>
      </c>
    </row>
    <row r="347" spans="1:18" x14ac:dyDescent="0.25">
      <c r="A347" s="170">
        <v>44609</v>
      </c>
      <c r="B347" s="116">
        <v>517.20000000000005</v>
      </c>
      <c r="C347" s="116">
        <v>498.78</v>
      </c>
      <c r="D347" s="116">
        <v>496.3</v>
      </c>
      <c r="E347" s="116">
        <v>516</v>
      </c>
      <c r="F347" s="116">
        <v>2493.9</v>
      </c>
      <c r="G347">
        <v>23391</v>
      </c>
      <c r="H347" s="116"/>
      <c r="I347" s="116"/>
      <c r="L347" s="170">
        <v>44614</v>
      </c>
      <c r="M347" s="116">
        <v>467.89</v>
      </c>
      <c r="N347" s="116">
        <v>476.93</v>
      </c>
      <c r="O347" s="116">
        <v>464</v>
      </c>
      <c r="P347" s="116">
        <v>472</v>
      </c>
      <c r="Q347" s="116">
        <v>2339.4499999999998</v>
      </c>
      <c r="R347">
        <v>242904</v>
      </c>
    </row>
    <row r="348" spans="1:18" x14ac:dyDescent="0.25">
      <c r="A348" s="170">
        <v>44610</v>
      </c>
      <c r="B348" s="116">
        <v>495.01</v>
      </c>
      <c r="C348" s="116">
        <v>488.86</v>
      </c>
      <c r="D348" s="116">
        <v>486.98</v>
      </c>
      <c r="E348" s="116">
        <v>494</v>
      </c>
      <c r="F348" s="116">
        <v>2444.3000000000002</v>
      </c>
      <c r="G348">
        <v>15036</v>
      </c>
      <c r="H348" s="116"/>
      <c r="I348" s="116"/>
      <c r="L348" s="170">
        <v>44615</v>
      </c>
      <c r="M348" s="116">
        <v>462.43</v>
      </c>
      <c r="N348" s="116">
        <v>479.99</v>
      </c>
      <c r="O348" s="116">
        <v>460.26</v>
      </c>
      <c r="P348" s="116">
        <v>470.4</v>
      </c>
      <c r="Q348" s="116">
        <v>2312.15</v>
      </c>
      <c r="R348">
        <v>190353</v>
      </c>
    </row>
    <row r="349" spans="1:18" x14ac:dyDescent="0.25">
      <c r="A349" s="170">
        <v>44613</v>
      </c>
      <c r="B349" s="116">
        <v>488.06</v>
      </c>
      <c r="C349" s="116">
        <v>483.51</v>
      </c>
      <c r="D349" s="116">
        <v>478.2</v>
      </c>
      <c r="E349" s="116">
        <v>488</v>
      </c>
      <c r="F349" s="116">
        <v>2417.5500000000002</v>
      </c>
      <c r="G349">
        <v>8583</v>
      </c>
      <c r="H349" s="116"/>
      <c r="I349" s="116"/>
      <c r="L349" s="170">
        <v>44616</v>
      </c>
      <c r="M349" s="116">
        <v>456.83</v>
      </c>
      <c r="N349" s="116">
        <v>473.8</v>
      </c>
      <c r="O349" s="116">
        <v>446</v>
      </c>
      <c r="P349" s="116">
        <v>456</v>
      </c>
      <c r="Q349" s="116">
        <v>2284.15</v>
      </c>
      <c r="R349">
        <v>537242</v>
      </c>
    </row>
    <row r="350" spans="1:18" x14ac:dyDescent="0.25">
      <c r="A350" s="170">
        <v>44614</v>
      </c>
      <c r="B350" s="116">
        <v>476.96</v>
      </c>
      <c r="C350" s="116">
        <v>468.02</v>
      </c>
      <c r="D350" s="116">
        <v>464.94</v>
      </c>
      <c r="E350" s="116">
        <v>473</v>
      </c>
      <c r="F350" s="116">
        <v>2340.1</v>
      </c>
      <c r="G350">
        <v>12226</v>
      </c>
      <c r="H350" s="116"/>
      <c r="I350" s="116"/>
      <c r="L350" s="170">
        <v>44617</v>
      </c>
      <c r="M350" s="116">
        <v>471.67</v>
      </c>
      <c r="N350" s="116">
        <v>474.94</v>
      </c>
      <c r="O350" s="116">
        <v>465.21</v>
      </c>
      <c r="P350" s="116">
        <v>473.8</v>
      </c>
      <c r="Q350" s="116">
        <v>2358.35</v>
      </c>
      <c r="R350">
        <v>177604</v>
      </c>
    </row>
    <row r="351" spans="1:18" x14ac:dyDescent="0.25">
      <c r="A351" s="170">
        <v>44615</v>
      </c>
      <c r="B351" s="116">
        <v>480</v>
      </c>
      <c r="C351" s="116">
        <v>461.93</v>
      </c>
      <c r="D351" s="116">
        <v>460</v>
      </c>
      <c r="E351" s="116">
        <v>467.6</v>
      </c>
      <c r="F351" s="116">
        <v>2309.65</v>
      </c>
      <c r="G351">
        <v>25880</v>
      </c>
      <c r="H351" s="116"/>
      <c r="I351" s="116"/>
      <c r="L351" s="170">
        <v>44620</v>
      </c>
      <c r="M351" s="116">
        <v>498.86</v>
      </c>
      <c r="N351" s="116">
        <v>499.98</v>
      </c>
      <c r="O351" s="116">
        <v>461.6</v>
      </c>
      <c r="P351" s="116">
        <v>471.67</v>
      </c>
      <c r="Q351" s="116">
        <v>2494.3000000000002</v>
      </c>
      <c r="R351">
        <v>373035</v>
      </c>
    </row>
    <row r="352" spans="1:18" x14ac:dyDescent="0.25">
      <c r="A352" s="170">
        <v>44616</v>
      </c>
      <c r="B352" s="116">
        <v>473.2</v>
      </c>
      <c r="C352" s="116">
        <v>456.18</v>
      </c>
      <c r="D352" s="116">
        <v>446.21</v>
      </c>
      <c r="E352" s="116">
        <v>460</v>
      </c>
      <c r="F352" s="116">
        <v>2280.9</v>
      </c>
      <c r="G352">
        <v>25484</v>
      </c>
      <c r="H352" s="116"/>
      <c r="I352" s="116"/>
      <c r="L352" s="170">
        <v>44622</v>
      </c>
      <c r="M352" s="116">
        <v>489.75</v>
      </c>
      <c r="N352" s="116">
        <v>509.59</v>
      </c>
      <c r="O352" s="116">
        <v>484.17</v>
      </c>
      <c r="P352" s="116">
        <v>497.6</v>
      </c>
      <c r="Q352" s="116">
        <v>2448.75</v>
      </c>
      <c r="R352">
        <v>219189</v>
      </c>
    </row>
    <row r="353" spans="1:18" x14ac:dyDescent="0.25">
      <c r="A353" s="170">
        <v>44617</v>
      </c>
      <c r="B353" s="116">
        <v>474.48</v>
      </c>
      <c r="C353" s="116">
        <v>471.4</v>
      </c>
      <c r="D353" s="116">
        <v>460.2</v>
      </c>
      <c r="E353" s="116">
        <v>460.2</v>
      </c>
      <c r="F353" s="116">
        <v>2357</v>
      </c>
      <c r="G353">
        <v>9115</v>
      </c>
      <c r="H353" s="116"/>
      <c r="I353" s="116"/>
      <c r="L353" s="170">
        <v>44623</v>
      </c>
      <c r="M353" s="116">
        <v>499.48</v>
      </c>
      <c r="N353" s="116">
        <v>504.56</v>
      </c>
      <c r="O353" s="116">
        <v>492.41</v>
      </c>
      <c r="P353" s="116">
        <v>499</v>
      </c>
      <c r="Q353" s="116">
        <v>2497.4</v>
      </c>
      <c r="R353">
        <v>149104</v>
      </c>
    </row>
    <row r="354" spans="1:18" x14ac:dyDescent="0.25">
      <c r="A354" s="170">
        <v>44620</v>
      </c>
      <c r="B354" s="116">
        <v>500.65</v>
      </c>
      <c r="C354" s="116">
        <v>499.37</v>
      </c>
      <c r="D354" s="116">
        <v>461.58</v>
      </c>
      <c r="E354" s="116">
        <v>483.6</v>
      </c>
      <c r="F354" s="116">
        <v>2496.85</v>
      </c>
      <c r="G354">
        <v>84491</v>
      </c>
      <c r="H354" s="116"/>
      <c r="I354" s="116"/>
      <c r="L354" s="170">
        <v>44624</v>
      </c>
      <c r="M354" s="116">
        <v>482.93</v>
      </c>
      <c r="N354" s="116">
        <v>499.78</v>
      </c>
      <c r="O354" s="116">
        <v>480</v>
      </c>
      <c r="P354" s="116">
        <v>497.4</v>
      </c>
      <c r="Q354" s="116">
        <v>2414.65</v>
      </c>
      <c r="R354">
        <v>184810</v>
      </c>
    </row>
    <row r="355" spans="1:18" x14ac:dyDescent="0.25">
      <c r="A355" s="170">
        <v>44622</v>
      </c>
      <c r="B355" s="116">
        <v>509</v>
      </c>
      <c r="C355" s="116">
        <v>490</v>
      </c>
      <c r="D355" s="116">
        <v>484.4</v>
      </c>
      <c r="E355" s="116">
        <v>494.6</v>
      </c>
      <c r="F355" s="116">
        <v>2450</v>
      </c>
      <c r="G355">
        <v>26291</v>
      </c>
      <c r="H355" s="116"/>
      <c r="I355" s="116"/>
      <c r="L355" s="170">
        <v>44627</v>
      </c>
      <c r="M355" s="116">
        <v>477.58</v>
      </c>
      <c r="N355" s="116">
        <v>483.69</v>
      </c>
      <c r="O355" s="116">
        <v>468.05</v>
      </c>
      <c r="P355" s="116">
        <v>469</v>
      </c>
      <c r="Q355" s="116">
        <v>2387.9</v>
      </c>
      <c r="R355">
        <v>153229</v>
      </c>
    </row>
    <row r="356" spans="1:18" x14ac:dyDescent="0.25">
      <c r="A356" s="170">
        <v>44623</v>
      </c>
      <c r="B356" s="116">
        <v>504</v>
      </c>
      <c r="C356" s="116">
        <v>499.17</v>
      </c>
      <c r="D356" s="116">
        <v>492.39</v>
      </c>
      <c r="E356" s="116">
        <v>500</v>
      </c>
      <c r="F356" s="116">
        <v>2495.85</v>
      </c>
      <c r="G356">
        <v>76165</v>
      </c>
      <c r="H356" s="116"/>
      <c r="I356" s="116"/>
      <c r="L356" s="170">
        <v>44628</v>
      </c>
      <c r="M356" s="116">
        <v>477.04</v>
      </c>
      <c r="N356" s="116">
        <v>483.2</v>
      </c>
      <c r="O356" s="116">
        <v>472.23</v>
      </c>
      <c r="P356" s="116">
        <v>479.39</v>
      </c>
      <c r="Q356" s="116">
        <v>2385.1999999999998</v>
      </c>
      <c r="R356">
        <v>133304</v>
      </c>
    </row>
    <row r="357" spans="1:18" x14ac:dyDescent="0.25">
      <c r="A357" s="170">
        <v>44624</v>
      </c>
      <c r="B357" s="116">
        <v>499.49</v>
      </c>
      <c r="C357" s="116">
        <v>484.16</v>
      </c>
      <c r="D357" s="116">
        <v>479.8</v>
      </c>
      <c r="E357" s="116">
        <v>495</v>
      </c>
      <c r="F357" s="116">
        <v>2420.8000000000002</v>
      </c>
      <c r="G357">
        <v>11992</v>
      </c>
      <c r="H357" s="116"/>
      <c r="I357" s="116"/>
      <c r="L357" s="170">
        <v>44629</v>
      </c>
      <c r="M357" s="116">
        <v>485.53</v>
      </c>
      <c r="N357" s="116">
        <v>491.99</v>
      </c>
      <c r="O357" s="116">
        <v>481.44</v>
      </c>
      <c r="P357" s="116">
        <v>489.78</v>
      </c>
      <c r="Q357" s="116">
        <v>2427.65</v>
      </c>
      <c r="R357">
        <v>122559</v>
      </c>
    </row>
    <row r="358" spans="1:18" x14ac:dyDescent="0.25">
      <c r="A358" s="170">
        <v>44627</v>
      </c>
      <c r="B358" s="116">
        <v>483.32</v>
      </c>
      <c r="C358" s="116">
        <v>477.67</v>
      </c>
      <c r="D358" s="116">
        <v>467</v>
      </c>
      <c r="E358" s="116">
        <v>467</v>
      </c>
      <c r="F358" s="116">
        <v>2388.35</v>
      </c>
      <c r="G358">
        <v>24667</v>
      </c>
      <c r="H358" s="116"/>
      <c r="I358" s="116"/>
      <c r="L358" s="170">
        <v>44630</v>
      </c>
      <c r="M358" s="116">
        <v>491.16</v>
      </c>
      <c r="N358" s="116">
        <v>505.53</v>
      </c>
      <c r="O358" s="116">
        <v>488.2</v>
      </c>
      <c r="P358" s="116">
        <v>499.6</v>
      </c>
      <c r="Q358" s="116">
        <v>2455.8000000000002</v>
      </c>
      <c r="R358">
        <v>250602</v>
      </c>
    </row>
    <row r="359" spans="1:18" x14ac:dyDescent="0.25">
      <c r="A359" s="170">
        <v>44628</v>
      </c>
      <c r="B359" s="116">
        <v>484.81</v>
      </c>
      <c r="C359" s="116">
        <v>476.37</v>
      </c>
      <c r="D359" s="116">
        <v>472.61</v>
      </c>
      <c r="E359" s="116">
        <v>473.04</v>
      </c>
      <c r="F359" s="116">
        <v>2381.85</v>
      </c>
      <c r="G359">
        <v>21145</v>
      </c>
      <c r="H359" s="116"/>
      <c r="I359" s="116"/>
      <c r="L359" s="170">
        <v>44631</v>
      </c>
      <c r="M359" s="116">
        <v>498.83</v>
      </c>
      <c r="N359" s="116">
        <v>504.96</v>
      </c>
      <c r="O359" s="116">
        <v>490.58</v>
      </c>
      <c r="P359" s="116">
        <v>494.52</v>
      </c>
      <c r="Q359" s="116">
        <v>2494.15</v>
      </c>
      <c r="R359">
        <v>252428</v>
      </c>
    </row>
    <row r="360" spans="1:18" x14ac:dyDescent="0.25">
      <c r="A360" s="170">
        <v>44629</v>
      </c>
      <c r="B360" s="116">
        <v>494.8</v>
      </c>
      <c r="C360" s="116">
        <v>485.79</v>
      </c>
      <c r="D360" s="116">
        <v>482.84</v>
      </c>
      <c r="E360" s="116">
        <v>494.8</v>
      </c>
      <c r="F360" s="116">
        <v>2428.9499999999998</v>
      </c>
      <c r="G360">
        <v>7382</v>
      </c>
      <c r="H360" s="116"/>
      <c r="I360" s="116"/>
      <c r="L360" s="170">
        <v>44634</v>
      </c>
      <c r="M360" s="116">
        <v>490.79</v>
      </c>
      <c r="N360" s="116">
        <v>503.95</v>
      </c>
      <c r="O360" s="116">
        <v>486</v>
      </c>
      <c r="P360" s="116">
        <v>503</v>
      </c>
      <c r="Q360" s="116">
        <v>2453.9499999999998</v>
      </c>
      <c r="R360">
        <v>169731</v>
      </c>
    </row>
    <row r="361" spans="1:18" x14ac:dyDescent="0.25">
      <c r="A361" s="170">
        <v>44630</v>
      </c>
      <c r="B361" s="116">
        <v>508.8</v>
      </c>
      <c r="C361" s="116">
        <v>490.64</v>
      </c>
      <c r="D361" s="116">
        <v>486.45</v>
      </c>
      <c r="E361" s="116">
        <v>508.8</v>
      </c>
      <c r="F361" s="116">
        <v>2453.1999999999998</v>
      </c>
      <c r="G361">
        <v>23200</v>
      </c>
      <c r="H361" s="116"/>
      <c r="I361" s="116"/>
      <c r="L361" s="170">
        <v>44635</v>
      </c>
      <c r="M361" s="116">
        <v>481.53</v>
      </c>
      <c r="N361" s="116">
        <v>496.82</v>
      </c>
      <c r="O361" s="116">
        <v>476</v>
      </c>
      <c r="P361" s="116">
        <v>494</v>
      </c>
      <c r="Q361" s="116">
        <v>2407.65</v>
      </c>
      <c r="R361">
        <v>173915</v>
      </c>
    </row>
    <row r="362" spans="1:18" x14ac:dyDescent="0.25">
      <c r="A362" s="170">
        <v>44631</v>
      </c>
      <c r="B362" s="116">
        <v>504.71</v>
      </c>
      <c r="C362" s="116">
        <v>499.27</v>
      </c>
      <c r="D362" s="116">
        <v>491.6</v>
      </c>
      <c r="E362" s="116">
        <v>496</v>
      </c>
      <c r="F362" s="116">
        <v>2496.35</v>
      </c>
      <c r="G362">
        <v>14977</v>
      </c>
      <c r="H362" s="116"/>
      <c r="I362" s="116"/>
      <c r="L362" s="170">
        <v>44636</v>
      </c>
      <c r="M362" s="116">
        <v>476.13</v>
      </c>
      <c r="N362" s="116">
        <v>489.78</v>
      </c>
      <c r="O362" s="116">
        <v>474</v>
      </c>
      <c r="P362" s="116">
        <v>489.78</v>
      </c>
      <c r="Q362" s="116">
        <v>2380.65</v>
      </c>
      <c r="R362">
        <v>225018</v>
      </c>
    </row>
    <row r="363" spans="1:18" x14ac:dyDescent="0.25">
      <c r="A363" s="170">
        <v>44634</v>
      </c>
      <c r="B363" s="116">
        <v>503.87</v>
      </c>
      <c r="C363" s="116">
        <v>490.62</v>
      </c>
      <c r="D363" s="116">
        <v>487</v>
      </c>
      <c r="E363" s="116">
        <v>500</v>
      </c>
      <c r="F363" s="116">
        <v>2453.1</v>
      </c>
      <c r="G363">
        <v>37850</v>
      </c>
      <c r="H363" s="116"/>
      <c r="I363" s="116"/>
      <c r="L363" s="170">
        <v>44637</v>
      </c>
      <c r="M363" s="116">
        <v>474.67</v>
      </c>
      <c r="N363" s="116">
        <v>484.91</v>
      </c>
      <c r="O363" s="116">
        <v>470</v>
      </c>
      <c r="P363" s="116">
        <v>484</v>
      </c>
      <c r="Q363" s="116">
        <v>2373.35</v>
      </c>
      <c r="R363">
        <v>873155</v>
      </c>
    </row>
    <row r="364" spans="1:18" x14ac:dyDescent="0.25">
      <c r="A364" s="170">
        <v>44635</v>
      </c>
      <c r="B364" s="116">
        <v>495.94</v>
      </c>
      <c r="C364" s="116">
        <v>481.3</v>
      </c>
      <c r="D364" s="116">
        <v>476.3</v>
      </c>
      <c r="E364" s="116">
        <v>492.2</v>
      </c>
      <c r="F364" s="116">
        <v>2406.5</v>
      </c>
      <c r="G364">
        <v>8974</v>
      </c>
      <c r="H364" s="116"/>
      <c r="I364" s="116"/>
      <c r="L364" s="170">
        <v>44641</v>
      </c>
      <c r="M364" s="116">
        <v>478.85</v>
      </c>
      <c r="N364" s="116">
        <v>484</v>
      </c>
      <c r="O364" s="116">
        <v>476</v>
      </c>
      <c r="P364" s="116">
        <v>484</v>
      </c>
      <c r="Q364" s="116">
        <v>2394.25</v>
      </c>
      <c r="R364">
        <v>235357</v>
      </c>
    </row>
    <row r="365" spans="1:18" x14ac:dyDescent="0.25">
      <c r="A365" s="170">
        <v>44636</v>
      </c>
      <c r="B365" s="116">
        <v>490</v>
      </c>
      <c r="C365" s="116">
        <v>475.7</v>
      </c>
      <c r="D365" s="116">
        <v>474</v>
      </c>
      <c r="E365" s="116">
        <v>490</v>
      </c>
      <c r="F365" s="116">
        <v>2378.5</v>
      </c>
      <c r="G365">
        <v>8779</v>
      </c>
      <c r="H365" s="116"/>
      <c r="I365" s="116"/>
      <c r="L365" s="170">
        <v>44642</v>
      </c>
      <c r="M365" s="116">
        <v>474.96</v>
      </c>
      <c r="N365" s="116">
        <v>481.6</v>
      </c>
      <c r="O365" s="116">
        <v>474</v>
      </c>
      <c r="P365" s="116">
        <v>481.6</v>
      </c>
      <c r="Q365" s="116">
        <v>2374.8000000000002</v>
      </c>
      <c r="R365">
        <v>171377</v>
      </c>
    </row>
    <row r="366" spans="1:18" x14ac:dyDescent="0.25">
      <c r="A366" s="170">
        <v>44637</v>
      </c>
      <c r="B366" s="116">
        <v>485.06</v>
      </c>
      <c r="C366" s="116">
        <v>472</v>
      </c>
      <c r="D366" s="116">
        <v>470</v>
      </c>
      <c r="E366" s="116">
        <v>481.93</v>
      </c>
      <c r="F366" s="116">
        <v>2360</v>
      </c>
      <c r="G366">
        <v>10807</v>
      </c>
      <c r="H366" s="116"/>
      <c r="I366" s="116"/>
      <c r="L366" s="170">
        <v>44643</v>
      </c>
      <c r="M366" s="116">
        <v>477.57</v>
      </c>
      <c r="N366" s="116">
        <v>487</v>
      </c>
      <c r="O366" s="116">
        <v>476.77</v>
      </c>
      <c r="P366" s="116">
        <v>478.2</v>
      </c>
      <c r="Q366" s="116">
        <v>2387.85</v>
      </c>
      <c r="R366">
        <v>191979</v>
      </c>
    </row>
    <row r="367" spans="1:18" x14ac:dyDescent="0.25">
      <c r="A367" s="170">
        <v>44641</v>
      </c>
      <c r="B367" s="116">
        <v>484</v>
      </c>
      <c r="C367" s="116">
        <v>478.95</v>
      </c>
      <c r="D367" s="116">
        <v>476.35</v>
      </c>
      <c r="E367" s="116">
        <v>484</v>
      </c>
      <c r="F367" s="116">
        <v>2394.75</v>
      </c>
      <c r="G367">
        <v>8237</v>
      </c>
      <c r="H367" s="116"/>
      <c r="I367" s="116"/>
      <c r="L367" s="170">
        <v>44644</v>
      </c>
      <c r="M367" s="116">
        <v>476.17</v>
      </c>
      <c r="N367" s="116">
        <v>480.4</v>
      </c>
      <c r="O367" s="116">
        <v>474</v>
      </c>
      <c r="P367" s="116">
        <v>475.84</v>
      </c>
      <c r="Q367" s="116">
        <v>2380.85</v>
      </c>
      <c r="R367">
        <v>155440</v>
      </c>
    </row>
    <row r="368" spans="1:18" x14ac:dyDescent="0.25">
      <c r="A368" s="170">
        <v>44642</v>
      </c>
      <c r="B368" s="116">
        <v>481</v>
      </c>
      <c r="C368" s="116">
        <v>474.81</v>
      </c>
      <c r="D368" s="116">
        <v>474</v>
      </c>
      <c r="E368" s="116">
        <v>479</v>
      </c>
      <c r="F368" s="116">
        <v>2374.0500000000002</v>
      </c>
      <c r="G368">
        <v>24296</v>
      </c>
      <c r="H368" s="116"/>
      <c r="I368" s="116"/>
      <c r="L368" s="170">
        <v>44645</v>
      </c>
      <c r="M368" s="116">
        <v>472.31</v>
      </c>
      <c r="N368" s="116">
        <v>480</v>
      </c>
      <c r="O368" s="116">
        <v>470.4</v>
      </c>
      <c r="P368" s="116">
        <v>477.99</v>
      </c>
      <c r="Q368" s="116">
        <v>2361.5500000000002</v>
      </c>
      <c r="R368">
        <v>134930</v>
      </c>
    </row>
    <row r="369" spans="1:18" x14ac:dyDescent="0.25">
      <c r="A369" s="170">
        <v>44643</v>
      </c>
      <c r="B369" s="116">
        <v>487.21</v>
      </c>
      <c r="C369" s="116">
        <v>477.5</v>
      </c>
      <c r="D369" s="116">
        <v>476.25</v>
      </c>
      <c r="E369" s="116">
        <v>479.92</v>
      </c>
      <c r="F369" s="116">
        <v>2387.5</v>
      </c>
      <c r="G369">
        <v>7887</v>
      </c>
      <c r="H369" s="116"/>
      <c r="I369" s="116"/>
      <c r="L369" s="170">
        <v>44648</v>
      </c>
      <c r="M369" s="116">
        <v>467.3</v>
      </c>
      <c r="N369" s="116">
        <v>474.24</v>
      </c>
      <c r="O369" s="116">
        <v>465.75</v>
      </c>
      <c r="P369" s="116">
        <v>473.39</v>
      </c>
      <c r="Q369" s="116">
        <v>2336.5</v>
      </c>
      <c r="R369">
        <v>167517</v>
      </c>
    </row>
    <row r="370" spans="1:18" x14ac:dyDescent="0.25">
      <c r="A370" s="170">
        <v>44644</v>
      </c>
      <c r="B370" s="116">
        <v>480.22</v>
      </c>
      <c r="C370" s="116">
        <v>476.13</v>
      </c>
      <c r="D370" s="116">
        <v>474.8</v>
      </c>
      <c r="E370" s="116">
        <v>479.34</v>
      </c>
      <c r="F370" s="116">
        <v>2380.65</v>
      </c>
      <c r="G370">
        <v>3995</v>
      </c>
      <c r="H370" s="116"/>
      <c r="I370" s="116"/>
      <c r="L370" s="170">
        <v>44649</v>
      </c>
      <c r="M370" s="116">
        <v>462.69</v>
      </c>
      <c r="N370" s="116">
        <v>471.59</v>
      </c>
      <c r="O370" s="116">
        <v>458.4</v>
      </c>
      <c r="P370" s="116">
        <v>469.08</v>
      </c>
      <c r="Q370" s="116">
        <v>2313.4499999999998</v>
      </c>
      <c r="R370">
        <v>244987</v>
      </c>
    </row>
    <row r="371" spans="1:18" x14ac:dyDescent="0.25">
      <c r="A371" s="170">
        <v>44645</v>
      </c>
      <c r="B371" s="116">
        <v>480</v>
      </c>
      <c r="C371" s="116">
        <v>472.63</v>
      </c>
      <c r="D371" s="116">
        <v>470.4</v>
      </c>
      <c r="E371" s="116">
        <v>477.88</v>
      </c>
      <c r="F371" s="116">
        <v>2363.15</v>
      </c>
      <c r="G371">
        <v>6398</v>
      </c>
      <c r="H371" s="116"/>
      <c r="I371" s="116"/>
      <c r="L371" s="170">
        <v>44650</v>
      </c>
      <c r="M371" s="116">
        <v>465.37</v>
      </c>
      <c r="N371" s="116">
        <v>471.95</v>
      </c>
      <c r="O371" s="116">
        <v>462.2</v>
      </c>
      <c r="P371" s="116">
        <v>464</v>
      </c>
      <c r="Q371" s="116">
        <v>2326.85</v>
      </c>
      <c r="R371">
        <v>203866</v>
      </c>
    </row>
    <row r="372" spans="1:18" x14ac:dyDescent="0.25">
      <c r="A372" s="170">
        <v>44648</v>
      </c>
      <c r="B372" s="116">
        <v>474</v>
      </c>
      <c r="C372" s="116">
        <v>466.89</v>
      </c>
      <c r="D372" s="116">
        <v>465.46</v>
      </c>
      <c r="E372" s="116">
        <v>472.2</v>
      </c>
      <c r="F372" s="116">
        <v>2334.4499999999998</v>
      </c>
      <c r="G372">
        <v>36521</v>
      </c>
      <c r="H372" s="116"/>
      <c r="I372" s="116"/>
      <c r="L372" s="170">
        <v>44651</v>
      </c>
      <c r="M372" s="116">
        <v>463.17</v>
      </c>
      <c r="N372" s="116">
        <v>474.2</v>
      </c>
      <c r="O372" s="116">
        <v>462</v>
      </c>
      <c r="P372" s="116">
        <v>465.54</v>
      </c>
      <c r="Q372" s="116">
        <v>2315.85</v>
      </c>
      <c r="R372">
        <v>136807</v>
      </c>
    </row>
    <row r="373" spans="1:18" x14ac:dyDescent="0.25">
      <c r="A373" s="170">
        <v>44649</v>
      </c>
      <c r="B373" s="116">
        <v>471.08</v>
      </c>
      <c r="C373" s="116">
        <v>462.47</v>
      </c>
      <c r="D373" s="116">
        <v>458.26</v>
      </c>
      <c r="E373" s="116">
        <v>466.89</v>
      </c>
      <c r="F373" s="116">
        <v>2312.35</v>
      </c>
      <c r="G373">
        <v>25961</v>
      </c>
      <c r="H373" s="116"/>
      <c r="I373" s="116"/>
      <c r="L373" s="170">
        <v>44652</v>
      </c>
      <c r="M373" s="116">
        <v>483.54</v>
      </c>
      <c r="N373" s="116">
        <v>487.26</v>
      </c>
      <c r="O373" s="116">
        <v>464.16</v>
      </c>
      <c r="P373" s="116">
        <v>464.16</v>
      </c>
      <c r="Q373" s="116">
        <v>2417.6999999999998</v>
      </c>
      <c r="R373">
        <v>212794</v>
      </c>
    </row>
    <row r="374" spans="1:18" x14ac:dyDescent="0.25">
      <c r="A374" s="170">
        <v>44650</v>
      </c>
      <c r="B374" s="116">
        <v>471.96</v>
      </c>
      <c r="C374" s="116">
        <v>465.47</v>
      </c>
      <c r="D374" s="116">
        <v>462.27</v>
      </c>
      <c r="E374" s="116">
        <v>467.8</v>
      </c>
      <c r="F374" s="116">
        <v>2327.35</v>
      </c>
      <c r="G374">
        <v>13496</v>
      </c>
      <c r="H374" s="116"/>
      <c r="I374" s="116"/>
      <c r="L374" s="170">
        <v>44655</v>
      </c>
      <c r="M374" s="116">
        <v>494.55</v>
      </c>
      <c r="N374" s="116">
        <v>497.04</v>
      </c>
      <c r="O374" s="116">
        <v>485.02</v>
      </c>
      <c r="P374" s="116">
        <v>487</v>
      </c>
      <c r="Q374" s="116">
        <v>2472.75</v>
      </c>
      <c r="R374">
        <v>144450</v>
      </c>
    </row>
    <row r="375" spans="1:18" x14ac:dyDescent="0.25">
      <c r="A375" s="170">
        <v>44651</v>
      </c>
      <c r="B375" s="116">
        <v>474</v>
      </c>
      <c r="C375" s="116">
        <v>462.84</v>
      </c>
      <c r="D375" s="116">
        <v>461.66</v>
      </c>
      <c r="E375" s="116">
        <v>465.56</v>
      </c>
      <c r="F375" s="116">
        <v>2314.1999999999998</v>
      </c>
      <c r="G375">
        <v>31722</v>
      </c>
      <c r="H375" s="116"/>
      <c r="I375" s="116"/>
      <c r="L375" s="170">
        <v>44656</v>
      </c>
      <c r="M375" s="116">
        <v>514.89</v>
      </c>
      <c r="N375" s="116">
        <v>524.96</v>
      </c>
      <c r="O375" s="116">
        <v>496.38</v>
      </c>
      <c r="P375" s="116">
        <v>497.79</v>
      </c>
      <c r="Q375" s="116">
        <v>2574.4499999999998</v>
      </c>
      <c r="R375">
        <v>379036</v>
      </c>
    </row>
    <row r="376" spans="1:18" x14ac:dyDescent="0.25">
      <c r="A376" s="170">
        <v>44652</v>
      </c>
      <c r="B376" s="116">
        <v>487.28</v>
      </c>
      <c r="C376" s="116">
        <v>483.37</v>
      </c>
      <c r="D376" s="116">
        <v>463.2</v>
      </c>
      <c r="E376" s="116">
        <v>463.2</v>
      </c>
      <c r="F376" s="116">
        <v>2416.85</v>
      </c>
      <c r="G376">
        <v>14243</v>
      </c>
      <c r="H376" s="116"/>
      <c r="I376" s="116"/>
      <c r="L376" s="170">
        <v>44657</v>
      </c>
      <c r="M376" s="116">
        <v>513.07000000000005</v>
      </c>
      <c r="N376" s="116">
        <v>519.99</v>
      </c>
      <c r="O376" s="116">
        <v>508.1</v>
      </c>
      <c r="P376" s="116">
        <v>513.94000000000005</v>
      </c>
      <c r="Q376" s="116">
        <v>2565.35</v>
      </c>
      <c r="R376">
        <v>114561</v>
      </c>
    </row>
    <row r="377" spans="1:18" x14ac:dyDescent="0.25">
      <c r="A377" s="170">
        <v>44655</v>
      </c>
      <c r="B377" s="116">
        <v>497.72</v>
      </c>
      <c r="C377" s="116">
        <v>494.26</v>
      </c>
      <c r="D377" s="116">
        <v>484.6</v>
      </c>
      <c r="E377" s="116">
        <v>484.6</v>
      </c>
      <c r="F377" s="116">
        <v>2471.3000000000002</v>
      </c>
      <c r="G377">
        <v>11715</v>
      </c>
      <c r="H377" s="116"/>
      <c r="I377" s="116"/>
      <c r="L377" s="170">
        <v>44658</v>
      </c>
      <c r="M377" s="116">
        <v>502.36</v>
      </c>
      <c r="N377" s="116">
        <v>516.17999999999995</v>
      </c>
      <c r="O377" s="116">
        <v>500.4</v>
      </c>
      <c r="P377" s="116">
        <v>513.78</v>
      </c>
      <c r="Q377" s="116">
        <v>2511.8000000000002</v>
      </c>
      <c r="R377">
        <v>105378</v>
      </c>
    </row>
    <row r="378" spans="1:18" x14ac:dyDescent="0.25">
      <c r="A378" s="170">
        <v>44656</v>
      </c>
      <c r="B378" s="116">
        <v>524.87</v>
      </c>
      <c r="C378" s="116">
        <v>515.33000000000004</v>
      </c>
      <c r="D378" s="116">
        <v>495.98</v>
      </c>
      <c r="E378" s="116">
        <v>495.98</v>
      </c>
      <c r="F378" s="116">
        <v>2576.65</v>
      </c>
      <c r="G378">
        <v>20269</v>
      </c>
      <c r="H378" s="116"/>
      <c r="I378" s="116"/>
      <c r="L378" s="170">
        <v>44659</v>
      </c>
      <c r="M378" s="116">
        <v>503.43</v>
      </c>
      <c r="N378" s="116">
        <v>513</v>
      </c>
      <c r="O378" s="116">
        <v>496.23</v>
      </c>
      <c r="P378" s="116">
        <v>503.6</v>
      </c>
      <c r="Q378" s="116">
        <v>2517.15</v>
      </c>
      <c r="R378">
        <v>136930</v>
      </c>
    </row>
    <row r="379" spans="1:18" x14ac:dyDescent="0.25">
      <c r="A379" s="170">
        <v>44657</v>
      </c>
      <c r="B379" s="116">
        <v>520.08000000000004</v>
      </c>
      <c r="C379" s="116">
        <v>512.30999999999995</v>
      </c>
      <c r="D379" s="116">
        <v>508.2</v>
      </c>
      <c r="E379" s="116">
        <v>515.33000000000004</v>
      </c>
      <c r="F379" s="116">
        <v>2561.5500000000002</v>
      </c>
      <c r="G379">
        <v>21003</v>
      </c>
      <c r="H379" s="116"/>
      <c r="I379" s="116"/>
      <c r="L379" s="170">
        <v>44662</v>
      </c>
      <c r="M379" s="116">
        <v>503.41</v>
      </c>
      <c r="N379" s="116">
        <v>511.6</v>
      </c>
      <c r="O379" s="116">
        <v>499</v>
      </c>
      <c r="P379" s="116">
        <v>503.43</v>
      </c>
      <c r="Q379" s="116">
        <v>2517.0500000000002</v>
      </c>
      <c r="R379">
        <v>125504</v>
      </c>
    </row>
    <row r="380" spans="1:18" x14ac:dyDescent="0.25">
      <c r="A380" s="170">
        <v>44658</v>
      </c>
      <c r="B380" s="116">
        <v>516</v>
      </c>
      <c r="C380" s="116">
        <v>501.87</v>
      </c>
      <c r="D380" s="116">
        <v>500</v>
      </c>
      <c r="E380" s="116">
        <v>514.98</v>
      </c>
      <c r="F380" s="116">
        <v>2509.35</v>
      </c>
      <c r="G380">
        <v>6804</v>
      </c>
      <c r="H380" s="116"/>
      <c r="I380" s="116"/>
      <c r="L380" s="170">
        <v>44663</v>
      </c>
      <c r="M380" s="116">
        <v>499.94</v>
      </c>
      <c r="N380" s="116">
        <v>503.41</v>
      </c>
      <c r="O380" s="116">
        <v>492.4</v>
      </c>
      <c r="P380" s="116">
        <v>503.41</v>
      </c>
      <c r="Q380" s="116">
        <v>2499.6999999999998</v>
      </c>
      <c r="R380">
        <v>87151</v>
      </c>
    </row>
    <row r="381" spans="1:18" x14ac:dyDescent="0.25">
      <c r="A381" s="170">
        <v>44659</v>
      </c>
      <c r="B381" s="116">
        <v>513.19000000000005</v>
      </c>
      <c r="C381" s="116">
        <v>503.39</v>
      </c>
      <c r="D381" s="116">
        <v>496.56</v>
      </c>
      <c r="E381" s="116">
        <v>501.8</v>
      </c>
      <c r="F381" s="116">
        <v>2516.9499999999998</v>
      </c>
      <c r="G381">
        <v>5787</v>
      </c>
      <c r="H381" s="116"/>
      <c r="I381" s="116"/>
      <c r="L381" s="170">
        <v>44664</v>
      </c>
      <c r="M381" s="116">
        <v>510.77</v>
      </c>
      <c r="N381" s="116">
        <v>523.88</v>
      </c>
      <c r="O381" s="116">
        <v>499.97</v>
      </c>
      <c r="P381" s="116">
        <v>501</v>
      </c>
      <c r="Q381" s="116">
        <v>2553.85</v>
      </c>
      <c r="R381">
        <v>274406</v>
      </c>
    </row>
    <row r="382" spans="1:18" x14ac:dyDescent="0.25">
      <c r="A382" s="170">
        <v>44662</v>
      </c>
      <c r="B382" s="116">
        <v>512</v>
      </c>
      <c r="C382" s="116">
        <v>503.86</v>
      </c>
      <c r="D382" s="116">
        <v>498.82</v>
      </c>
      <c r="E382" s="116">
        <v>512</v>
      </c>
      <c r="F382" s="116">
        <v>2519.3000000000002</v>
      </c>
      <c r="G382">
        <v>6531</v>
      </c>
      <c r="H382" s="116"/>
      <c r="I382" s="116"/>
      <c r="L382" s="170">
        <v>44669</v>
      </c>
      <c r="M382" s="116">
        <v>514.22</v>
      </c>
      <c r="N382" s="116">
        <v>521.88</v>
      </c>
      <c r="O382" s="116">
        <v>506</v>
      </c>
      <c r="P382" s="116">
        <v>510</v>
      </c>
      <c r="Q382" s="116">
        <v>2571.1</v>
      </c>
      <c r="R382">
        <v>213735</v>
      </c>
    </row>
    <row r="383" spans="1:18" x14ac:dyDescent="0.25">
      <c r="A383" s="170">
        <v>44663</v>
      </c>
      <c r="B383" s="116">
        <v>504.99</v>
      </c>
      <c r="C383" s="116">
        <v>499.36</v>
      </c>
      <c r="D383" s="116">
        <v>492.42</v>
      </c>
      <c r="E383" s="116">
        <v>504.99</v>
      </c>
      <c r="F383" s="116">
        <v>2496.8000000000002</v>
      </c>
      <c r="G383">
        <v>14258</v>
      </c>
      <c r="H383" s="116"/>
      <c r="I383" s="116"/>
      <c r="L383" s="170">
        <v>44670</v>
      </c>
      <c r="M383" s="116">
        <v>512.75</v>
      </c>
      <c r="N383" s="116">
        <v>523</v>
      </c>
      <c r="O383" s="116">
        <v>508.2</v>
      </c>
      <c r="P383" s="116">
        <v>515.67999999999995</v>
      </c>
      <c r="Q383" s="116">
        <v>2563.75</v>
      </c>
      <c r="R383">
        <v>133448</v>
      </c>
    </row>
    <row r="384" spans="1:18" x14ac:dyDescent="0.25">
      <c r="A384" s="170">
        <v>44664</v>
      </c>
      <c r="B384" s="116">
        <v>523.79999999999995</v>
      </c>
      <c r="C384" s="116">
        <v>510.55</v>
      </c>
      <c r="D384" s="116">
        <v>500</v>
      </c>
      <c r="E384" s="116">
        <v>500</v>
      </c>
      <c r="F384" s="116">
        <v>2552.75</v>
      </c>
      <c r="G384">
        <v>10125</v>
      </c>
      <c r="H384" s="116"/>
      <c r="I384" s="116"/>
      <c r="L384" s="170">
        <v>44671</v>
      </c>
      <c r="M384" s="116">
        <v>510.67</v>
      </c>
      <c r="N384" s="116">
        <v>517</v>
      </c>
      <c r="O384" s="116">
        <v>507.8</v>
      </c>
      <c r="P384" s="116">
        <v>514.17999999999995</v>
      </c>
      <c r="Q384" s="116">
        <v>2553.35</v>
      </c>
      <c r="R384">
        <v>68067</v>
      </c>
    </row>
    <row r="385" spans="1:18" x14ac:dyDescent="0.25">
      <c r="A385" s="170">
        <v>44669</v>
      </c>
      <c r="B385" s="116">
        <v>521.77</v>
      </c>
      <c r="C385" s="116">
        <v>514.63</v>
      </c>
      <c r="D385" s="116">
        <v>505.04</v>
      </c>
      <c r="E385" s="116">
        <v>515.04</v>
      </c>
      <c r="F385" s="116">
        <v>2573.15</v>
      </c>
      <c r="G385">
        <v>10915</v>
      </c>
      <c r="H385" s="116"/>
      <c r="I385" s="116"/>
      <c r="L385" s="170">
        <v>44672</v>
      </c>
      <c r="M385" s="116">
        <v>518.15</v>
      </c>
      <c r="N385" s="116">
        <v>536.54999999999995</v>
      </c>
      <c r="O385" s="116">
        <v>510.67</v>
      </c>
      <c r="P385" s="116">
        <v>510.67</v>
      </c>
      <c r="Q385" s="116">
        <v>2590.75</v>
      </c>
      <c r="R385">
        <v>220755</v>
      </c>
    </row>
    <row r="386" spans="1:18" x14ac:dyDescent="0.25">
      <c r="A386" s="170">
        <v>44670</v>
      </c>
      <c r="B386" s="116">
        <v>522.99</v>
      </c>
      <c r="C386" s="116">
        <v>512.19000000000005</v>
      </c>
      <c r="D386" s="116">
        <v>509.03</v>
      </c>
      <c r="E386" s="116">
        <v>512.4</v>
      </c>
      <c r="F386" s="116">
        <v>2560.9499999999998</v>
      </c>
      <c r="G386">
        <v>20005</v>
      </c>
      <c r="H386" s="116"/>
      <c r="I386" s="116"/>
      <c r="L386" s="170">
        <v>44673</v>
      </c>
      <c r="M386" s="116">
        <v>525.05999999999995</v>
      </c>
      <c r="N386" s="116">
        <v>528</v>
      </c>
      <c r="O386" s="116">
        <v>511.03</v>
      </c>
      <c r="P386" s="116">
        <v>516.6</v>
      </c>
      <c r="Q386" s="116">
        <v>2625.3</v>
      </c>
      <c r="R386">
        <v>171956</v>
      </c>
    </row>
    <row r="387" spans="1:18" x14ac:dyDescent="0.25">
      <c r="A387" s="170">
        <v>44671</v>
      </c>
      <c r="B387" s="116">
        <v>516.79999999999995</v>
      </c>
      <c r="C387" s="116">
        <v>510.65</v>
      </c>
      <c r="D387" s="116">
        <v>507.7</v>
      </c>
      <c r="E387" s="116">
        <v>512.20000000000005</v>
      </c>
      <c r="F387" s="116">
        <v>2553.25</v>
      </c>
      <c r="G387">
        <v>3814</v>
      </c>
      <c r="H387" s="116"/>
      <c r="I387" s="116"/>
      <c r="L387" s="170">
        <v>44676</v>
      </c>
      <c r="M387" s="116">
        <v>519.63</v>
      </c>
      <c r="N387" s="116">
        <v>527.6</v>
      </c>
      <c r="O387" s="116">
        <v>512.20000000000005</v>
      </c>
      <c r="P387" s="116">
        <v>522.4</v>
      </c>
      <c r="Q387" s="116">
        <v>2598.15</v>
      </c>
      <c r="R387">
        <v>212442</v>
      </c>
    </row>
    <row r="388" spans="1:18" x14ac:dyDescent="0.25">
      <c r="A388" s="170">
        <v>44672</v>
      </c>
      <c r="B388" s="116">
        <v>536</v>
      </c>
      <c r="C388" s="116">
        <v>518.08000000000004</v>
      </c>
      <c r="D388" s="116">
        <v>511.69</v>
      </c>
      <c r="E388" s="116">
        <v>511.8</v>
      </c>
      <c r="F388" s="116">
        <v>2590.4</v>
      </c>
      <c r="G388">
        <v>9242</v>
      </c>
      <c r="H388" s="116"/>
      <c r="I388" s="116"/>
      <c r="L388" s="170">
        <v>44677</v>
      </c>
      <c r="M388" s="116">
        <v>515.45000000000005</v>
      </c>
      <c r="N388" s="116">
        <v>524</v>
      </c>
      <c r="O388" s="116">
        <v>514</v>
      </c>
      <c r="P388" s="116">
        <v>520.96</v>
      </c>
      <c r="Q388" s="116">
        <v>2577.25</v>
      </c>
      <c r="R388">
        <v>144045</v>
      </c>
    </row>
    <row r="389" spans="1:18" x14ac:dyDescent="0.25">
      <c r="A389" s="170">
        <v>44673</v>
      </c>
      <c r="B389" s="116">
        <v>527.96</v>
      </c>
      <c r="C389" s="116">
        <v>525.41999999999996</v>
      </c>
      <c r="D389" s="116">
        <v>511.4</v>
      </c>
      <c r="E389" s="116">
        <v>516</v>
      </c>
      <c r="F389" s="116">
        <v>2627.1</v>
      </c>
      <c r="G389">
        <v>9508</v>
      </c>
      <c r="H389" s="116"/>
      <c r="I389" s="116"/>
      <c r="L389" s="170">
        <v>44678</v>
      </c>
      <c r="M389" s="116">
        <v>505.79</v>
      </c>
      <c r="N389" s="116">
        <v>513.6</v>
      </c>
      <c r="O389" s="116">
        <v>502.21</v>
      </c>
      <c r="P389" s="116">
        <v>513.6</v>
      </c>
      <c r="Q389" s="116">
        <v>2528.9499999999998</v>
      </c>
      <c r="R389">
        <v>77450</v>
      </c>
    </row>
    <row r="390" spans="1:18" x14ac:dyDescent="0.25">
      <c r="A390" s="170">
        <v>44676</v>
      </c>
      <c r="B390" s="116">
        <v>527.24</v>
      </c>
      <c r="C390" s="116">
        <v>519.22</v>
      </c>
      <c r="D390" s="116">
        <v>511.57</v>
      </c>
      <c r="E390" s="116">
        <v>523.6</v>
      </c>
      <c r="F390" s="116">
        <v>2596.1</v>
      </c>
      <c r="G390">
        <v>18547</v>
      </c>
      <c r="H390" s="116"/>
      <c r="I390" s="116"/>
      <c r="L390" s="170">
        <v>44679</v>
      </c>
      <c r="M390" s="116">
        <v>503.24</v>
      </c>
      <c r="N390" s="116">
        <v>511</v>
      </c>
      <c r="O390" s="116">
        <v>498</v>
      </c>
      <c r="P390" s="116">
        <v>510.58</v>
      </c>
      <c r="Q390" s="116">
        <v>2516.1999999999998</v>
      </c>
      <c r="R390">
        <v>77372</v>
      </c>
    </row>
    <row r="391" spans="1:18" x14ac:dyDescent="0.25">
      <c r="A391" s="170">
        <v>44677</v>
      </c>
      <c r="B391" s="116">
        <v>524.69000000000005</v>
      </c>
      <c r="C391" s="116">
        <v>514.94000000000005</v>
      </c>
      <c r="D391" s="116">
        <v>514</v>
      </c>
      <c r="E391" s="116">
        <v>524.64</v>
      </c>
      <c r="F391" s="116">
        <v>2574.6999999999998</v>
      </c>
      <c r="G391">
        <v>5922</v>
      </c>
      <c r="H391" s="116"/>
      <c r="I391" s="116"/>
      <c r="L391" s="170">
        <v>44680</v>
      </c>
      <c r="M391" s="116">
        <v>495.68</v>
      </c>
      <c r="N391" s="116">
        <v>507.5</v>
      </c>
      <c r="O391" s="116">
        <v>492.5</v>
      </c>
      <c r="P391" s="116">
        <v>505.6</v>
      </c>
      <c r="Q391" s="116">
        <v>2478.4</v>
      </c>
      <c r="R391">
        <v>96921</v>
      </c>
    </row>
    <row r="392" spans="1:18" x14ac:dyDescent="0.25">
      <c r="A392" s="170">
        <v>44678</v>
      </c>
      <c r="B392" s="116">
        <v>512.57000000000005</v>
      </c>
      <c r="C392" s="116">
        <v>505.32</v>
      </c>
      <c r="D392" s="116">
        <v>502.4</v>
      </c>
      <c r="E392" s="116">
        <v>510.4</v>
      </c>
      <c r="F392" s="116">
        <v>2526.6</v>
      </c>
      <c r="G392">
        <v>10000</v>
      </c>
      <c r="H392" s="116"/>
      <c r="I392" s="116"/>
      <c r="L392" s="170">
        <v>44683</v>
      </c>
      <c r="M392" s="116">
        <v>487.93</v>
      </c>
      <c r="N392" s="116">
        <v>495.36</v>
      </c>
      <c r="O392" s="116">
        <v>485.6</v>
      </c>
      <c r="P392" s="116">
        <v>491.27</v>
      </c>
      <c r="Q392" s="116">
        <v>2439.65</v>
      </c>
      <c r="R392">
        <v>63180</v>
      </c>
    </row>
    <row r="393" spans="1:18" x14ac:dyDescent="0.25">
      <c r="A393" s="170">
        <v>44679</v>
      </c>
      <c r="B393" s="116">
        <v>509.6</v>
      </c>
      <c r="C393" s="116">
        <v>503.45</v>
      </c>
      <c r="D393" s="116">
        <v>498.32</v>
      </c>
      <c r="E393" s="116">
        <v>507.71</v>
      </c>
      <c r="F393" s="116">
        <v>2517.25</v>
      </c>
      <c r="G393">
        <v>4045</v>
      </c>
      <c r="H393" s="116"/>
      <c r="I393" s="116"/>
      <c r="L393" s="170">
        <v>44685</v>
      </c>
      <c r="M393" s="116">
        <v>481.2</v>
      </c>
      <c r="N393" s="116">
        <v>492.97</v>
      </c>
      <c r="O393" s="116">
        <v>479.96</v>
      </c>
      <c r="P393" s="116">
        <v>487.8</v>
      </c>
      <c r="Q393" s="116">
        <v>2406</v>
      </c>
      <c r="R393">
        <v>77601</v>
      </c>
    </row>
    <row r="394" spans="1:18" x14ac:dyDescent="0.25">
      <c r="A394" s="170">
        <v>44680</v>
      </c>
      <c r="B394" s="116">
        <v>506.99</v>
      </c>
      <c r="C394" s="116">
        <v>494.92</v>
      </c>
      <c r="D394" s="116">
        <v>492.02</v>
      </c>
      <c r="E394" s="116">
        <v>502.12</v>
      </c>
      <c r="F394" s="116">
        <v>2474.6</v>
      </c>
      <c r="G394">
        <v>12338</v>
      </c>
      <c r="H394" s="116"/>
      <c r="I394" s="116"/>
      <c r="L394" s="170">
        <v>44686</v>
      </c>
      <c r="M394" s="116">
        <v>484.24</v>
      </c>
      <c r="N394" s="116">
        <v>497.8</v>
      </c>
      <c r="O394" s="116">
        <v>470.84</v>
      </c>
      <c r="P394" s="116">
        <v>486.99</v>
      </c>
      <c r="Q394" s="116">
        <v>2421.1999999999998</v>
      </c>
      <c r="R394">
        <v>252847</v>
      </c>
    </row>
    <row r="395" spans="1:18" x14ac:dyDescent="0.25">
      <c r="A395" s="170">
        <v>44683</v>
      </c>
      <c r="B395" s="116">
        <v>495.59</v>
      </c>
      <c r="C395" s="116">
        <v>488.26</v>
      </c>
      <c r="D395" s="116">
        <v>485.8</v>
      </c>
      <c r="E395" s="116">
        <v>494.92</v>
      </c>
      <c r="F395" s="116">
        <v>2441.3000000000002</v>
      </c>
      <c r="G395">
        <v>5063</v>
      </c>
      <c r="H395" s="116"/>
      <c r="I395" s="116"/>
      <c r="L395" s="170">
        <v>44687</v>
      </c>
      <c r="M395" s="116">
        <v>479.64</v>
      </c>
      <c r="N395" s="116">
        <v>482.01</v>
      </c>
      <c r="O395" s="116">
        <v>469.4</v>
      </c>
      <c r="P395" s="116">
        <v>470</v>
      </c>
      <c r="Q395" s="116">
        <v>2398.1999999999998</v>
      </c>
      <c r="R395">
        <v>128930</v>
      </c>
    </row>
    <row r="396" spans="1:18" x14ac:dyDescent="0.25">
      <c r="A396" s="170">
        <v>44685</v>
      </c>
      <c r="B396" s="116">
        <v>494</v>
      </c>
      <c r="C396" s="116">
        <v>481.13</v>
      </c>
      <c r="D396" s="116">
        <v>480</v>
      </c>
      <c r="E396" s="116">
        <v>489.97</v>
      </c>
      <c r="F396" s="116">
        <v>2405.65</v>
      </c>
      <c r="G396">
        <v>14426</v>
      </c>
      <c r="H396" s="116"/>
      <c r="I396" s="116"/>
      <c r="L396" s="170">
        <v>44690</v>
      </c>
      <c r="M396" s="116">
        <v>472.24</v>
      </c>
      <c r="N396" s="116">
        <v>478</v>
      </c>
      <c r="O396" s="116">
        <v>464.16</v>
      </c>
      <c r="P396" s="116">
        <v>472</v>
      </c>
      <c r="Q396" s="116">
        <v>2361.1999999999998</v>
      </c>
      <c r="R396">
        <v>130769</v>
      </c>
    </row>
    <row r="397" spans="1:18" x14ac:dyDescent="0.25">
      <c r="A397" s="170">
        <v>44686</v>
      </c>
      <c r="B397" s="116">
        <v>496</v>
      </c>
      <c r="C397" s="116">
        <v>484.16</v>
      </c>
      <c r="D397" s="116">
        <v>471.2</v>
      </c>
      <c r="E397" s="116">
        <v>485</v>
      </c>
      <c r="F397" s="116">
        <v>2420.8000000000002</v>
      </c>
      <c r="G397">
        <v>18716</v>
      </c>
      <c r="H397" s="116"/>
      <c r="I397" s="116"/>
      <c r="L397" s="170">
        <v>44691</v>
      </c>
      <c r="M397" s="116">
        <v>458.54</v>
      </c>
      <c r="N397" s="116">
        <v>479.55</v>
      </c>
      <c r="O397" s="116">
        <v>455.4</v>
      </c>
      <c r="P397" s="116">
        <v>473.27</v>
      </c>
      <c r="Q397" s="116">
        <v>2292.6999999999998</v>
      </c>
      <c r="R397">
        <v>129907</v>
      </c>
    </row>
    <row r="398" spans="1:18" x14ac:dyDescent="0.25">
      <c r="A398" s="170">
        <v>44687</v>
      </c>
      <c r="B398" s="116">
        <v>481.58</v>
      </c>
      <c r="C398" s="116">
        <v>479.59</v>
      </c>
      <c r="D398" s="116">
        <v>469.34</v>
      </c>
      <c r="E398" s="116">
        <v>481</v>
      </c>
      <c r="F398" s="116">
        <v>2397.9499999999998</v>
      </c>
      <c r="G398">
        <v>5355</v>
      </c>
      <c r="H398" s="116"/>
      <c r="I398" s="116"/>
      <c r="L398" s="170">
        <v>44692</v>
      </c>
      <c r="M398" s="116">
        <v>453.81</v>
      </c>
      <c r="N398" s="116">
        <v>463.86</v>
      </c>
      <c r="O398" s="116">
        <v>448.4</v>
      </c>
      <c r="P398" s="116">
        <v>459.8</v>
      </c>
      <c r="Q398" s="116">
        <v>2269.0500000000002</v>
      </c>
      <c r="R398">
        <v>128582</v>
      </c>
    </row>
    <row r="399" spans="1:18" x14ac:dyDescent="0.25">
      <c r="A399" s="170">
        <v>44690</v>
      </c>
      <c r="B399" s="116">
        <v>479</v>
      </c>
      <c r="C399" s="116">
        <v>472.5</v>
      </c>
      <c r="D399" s="116">
        <v>464</v>
      </c>
      <c r="E399" s="116">
        <v>479</v>
      </c>
      <c r="F399" s="116">
        <v>2362.5</v>
      </c>
      <c r="G399">
        <v>4880</v>
      </c>
      <c r="H399" s="116"/>
      <c r="I399" s="116"/>
      <c r="L399" s="170">
        <v>44693</v>
      </c>
      <c r="M399" s="116">
        <v>439.52</v>
      </c>
      <c r="N399" s="116">
        <v>453</v>
      </c>
      <c r="O399" s="116">
        <v>438.4</v>
      </c>
      <c r="P399" s="116">
        <v>453</v>
      </c>
      <c r="Q399" s="116">
        <v>2197.6</v>
      </c>
      <c r="R399">
        <v>150235</v>
      </c>
    </row>
    <row r="400" spans="1:18" x14ac:dyDescent="0.25">
      <c r="A400" s="170">
        <v>44691</v>
      </c>
      <c r="B400" s="116">
        <v>479.6</v>
      </c>
      <c r="C400" s="116">
        <v>458.47</v>
      </c>
      <c r="D400" s="116">
        <v>455.4</v>
      </c>
      <c r="E400" s="116">
        <v>469.14</v>
      </c>
      <c r="F400" s="116">
        <v>2292.35</v>
      </c>
      <c r="G400">
        <v>15640</v>
      </c>
      <c r="H400" s="116"/>
      <c r="I400" s="116"/>
      <c r="L400" s="170">
        <v>44694</v>
      </c>
      <c r="M400" s="116">
        <v>430</v>
      </c>
      <c r="N400" s="116">
        <v>446.4</v>
      </c>
      <c r="O400" s="116">
        <v>428</v>
      </c>
      <c r="P400" s="116">
        <v>446</v>
      </c>
      <c r="Q400" s="116">
        <v>2150</v>
      </c>
      <c r="R400">
        <v>226743</v>
      </c>
    </row>
    <row r="401" spans="1:18" x14ac:dyDescent="0.25">
      <c r="A401" s="170">
        <v>44692</v>
      </c>
      <c r="B401" s="116">
        <v>464.26</v>
      </c>
      <c r="C401" s="116">
        <v>453.17</v>
      </c>
      <c r="D401" s="116">
        <v>449</v>
      </c>
      <c r="E401" s="116">
        <v>458.42</v>
      </c>
      <c r="F401" s="116">
        <v>2265.85</v>
      </c>
      <c r="G401">
        <v>7816</v>
      </c>
      <c r="H401" s="116"/>
      <c r="I401" s="116"/>
      <c r="L401" s="170">
        <v>44697</v>
      </c>
      <c r="M401" s="116">
        <v>432.02</v>
      </c>
      <c r="N401" s="116">
        <v>438.01</v>
      </c>
      <c r="O401" s="116">
        <v>422.8</v>
      </c>
      <c r="P401" s="116">
        <v>438.01</v>
      </c>
      <c r="Q401" s="116">
        <v>2160.1</v>
      </c>
      <c r="R401">
        <v>115884</v>
      </c>
    </row>
    <row r="402" spans="1:18" x14ac:dyDescent="0.25">
      <c r="A402" s="170">
        <v>44693</v>
      </c>
      <c r="B402" s="116">
        <v>453.81</v>
      </c>
      <c r="C402" s="116">
        <v>439.36</v>
      </c>
      <c r="D402" s="116">
        <v>438.2</v>
      </c>
      <c r="E402" s="116">
        <v>453.81</v>
      </c>
      <c r="F402" s="116">
        <v>2196.8000000000002</v>
      </c>
      <c r="G402">
        <v>6900</v>
      </c>
      <c r="H402" s="116"/>
      <c r="I402" s="116"/>
      <c r="L402" s="170">
        <v>44698</v>
      </c>
      <c r="M402" s="116">
        <v>439.19</v>
      </c>
      <c r="N402" s="116">
        <v>440</v>
      </c>
      <c r="O402" s="116">
        <v>433.92</v>
      </c>
      <c r="P402" s="116">
        <v>435.8</v>
      </c>
      <c r="Q402" s="116">
        <v>2195.9499999999998</v>
      </c>
      <c r="R402">
        <v>104586</v>
      </c>
    </row>
    <row r="403" spans="1:18" x14ac:dyDescent="0.25">
      <c r="A403" s="170">
        <v>44694</v>
      </c>
      <c r="B403" s="116">
        <v>450.32</v>
      </c>
      <c r="C403" s="116">
        <v>430.33</v>
      </c>
      <c r="D403" s="116">
        <v>428.32</v>
      </c>
      <c r="E403" s="116">
        <v>450</v>
      </c>
      <c r="F403" s="116">
        <v>2151.65</v>
      </c>
      <c r="G403">
        <v>9358</v>
      </c>
      <c r="H403" s="116"/>
      <c r="I403" s="116"/>
      <c r="L403" s="170">
        <v>44699</v>
      </c>
      <c r="M403" s="116">
        <v>434.21</v>
      </c>
      <c r="N403" s="116">
        <v>446.8</v>
      </c>
      <c r="O403" s="116">
        <v>432</v>
      </c>
      <c r="P403" s="116">
        <v>444.54</v>
      </c>
      <c r="Q403" s="116">
        <v>2171.0500000000002</v>
      </c>
      <c r="R403">
        <v>80625</v>
      </c>
    </row>
    <row r="404" spans="1:18" x14ac:dyDescent="0.25">
      <c r="A404" s="170">
        <v>44697</v>
      </c>
      <c r="B404" s="116">
        <v>439</v>
      </c>
      <c r="C404" s="116">
        <v>432.16</v>
      </c>
      <c r="D404" s="116">
        <v>423</v>
      </c>
      <c r="E404" s="116">
        <v>436.4</v>
      </c>
      <c r="F404" s="116">
        <v>2160.8000000000002</v>
      </c>
      <c r="G404">
        <v>16527</v>
      </c>
      <c r="H404" s="116"/>
      <c r="I404" s="116"/>
      <c r="L404" s="170">
        <v>44700</v>
      </c>
      <c r="M404" s="116">
        <v>429.01</v>
      </c>
      <c r="N404" s="116">
        <v>435</v>
      </c>
      <c r="O404" s="116">
        <v>420.61</v>
      </c>
      <c r="P404" s="116">
        <v>430</v>
      </c>
      <c r="Q404" s="116">
        <v>2145.0500000000002</v>
      </c>
      <c r="R404">
        <v>78216</v>
      </c>
    </row>
    <row r="405" spans="1:18" x14ac:dyDescent="0.25">
      <c r="A405" s="170">
        <v>44698</v>
      </c>
      <c r="B405" s="116">
        <v>440.23</v>
      </c>
      <c r="C405" s="116">
        <v>439.32</v>
      </c>
      <c r="D405" s="116">
        <v>433.89</v>
      </c>
      <c r="E405" s="116">
        <v>439</v>
      </c>
      <c r="F405" s="116">
        <v>2196.6</v>
      </c>
      <c r="G405">
        <v>9816</v>
      </c>
      <c r="H405" s="116"/>
      <c r="I405" s="116"/>
      <c r="L405" s="170">
        <v>44701</v>
      </c>
      <c r="M405" s="116">
        <v>450.26</v>
      </c>
      <c r="N405" s="116">
        <v>452.13</v>
      </c>
      <c r="O405" s="116">
        <v>434.27</v>
      </c>
      <c r="P405" s="116">
        <v>439.52</v>
      </c>
      <c r="Q405" s="116">
        <v>2251.3000000000002</v>
      </c>
      <c r="R405">
        <v>108533</v>
      </c>
    </row>
    <row r="406" spans="1:18" x14ac:dyDescent="0.25">
      <c r="A406" s="170">
        <v>44699</v>
      </c>
      <c r="B406" s="116">
        <v>447.99</v>
      </c>
      <c r="C406" s="116">
        <v>434.36</v>
      </c>
      <c r="D406" s="116">
        <v>433</v>
      </c>
      <c r="E406" s="116">
        <v>447.99</v>
      </c>
      <c r="F406" s="116">
        <v>2171.8000000000002</v>
      </c>
      <c r="G406">
        <v>10950</v>
      </c>
      <c r="H406" s="116"/>
      <c r="I406" s="116"/>
      <c r="L406" s="170">
        <v>44704</v>
      </c>
      <c r="M406" s="116">
        <v>438.64</v>
      </c>
      <c r="N406" s="116">
        <v>455.53</v>
      </c>
      <c r="O406" s="116">
        <v>437.01</v>
      </c>
      <c r="P406" s="116">
        <v>451.2</v>
      </c>
      <c r="Q406" s="116">
        <v>2193.1999999999998</v>
      </c>
      <c r="R406">
        <v>192889</v>
      </c>
    </row>
    <row r="407" spans="1:18" x14ac:dyDescent="0.25">
      <c r="A407" s="170">
        <v>44700</v>
      </c>
      <c r="B407" s="116">
        <v>433.98</v>
      </c>
      <c r="C407" s="116">
        <v>429.02</v>
      </c>
      <c r="D407" s="116">
        <v>420.66</v>
      </c>
      <c r="E407" s="116">
        <v>428.4</v>
      </c>
      <c r="F407" s="116">
        <v>2145.1</v>
      </c>
      <c r="G407">
        <v>14736</v>
      </c>
      <c r="H407" s="116"/>
      <c r="I407" s="116"/>
      <c r="L407" s="170">
        <v>44705</v>
      </c>
      <c r="M407" s="116">
        <v>438.75</v>
      </c>
      <c r="N407" s="116">
        <v>445.8</v>
      </c>
      <c r="O407" s="116">
        <v>435</v>
      </c>
      <c r="P407" s="116">
        <v>443.96</v>
      </c>
      <c r="Q407" s="116">
        <v>2193.75</v>
      </c>
      <c r="R407">
        <v>210030</v>
      </c>
    </row>
    <row r="408" spans="1:18" x14ac:dyDescent="0.25">
      <c r="A408" s="170">
        <v>44701</v>
      </c>
      <c r="B408" s="116">
        <v>452</v>
      </c>
      <c r="C408" s="116">
        <v>450.16</v>
      </c>
      <c r="D408" s="116">
        <v>435.07</v>
      </c>
      <c r="E408" s="116">
        <v>437</v>
      </c>
      <c r="F408" s="116">
        <v>2250.8000000000002</v>
      </c>
      <c r="G408">
        <v>13750</v>
      </c>
      <c r="H408" s="116"/>
      <c r="I408" s="116"/>
      <c r="L408" s="170">
        <v>44706</v>
      </c>
      <c r="M408" s="116">
        <v>421.31</v>
      </c>
      <c r="N408" s="116">
        <v>440</v>
      </c>
      <c r="O408" s="116">
        <v>419.2</v>
      </c>
      <c r="P408" s="116">
        <v>438.86</v>
      </c>
      <c r="Q408" s="116">
        <v>2106.5500000000002</v>
      </c>
      <c r="R408">
        <v>122733</v>
      </c>
    </row>
    <row r="409" spans="1:18" x14ac:dyDescent="0.25">
      <c r="A409" s="170">
        <v>44704</v>
      </c>
      <c r="B409" s="116">
        <v>459.2</v>
      </c>
      <c r="C409" s="116">
        <v>438.43</v>
      </c>
      <c r="D409" s="116">
        <v>436.92</v>
      </c>
      <c r="E409" s="116">
        <v>459.2</v>
      </c>
      <c r="F409" s="116">
        <v>2192.15</v>
      </c>
      <c r="G409">
        <v>5242</v>
      </c>
      <c r="H409" s="116"/>
      <c r="I409" s="116"/>
      <c r="L409" s="170">
        <v>44707</v>
      </c>
      <c r="M409" s="116">
        <v>415.08</v>
      </c>
      <c r="N409" s="116">
        <v>427</v>
      </c>
      <c r="O409" s="116">
        <v>407.43</v>
      </c>
      <c r="P409" s="116">
        <v>422.6</v>
      </c>
      <c r="Q409" s="116">
        <v>2075.4</v>
      </c>
      <c r="R409">
        <v>199775</v>
      </c>
    </row>
    <row r="410" spans="1:18" x14ac:dyDescent="0.25">
      <c r="A410" s="170">
        <v>44705</v>
      </c>
      <c r="B410" s="116">
        <v>445.94</v>
      </c>
      <c r="C410" s="116">
        <v>437.72</v>
      </c>
      <c r="D410" s="116">
        <v>435.24</v>
      </c>
      <c r="E410" s="116">
        <v>444</v>
      </c>
      <c r="F410" s="116">
        <v>2188.6</v>
      </c>
      <c r="G410">
        <v>4366</v>
      </c>
      <c r="H410" s="116"/>
      <c r="I410" s="116"/>
      <c r="L410" s="170">
        <v>44708</v>
      </c>
      <c r="M410" s="116">
        <v>417.64</v>
      </c>
      <c r="N410" s="116">
        <v>432</v>
      </c>
      <c r="O410" s="116">
        <v>415.42</v>
      </c>
      <c r="P410" s="116">
        <v>421</v>
      </c>
      <c r="Q410" s="116">
        <v>2088.1999999999998</v>
      </c>
      <c r="R410">
        <v>109474</v>
      </c>
    </row>
    <row r="411" spans="1:18" x14ac:dyDescent="0.25">
      <c r="A411" s="170">
        <v>44706</v>
      </c>
      <c r="B411" s="116">
        <v>443</v>
      </c>
      <c r="C411" s="116">
        <v>421.19</v>
      </c>
      <c r="D411" s="116">
        <v>418.37</v>
      </c>
      <c r="E411" s="116">
        <v>443</v>
      </c>
      <c r="F411" s="116">
        <v>2105.9499999999998</v>
      </c>
      <c r="G411">
        <v>4892</v>
      </c>
      <c r="H411" s="116"/>
      <c r="I411" s="116"/>
      <c r="L411" s="170">
        <v>44711</v>
      </c>
      <c r="M411" s="116">
        <v>425.39</v>
      </c>
      <c r="N411" s="116">
        <v>427.7</v>
      </c>
      <c r="O411" s="116">
        <v>419</v>
      </c>
      <c r="P411" s="116">
        <v>425.31</v>
      </c>
      <c r="Q411" s="116">
        <v>2126.9499999999998</v>
      </c>
      <c r="R411">
        <v>136945</v>
      </c>
    </row>
    <row r="412" spans="1:18" x14ac:dyDescent="0.25">
      <c r="A412" s="170">
        <v>44707</v>
      </c>
      <c r="B412" s="116">
        <v>434</v>
      </c>
      <c r="C412" s="116">
        <v>415.01</v>
      </c>
      <c r="D412" s="116">
        <v>407.8</v>
      </c>
      <c r="E412" s="116">
        <v>423.2</v>
      </c>
      <c r="F412" s="116">
        <v>2075.0500000000002</v>
      </c>
      <c r="G412">
        <v>8678</v>
      </c>
      <c r="H412" s="116"/>
      <c r="I412" s="116"/>
      <c r="L412" s="170">
        <v>44712</v>
      </c>
      <c r="M412" s="116">
        <v>465.14</v>
      </c>
      <c r="N412" s="116">
        <v>471.59</v>
      </c>
      <c r="O412" s="116">
        <v>426.04</v>
      </c>
      <c r="P412" s="116">
        <v>428.8</v>
      </c>
      <c r="Q412" s="116">
        <v>2325.6999999999998</v>
      </c>
      <c r="R412">
        <v>576395</v>
      </c>
    </row>
    <row r="413" spans="1:18" x14ac:dyDescent="0.25">
      <c r="A413" s="170">
        <v>44708</v>
      </c>
      <c r="B413" s="116">
        <v>432.13</v>
      </c>
      <c r="C413" s="116">
        <v>418.11</v>
      </c>
      <c r="D413" s="116">
        <v>415.94</v>
      </c>
      <c r="E413" s="116">
        <v>428</v>
      </c>
      <c r="F413" s="116">
        <v>2090.5500000000002</v>
      </c>
      <c r="G413">
        <v>5986</v>
      </c>
      <c r="H413" s="116"/>
      <c r="I413" s="116"/>
      <c r="L413" s="170">
        <v>44713</v>
      </c>
      <c r="M413" s="116">
        <v>481.82</v>
      </c>
      <c r="N413" s="116">
        <v>489.56</v>
      </c>
      <c r="O413" s="116">
        <v>466.6</v>
      </c>
      <c r="P413" s="116">
        <v>466.6</v>
      </c>
      <c r="Q413" s="116">
        <v>2409.1</v>
      </c>
      <c r="R413">
        <v>403859</v>
      </c>
    </row>
    <row r="414" spans="1:18" x14ac:dyDescent="0.25">
      <c r="A414" s="170">
        <v>44711</v>
      </c>
      <c r="B414" s="116">
        <v>427.38</v>
      </c>
      <c r="C414" s="116">
        <v>425.53</v>
      </c>
      <c r="D414" s="116">
        <v>419.22</v>
      </c>
      <c r="E414" s="116">
        <v>423.2</v>
      </c>
      <c r="F414" s="116">
        <v>2127.65</v>
      </c>
      <c r="G414">
        <v>12551</v>
      </c>
      <c r="H414" s="116"/>
      <c r="I414" s="116"/>
      <c r="L414" s="170">
        <v>44714</v>
      </c>
      <c r="M414" s="116">
        <v>488.46</v>
      </c>
      <c r="N414" s="116">
        <v>490.36</v>
      </c>
      <c r="O414" s="116">
        <v>473</v>
      </c>
      <c r="P414" s="116">
        <v>480</v>
      </c>
      <c r="Q414" s="116">
        <v>2442.3000000000002</v>
      </c>
      <c r="R414">
        <v>173349</v>
      </c>
    </row>
    <row r="415" spans="1:18" x14ac:dyDescent="0.25">
      <c r="A415" s="170">
        <v>44712</v>
      </c>
      <c r="B415" s="116">
        <v>471.37</v>
      </c>
      <c r="C415" s="116">
        <v>465.28</v>
      </c>
      <c r="D415" s="116">
        <v>427.38</v>
      </c>
      <c r="E415" s="116">
        <v>428.05</v>
      </c>
      <c r="F415" s="116">
        <v>2326.4</v>
      </c>
      <c r="G415">
        <v>40873</v>
      </c>
      <c r="H415" s="116"/>
      <c r="I415" s="116"/>
      <c r="L415" s="170">
        <v>44715</v>
      </c>
      <c r="M415" s="116">
        <v>480.2</v>
      </c>
      <c r="N415" s="116">
        <v>491.98</v>
      </c>
      <c r="O415" s="116">
        <v>473.86</v>
      </c>
      <c r="P415" s="116">
        <v>490.2</v>
      </c>
      <c r="Q415" s="116">
        <v>2401</v>
      </c>
      <c r="R415">
        <v>360294</v>
      </c>
    </row>
    <row r="416" spans="1:18" x14ac:dyDescent="0.25">
      <c r="A416" s="170">
        <v>44713</v>
      </c>
      <c r="B416" s="116">
        <v>489.62</v>
      </c>
      <c r="C416" s="116">
        <v>481.36</v>
      </c>
      <c r="D416" s="116">
        <v>465.28</v>
      </c>
      <c r="E416" s="116">
        <v>465.28</v>
      </c>
      <c r="F416" s="116">
        <v>2406.8000000000002</v>
      </c>
      <c r="G416">
        <v>37183</v>
      </c>
      <c r="H416" s="116"/>
      <c r="I416" s="116"/>
      <c r="L416" s="170">
        <v>44718</v>
      </c>
      <c r="M416" s="116">
        <v>479.98</v>
      </c>
      <c r="N416" s="116">
        <v>484.8</v>
      </c>
      <c r="O416" s="116">
        <v>470.52</v>
      </c>
      <c r="P416" s="116">
        <v>480</v>
      </c>
      <c r="Q416" s="116">
        <v>2399.9</v>
      </c>
      <c r="R416">
        <v>251724</v>
      </c>
    </row>
    <row r="417" spans="1:18" x14ac:dyDescent="0.25">
      <c r="A417" s="170">
        <v>44714</v>
      </c>
      <c r="B417" s="116">
        <v>490</v>
      </c>
      <c r="C417" s="116">
        <v>488.28</v>
      </c>
      <c r="D417" s="116">
        <v>473.23</v>
      </c>
      <c r="E417" s="116">
        <v>477.01</v>
      </c>
      <c r="F417" s="116">
        <v>2441.4</v>
      </c>
      <c r="G417">
        <v>7623</v>
      </c>
      <c r="H417" s="116"/>
      <c r="I417" s="116"/>
      <c r="L417" s="170">
        <v>44719</v>
      </c>
      <c r="M417" s="116">
        <v>486.89</v>
      </c>
      <c r="N417" s="116">
        <v>489</v>
      </c>
      <c r="O417" s="116">
        <v>475.01</v>
      </c>
      <c r="P417" s="116">
        <v>476</v>
      </c>
      <c r="Q417" s="116">
        <v>2434.4499999999998</v>
      </c>
      <c r="R417">
        <v>141792</v>
      </c>
    </row>
    <row r="418" spans="1:18" x14ac:dyDescent="0.25">
      <c r="A418" s="170">
        <v>44715</v>
      </c>
      <c r="B418" s="116">
        <v>491.6</v>
      </c>
      <c r="C418" s="116">
        <v>480.3</v>
      </c>
      <c r="D418" s="116">
        <v>473.87</v>
      </c>
      <c r="E418" s="116">
        <v>491.6</v>
      </c>
      <c r="F418" s="116">
        <v>2401.5</v>
      </c>
      <c r="G418">
        <v>7262</v>
      </c>
      <c r="H418" s="116"/>
      <c r="I418" s="116"/>
      <c r="L418" s="170">
        <v>44720</v>
      </c>
      <c r="M418" s="116">
        <v>485.66</v>
      </c>
      <c r="N418" s="116">
        <v>491.8</v>
      </c>
      <c r="O418" s="116">
        <v>480</v>
      </c>
      <c r="P418" s="116">
        <v>484.43</v>
      </c>
      <c r="Q418" s="116">
        <v>2428.3000000000002</v>
      </c>
      <c r="R418">
        <v>80284</v>
      </c>
    </row>
    <row r="419" spans="1:18" x14ac:dyDescent="0.25">
      <c r="A419" s="170">
        <v>44718</v>
      </c>
      <c r="B419" s="116">
        <v>484.6</v>
      </c>
      <c r="C419" s="116">
        <v>479.79</v>
      </c>
      <c r="D419" s="116">
        <v>470.07</v>
      </c>
      <c r="E419" s="116">
        <v>480</v>
      </c>
      <c r="F419" s="116">
        <v>2398.9499999999998</v>
      </c>
      <c r="G419">
        <v>9457</v>
      </c>
      <c r="H419" s="116"/>
      <c r="I419" s="116"/>
      <c r="L419" s="170">
        <v>44721</v>
      </c>
      <c r="M419" s="116">
        <v>513.39</v>
      </c>
      <c r="N419" s="116">
        <v>519.49</v>
      </c>
      <c r="O419" s="116">
        <v>486.62</v>
      </c>
      <c r="P419" s="116">
        <v>492</v>
      </c>
      <c r="Q419" s="116">
        <v>2566.9499999999998</v>
      </c>
      <c r="R419">
        <v>851145</v>
      </c>
    </row>
    <row r="420" spans="1:18" x14ac:dyDescent="0.25">
      <c r="A420" s="170">
        <v>44719</v>
      </c>
      <c r="B420" s="116">
        <v>488.73</v>
      </c>
      <c r="C420" s="116">
        <v>486.55</v>
      </c>
      <c r="D420" s="116">
        <v>475</v>
      </c>
      <c r="E420" s="116">
        <v>475</v>
      </c>
      <c r="F420" s="116">
        <v>2432.75</v>
      </c>
      <c r="G420">
        <v>12326</v>
      </c>
      <c r="H420" s="116"/>
      <c r="I420" s="116"/>
      <c r="L420" s="170">
        <v>44722</v>
      </c>
      <c r="M420" s="116">
        <v>517.58000000000004</v>
      </c>
      <c r="N420" s="116">
        <v>531.20000000000005</v>
      </c>
      <c r="O420" s="116">
        <v>503.84</v>
      </c>
      <c r="P420" s="116">
        <v>507.81</v>
      </c>
      <c r="Q420" s="116">
        <v>2587.9</v>
      </c>
      <c r="R420">
        <v>436893</v>
      </c>
    </row>
    <row r="421" spans="1:18" x14ac:dyDescent="0.25">
      <c r="A421" s="170">
        <v>44720</v>
      </c>
      <c r="B421" s="116">
        <v>492.16</v>
      </c>
      <c r="C421" s="116">
        <v>485.49</v>
      </c>
      <c r="D421" s="116">
        <v>480.59</v>
      </c>
      <c r="E421" s="116">
        <v>486.5</v>
      </c>
      <c r="F421" s="116">
        <v>2427.4499999999998</v>
      </c>
      <c r="G421">
        <v>4080</v>
      </c>
      <c r="H421" s="116"/>
      <c r="I421" s="116"/>
      <c r="L421" s="170">
        <v>44725</v>
      </c>
      <c r="M421" s="116">
        <v>494.16</v>
      </c>
      <c r="N421" s="116">
        <v>513.52</v>
      </c>
      <c r="O421" s="116">
        <v>474.6</v>
      </c>
      <c r="P421" s="116">
        <v>510</v>
      </c>
      <c r="Q421" s="116">
        <v>2470.8000000000002</v>
      </c>
      <c r="R421">
        <v>181504</v>
      </c>
    </row>
    <row r="422" spans="1:18" x14ac:dyDescent="0.25">
      <c r="A422" s="170">
        <v>44721</v>
      </c>
      <c r="B422" s="116">
        <v>519.47</v>
      </c>
      <c r="C422" s="116">
        <v>513.96</v>
      </c>
      <c r="D422" s="116">
        <v>486.79</v>
      </c>
      <c r="E422" s="116">
        <v>486.79</v>
      </c>
      <c r="F422" s="116">
        <v>2569.8000000000002</v>
      </c>
      <c r="G422">
        <v>27430</v>
      </c>
      <c r="H422" s="116"/>
      <c r="I422" s="116"/>
      <c r="L422" s="170">
        <v>44726</v>
      </c>
      <c r="M422" s="116">
        <v>468.72</v>
      </c>
      <c r="N422" s="116">
        <v>491.79</v>
      </c>
      <c r="O422" s="116">
        <v>464.22</v>
      </c>
      <c r="P422" s="116">
        <v>490.4</v>
      </c>
      <c r="Q422" s="116">
        <v>2343.6</v>
      </c>
      <c r="R422">
        <v>176722</v>
      </c>
    </row>
    <row r="423" spans="1:18" x14ac:dyDescent="0.25">
      <c r="A423" s="170">
        <v>44722</v>
      </c>
      <c r="B423" s="116">
        <v>531.19000000000005</v>
      </c>
      <c r="C423" s="116">
        <v>517.86</v>
      </c>
      <c r="D423" s="116">
        <v>504.2</v>
      </c>
      <c r="E423" s="116">
        <v>505.93</v>
      </c>
      <c r="F423" s="116">
        <v>2589.3000000000002</v>
      </c>
      <c r="G423">
        <v>33459</v>
      </c>
      <c r="H423" s="116"/>
      <c r="I423" s="116"/>
      <c r="L423" s="170">
        <v>44727</v>
      </c>
      <c r="M423" s="116">
        <v>474.41</v>
      </c>
      <c r="N423" s="116">
        <v>479.74</v>
      </c>
      <c r="O423" s="116">
        <v>465</v>
      </c>
      <c r="P423" s="116">
        <v>468.72</v>
      </c>
      <c r="Q423" s="116">
        <v>2372.0500000000002</v>
      </c>
      <c r="R423">
        <v>93472</v>
      </c>
    </row>
    <row r="424" spans="1:18" x14ac:dyDescent="0.25">
      <c r="A424" s="170">
        <v>44725</v>
      </c>
      <c r="B424" s="116">
        <v>513.79</v>
      </c>
      <c r="C424" s="116">
        <v>495.46</v>
      </c>
      <c r="D424" s="116">
        <v>482</v>
      </c>
      <c r="E424" s="116">
        <v>505</v>
      </c>
      <c r="F424" s="116">
        <v>2477.3000000000002</v>
      </c>
      <c r="G424">
        <v>25135</v>
      </c>
      <c r="H424" s="116"/>
      <c r="I424" s="116"/>
      <c r="L424" s="170">
        <v>44728</v>
      </c>
      <c r="M424" s="116">
        <v>463.57</v>
      </c>
      <c r="N424" s="116">
        <v>483.9</v>
      </c>
      <c r="O424" s="116">
        <v>459.16</v>
      </c>
      <c r="P424" s="116">
        <v>482</v>
      </c>
      <c r="Q424" s="116">
        <v>2317.85</v>
      </c>
      <c r="R424">
        <v>89826</v>
      </c>
    </row>
    <row r="425" spans="1:18" x14ac:dyDescent="0.25">
      <c r="A425" s="170">
        <v>44726</v>
      </c>
      <c r="B425" s="116">
        <v>489.87</v>
      </c>
      <c r="C425" s="116">
        <v>468.75</v>
      </c>
      <c r="D425" s="116">
        <v>465.4</v>
      </c>
      <c r="E425" s="116">
        <v>484</v>
      </c>
      <c r="F425" s="116">
        <v>2343.75</v>
      </c>
      <c r="G425">
        <v>19300</v>
      </c>
      <c r="H425" s="116"/>
      <c r="I425" s="116"/>
      <c r="L425" s="170">
        <v>44729</v>
      </c>
      <c r="M425" s="116">
        <v>483.62</v>
      </c>
      <c r="N425" s="116">
        <v>488.8</v>
      </c>
      <c r="O425" s="116">
        <v>456.81</v>
      </c>
      <c r="P425" s="116">
        <v>458</v>
      </c>
      <c r="Q425" s="116">
        <v>2418.1</v>
      </c>
      <c r="R425">
        <v>225442</v>
      </c>
    </row>
    <row r="426" spans="1:18" x14ac:dyDescent="0.25">
      <c r="A426" s="170">
        <v>44727</v>
      </c>
      <c r="B426" s="116">
        <v>477.76</v>
      </c>
      <c r="C426" s="116">
        <v>474.42</v>
      </c>
      <c r="D426" s="116">
        <v>465.06</v>
      </c>
      <c r="E426" s="116">
        <v>471.97</v>
      </c>
      <c r="F426" s="116">
        <v>2372.1</v>
      </c>
      <c r="G426">
        <v>7901</v>
      </c>
      <c r="H426" s="116"/>
      <c r="I426" s="116"/>
      <c r="L426" s="170">
        <v>44732</v>
      </c>
      <c r="M426" s="116">
        <v>495.12</v>
      </c>
      <c r="N426" s="116">
        <v>500</v>
      </c>
      <c r="O426" s="116">
        <v>483.79</v>
      </c>
      <c r="P426" s="116">
        <v>483.8</v>
      </c>
      <c r="Q426" s="116">
        <v>2475.6</v>
      </c>
      <c r="R426">
        <v>227954</v>
      </c>
    </row>
    <row r="427" spans="1:18" x14ac:dyDescent="0.25">
      <c r="A427" s="170">
        <v>44728</v>
      </c>
      <c r="B427" s="116">
        <v>486</v>
      </c>
      <c r="C427" s="116">
        <v>463.74</v>
      </c>
      <c r="D427" s="116">
        <v>459</v>
      </c>
      <c r="E427" s="116">
        <v>486</v>
      </c>
      <c r="F427" s="116">
        <v>2318.6999999999998</v>
      </c>
      <c r="G427">
        <v>16995</v>
      </c>
      <c r="H427" s="116"/>
      <c r="I427" s="116"/>
      <c r="L427" s="170">
        <v>44733</v>
      </c>
      <c r="M427" s="116">
        <v>480.67</v>
      </c>
      <c r="N427" s="116">
        <v>502</v>
      </c>
      <c r="O427" s="116">
        <v>478.4</v>
      </c>
      <c r="P427" s="116">
        <v>495.12</v>
      </c>
      <c r="Q427" s="116">
        <v>2403.35</v>
      </c>
      <c r="R427">
        <v>112168</v>
      </c>
    </row>
    <row r="428" spans="1:18" x14ac:dyDescent="0.25">
      <c r="A428" s="170">
        <v>44729</v>
      </c>
      <c r="B428" s="116">
        <v>488.87</v>
      </c>
      <c r="C428" s="116">
        <v>483.77</v>
      </c>
      <c r="D428" s="116">
        <v>456.2</v>
      </c>
      <c r="E428" s="116">
        <v>456.2</v>
      </c>
      <c r="F428" s="116">
        <v>2418.85</v>
      </c>
      <c r="G428">
        <v>19738</v>
      </c>
      <c r="H428" s="116"/>
      <c r="I428" s="116"/>
      <c r="L428" s="170">
        <v>44734</v>
      </c>
      <c r="M428" s="116">
        <v>458.81</v>
      </c>
      <c r="N428" s="116">
        <v>481.6</v>
      </c>
      <c r="O428" s="116">
        <v>456.05</v>
      </c>
      <c r="P428" s="116">
        <v>481.6</v>
      </c>
      <c r="Q428" s="116">
        <v>2294.0500000000002</v>
      </c>
      <c r="R428">
        <v>116412</v>
      </c>
    </row>
    <row r="429" spans="1:18" x14ac:dyDescent="0.25">
      <c r="A429" s="170">
        <v>44732</v>
      </c>
      <c r="B429" s="116">
        <v>499.8</v>
      </c>
      <c r="C429" s="116">
        <v>494.99</v>
      </c>
      <c r="D429" s="116">
        <v>480.01</v>
      </c>
      <c r="E429" s="116">
        <v>480.01</v>
      </c>
      <c r="F429" s="116">
        <v>2474.9499999999998</v>
      </c>
      <c r="G429">
        <v>28348</v>
      </c>
      <c r="H429" s="116"/>
      <c r="I429" s="116"/>
      <c r="L429" s="170">
        <v>44735</v>
      </c>
      <c r="M429" s="116">
        <v>463.75</v>
      </c>
      <c r="N429" s="116">
        <v>469</v>
      </c>
      <c r="O429" s="116">
        <v>459.4</v>
      </c>
      <c r="P429" s="116">
        <v>459.4</v>
      </c>
      <c r="Q429" s="116">
        <v>2318.75</v>
      </c>
      <c r="R429">
        <v>90695</v>
      </c>
    </row>
    <row r="430" spans="1:18" x14ac:dyDescent="0.25">
      <c r="A430" s="170">
        <v>44733</v>
      </c>
      <c r="B430" s="116">
        <v>501.87</v>
      </c>
      <c r="C430" s="116">
        <v>479.7</v>
      </c>
      <c r="D430" s="116">
        <v>477.66</v>
      </c>
      <c r="E430" s="116">
        <v>496</v>
      </c>
      <c r="F430" s="116">
        <v>2398.5</v>
      </c>
      <c r="G430">
        <v>6374</v>
      </c>
      <c r="H430" s="116"/>
      <c r="I430" s="116"/>
      <c r="L430" s="170">
        <v>44736</v>
      </c>
      <c r="M430" s="116">
        <v>460.36</v>
      </c>
      <c r="N430" s="116">
        <v>468.8</v>
      </c>
      <c r="O430" s="116">
        <v>457.26</v>
      </c>
      <c r="P430" s="116">
        <v>468</v>
      </c>
      <c r="Q430" s="116">
        <v>2301.8000000000002</v>
      </c>
      <c r="R430">
        <v>47603</v>
      </c>
    </row>
    <row r="431" spans="1:18" x14ac:dyDescent="0.25">
      <c r="A431" s="170">
        <v>44734</v>
      </c>
      <c r="B431" s="116">
        <v>481.65</v>
      </c>
      <c r="C431" s="116">
        <v>459.03</v>
      </c>
      <c r="D431" s="116">
        <v>457</v>
      </c>
      <c r="E431" s="116">
        <v>481.65</v>
      </c>
      <c r="F431" s="116">
        <v>2295.15</v>
      </c>
      <c r="G431">
        <v>4110</v>
      </c>
      <c r="H431" s="116"/>
      <c r="I431" s="116"/>
      <c r="L431" s="170">
        <v>44739</v>
      </c>
      <c r="M431" s="116">
        <v>459.59</v>
      </c>
      <c r="N431" s="116">
        <v>468.85</v>
      </c>
      <c r="O431" s="116">
        <v>457.6</v>
      </c>
      <c r="P431" s="116">
        <v>468</v>
      </c>
      <c r="Q431" s="116">
        <v>2297.9499999999998</v>
      </c>
      <c r="R431">
        <v>78228</v>
      </c>
    </row>
    <row r="432" spans="1:18" x14ac:dyDescent="0.25">
      <c r="A432" s="170">
        <v>44735</v>
      </c>
      <c r="B432" s="116">
        <v>468.21</v>
      </c>
      <c r="C432" s="116">
        <v>463.7</v>
      </c>
      <c r="D432" s="116">
        <v>458.82</v>
      </c>
      <c r="E432" s="116">
        <v>458.82</v>
      </c>
      <c r="F432" s="116">
        <v>2318.5</v>
      </c>
      <c r="G432">
        <v>7057</v>
      </c>
      <c r="H432" s="116"/>
      <c r="I432" s="116"/>
      <c r="L432" s="170">
        <v>44740</v>
      </c>
      <c r="M432" s="116">
        <v>451.62</v>
      </c>
      <c r="N432" s="116">
        <v>459.99</v>
      </c>
      <c r="O432" s="116">
        <v>450.6</v>
      </c>
      <c r="P432" s="116">
        <v>459.99</v>
      </c>
      <c r="Q432" s="116">
        <v>2258.1</v>
      </c>
      <c r="R432">
        <v>84246</v>
      </c>
    </row>
    <row r="433" spans="1:18" x14ac:dyDescent="0.25">
      <c r="A433" s="170">
        <v>44736</v>
      </c>
      <c r="B433" s="116">
        <v>468.53</v>
      </c>
      <c r="C433" s="116">
        <v>460.84</v>
      </c>
      <c r="D433" s="116">
        <v>458.65</v>
      </c>
      <c r="E433" s="116">
        <v>460.65</v>
      </c>
      <c r="F433" s="116">
        <v>2304.1999999999998</v>
      </c>
      <c r="G433">
        <v>3021</v>
      </c>
      <c r="H433" s="116"/>
      <c r="I433" s="116"/>
      <c r="L433" s="170">
        <v>44741</v>
      </c>
      <c r="M433" s="116">
        <v>453.61</v>
      </c>
      <c r="N433" s="116">
        <v>459.54</v>
      </c>
      <c r="O433" s="116">
        <v>446.4</v>
      </c>
      <c r="P433" s="116">
        <v>449.99</v>
      </c>
      <c r="Q433" s="116">
        <v>2268.0500000000002</v>
      </c>
      <c r="R433">
        <v>80898</v>
      </c>
    </row>
    <row r="434" spans="1:18" x14ac:dyDescent="0.25">
      <c r="A434" s="170">
        <v>44739</v>
      </c>
      <c r="B434" s="116">
        <v>469.07</v>
      </c>
      <c r="C434" s="116">
        <v>459.36</v>
      </c>
      <c r="D434" s="116">
        <v>458</v>
      </c>
      <c r="E434" s="116">
        <v>466</v>
      </c>
      <c r="F434" s="116">
        <v>2296.8000000000002</v>
      </c>
      <c r="G434">
        <v>8513</v>
      </c>
      <c r="H434" s="116"/>
      <c r="I434" s="116"/>
      <c r="L434" s="170">
        <v>44742</v>
      </c>
      <c r="M434" s="116">
        <v>451.55</v>
      </c>
      <c r="N434" s="116">
        <v>456.84</v>
      </c>
      <c r="O434" s="116">
        <v>450.01</v>
      </c>
      <c r="P434" s="116">
        <v>451</v>
      </c>
      <c r="Q434" s="116">
        <v>2257.75</v>
      </c>
      <c r="R434">
        <v>69549</v>
      </c>
    </row>
    <row r="435" spans="1:18" x14ac:dyDescent="0.25">
      <c r="A435" s="170">
        <v>44740</v>
      </c>
      <c r="B435" s="116">
        <v>459.4</v>
      </c>
      <c r="C435" s="116">
        <v>451.59</v>
      </c>
      <c r="D435" s="116">
        <v>450.49</v>
      </c>
      <c r="E435" s="116">
        <v>459.09</v>
      </c>
      <c r="F435" s="116">
        <v>2257.9499999999998</v>
      </c>
      <c r="G435">
        <v>3056</v>
      </c>
      <c r="H435" s="116"/>
      <c r="I435" s="116"/>
      <c r="L435" s="170">
        <v>44743</v>
      </c>
      <c r="M435" s="116">
        <v>444.96</v>
      </c>
      <c r="N435" s="116">
        <v>451.76</v>
      </c>
      <c r="O435" s="116">
        <v>441.4</v>
      </c>
      <c r="P435" s="116">
        <v>451.76</v>
      </c>
      <c r="Q435" s="116">
        <v>2224.8000000000002</v>
      </c>
      <c r="R435">
        <v>57998</v>
      </c>
    </row>
    <row r="436" spans="1:18" x14ac:dyDescent="0.25">
      <c r="A436" s="170">
        <v>44741</v>
      </c>
      <c r="B436" s="116">
        <v>459.17</v>
      </c>
      <c r="C436" s="116">
        <v>453.31</v>
      </c>
      <c r="D436" s="116">
        <v>446.5</v>
      </c>
      <c r="E436" s="116">
        <v>450</v>
      </c>
      <c r="F436" s="116">
        <v>2266.5500000000002</v>
      </c>
      <c r="G436">
        <v>3389</v>
      </c>
      <c r="H436" s="116"/>
      <c r="I436" s="116"/>
      <c r="L436" s="170">
        <v>44746</v>
      </c>
      <c r="M436" s="116">
        <v>432.98</v>
      </c>
      <c r="N436" s="116">
        <v>447</v>
      </c>
      <c r="O436" s="116">
        <v>430.4</v>
      </c>
      <c r="P436" s="116">
        <v>445</v>
      </c>
      <c r="Q436" s="116">
        <v>2164.9</v>
      </c>
      <c r="R436">
        <v>125098</v>
      </c>
    </row>
    <row r="437" spans="1:18" x14ac:dyDescent="0.25">
      <c r="A437" s="170">
        <v>44742</v>
      </c>
      <c r="B437" s="116">
        <v>456.41</v>
      </c>
      <c r="C437" s="116">
        <v>451.47</v>
      </c>
      <c r="D437" s="116">
        <v>449.83</v>
      </c>
      <c r="E437" s="116">
        <v>452.09</v>
      </c>
      <c r="F437" s="116">
        <v>2257.35</v>
      </c>
      <c r="G437">
        <v>2404</v>
      </c>
      <c r="H437" s="116"/>
      <c r="I437" s="116"/>
      <c r="L437" s="170">
        <v>44747</v>
      </c>
      <c r="M437" s="116">
        <v>439.27</v>
      </c>
      <c r="N437" s="116">
        <v>444.79</v>
      </c>
      <c r="O437" s="116">
        <v>435.79</v>
      </c>
      <c r="P437" s="116">
        <v>435.79</v>
      </c>
      <c r="Q437" s="116">
        <v>2196.35</v>
      </c>
      <c r="R437">
        <v>79502</v>
      </c>
    </row>
    <row r="438" spans="1:18" x14ac:dyDescent="0.25">
      <c r="A438" s="170">
        <v>44743</v>
      </c>
      <c r="B438" s="116">
        <v>454.96</v>
      </c>
      <c r="C438" s="116">
        <v>445.05</v>
      </c>
      <c r="D438" s="116">
        <v>441.91</v>
      </c>
      <c r="E438" s="116">
        <v>454.96</v>
      </c>
      <c r="F438" s="116">
        <v>2225.25</v>
      </c>
      <c r="G438">
        <v>2600</v>
      </c>
      <c r="H438" s="116"/>
      <c r="I438" s="116"/>
      <c r="L438" s="170">
        <v>44748</v>
      </c>
      <c r="M438" s="116">
        <v>446.19</v>
      </c>
      <c r="N438" s="116">
        <v>448.46</v>
      </c>
      <c r="O438" s="116">
        <v>435.07</v>
      </c>
      <c r="P438" s="116">
        <v>442.2</v>
      </c>
      <c r="Q438" s="116">
        <v>2230.9499999999998</v>
      </c>
      <c r="R438">
        <v>237921</v>
      </c>
    </row>
    <row r="439" spans="1:18" x14ac:dyDescent="0.25">
      <c r="A439" s="170">
        <v>44746</v>
      </c>
      <c r="B439" s="116">
        <v>446.95</v>
      </c>
      <c r="C439" s="116">
        <v>432.88</v>
      </c>
      <c r="D439" s="116">
        <v>430.8</v>
      </c>
      <c r="E439" s="116">
        <v>442.68</v>
      </c>
      <c r="F439" s="116">
        <v>2164.4</v>
      </c>
      <c r="G439">
        <v>12080</v>
      </c>
      <c r="H439" s="116"/>
      <c r="I439" s="116"/>
      <c r="L439" s="170">
        <v>44749</v>
      </c>
      <c r="M439" s="116">
        <v>453.57</v>
      </c>
      <c r="N439" s="116">
        <v>455.8</v>
      </c>
      <c r="O439" s="116">
        <v>447.07</v>
      </c>
      <c r="P439" s="116">
        <v>450.6</v>
      </c>
      <c r="Q439" s="116">
        <v>2267.85</v>
      </c>
      <c r="R439">
        <v>77891</v>
      </c>
    </row>
    <row r="440" spans="1:18" x14ac:dyDescent="0.25">
      <c r="A440" s="170">
        <v>44747</v>
      </c>
      <c r="B440" s="116">
        <v>444.6</v>
      </c>
      <c r="C440" s="116">
        <v>438.66</v>
      </c>
      <c r="D440" s="116">
        <v>434.4</v>
      </c>
      <c r="E440" s="116">
        <v>434.4</v>
      </c>
      <c r="F440" s="116">
        <v>2193.3000000000002</v>
      </c>
      <c r="G440">
        <v>2982</v>
      </c>
      <c r="H440" s="116"/>
      <c r="I440" s="116"/>
      <c r="L440" s="170">
        <v>44750</v>
      </c>
      <c r="M440" s="116">
        <v>453.69</v>
      </c>
      <c r="N440" s="116">
        <v>461.8</v>
      </c>
      <c r="O440" s="116">
        <v>451.26</v>
      </c>
      <c r="P440" s="116">
        <v>455.2</v>
      </c>
      <c r="Q440" s="116">
        <v>2268.4499999999998</v>
      </c>
      <c r="R440">
        <v>84965</v>
      </c>
    </row>
    <row r="441" spans="1:18" x14ac:dyDescent="0.25">
      <c r="A441" s="170">
        <v>44748</v>
      </c>
      <c r="B441" s="116">
        <v>448.21</v>
      </c>
      <c r="C441" s="116">
        <v>446.26</v>
      </c>
      <c r="D441" s="116">
        <v>435.43</v>
      </c>
      <c r="E441" s="116">
        <v>442.52</v>
      </c>
      <c r="F441" s="116">
        <v>2231.3000000000002</v>
      </c>
      <c r="G441">
        <v>4874</v>
      </c>
      <c r="H441" s="116"/>
      <c r="I441" s="116"/>
      <c r="L441" s="170">
        <v>44753</v>
      </c>
      <c r="M441" s="116">
        <v>454.79</v>
      </c>
      <c r="N441" s="116">
        <v>456.89</v>
      </c>
      <c r="O441" s="116">
        <v>446.2</v>
      </c>
      <c r="P441" s="116">
        <v>452.98</v>
      </c>
      <c r="Q441" s="116">
        <v>2273.9499999999998</v>
      </c>
      <c r="R441">
        <v>58033</v>
      </c>
    </row>
    <row r="442" spans="1:18" x14ac:dyDescent="0.25">
      <c r="A442" s="170">
        <v>44749</v>
      </c>
      <c r="B442" s="116">
        <v>455.6</v>
      </c>
      <c r="C442" s="116">
        <v>453.13</v>
      </c>
      <c r="D442" s="116">
        <v>447.2</v>
      </c>
      <c r="E442" s="116">
        <v>451</v>
      </c>
      <c r="F442" s="116">
        <v>2265.65</v>
      </c>
      <c r="G442">
        <v>7821</v>
      </c>
      <c r="H442" s="116"/>
      <c r="I442" s="116"/>
      <c r="L442" s="170">
        <v>44754</v>
      </c>
      <c r="M442" s="116">
        <v>462.31</v>
      </c>
      <c r="N442" s="116">
        <v>469.16</v>
      </c>
      <c r="O442" s="116">
        <v>452.14</v>
      </c>
      <c r="P442" s="116">
        <v>453.6</v>
      </c>
      <c r="Q442" s="116">
        <v>2311.5500000000002</v>
      </c>
      <c r="R442">
        <v>126125</v>
      </c>
    </row>
    <row r="443" spans="1:18" x14ac:dyDescent="0.25">
      <c r="A443" s="170">
        <v>44750</v>
      </c>
      <c r="B443" s="116">
        <v>461.87</v>
      </c>
      <c r="C443" s="116">
        <v>454.36</v>
      </c>
      <c r="D443" s="116">
        <v>451.27</v>
      </c>
      <c r="E443" s="116">
        <v>459.76</v>
      </c>
      <c r="F443" s="116">
        <v>2271.8000000000002</v>
      </c>
      <c r="G443">
        <v>4570</v>
      </c>
      <c r="H443" s="116"/>
      <c r="I443" s="116"/>
      <c r="L443" s="170">
        <v>44755</v>
      </c>
      <c r="M443" s="116">
        <v>464.83</v>
      </c>
      <c r="N443" s="116">
        <v>475</v>
      </c>
      <c r="O443" s="116">
        <v>463.53</v>
      </c>
      <c r="P443" s="116">
        <v>465.39</v>
      </c>
      <c r="Q443" s="116">
        <v>2324.15</v>
      </c>
      <c r="R443">
        <v>98628</v>
      </c>
    </row>
    <row r="444" spans="1:18" x14ac:dyDescent="0.25">
      <c r="A444" s="170">
        <v>44753</v>
      </c>
      <c r="B444" s="116">
        <v>457.36</v>
      </c>
      <c r="C444" s="116">
        <v>454.59</v>
      </c>
      <c r="D444" s="116">
        <v>444.48</v>
      </c>
      <c r="E444" s="116">
        <v>444.48</v>
      </c>
      <c r="F444" s="116">
        <v>2272.9499999999998</v>
      </c>
      <c r="G444">
        <v>6662</v>
      </c>
      <c r="H444" s="116"/>
      <c r="I444" s="116"/>
      <c r="L444" s="170">
        <v>44756</v>
      </c>
      <c r="M444" s="116">
        <v>463.81</v>
      </c>
      <c r="N444" s="116">
        <v>469.55</v>
      </c>
      <c r="O444" s="116">
        <v>457.2</v>
      </c>
      <c r="P444" s="116">
        <v>465.5</v>
      </c>
      <c r="Q444" s="116">
        <v>2319.0500000000002</v>
      </c>
      <c r="R444">
        <v>58221</v>
      </c>
    </row>
    <row r="445" spans="1:18" x14ac:dyDescent="0.25">
      <c r="A445" s="170">
        <v>44754</v>
      </c>
      <c r="B445" s="116">
        <v>469.1</v>
      </c>
      <c r="C445" s="116">
        <v>462.66</v>
      </c>
      <c r="D445" s="116">
        <v>452.77</v>
      </c>
      <c r="E445" s="116">
        <v>454.99</v>
      </c>
      <c r="F445" s="116">
        <v>2313.3000000000002</v>
      </c>
      <c r="G445">
        <v>5904</v>
      </c>
      <c r="H445" s="116"/>
      <c r="I445" s="116"/>
      <c r="L445" s="170">
        <v>44757</v>
      </c>
      <c r="M445" s="116">
        <v>461.77</v>
      </c>
      <c r="N445" s="116">
        <v>465</v>
      </c>
      <c r="O445" s="116">
        <v>457.4</v>
      </c>
      <c r="P445" s="116">
        <v>465</v>
      </c>
      <c r="Q445" s="116">
        <v>2308.85</v>
      </c>
      <c r="R445">
        <v>54444</v>
      </c>
    </row>
    <row r="446" spans="1:18" x14ac:dyDescent="0.25">
      <c r="A446" s="170">
        <v>44755</v>
      </c>
      <c r="B446" s="116">
        <v>475.07</v>
      </c>
      <c r="C446" s="116">
        <v>464.54</v>
      </c>
      <c r="D446" s="116">
        <v>463.03</v>
      </c>
      <c r="E446" s="116">
        <v>465.52</v>
      </c>
      <c r="F446" s="116">
        <v>2322.6999999999998</v>
      </c>
      <c r="G446">
        <v>11956</v>
      </c>
      <c r="H446" s="116"/>
      <c r="I446" s="116"/>
      <c r="L446" s="170">
        <v>44760</v>
      </c>
      <c r="M446" s="116">
        <v>459.46</v>
      </c>
      <c r="N446" s="116">
        <v>467.39</v>
      </c>
      <c r="O446" s="116">
        <v>456.22</v>
      </c>
      <c r="P446" s="116">
        <v>463.7</v>
      </c>
      <c r="Q446" s="116">
        <v>2297.3000000000002</v>
      </c>
      <c r="R446">
        <v>63863</v>
      </c>
    </row>
    <row r="447" spans="1:18" x14ac:dyDescent="0.25">
      <c r="A447" s="170">
        <v>44756</v>
      </c>
      <c r="B447" s="116">
        <v>468.93</v>
      </c>
      <c r="C447" s="116">
        <v>463.79</v>
      </c>
      <c r="D447" s="116">
        <v>457.61</v>
      </c>
      <c r="E447" s="116">
        <v>467.99</v>
      </c>
      <c r="F447" s="116">
        <v>2318.9499999999998</v>
      </c>
      <c r="G447">
        <v>2063</v>
      </c>
      <c r="H447" s="116"/>
      <c r="I447" s="116"/>
      <c r="L447" s="170">
        <v>44761</v>
      </c>
      <c r="M447" s="116">
        <v>476.32</v>
      </c>
      <c r="N447" s="116">
        <v>480.59</v>
      </c>
      <c r="O447" s="116">
        <v>459.46</v>
      </c>
      <c r="P447" s="116">
        <v>459.46</v>
      </c>
      <c r="Q447" s="116">
        <v>2381.6</v>
      </c>
      <c r="R447">
        <v>144603</v>
      </c>
    </row>
    <row r="448" spans="1:18" x14ac:dyDescent="0.25">
      <c r="A448" s="170">
        <v>44757</v>
      </c>
      <c r="B448" s="116">
        <v>464.71</v>
      </c>
      <c r="C448" s="116">
        <v>461.5</v>
      </c>
      <c r="D448" s="116">
        <v>457.35</v>
      </c>
      <c r="E448" s="116">
        <v>463.69</v>
      </c>
      <c r="F448" s="116">
        <v>2307.5</v>
      </c>
      <c r="G448">
        <v>3280</v>
      </c>
      <c r="H448" s="116"/>
      <c r="I448" s="116"/>
      <c r="L448" s="170">
        <v>44762</v>
      </c>
      <c r="M448" s="116">
        <v>479.14</v>
      </c>
      <c r="N448" s="116">
        <v>491.03</v>
      </c>
      <c r="O448" s="116">
        <v>477.07</v>
      </c>
      <c r="P448" s="116">
        <v>481.94</v>
      </c>
      <c r="Q448" s="116">
        <v>2395.6999999999998</v>
      </c>
      <c r="R448">
        <v>104518</v>
      </c>
    </row>
    <row r="449" spans="1:18" x14ac:dyDescent="0.25">
      <c r="A449" s="170">
        <v>44760</v>
      </c>
      <c r="B449" s="116">
        <v>466.5</v>
      </c>
      <c r="C449" s="116">
        <v>460.69</v>
      </c>
      <c r="D449" s="116">
        <v>457</v>
      </c>
      <c r="E449" s="116">
        <v>463</v>
      </c>
      <c r="F449" s="116">
        <v>2303.4499999999998</v>
      </c>
      <c r="G449">
        <v>1726</v>
      </c>
      <c r="H449" s="116"/>
      <c r="I449" s="116"/>
      <c r="L449" s="170">
        <v>44763</v>
      </c>
      <c r="M449" s="116">
        <v>473.06</v>
      </c>
      <c r="N449" s="116">
        <v>479.98</v>
      </c>
      <c r="O449" s="116">
        <v>471.27</v>
      </c>
      <c r="P449" s="116">
        <v>479.98</v>
      </c>
      <c r="Q449" s="116">
        <v>2365.3000000000002</v>
      </c>
      <c r="R449">
        <v>67828</v>
      </c>
    </row>
    <row r="450" spans="1:18" x14ac:dyDescent="0.25">
      <c r="A450" s="170">
        <v>44761</v>
      </c>
      <c r="B450" s="116">
        <v>480</v>
      </c>
      <c r="C450" s="116">
        <v>476.03</v>
      </c>
      <c r="D450" s="116">
        <v>458</v>
      </c>
      <c r="E450" s="116">
        <v>458</v>
      </c>
      <c r="F450" s="116">
        <v>2380.15</v>
      </c>
      <c r="G450">
        <v>13068</v>
      </c>
      <c r="H450" s="116"/>
      <c r="I450" s="116"/>
      <c r="L450" s="170">
        <v>44764</v>
      </c>
      <c r="M450" s="116">
        <v>485.36</v>
      </c>
      <c r="N450" s="116">
        <v>488.2</v>
      </c>
      <c r="O450" s="116">
        <v>473.12</v>
      </c>
      <c r="P450" s="116">
        <v>476</v>
      </c>
      <c r="Q450" s="116">
        <v>2426.8000000000002</v>
      </c>
      <c r="R450">
        <v>118122</v>
      </c>
    </row>
    <row r="451" spans="1:18" x14ac:dyDescent="0.25">
      <c r="A451" s="170">
        <v>44762</v>
      </c>
      <c r="B451" s="116">
        <v>490.96</v>
      </c>
      <c r="C451" s="116">
        <v>479.7</v>
      </c>
      <c r="D451" s="116">
        <v>476.91</v>
      </c>
      <c r="E451" s="116">
        <v>482</v>
      </c>
      <c r="F451" s="116">
        <v>2398.5</v>
      </c>
      <c r="G451">
        <v>5329</v>
      </c>
      <c r="H451" s="116"/>
      <c r="I451" s="116"/>
      <c r="L451" s="170">
        <v>44767</v>
      </c>
      <c r="M451" s="116">
        <v>487.24</v>
      </c>
      <c r="N451" s="116">
        <v>489.48</v>
      </c>
      <c r="O451" s="116">
        <v>482.71</v>
      </c>
      <c r="P451" s="116">
        <v>484.98</v>
      </c>
      <c r="Q451" s="116">
        <v>2436.1999999999998</v>
      </c>
      <c r="R451">
        <v>60540</v>
      </c>
    </row>
    <row r="452" spans="1:18" x14ac:dyDescent="0.25">
      <c r="A452" s="170">
        <v>44763</v>
      </c>
      <c r="B452" s="116">
        <v>484.25</v>
      </c>
      <c r="C452" s="116">
        <v>473.1</v>
      </c>
      <c r="D452" s="116">
        <v>471.14</v>
      </c>
      <c r="E452" s="116">
        <v>484.25</v>
      </c>
      <c r="F452" s="116">
        <v>2365.5</v>
      </c>
      <c r="G452">
        <v>8297</v>
      </c>
      <c r="H452" s="116"/>
      <c r="I452" s="116"/>
      <c r="L452" s="170">
        <v>44768</v>
      </c>
      <c r="M452" s="116">
        <v>481.34</v>
      </c>
      <c r="N452" s="116">
        <v>487.18</v>
      </c>
      <c r="O452" s="116">
        <v>477.43</v>
      </c>
      <c r="P452" s="116">
        <v>487.18</v>
      </c>
      <c r="Q452" s="116">
        <v>2406.6999999999998</v>
      </c>
      <c r="R452">
        <v>56330</v>
      </c>
    </row>
    <row r="453" spans="1:18" x14ac:dyDescent="0.25">
      <c r="A453" s="170">
        <v>44764</v>
      </c>
      <c r="B453" s="116">
        <v>488.19</v>
      </c>
      <c r="C453" s="116">
        <v>485.32</v>
      </c>
      <c r="D453" s="116">
        <v>473.74</v>
      </c>
      <c r="E453" s="116">
        <v>478</v>
      </c>
      <c r="F453" s="116">
        <v>2426.6</v>
      </c>
      <c r="G453">
        <v>14540</v>
      </c>
      <c r="H453" s="116"/>
      <c r="I453" s="116"/>
      <c r="L453" s="170">
        <v>44769</v>
      </c>
      <c r="M453" s="116">
        <v>482.15</v>
      </c>
      <c r="N453" s="116">
        <v>484.28</v>
      </c>
      <c r="O453" s="116">
        <v>474.12</v>
      </c>
      <c r="P453" s="116">
        <v>480</v>
      </c>
      <c r="Q453" s="116">
        <v>2410.75</v>
      </c>
      <c r="R453">
        <v>50635</v>
      </c>
    </row>
    <row r="454" spans="1:18" x14ac:dyDescent="0.25">
      <c r="A454" s="170">
        <v>44767</v>
      </c>
      <c r="B454" s="116">
        <v>489.2</v>
      </c>
      <c r="C454" s="116">
        <v>487.28</v>
      </c>
      <c r="D454" s="116">
        <v>481.47</v>
      </c>
      <c r="E454" s="116">
        <v>481.47</v>
      </c>
      <c r="F454" s="116">
        <v>2436.4</v>
      </c>
      <c r="G454">
        <v>2768</v>
      </c>
      <c r="H454" s="116"/>
      <c r="I454" s="116"/>
      <c r="L454" s="170">
        <v>44770</v>
      </c>
      <c r="M454" s="116">
        <v>486.73</v>
      </c>
      <c r="N454" s="116">
        <v>489.74</v>
      </c>
      <c r="O454" s="116">
        <v>480.2</v>
      </c>
      <c r="P454" s="116">
        <v>483</v>
      </c>
      <c r="Q454" s="116">
        <v>2433.65</v>
      </c>
      <c r="R454">
        <v>68002</v>
      </c>
    </row>
    <row r="455" spans="1:18" x14ac:dyDescent="0.25">
      <c r="A455" s="170">
        <v>44768</v>
      </c>
      <c r="B455" s="116">
        <v>485.17</v>
      </c>
      <c r="C455" s="116">
        <v>481.01</v>
      </c>
      <c r="D455" s="116">
        <v>479.1</v>
      </c>
      <c r="E455" s="116">
        <v>484.2</v>
      </c>
      <c r="F455" s="116">
        <v>2405.0500000000002</v>
      </c>
      <c r="G455">
        <v>6746</v>
      </c>
      <c r="H455" s="116"/>
      <c r="I455" s="116"/>
      <c r="L455" s="170">
        <v>44771</v>
      </c>
      <c r="M455" s="116">
        <v>491.53</v>
      </c>
      <c r="N455" s="116">
        <v>494</v>
      </c>
      <c r="O455" s="116">
        <v>485.08</v>
      </c>
      <c r="P455" s="116">
        <v>489.98</v>
      </c>
      <c r="Q455" s="116">
        <v>2457.65</v>
      </c>
      <c r="R455">
        <v>96211</v>
      </c>
    </row>
    <row r="456" spans="1:18" x14ac:dyDescent="0.25">
      <c r="A456" s="170">
        <v>44769</v>
      </c>
      <c r="B456" s="116">
        <v>484.3</v>
      </c>
      <c r="C456" s="116">
        <v>482.32</v>
      </c>
      <c r="D456" s="116">
        <v>474.44</v>
      </c>
      <c r="E456" s="116">
        <v>480.59</v>
      </c>
      <c r="F456" s="116">
        <v>2411.6</v>
      </c>
      <c r="G456">
        <v>1919</v>
      </c>
      <c r="H456" s="116"/>
      <c r="I456" s="116"/>
      <c r="L456" s="170">
        <v>44774</v>
      </c>
      <c r="M456" s="116">
        <v>487.33</v>
      </c>
      <c r="N456" s="116">
        <v>495.75</v>
      </c>
      <c r="O456" s="116">
        <v>486</v>
      </c>
      <c r="P456" s="116">
        <v>493.2</v>
      </c>
      <c r="Q456" s="116">
        <v>2436.65</v>
      </c>
      <c r="R456">
        <v>73059</v>
      </c>
    </row>
    <row r="457" spans="1:18" x14ac:dyDescent="0.25">
      <c r="A457" s="170">
        <v>44770</v>
      </c>
      <c r="B457" s="116">
        <v>489.78</v>
      </c>
      <c r="C457" s="116">
        <v>486.48</v>
      </c>
      <c r="D457" s="116">
        <v>480.02</v>
      </c>
      <c r="E457" s="116">
        <v>483</v>
      </c>
      <c r="F457" s="116">
        <v>2432.4</v>
      </c>
      <c r="G457">
        <v>8482</v>
      </c>
      <c r="H457" s="116"/>
      <c r="I457" s="116"/>
      <c r="L457" s="170">
        <v>44775</v>
      </c>
      <c r="M457" s="116">
        <v>490.7</v>
      </c>
      <c r="N457" s="116">
        <v>497.4</v>
      </c>
      <c r="O457" s="116">
        <v>488.04</v>
      </c>
      <c r="P457" s="116">
        <v>488.04</v>
      </c>
      <c r="Q457" s="116">
        <v>2453.5</v>
      </c>
      <c r="R457">
        <v>107645</v>
      </c>
    </row>
    <row r="458" spans="1:18" x14ac:dyDescent="0.25">
      <c r="A458" s="170">
        <v>44771</v>
      </c>
      <c r="B458" s="116">
        <v>494</v>
      </c>
      <c r="C458" s="116">
        <v>491.2</v>
      </c>
      <c r="D458" s="116">
        <v>484.28</v>
      </c>
      <c r="E458" s="116">
        <v>484.28</v>
      </c>
      <c r="F458" s="116">
        <v>2456</v>
      </c>
      <c r="G458">
        <v>5092</v>
      </c>
      <c r="H458" s="116"/>
      <c r="I458" s="116"/>
      <c r="L458" s="170">
        <v>44776</v>
      </c>
      <c r="M458" s="116">
        <v>495.16</v>
      </c>
      <c r="N458" s="116">
        <v>498</v>
      </c>
      <c r="O458" s="116">
        <v>489.98</v>
      </c>
      <c r="P458" s="116">
        <v>490.7</v>
      </c>
      <c r="Q458" s="116">
        <v>2475.8000000000002</v>
      </c>
      <c r="R458">
        <v>99771</v>
      </c>
    </row>
    <row r="459" spans="1:18" x14ac:dyDescent="0.25">
      <c r="A459" s="170">
        <v>44774</v>
      </c>
      <c r="B459" s="116">
        <v>499</v>
      </c>
      <c r="C459" s="116">
        <v>487.27</v>
      </c>
      <c r="D459" s="116">
        <v>486.23</v>
      </c>
      <c r="E459" s="116">
        <v>499</v>
      </c>
      <c r="F459" s="116">
        <v>2436.35</v>
      </c>
      <c r="G459">
        <v>3647</v>
      </c>
      <c r="H459" s="116"/>
      <c r="I459" s="116"/>
      <c r="L459" s="170">
        <v>44777</v>
      </c>
      <c r="M459" s="116">
        <v>488.54</v>
      </c>
      <c r="N459" s="116">
        <v>500</v>
      </c>
      <c r="O459" s="116">
        <v>473.28</v>
      </c>
      <c r="P459" s="116">
        <v>499.8</v>
      </c>
      <c r="Q459" s="116">
        <v>2442.6999999999998</v>
      </c>
      <c r="R459">
        <v>104598</v>
      </c>
    </row>
    <row r="460" spans="1:18" x14ac:dyDescent="0.25">
      <c r="A460" s="170">
        <v>44775</v>
      </c>
      <c r="B460" s="116">
        <v>497.39</v>
      </c>
      <c r="C460" s="116">
        <v>489.17</v>
      </c>
      <c r="D460" s="116">
        <v>485.2</v>
      </c>
      <c r="E460" s="116">
        <v>489</v>
      </c>
      <c r="F460" s="116">
        <v>2445.85</v>
      </c>
      <c r="G460">
        <v>6160</v>
      </c>
      <c r="H460" s="116"/>
      <c r="I460" s="116"/>
      <c r="L460" s="170">
        <v>44778</v>
      </c>
      <c r="M460" s="116">
        <v>473.61</v>
      </c>
      <c r="N460" s="116">
        <v>497</v>
      </c>
      <c r="O460" s="116">
        <v>471.4</v>
      </c>
      <c r="P460" s="116">
        <v>492</v>
      </c>
      <c r="Q460" s="116">
        <v>2368.0500000000002</v>
      </c>
      <c r="R460">
        <v>157198</v>
      </c>
    </row>
    <row r="461" spans="1:18" x14ac:dyDescent="0.25">
      <c r="A461" s="170">
        <v>44776</v>
      </c>
      <c r="B461" s="116">
        <v>497.77</v>
      </c>
      <c r="C461" s="116">
        <v>494.81</v>
      </c>
      <c r="D461" s="116">
        <v>490.1</v>
      </c>
      <c r="E461" s="116">
        <v>493.84</v>
      </c>
      <c r="F461" s="116">
        <v>2474.0500000000002</v>
      </c>
      <c r="G461">
        <v>3834</v>
      </c>
      <c r="H461" s="116"/>
      <c r="I461" s="116"/>
      <c r="L461" s="170">
        <v>44781</v>
      </c>
      <c r="M461" s="116">
        <v>465.77</v>
      </c>
      <c r="N461" s="116">
        <v>476.87</v>
      </c>
      <c r="O461" s="116">
        <v>462</v>
      </c>
      <c r="P461" s="116">
        <v>476.87</v>
      </c>
      <c r="Q461" s="116">
        <v>2328.85</v>
      </c>
      <c r="R461">
        <v>128941</v>
      </c>
    </row>
    <row r="462" spans="1:18" x14ac:dyDescent="0.25">
      <c r="A462" s="170">
        <v>44777</v>
      </c>
      <c r="B462" s="116">
        <v>499.72</v>
      </c>
      <c r="C462" s="116">
        <v>489.48</v>
      </c>
      <c r="D462" s="116">
        <v>485</v>
      </c>
      <c r="E462" s="116">
        <v>497.96</v>
      </c>
      <c r="F462" s="116">
        <v>2447.4</v>
      </c>
      <c r="G462">
        <v>3162</v>
      </c>
      <c r="H462" s="116"/>
      <c r="I462" s="116"/>
      <c r="L462" s="170">
        <v>44783</v>
      </c>
      <c r="M462" s="116">
        <v>461.78</v>
      </c>
      <c r="N462" s="116">
        <v>470</v>
      </c>
      <c r="O462" s="116">
        <v>459.2</v>
      </c>
      <c r="P462" s="116">
        <v>469.99</v>
      </c>
      <c r="Q462" s="116">
        <v>2308.9</v>
      </c>
      <c r="R462">
        <v>98438</v>
      </c>
    </row>
    <row r="463" spans="1:18" x14ac:dyDescent="0.25">
      <c r="A463" s="170">
        <v>44778</v>
      </c>
      <c r="B463" s="116">
        <v>496</v>
      </c>
      <c r="C463" s="116">
        <v>473.95</v>
      </c>
      <c r="D463" s="116">
        <v>470.82</v>
      </c>
      <c r="E463" s="116">
        <v>488.8</v>
      </c>
      <c r="F463" s="116">
        <v>2369.75</v>
      </c>
      <c r="G463">
        <v>15348</v>
      </c>
      <c r="H463" s="116"/>
      <c r="I463" s="116"/>
      <c r="L463" s="170">
        <v>44784</v>
      </c>
      <c r="M463" s="116">
        <v>473.6</v>
      </c>
      <c r="N463" s="116">
        <v>475.57</v>
      </c>
      <c r="O463" s="116">
        <v>464.41</v>
      </c>
      <c r="P463" s="116">
        <v>466.98</v>
      </c>
      <c r="Q463" s="116">
        <v>2368</v>
      </c>
      <c r="R463">
        <v>91096</v>
      </c>
    </row>
    <row r="464" spans="1:18" x14ac:dyDescent="0.25">
      <c r="A464" s="170">
        <v>44781</v>
      </c>
      <c r="B464" s="116">
        <v>475.95</v>
      </c>
      <c r="C464" s="116">
        <v>465.68</v>
      </c>
      <c r="D464" s="116">
        <v>461.9</v>
      </c>
      <c r="E464" s="116">
        <v>474.04</v>
      </c>
      <c r="F464" s="116">
        <v>2328.4</v>
      </c>
      <c r="G464">
        <v>15202</v>
      </c>
      <c r="H464" s="116"/>
      <c r="I464" s="116"/>
      <c r="L464" s="170">
        <v>44785</v>
      </c>
      <c r="M464" s="116">
        <v>474.87</v>
      </c>
      <c r="N464" s="116">
        <v>479.2</v>
      </c>
      <c r="O464" s="116">
        <v>468.11</v>
      </c>
      <c r="P464" s="116">
        <v>474</v>
      </c>
      <c r="Q464" s="116">
        <v>2374.35</v>
      </c>
      <c r="R464">
        <v>52956</v>
      </c>
    </row>
    <row r="465" spans="1:18" x14ac:dyDescent="0.25">
      <c r="A465" s="170">
        <v>44783</v>
      </c>
      <c r="B465" s="116">
        <v>468.9</v>
      </c>
      <c r="C465" s="116">
        <v>462.45</v>
      </c>
      <c r="D465" s="116">
        <v>459.6</v>
      </c>
      <c r="E465" s="116">
        <v>466.33</v>
      </c>
      <c r="F465" s="116">
        <v>2312.25</v>
      </c>
      <c r="G465">
        <v>5364</v>
      </c>
      <c r="H465" s="116"/>
      <c r="I465" s="116"/>
      <c r="L465" s="170">
        <v>44789</v>
      </c>
      <c r="M465" s="116">
        <v>481.61</v>
      </c>
      <c r="N465" s="116">
        <v>489.6</v>
      </c>
      <c r="O465" s="116">
        <v>476</v>
      </c>
      <c r="P465" s="116">
        <v>489.6</v>
      </c>
      <c r="Q465" s="116">
        <v>2408.0500000000002</v>
      </c>
      <c r="R465">
        <v>83364</v>
      </c>
    </row>
    <row r="466" spans="1:18" x14ac:dyDescent="0.25">
      <c r="A466" s="170">
        <v>44784</v>
      </c>
      <c r="B466" s="116">
        <v>476</v>
      </c>
      <c r="C466" s="116">
        <v>473.39</v>
      </c>
      <c r="D466" s="116">
        <v>464.04</v>
      </c>
      <c r="E466" s="116">
        <v>467</v>
      </c>
      <c r="F466" s="116">
        <v>2366.9499999999998</v>
      </c>
      <c r="G466">
        <v>11651</v>
      </c>
      <c r="H466" s="116"/>
      <c r="I466" s="116"/>
      <c r="L466" s="170">
        <v>44790</v>
      </c>
      <c r="M466" s="116">
        <v>478.72</v>
      </c>
      <c r="N466" s="116">
        <v>485.6</v>
      </c>
      <c r="O466" s="116">
        <v>477.24</v>
      </c>
      <c r="P466" s="116">
        <v>485.6</v>
      </c>
      <c r="Q466" s="116">
        <v>2393.6</v>
      </c>
      <c r="R466">
        <v>68640</v>
      </c>
    </row>
    <row r="467" spans="1:18" x14ac:dyDescent="0.25">
      <c r="A467" s="170">
        <v>44785</v>
      </c>
      <c r="B467" s="116">
        <v>479</v>
      </c>
      <c r="C467" s="116">
        <v>474.88</v>
      </c>
      <c r="D467" s="116">
        <v>470.32</v>
      </c>
      <c r="E467" s="116">
        <v>479</v>
      </c>
      <c r="F467" s="116">
        <v>2374.4</v>
      </c>
      <c r="G467">
        <v>3157</v>
      </c>
      <c r="H467" s="116"/>
      <c r="I467" s="116"/>
      <c r="L467" s="170">
        <v>44791</v>
      </c>
      <c r="M467" s="116">
        <v>475.69</v>
      </c>
      <c r="N467" s="116">
        <v>485.8</v>
      </c>
      <c r="O467" s="116">
        <v>474.4</v>
      </c>
      <c r="P467" s="116">
        <v>483.98</v>
      </c>
      <c r="Q467" s="116">
        <v>2378.4499999999998</v>
      </c>
      <c r="R467">
        <v>150019</v>
      </c>
    </row>
    <row r="468" spans="1:18" x14ac:dyDescent="0.25">
      <c r="A468" s="170">
        <v>44789</v>
      </c>
      <c r="B468" s="116">
        <v>485.07</v>
      </c>
      <c r="C468" s="116">
        <v>481.54</v>
      </c>
      <c r="D468" s="116">
        <v>475</v>
      </c>
      <c r="E468" s="116">
        <v>475</v>
      </c>
      <c r="F468" s="116">
        <v>2407.6999999999998</v>
      </c>
      <c r="G468">
        <v>10469</v>
      </c>
      <c r="H468" s="116"/>
      <c r="I468" s="116"/>
      <c r="L468" s="170">
        <v>44792</v>
      </c>
      <c r="M468" s="116">
        <v>451.13</v>
      </c>
      <c r="N468" s="116">
        <v>475.99</v>
      </c>
      <c r="O468" s="116">
        <v>448.2</v>
      </c>
      <c r="P468" s="116">
        <v>474</v>
      </c>
      <c r="Q468" s="116">
        <v>2255.65</v>
      </c>
      <c r="R468">
        <v>1657987</v>
      </c>
    </row>
    <row r="469" spans="1:18" x14ac:dyDescent="0.25">
      <c r="A469" s="170">
        <v>44790</v>
      </c>
      <c r="B469" s="116">
        <v>489.6</v>
      </c>
      <c r="C469" s="116">
        <v>478.77</v>
      </c>
      <c r="D469" s="116">
        <v>477.1</v>
      </c>
      <c r="E469" s="116">
        <v>489.6</v>
      </c>
      <c r="F469" s="116">
        <v>2393.85</v>
      </c>
      <c r="G469">
        <v>3318</v>
      </c>
      <c r="H469" s="116"/>
      <c r="I469" s="116"/>
      <c r="L469" s="170">
        <v>44795</v>
      </c>
      <c r="M469" s="116">
        <v>440.6</v>
      </c>
      <c r="N469" s="116">
        <v>451.31</v>
      </c>
      <c r="O469" s="116">
        <v>438.9</v>
      </c>
      <c r="P469" s="116">
        <v>448.26</v>
      </c>
      <c r="Q469" s="116">
        <v>2203</v>
      </c>
      <c r="R469">
        <v>244724</v>
      </c>
    </row>
    <row r="470" spans="1:18" x14ac:dyDescent="0.25">
      <c r="A470" s="170">
        <v>44791</v>
      </c>
      <c r="B470" s="116">
        <v>485.59</v>
      </c>
      <c r="C470" s="116">
        <v>476.11</v>
      </c>
      <c r="D470" s="116">
        <v>474.95</v>
      </c>
      <c r="E470" s="116">
        <v>481.97</v>
      </c>
      <c r="F470" s="116">
        <v>2380.5500000000002</v>
      </c>
      <c r="G470">
        <v>15209</v>
      </c>
      <c r="H470" s="116"/>
      <c r="I470" s="116"/>
      <c r="L470" s="170">
        <v>44796</v>
      </c>
      <c r="M470" s="116">
        <v>444.79</v>
      </c>
      <c r="N470" s="116">
        <v>447.6</v>
      </c>
      <c r="O470" s="116">
        <v>435.41</v>
      </c>
      <c r="P470" s="116">
        <v>437.6</v>
      </c>
      <c r="Q470" s="116">
        <v>2223.9499999999998</v>
      </c>
      <c r="R470">
        <v>104993</v>
      </c>
    </row>
    <row r="471" spans="1:18" x14ac:dyDescent="0.25">
      <c r="A471" s="170">
        <v>44792</v>
      </c>
      <c r="B471" s="116">
        <v>476.19</v>
      </c>
      <c r="C471" s="116">
        <v>450.02</v>
      </c>
      <c r="D471" s="116">
        <v>448</v>
      </c>
      <c r="E471" s="116">
        <v>476.11</v>
      </c>
      <c r="F471" s="116">
        <v>2250.1</v>
      </c>
      <c r="G471">
        <v>2416329</v>
      </c>
      <c r="H471" s="116"/>
      <c r="I471" s="116"/>
      <c r="L471" s="170">
        <v>44797</v>
      </c>
      <c r="M471" s="116">
        <v>446.07</v>
      </c>
      <c r="N471" s="116">
        <v>451.4</v>
      </c>
      <c r="O471" s="116">
        <v>444.03</v>
      </c>
      <c r="P471" s="116">
        <v>447.56</v>
      </c>
      <c r="Q471" s="116">
        <v>2230.35</v>
      </c>
      <c r="R471">
        <v>127119</v>
      </c>
    </row>
    <row r="472" spans="1:18" x14ac:dyDescent="0.25">
      <c r="A472" s="170">
        <v>44795</v>
      </c>
      <c r="B472" s="116">
        <v>451.2</v>
      </c>
      <c r="C472" s="116">
        <v>440.41</v>
      </c>
      <c r="D472" s="116">
        <v>438.82</v>
      </c>
      <c r="E472" s="116">
        <v>448.8</v>
      </c>
      <c r="F472" s="116">
        <v>2202.0500000000002</v>
      </c>
      <c r="G472">
        <v>13465</v>
      </c>
      <c r="H472" s="116"/>
      <c r="I472" s="116"/>
      <c r="L472" s="170">
        <v>44798</v>
      </c>
      <c r="M472" s="116">
        <v>446.84</v>
      </c>
      <c r="N472" s="116">
        <v>451.34</v>
      </c>
      <c r="O472" s="116">
        <v>445</v>
      </c>
      <c r="P472" s="116">
        <v>449.4</v>
      </c>
      <c r="Q472" s="116">
        <v>2234.1999999999998</v>
      </c>
      <c r="R472">
        <v>77617</v>
      </c>
    </row>
    <row r="473" spans="1:18" x14ac:dyDescent="0.25">
      <c r="A473" s="170">
        <v>44796</v>
      </c>
      <c r="B473" s="116">
        <v>447.95</v>
      </c>
      <c r="C473" s="116">
        <v>444.54</v>
      </c>
      <c r="D473" s="116">
        <v>435.43</v>
      </c>
      <c r="E473" s="116">
        <v>439.34</v>
      </c>
      <c r="F473" s="116">
        <v>2222.6999999999998</v>
      </c>
      <c r="G473">
        <v>8490</v>
      </c>
      <c r="H473" s="116"/>
      <c r="I473" s="116"/>
      <c r="L473" s="170">
        <v>44799</v>
      </c>
      <c r="M473" s="116">
        <v>450.09</v>
      </c>
      <c r="N473" s="116">
        <v>452</v>
      </c>
      <c r="O473" s="116">
        <v>447.26</v>
      </c>
      <c r="P473" s="116">
        <v>449</v>
      </c>
      <c r="Q473" s="116">
        <v>2250.4499999999998</v>
      </c>
      <c r="R473">
        <v>273907</v>
      </c>
    </row>
    <row r="474" spans="1:18" x14ac:dyDescent="0.25">
      <c r="A474" s="170">
        <v>44797</v>
      </c>
      <c r="B474" s="116">
        <v>451.07</v>
      </c>
      <c r="C474" s="116">
        <v>446.25</v>
      </c>
      <c r="D474" s="116">
        <v>444.09</v>
      </c>
      <c r="E474" s="116">
        <v>447.99</v>
      </c>
      <c r="F474" s="116">
        <v>2231.25</v>
      </c>
      <c r="G474">
        <v>5254</v>
      </c>
      <c r="H474" s="116"/>
      <c r="I474" s="116"/>
      <c r="L474" s="170">
        <v>44802</v>
      </c>
      <c r="M474" s="116">
        <v>451.68</v>
      </c>
      <c r="N474" s="116">
        <v>454</v>
      </c>
      <c r="O474" s="116">
        <v>436</v>
      </c>
      <c r="P474" s="116">
        <v>438.2</v>
      </c>
      <c r="Q474" s="116">
        <v>2258.4</v>
      </c>
      <c r="R474">
        <v>188578</v>
      </c>
    </row>
    <row r="475" spans="1:18" x14ac:dyDescent="0.25">
      <c r="A475" s="170">
        <v>44798</v>
      </c>
      <c r="B475" s="116">
        <v>451.61</v>
      </c>
      <c r="C475" s="116">
        <v>446.82</v>
      </c>
      <c r="D475" s="116">
        <v>445.16</v>
      </c>
      <c r="E475" s="116">
        <v>446.2</v>
      </c>
      <c r="F475" s="116">
        <v>2234.1</v>
      </c>
      <c r="G475">
        <v>12620</v>
      </c>
      <c r="H475" s="116"/>
      <c r="I475" s="116"/>
      <c r="L475" s="170">
        <v>44803</v>
      </c>
      <c r="M475" s="116">
        <v>460.78</v>
      </c>
      <c r="N475" s="116">
        <v>462.96</v>
      </c>
      <c r="O475" s="116">
        <v>451.02</v>
      </c>
      <c r="P475" s="116">
        <v>456</v>
      </c>
      <c r="Q475" s="116">
        <v>2303.9</v>
      </c>
      <c r="R475">
        <v>202412</v>
      </c>
    </row>
    <row r="476" spans="1:18" x14ac:dyDescent="0.25">
      <c r="A476" s="170">
        <v>44799</v>
      </c>
      <c r="B476" s="116">
        <v>453.99</v>
      </c>
      <c r="C476" s="116">
        <v>449.87</v>
      </c>
      <c r="D476" s="116">
        <v>447.35</v>
      </c>
      <c r="E476" s="116">
        <v>453.99</v>
      </c>
      <c r="F476" s="116">
        <v>2249.35</v>
      </c>
      <c r="G476">
        <v>5192</v>
      </c>
      <c r="H476" s="116"/>
      <c r="I476" s="116"/>
      <c r="L476" s="170">
        <v>44805</v>
      </c>
      <c r="M476" s="116">
        <v>458.04</v>
      </c>
      <c r="N476" s="116">
        <v>460.8</v>
      </c>
      <c r="O476" s="116">
        <v>456.41</v>
      </c>
      <c r="P476" s="116">
        <v>460.8</v>
      </c>
      <c r="Q476" s="116">
        <v>2290.1999999999998</v>
      </c>
      <c r="R476">
        <v>67934</v>
      </c>
    </row>
    <row r="477" spans="1:18" x14ac:dyDescent="0.25">
      <c r="A477" s="170">
        <v>44802</v>
      </c>
      <c r="B477" s="116">
        <v>453.76</v>
      </c>
      <c r="C477" s="116">
        <v>451.67</v>
      </c>
      <c r="D477" s="116">
        <v>435</v>
      </c>
      <c r="E477" s="116">
        <v>435</v>
      </c>
      <c r="F477" s="116">
        <v>2258.35</v>
      </c>
      <c r="G477">
        <v>10075</v>
      </c>
      <c r="H477" s="116"/>
      <c r="I477" s="116"/>
      <c r="L477" s="170">
        <v>44806</v>
      </c>
      <c r="M477" s="116">
        <v>461.49</v>
      </c>
      <c r="N477" s="116">
        <v>463.78</v>
      </c>
      <c r="O477" s="116">
        <v>458.69</v>
      </c>
      <c r="P477" s="116">
        <v>460.04</v>
      </c>
      <c r="Q477" s="116">
        <v>2307.4499999999998</v>
      </c>
      <c r="R477">
        <v>118331</v>
      </c>
    </row>
    <row r="478" spans="1:18" x14ac:dyDescent="0.25">
      <c r="A478" s="170">
        <v>44803</v>
      </c>
      <c r="B478" s="116">
        <v>462.8</v>
      </c>
      <c r="C478" s="116">
        <v>461.03</v>
      </c>
      <c r="D478" s="116">
        <v>451.42</v>
      </c>
      <c r="E478" s="116">
        <v>453.28</v>
      </c>
      <c r="F478" s="116">
        <v>2305.15</v>
      </c>
      <c r="G478">
        <v>8554</v>
      </c>
      <c r="H478" s="116"/>
      <c r="I478" s="116"/>
      <c r="L478" s="170">
        <v>44809</v>
      </c>
      <c r="M478" s="116">
        <v>460.29</v>
      </c>
      <c r="N478" s="116">
        <v>464.4</v>
      </c>
      <c r="O478" s="116">
        <v>457.2</v>
      </c>
      <c r="P478" s="116">
        <v>462.6</v>
      </c>
      <c r="Q478" s="116">
        <v>2301.4499999999998</v>
      </c>
      <c r="R478">
        <v>125231</v>
      </c>
    </row>
    <row r="479" spans="1:18" x14ac:dyDescent="0.25">
      <c r="A479" s="170">
        <v>44805</v>
      </c>
      <c r="B479" s="116">
        <v>460.4</v>
      </c>
      <c r="C479" s="116">
        <v>457.69</v>
      </c>
      <c r="D479" s="116">
        <v>455.58</v>
      </c>
      <c r="E479" s="116">
        <v>455.58</v>
      </c>
      <c r="F479" s="116">
        <v>2288.4499999999998</v>
      </c>
      <c r="G479">
        <v>14244</v>
      </c>
      <c r="H479" s="116"/>
      <c r="I479" s="116"/>
      <c r="L479" s="170">
        <v>44810</v>
      </c>
      <c r="M479" s="116">
        <v>457.85</v>
      </c>
      <c r="N479" s="116">
        <v>463</v>
      </c>
      <c r="O479" s="116">
        <v>455.85</v>
      </c>
      <c r="P479" s="116">
        <v>461.2</v>
      </c>
      <c r="Q479" s="116">
        <v>2289.25</v>
      </c>
      <c r="R479">
        <v>85859</v>
      </c>
    </row>
    <row r="480" spans="1:18" x14ac:dyDescent="0.25">
      <c r="A480" s="170">
        <v>44806</v>
      </c>
      <c r="B480" s="116">
        <v>463.43</v>
      </c>
      <c r="C480" s="116">
        <v>460.88</v>
      </c>
      <c r="D480" s="116">
        <v>459</v>
      </c>
      <c r="E480" s="116">
        <v>462.2</v>
      </c>
      <c r="F480" s="116">
        <v>2304.4</v>
      </c>
      <c r="G480">
        <v>11357</v>
      </c>
      <c r="H480" s="116"/>
      <c r="I480" s="116"/>
      <c r="L480" s="170">
        <v>44811</v>
      </c>
      <c r="M480" s="116">
        <v>461.1</v>
      </c>
      <c r="N480" s="116">
        <v>464.58</v>
      </c>
      <c r="O480" s="116">
        <v>455</v>
      </c>
      <c r="P480" s="116">
        <v>457.76</v>
      </c>
      <c r="Q480" s="116">
        <v>2305.5</v>
      </c>
      <c r="R480">
        <v>149746</v>
      </c>
    </row>
    <row r="481" spans="1:18" x14ac:dyDescent="0.25">
      <c r="A481" s="170">
        <v>44809</v>
      </c>
      <c r="B481" s="116">
        <v>464.59</v>
      </c>
      <c r="C481" s="116">
        <v>460.92</v>
      </c>
      <c r="D481" s="116">
        <v>457.49</v>
      </c>
      <c r="E481" s="116">
        <v>464.59</v>
      </c>
      <c r="F481" s="116">
        <v>2304.6</v>
      </c>
      <c r="G481">
        <v>6373</v>
      </c>
      <c r="H481" s="116"/>
      <c r="I481" s="116"/>
      <c r="L481" s="170">
        <v>44812</v>
      </c>
      <c r="M481" s="116">
        <v>474.33</v>
      </c>
      <c r="N481" s="116">
        <v>476.07</v>
      </c>
      <c r="O481" s="116">
        <v>464</v>
      </c>
      <c r="P481" s="116">
        <v>464.2</v>
      </c>
      <c r="Q481" s="116">
        <v>2371.65</v>
      </c>
      <c r="R481">
        <v>301623</v>
      </c>
    </row>
    <row r="482" spans="1:18" x14ac:dyDescent="0.25">
      <c r="A482" s="170">
        <v>44810</v>
      </c>
      <c r="B482" s="116">
        <v>462.8</v>
      </c>
      <c r="C482" s="116">
        <v>457.84</v>
      </c>
      <c r="D482" s="116">
        <v>455.75</v>
      </c>
      <c r="E482" s="116">
        <v>458.4</v>
      </c>
      <c r="F482" s="116">
        <v>2289.1999999999998</v>
      </c>
      <c r="G482">
        <v>13183</v>
      </c>
      <c r="H482" s="116"/>
      <c r="I482" s="116"/>
      <c r="L482" s="170">
        <v>44813</v>
      </c>
      <c r="M482" s="116">
        <v>492.19</v>
      </c>
      <c r="N482" s="116">
        <v>495.23</v>
      </c>
      <c r="O482" s="116">
        <v>476</v>
      </c>
      <c r="P482" s="116">
        <v>476.2</v>
      </c>
      <c r="Q482" s="116">
        <v>2460.9499999999998</v>
      </c>
      <c r="R482">
        <v>548060</v>
      </c>
    </row>
    <row r="483" spans="1:18" x14ac:dyDescent="0.25">
      <c r="A483" s="170">
        <v>44811</v>
      </c>
      <c r="B483" s="116">
        <v>464.21</v>
      </c>
      <c r="C483" s="116">
        <v>461.24</v>
      </c>
      <c r="D483" s="116">
        <v>454.2</v>
      </c>
      <c r="E483" s="116">
        <v>454.2</v>
      </c>
      <c r="F483" s="116">
        <v>2306.1999999999998</v>
      </c>
      <c r="G483">
        <v>5106</v>
      </c>
      <c r="H483" s="116"/>
      <c r="I483" s="116"/>
      <c r="L483" s="170">
        <v>44816</v>
      </c>
      <c r="M483" s="116">
        <v>515.27</v>
      </c>
      <c r="N483" s="116">
        <v>521.79999999999995</v>
      </c>
      <c r="O483" s="116">
        <v>493.81</v>
      </c>
      <c r="P483" s="116">
        <v>496</v>
      </c>
      <c r="Q483" s="116">
        <v>2576.35</v>
      </c>
      <c r="R483">
        <v>565590</v>
      </c>
    </row>
    <row r="484" spans="1:18" x14ac:dyDescent="0.25">
      <c r="A484" s="170">
        <v>44812</v>
      </c>
      <c r="B484" s="116">
        <v>476</v>
      </c>
      <c r="C484" s="116">
        <v>474.22</v>
      </c>
      <c r="D484" s="116">
        <v>463.57</v>
      </c>
      <c r="E484" s="116">
        <v>464</v>
      </c>
      <c r="F484" s="116">
        <v>2371.1</v>
      </c>
      <c r="G484">
        <v>39454</v>
      </c>
      <c r="H484" s="116"/>
      <c r="I484" s="116"/>
      <c r="L484" s="170">
        <v>44817</v>
      </c>
      <c r="M484" s="116">
        <v>521</v>
      </c>
      <c r="N484" s="116">
        <v>528</v>
      </c>
      <c r="O484" s="116">
        <v>515.66999999999996</v>
      </c>
      <c r="P484" s="116">
        <v>521.4</v>
      </c>
      <c r="Q484" s="116">
        <v>2605</v>
      </c>
      <c r="R484">
        <v>387424</v>
      </c>
    </row>
    <row r="485" spans="1:18" x14ac:dyDescent="0.25">
      <c r="A485" s="170">
        <v>44813</v>
      </c>
      <c r="B485" s="116">
        <v>496.4</v>
      </c>
      <c r="C485" s="116">
        <v>492.89</v>
      </c>
      <c r="D485" s="116">
        <v>476.45</v>
      </c>
      <c r="E485" s="116">
        <v>476.45</v>
      </c>
      <c r="F485" s="116">
        <v>2464.4499999999998</v>
      </c>
      <c r="G485">
        <v>26772</v>
      </c>
      <c r="H485" s="116"/>
      <c r="I485" s="116"/>
      <c r="L485" s="170">
        <v>44818</v>
      </c>
      <c r="M485" s="116">
        <v>518.48</v>
      </c>
      <c r="N485" s="116">
        <v>525</v>
      </c>
      <c r="O485" s="116">
        <v>509.6</v>
      </c>
      <c r="P485" s="116">
        <v>510.2</v>
      </c>
      <c r="Q485" s="116">
        <v>2592.4</v>
      </c>
      <c r="R485">
        <v>275207</v>
      </c>
    </row>
    <row r="486" spans="1:18" x14ac:dyDescent="0.25">
      <c r="A486" s="170">
        <v>44816</v>
      </c>
      <c r="B486" s="116">
        <v>521.57000000000005</v>
      </c>
      <c r="C486" s="116">
        <v>515.38</v>
      </c>
      <c r="D486" s="116">
        <v>493.85</v>
      </c>
      <c r="E486" s="116">
        <v>493.85</v>
      </c>
      <c r="F486" s="116">
        <v>2576.9</v>
      </c>
      <c r="G486">
        <v>65656</v>
      </c>
      <c r="H486" s="116"/>
      <c r="I486" s="116"/>
      <c r="L486" s="170">
        <v>44819</v>
      </c>
      <c r="M486" s="116">
        <v>518.52</v>
      </c>
      <c r="N486" s="116">
        <v>524</v>
      </c>
      <c r="O486" s="116">
        <v>516.82000000000005</v>
      </c>
      <c r="P486" s="116">
        <v>520</v>
      </c>
      <c r="Q486" s="116">
        <v>2592.6</v>
      </c>
      <c r="R486">
        <v>158669</v>
      </c>
    </row>
    <row r="487" spans="1:18" x14ac:dyDescent="0.25">
      <c r="A487" s="170">
        <v>44817</v>
      </c>
      <c r="B487" s="116">
        <v>529.99</v>
      </c>
      <c r="C487" s="116">
        <v>520.69000000000005</v>
      </c>
      <c r="D487" s="116">
        <v>515.41</v>
      </c>
      <c r="E487" s="116">
        <v>521</v>
      </c>
      <c r="F487" s="116">
        <v>2603.4499999999998</v>
      </c>
      <c r="G487">
        <v>64537</v>
      </c>
      <c r="H487" s="116"/>
      <c r="I487" s="116"/>
      <c r="L487" s="170">
        <v>44820</v>
      </c>
      <c r="M487" s="116">
        <v>507.04</v>
      </c>
      <c r="N487" s="116">
        <v>519.36</v>
      </c>
      <c r="O487" s="116">
        <v>503.2</v>
      </c>
      <c r="P487" s="116">
        <v>519</v>
      </c>
      <c r="Q487" s="116">
        <v>2535.1999999999998</v>
      </c>
      <c r="R487">
        <v>233210</v>
      </c>
    </row>
    <row r="488" spans="1:18" x14ac:dyDescent="0.25">
      <c r="A488" s="170">
        <v>44818</v>
      </c>
      <c r="B488" s="116">
        <v>524.79999999999995</v>
      </c>
      <c r="C488" s="116">
        <v>518.62</v>
      </c>
      <c r="D488" s="116">
        <v>509.86</v>
      </c>
      <c r="E488" s="116">
        <v>513.1</v>
      </c>
      <c r="F488" s="116">
        <v>2593.1</v>
      </c>
      <c r="G488">
        <v>8145</v>
      </c>
      <c r="H488" s="116"/>
      <c r="I488" s="116"/>
      <c r="L488" s="170">
        <v>44823</v>
      </c>
      <c r="M488" s="116">
        <v>492.31</v>
      </c>
      <c r="N488" s="116">
        <v>504</v>
      </c>
      <c r="O488" s="116">
        <v>490.23</v>
      </c>
      <c r="P488" s="116">
        <v>502.6</v>
      </c>
      <c r="Q488" s="116">
        <v>2461.5500000000002</v>
      </c>
      <c r="R488">
        <v>236567</v>
      </c>
    </row>
    <row r="489" spans="1:18" x14ac:dyDescent="0.25">
      <c r="A489" s="170">
        <v>44819</v>
      </c>
      <c r="B489" s="116">
        <v>523.79999999999995</v>
      </c>
      <c r="C489" s="116">
        <v>518.86</v>
      </c>
      <c r="D489" s="116">
        <v>516.71</v>
      </c>
      <c r="E489" s="116">
        <v>522.79999999999995</v>
      </c>
      <c r="F489" s="116">
        <v>2594.3000000000002</v>
      </c>
      <c r="G489">
        <v>19917</v>
      </c>
      <c r="H489" s="116"/>
      <c r="I489" s="116"/>
      <c r="L489" s="170">
        <v>44824</v>
      </c>
      <c r="M489" s="116">
        <v>496.24</v>
      </c>
      <c r="N489" s="116">
        <v>502</v>
      </c>
      <c r="O489" s="116">
        <v>493.13</v>
      </c>
      <c r="P489" s="116">
        <v>496.39</v>
      </c>
      <c r="Q489" s="116">
        <v>2481.1999999999998</v>
      </c>
      <c r="R489">
        <v>139703</v>
      </c>
    </row>
    <row r="490" spans="1:18" x14ac:dyDescent="0.25">
      <c r="A490" s="170">
        <v>44820</v>
      </c>
      <c r="B490" s="116">
        <v>518</v>
      </c>
      <c r="C490" s="116">
        <v>506.92</v>
      </c>
      <c r="D490" s="116">
        <v>502.74</v>
      </c>
      <c r="E490" s="116">
        <v>516</v>
      </c>
      <c r="F490" s="116">
        <v>2534.6</v>
      </c>
      <c r="G490">
        <v>29433</v>
      </c>
      <c r="H490" s="116"/>
      <c r="I490" s="116"/>
      <c r="L490" s="170">
        <v>44825</v>
      </c>
      <c r="M490" s="116">
        <v>488.17</v>
      </c>
      <c r="N490" s="116">
        <v>498.84</v>
      </c>
      <c r="O490" s="116">
        <v>486.82</v>
      </c>
      <c r="P490" s="116">
        <v>495.27</v>
      </c>
      <c r="Q490" s="116">
        <v>2440.85</v>
      </c>
      <c r="R490">
        <v>46041</v>
      </c>
    </row>
    <row r="491" spans="1:18" x14ac:dyDescent="0.25">
      <c r="A491" s="170">
        <v>44823</v>
      </c>
      <c r="B491" s="116">
        <v>504</v>
      </c>
      <c r="C491" s="116">
        <v>492.26</v>
      </c>
      <c r="D491" s="116">
        <v>490.01</v>
      </c>
      <c r="E491" s="116">
        <v>494.66</v>
      </c>
      <c r="F491" s="116">
        <v>2461.3000000000002</v>
      </c>
      <c r="G491">
        <v>87175</v>
      </c>
      <c r="H491" s="116"/>
      <c r="I491" s="116"/>
      <c r="L491" s="170">
        <v>44826</v>
      </c>
      <c r="M491" s="116">
        <v>513.58000000000004</v>
      </c>
      <c r="N491" s="116">
        <v>515.79999999999995</v>
      </c>
      <c r="O491" s="116">
        <v>486.36</v>
      </c>
      <c r="P491" s="116">
        <v>488.4</v>
      </c>
      <c r="Q491" s="116">
        <v>2567.9</v>
      </c>
      <c r="R491">
        <v>335080</v>
      </c>
    </row>
    <row r="492" spans="1:18" x14ac:dyDescent="0.25">
      <c r="A492" s="170">
        <v>44824</v>
      </c>
      <c r="B492" s="116">
        <v>502</v>
      </c>
      <c r="C492" s="116">
        <v>495.92</v>
      </c>
      <c r="D492" s="116">
        <v>491.61</v>
      </c>
      <c r="E492" s="116">
        <v>491.61</v>
      </c>
      <c r="F492" s="116">
        <v>2479.6</v>
      </c>
      <c r="G492">
        <v>2732</v>
      </c>
      <c r="H492" s="116"/>
      <c r="I492" s="116"/>
      <c r="L492" s="170">
        <v>44827</v>
      </c>
      <c r="M492" s="116">
        <v>509.83</v>
      </c>
      <c r="N492" s="116">
        <v>517.6</v>
      </c>
      <c r="O492" s="116">
        <v>498.8</v>
      </c>
      <c r="P492" s="116">
        <v>514</v>
      </c>
      <c r="Q492" s="116">
        <v>2549.15</v>
      </c>
      <c r="R492">
        <v>141790</v>
      </c>
    </row>
    <row r="493" spans="1:18" x14ac:dyDescent="0.25">
      <c r="A493" s="170">
        <v>44825</v>
      </c>
      <c r="B493" s="116">
        <v>507.37</v>
      </c>
      <c r="C493" s="116">
        <v>487.99</v>
      </c>
      <c r="D493" s="116">
        <v>487.01</v>
      </c>
      <c r="E493" s="116">
        <v>494</v>
      </c>
      <c r="F493" s="116">
        <v>2439.9499999999998</v>
      </c>
      <c r="G493">
        <v>5508</v>
      </c>
      <c r="H493" s="116"/>
      <c r="I493" s="116"/>
      <c r="L493" s="170">
        <v>44830</v>
      </c>
      <c r="M493" s="116">
        <v>489.24</v>
      </c>
      <c r="N493" s="116">
        <v>503.98</v>
      </c>
      <c r="O493" s="116">
        <v>484</v>
      </c>
      <c r="P493" s="116">
        <v>502.56</v>
      </c>
      <c r="Q493" s="116">
        <v>2446.1999999999998</v>
      </c>
      <c r="R493">
        <v>109787</v>
      </c>
    </row>
    <row r="494" spans="1:18" x14ac:dyDescent="0.25">
      <c r="A494" s="170">
        <v>44826</v>
      </c>
      <c r="B494" s="116">
        <v>516</v>
      </c>
      <c r="C494" s="116">
        <v>513.38</v>
      </c>
      <c r="D494" s="116">
        <v>484.2</v>
      </c>
      <c r="E494" s="116">
        <v>484.2</v>
      </c>
      <c r="F494" s="116">
        <v>2566.9</v>
      </c>
      <c r="G494">
        <v>11056</v>
      </c>
      <c r="H494" s="116"/>
      <c r="I494" s="116"/>
      <c r="L494" s="170">
        <v>44831</v>
      </c>
      <c r="M494" s="116">
        <v>482.51</v>
      </c>
      <c r="N494" s="116">
        <v>491.04</v>
      </c>
      <c r="O494" s="116">
        <v>478.03</v>
      </c>
      <c r="P494" s="116">
        <v>487.8</v>
      </c>
      <c r="Q494" s="116">
        <v>2412.5500000000002</v>
      </c>
      <c r="R494">
        <v>127438</v>
      </c>
    </row>
    <row r="495" spans="1:18" x14ac:dyDescent="0.25">
      <c r="A495" s="170">
        <v>44827</v>
      </c>
      <c r="B495" s="116">
        <v>520.95000000000005</v>
      </c>
      <c r="C495" s="116">
        <v>510.17</v>
      </c>
      <c r="D495" s="116">
        <v>499.07</v>
      </c>
      <c r="E495" s="116">
        <v>514</v>
      </c>
      <c r="F495" s="116">
        <v>2550.85</v>
      </c>
      <c r="G495">
        <v>6328</v>
      </c>
      <c r="H495" s="116"/>
      <c r="I495" s="116"/>
      <c r="L495" s="170">
        <v>44832</v>
      </c>
      <c r="M495" s="116">
        <v>487.37</v>
      </c>
      <c r="N495" s="116">
        <v>491.6</v>
      </c>
      <c r="O495" s="116">
        <v>483.02</v>
      </c>
      <c r="P495" s="116">
        <v>485.81</v>
      </c>
      <c r="Q495" s="116">
        <v>2436.85</v>
      </c>
      <c r="R495">
        <v>133719</v>
      </c>
    </row>
    <row r="496" spans="1:18" x14ac:dyDescent="0.25">
      <c r="A496" s="170">
        <v>44830</v>
      </c>
      <c r="B496" s="116">
        <v>503.16</v>
      </c>
      <c r="C496" s="116">
        <v>488.56</v>
      </c>
      <c r="D496" s="116">
        <v>484</v>
      </c>
      <c r="E496" s="116">
        <v>501.9</v>
      </c>
      <c r="F496" s="116">
        <v>2442.8000000000002</v>
      </c>
      <c r="G496">
        <v>21008</v>
      </c>
      <c r="H496" s="116"/>
      <c r="I496" s="116"/>
      <c r="L496" s="170">
        <v>44833</v>
      </c>
      <c r="M496" s="116">
        <v>499.64</v>
      </c>
      <c r="N496" s="116">
        <v>503.9</v>
      </c>
      <c r="O496" s="116">
        <v>493.2</v>
      </c>
      <c r="P496" s="116">
        <v>493.2</v>
      </c>
      <c r="Q496" s="116">
        <v>2498.1999999999998</v>
      </c>
      <c r="R496">
        <v>123000</v>
      </c>
    </row>
    <row r="497" spans="1:18" x14ac:dyDescent="0.25">
      <c r="A497" s="170">
        <v>44831</v>
      </c>
      <c r="B497" s="116">
        <v>490.67</v>
      </c>
      <c r="C497" s="116">
        <v>482.83</v>
      </c>
      <c r="D497" s="116">
        <v>477.91</v>
      </c>
      <c r="E497" s="116">
        <v>488.4</v>
      </c>
      <c r="F497" s="116">
        <v>2414.15</v>
      </c>
      <c r="G497">
        <v>4044</v>
      </c>
      <c r="H497" s="116"/>
      <c r="I497" s="116"/>
      <c r="L497" s="170">
        <v>44834</v>
      </c>
      <c r="M497" s="116">
        <v>505.48</v>
      </c>
      <c r="N497" s="116">
        <v>509</v>
      </c>
      <c r="O497" s="116">
        <v>494.09</v>
      </c>
      <c r="P497" s="116">
        <v>499.6</v>
      </c>
      <c r="Q497" s="116">
        <v>2527.4</v>
      </c>
      <c r="R497">
        <v>89652</v>
      </c>
    </row>
    <row r="498" spans="1:18" x14ac:dyDescent="0.25">
      <c r="A498" s="170">
        <v>44832</v>
      </c>
      <c r="B498" s="116">
        <v>491.66</v>
      </c>
      <c r="C498" s="116">
        <v>487.41</v>
      </c>
      <c r="D498" s="116">
        <v>483</v>
      </c>
      <c r="E498" s="116">
        <v>485.2</v>
      </c>
      <c r="F498" s="116">
        <v>2437.0500000000002</v>
      </c>
      <c r="G498">
        <v>11888</v>
      </c>
      <c r="H498" s="116"/>
      <c r="I498" s="116"/>
      <c r="L498" s="170">
        <v>44837</v>
      </c>
      <c r="M498" s="116">
        <v>494.65</v>
      </c>
      <c r="N498" s="116">
        <v>505.4</v>
      </c>
      <c r="O498" s="116">
        <v>492.41</v>
      </c>
      <c r="P498" s="116">
        <v>505.4</v>
      </c>
      <c r="Q498" s="116">
        <v>2473.25</v>
      </c>
      <c r="R498">
        <v>64560</v>
      </c>
    </row>
    <row r="499" spans="1:18" x14ac:dyDescent="0.25">
      <c r="A499" s="170">
        <v>44833</v>
      </c>
      <c r="B499" s="116">
        <v>504.79</v>
      </c>
      <c r="C499" s="116">
        <v>499.33</v>
      </c>
      <c r="D499" s="116">
        <v>490.62</v>
      </c>
      <c r="E499" s="116">
        <v>490.62</v>
      </c>
      <c r="F499" s="116">
        <v>2496.65</v>
      </c>
      <c r="G499">
        <v>15074</v>
      </c>
      <c r="H499" s="116"/>
      <c r="I499" s="116"/>
      <c r="L499" s="170">
        <v>44838</v>
      </c>
      <c r="M499" s="116">
        <v>495.78</v>
      </c>
      <c r="N499" s="116">
        <v>504</v>
      </c>
      <c r="O499" s="116">
        <v>494</v>
      </c>
      <c r="P499" s="116">
        <v>501.4</v>
      </c>
      <c r="Q499" s="116">
        <v>2478.9</v>
      </c>
      <c r="R499">
        <v>57196</v>
      </c>
    </row>
    <row r="500" spans="1:18" x14ac:dyDescent="0.25">
      <c r="A500" s="170">
        <v>44834</v>
      </c>
      <c r="B500" s="116">
        <v>508.6</v>
      </c>
      <c r="C500" s="116">
        <v>504.83</v>
      </c>
      <c r="D500" s="116">
        <v>494.4</v>
      </c>
      <c r="E500" s="116">
        <v>499.6</v>
      </c>
      <c r="F500" s="116">
        <v>2524.15</v>
      </c>
      <c r="G500">
        <v>6611</v>
      </c>
      <c r="H500" s="116"/>
      <c r="I500" s="116"/>
      <c r="L500" s="170">
        <v>44840</v>
      </c>
      <c r="M500" s="116">
        <v>497.29</v>
      </c>
      <c r="N500" s="116">
        <v>500.84</v>
      </c>
      <c r="O500" s="116">
        <v>496</v>
      </c>
      <c r="P500" s="116">
        <v>497.4</v>
      </c>
      <c r="Q500" s="116">
        <v>2486.4499999999998</v>
      </c>
      <c r="R500">
        <v>46975</v>
      </c>
    </row>
    <row r="501" spans="1:18" x14ac:dyDescent="0.25">
      <c r="A501" s="170">
        <v>44837</v>
      </c>
      <c r="B501" s="116">
        <v>504.6</v>
      </c>
      <c r="C501" s="116">
        <v>494.97</v>
      </c>
      <c r="D501" s="116">
        <v>492.23</v>
      </c>
      <c r="E501" s="116">
        <v>502</v>
      </c>
      <c r="F501" s="116">
        <v>2474.85</v>
      </c>
      <c r="G501">
        <v>5508</v>
      </c>
      <c r="H501" s="116"/>
      <c r="I501" s="116"/>
      <c r="L501" s="170">
        <v>44841</v>
      </c>
      <c r="M501" s="116">
        <v>493.54</v>
      </c>
      <c r="N501" s="116">
        <v>499.56</v>
      </c>
      <c r="O501" s="116">
        <v>488.61</v>
      </c>
      <c r="P501" s="116">
        <v>495.2</v>
      </c>
      <c r="Q501" s="116">
        <v>2467.6999999999998</v>
      </c>
      <c r="R501">
        <v>43646</v>
      </c>
    </row>
    <row r="502" spans="1:18" x14ac:dyDescent="0.25">
      <c r="A502" s="170">
        <v>44838</v>
      </c>
      <c r="B502" s="116">
        <v>503.87</v>
      </c>
      <c r="C502" s="116">
        <v>495.93</v>
      </c>
      <c r="D502" s="116">
        <v>494.04</v>
      </c>
      <c r="E502" s="116">
        <v>498.01</v>
      </c>
      <c r="F502" s="116">
        <v>2479.65</v>
      </c>
      <c r="G502">
        <v>3247</v>
      </c>
      <c r="H502" s="116"/>
      <c r="I502" s="116"/>
      <c r="L502" s="170">
        <v>44844</v>
      </c>
      <c r="M502" s="116">
        <v>507.07</v>
      </c>
      <c r="N502" s="116">
        <v>512</v>
      </c>
      <c r="O502" s="116">
        <v>488.69</v>
      </c>
      <c r="P502" s="116">
        <v>489</v>
      </c>
      <c r="Q502" s="116">
        <v>2535.35</v>
      </c>
      <c r="R502">
        <v>196458</v>
      </c>
    </row>
    <row r="503" spans="1:18" x14ac:dyDescent="0.25">
      <c r="A503" s="170">
        <v>44840</v>
      </c>
      <c r="B503" s="116">
        <v>500.83</v>
      </c>
      <c r="C503" s="116">
        <v>497.22</v>
      </c>
      <c r="D503" s="116">
        <v>494.59</v>
      </c>
      <c r="E503" s="116">
        <v>494.59</v>
      </c>
      <c r="F503" s="116">
        <v>2486.1</v>
      </c>
      <c r="G503">
        <v>6597</v>
      </c>
      <c r="H503" s="116"/>
      <c r="I503" s="116"/>
      <c r="L503" s="170">
        <v>44845</v>
      </c>
      <c r="M503" s="116">
        <v>511.38</v>
      </c>
      <c r="N503" s="116">
        <v>518.79999999999995</v>
      </c>
      <c r="O503" s="116">
        <v>503.02</v>
      </c>
      <c r="P503" s="116">
        <v>509.8</v>
      </c>
      <c r="Q503" s="116">
        <v>2556.9</v>
      </c>
      <c r="R503">
        <v>150409</v>
      </c>
    </row>
    <row r="504" spans="1:18" x14ac:dyDescent="0.25">
      <c r="A504" s="170">
        <v>44841</v>
      </c>
      <c r="B504" s="116">
        <v>498.93</v>
      </c>
      <c r="C504" s="116">
        <v>493.37</v>
      </c>
      <c r="D504" s="116">
        <v>489.01</v>
      </c>
      <c r="E504" s="116">
        <v>496</v>
      </c>
      <c r="F504" s="116">
        <v>2466.85</v>
      </c>
      <c r="G504">
        <v>2479</v>
      </c>
      <c r="H504" s="116"/>
      <c r="I504" s="116"/>
      <c r="L504" s="170">
        <v>44846</v>
      </c>
      <c r="M504" s="116">
        <v>513.49</v>
      </c>
      <c r="N504" s="116">
        <v>519.70000000000005</v>
      </c>
      <c r="O504" s="116">
        <v>504.46</v>
      </c>
      <c r="P504" s="116">
        <v>514.79999999999995</v>
      </c>
      <c r="Q504" s="116">
        <v>2567.4499999999998</v>
      </c>
      <c r="R504">
        <v>128266</v>
      </c>
    </row>
    <row r="505" spans="1:18" x14ac:dyDescent="0.25">
      <c r="A505" s="170">
        <v>44844</v>
      </c>
      <c r="B505" s="116">
        <v>511.78</v>
      </c>
      <c r="C505" s="116">
        <v>507.11</v>
      </c>
      <c r="D505" s="116">
        <v>488</v>
      </c>
      <c r="E505" s="116">
        <v>489</v>
      </c>
      <c r="F505" s="116">
        <v>2535.5500000000002</v>
      </c>
      <c r="G505">
        <v>5606</v>
      </c>
      <c r="H505" s="116"/>
      <c r="I505" s="116"/>
      <c r="L505" s="170">
        <v>44847</v>
      </c>
      <c r="M505" s="116">
        <v>519.32000000000005</v>
      </c>
      <c r="N505" s="116">
        <v>538</v>
      </c>
      <c r="O505" s="116">
        <v>513.6</v>
      </c>
      <c r="P505" s="116">
        <v>513.6</v>
      </c>
      <c r="Q505" s="116">
        <v>2596.6</v>
      </c>
      <c r="R505">
        <v>526042</v>
      </c>
    </row>
    <row r="506" spans="1:18" x14ac:dyDescent="0.25">
      <c r="A506" s="170">
        <v>44845</v>
      </c>
      <c r="B506" s="116">
        <v>517.51</v>
      </c>
      <c r="C506" s="116">
        <v>510.5</v>
      </c>
      <c r="D506" s="116">
        <v>503.06</v>
      </c>
      <c r="E506" s="116">
        <v>511.99</v>
      </c>
      <c r="F506" s="116">
        <v>2552.5</v>
      </c>
      <c r="G506">
        <v>67077</v>
      </c>
      <c r="H506" s="116"/>
      <c r="I506" s="116"/>
      <c r="L506" s="170">
        <v>44848</v>
      </c>
      <c r="M506" s="116">
        <v>515.19000000000005</v>
      </c>
      <c r="N506" s="116">
        <v>530</v>
      </c>
      <c r="O506" s="116">
        <v>511.23</v>
      </c>
      <c r="P506" s="116">
        <v>530</v>
      </c>
      <c r="Q506" s="116">
        <v>2575.9499999999998</v>
      </c>
      <c r="R506">
        <v>190963</v>
      </c>
    </row>
    <row r="507" spans="1:18" x14ac:dyDescent="0.25">
      <c r="A507" s="170">
        <v>44846</v>
      </c>
      <c r="B507" s="116">
        <v>519.79999999999995</v>
      </c>
      <c r="C507" s="116">
        <v>513.04</v>
      </c>
      <c r="D507" s="116">
        <v>504.71</v>
      </c>
      <c r="E507" s="116">
        <v>511.01</v>
      </c>
      <c r="F507" s="116">
        <v>2565.1999999999998</v>
      </c>
      <c r="G507">
        <v>6406</v>
      </c>
      <c r="H507" s="116"/>
      <c r="I507" s="116"/>
      <c r="L507" s="170">
        <v>44851</v>
      </c>
      <c r="M507" s="116">
        <v>519.71</v>
      </c>
      <c r="N507" s="116">
        <v>527.4</v>
      </c>
      <c r="O507" s="116">
        <v>514</v>
      </c>
      <c r="P507" s="116">
        <v>516.97</v>
      </c>
      <c r="Q507" s="116">
        <v>2598.5500000000002</v>
      </c>
      <c r="R507">
        <v>148735</v>
      </c>
    </row>
    <row r="508" spans="1:18" x14ac:dyDescent="0.25">
      <c r="A508" s="170">
        <v>44847</v>
      </c>
      <c r="B508" s="116">
        <v>537.79999999999995</v>
      </c>
      <c r="C508" s="116">
        <v>519.23</v>
      </c>
      <c r="D508" s="116">
        <v>514.15</v>
      </c>
      <c r="E508" s="116">
        <v>515.54999999999995</v>
      </c>
      <c r="F508" s="116">
        <v>2596.15</v>
      </c>
      <c r="G508">
        <v>17146</v>
      </c>
      <c r="H508" s="116"/>
      <c r="I508" s="116"/>
      <c r="L508" s="170">
        <v>44852</v>
      </c>
      <c r="M508" s="116">
        <v>518.73</v>
      </c>
      <c r="N508" s="116">
        <v>531</v>
      </c>
      <c r="O508" s="116">
        <v>516.03</v>
      </c>
      <c r="P508" s="116">
        <v>520.79999999999995</v>
      </c>
      <c r="Q508" s="116">
        <v>2593.65</v>
      </c>
      <c r="R508">
        <v>122286</v>
      </c>
    </row>
    <row r="509" spans="1:18" x14ac:dyDescent="0.25">
      <c r="A509" s="170">
        <v>44848</v>
      </c>
      <c r="B509" s="116">
        <v>528.96</v>
      </c>
      <c r="C509" s="116">
        <v>515</v>
      </c>
      <c r="D509" s="116">
        <v>511.24</v>
      </c>
      <c r="E509" s="116">
        <v>526.02</v>
      </c>
      <c r="F509" s="116">
        <v>2575</v>
      </c>
      <c r="G509">
        <v>6867</v>
      </c>
      <c r="H509" s="116"/>
      <c r="I509" s="116"/>
      <c r="L509" s="170">
        <v>44853</v>
      </c>
      <c r="M509" s="116">
        <v>513.04</v>
      </c>
      <c r="N509" s="116">
        <v>521.33000000000004</v>
      </c>
      <c r="O509" s="116">
        <v>512</v>
      </c>
      <c r="P509" s="116">
        <v>520.4</v>
      </c>
      <c r="Q509" s="116">
        <v>2565.1999999999998</v>
      </c>
      <c r="R509">
        <v>92943</v>
      </c>
    </row>
    <row r="510" spans="1:18" x14ac:dyDescent="0.25">
      <c r="A510" s="170">
        <v>44851</v>
      </c>
      <c r="B510" s="116">
        <v>527.48</v>
      </c>
      <c r="C510" s="116">
        <v>519.29999999999995</v>
      </c>
      <c r="D510" s="116">
        <v>514.69000000000005</v>
      </c>
      <c r="E510" s="116">
        <v>518.96</v>
      </c>
      <c r="F510" s="116">
        <v>2596.5</v>
      </c>
      <c r="G510">
        <v>78754</v>
      </c>
      <c r="H510" s="116"/>
      <c r="I510" s="116"/>
      <c r="L510" s="170">
        <v>44854</v>
      </c>
      <c r="M510" s="116">
        <v>522.26</v>
      </c>
      <c r="N510" s="116">
        <v>529</v>
      </c>
      <c r="O510" s="116">
        <v>505.4</v>
      </c>
      <c r="P510" s="116">
        <v>513</v>
      </c>
      <c r="Q510" s="116">
        <v>2611.3000000000002</v>
      </c>
      <c r="R510">
        <v>132428</v>
      </c>
    </row>
    <row r="511" spans="1:18" x14ac:dyDescent="0.25">
      <c r="A511" s="170">
        <v>44852</v>
      </c>
      <c r="B511" s="116">
        <v>531.11</v>
      </c>
      <c r="C511" s="116">
        <v>518.99</v>
      </c>
      <c r="D511" s="116">
        <v>516</v>
      </c>
      <c r="E511" s="116">
        <v>521.01</v>
      </c>
      <c r="F511" s="116">
        <v>2594.9499999999998</v>
      </c>
      <c r="G511">
        <v>5833</v>
      </c>
      <c r="H511" s="116"/>
      <c r="I511" s="116"/>
      <c r="L511" s="170">
        <v>44855</v>
      </c>
      <c r="M511" s="116">
        <v>527.16</v>
      </c>
      <c r="N511" s="116">
        <v>530.38</v>
      </c>
      <c r="O511" s="116">
        <v>523.03</v>
      </c>
      <c r="P511" s="116">
        <v>525.92999999999995</v>
      </c>
      <c r="Q511" s="116">
        <v>2635.8</v>
      </c>
      <c r="R511">
        <v>111357</v>
      </c>
    </row>
    <row r="512" spans="1:18" x14ac:dyDescent="0.25">
      <c r="A512" s="170">
        <v>44853</v>
      </c>
      <c r="B512" s="116">
        <v>521.39</v>
      </c>
      <c r="C512" s="116">
        <v>512.64</v>
      </c>
      <c r="D512" s="116">
        <v>510</v>
      </c>
      <c r="E512" s="116">
        <v>520</v>
      </c>
      <c r="F512" s="116">
        <v>2563.1999999999998</v>
      </c>
      <c r="G512">
        <v>16931</v>
      </c>
      <c r="H512" s="116"/>
      <c r="I512" s="116"/>
      <c r="L512" s="170">
        <v>44858</v>
      </c>
      <c r="M512" s="116">
        <v>533.38</v>
      </c>
      <c r="N512" s="116">
        <v>535.79999999999995</v>
      </c>
      <c r="O512" s="116">
        <v>532</v>
      </c>
      <c r="P512" s="116">
        <v>534</v>
      </c>
      <c r="Q512" s="116">
        <v>2666.9</v>
      </c>
      <c r="R512">
        <v>77038</v>
      </c>
    </row>
    <row r="513" spans="1:18" x14ac:dyDescent="0.25">
      <c r="A513" s="170">
        <v>44854</v>
      </c>
      <c r="B513" s="116">
        <v>528.39</v>
      </c>
      <c r="C513" s="116">
        <v>524.04999999999995</v>
      </c>
      <c r="D513" s="116">
        <v>505.6</v>
      </c>
      <c r="E513" s="116">
        <v>513.1</v>
      </c>
      <c r="F513" s="116">
        <v>2620.25</v>
      </c>
      <c r="G513">
        <v>7617</v>
      </c>
      <c r="H513" s="116"/>
      <c r="I513" s="116"/>
      <c r="L513" s="170">
        <v>44859</v>
      </c>
      <c r="M513" s="116">
        <v>523.17999999999995</v>
      </c>
      <c r="N513" s="116">
        <v>535.30999999999995</v>
      </c>
      <c r="O513" s="116">
        <v>521</v>
      </c>
      <c r="P513" s="116">
        <v>532.6</v>
      </c>
      <c r="Q513" s="116">
        <v>2615.9</v>
      </c>
      <c r="R513">
        <v>112120</v>
      </c>
    </row>
    <row r="514" spans="1:18" x14ac:dyDescent="0.25">
      <c r="A514" s="170">
        <v>44855</v>
      </c>
      <c r="B514" s="116">
        <v>530.66</v>
      </c>
      <c r="C514" s="116">
        <v>526.72</v>
      </c>
      <c r="D514" s="116">
        <v>522.6</v>
      </c>
      <c r="E514" s="116">
        <v>524.44000000000005</v>
      </c>
      <c r="F514" s="116">
        <v>2633.6</v>
      </c>
      <c r="G514">
        <v>18042</v>
      </c>
      <c r="H514" s="116"/>
      <c r="I514" s="116"/>
      <c r="L514" s="170">
        <v>44861</v>
      </c>
      <c r="M514" s="116">
        <v>518.64</v>
      </c>
      <c r="N514" s="116">
        <v>525.99</v>
      </c>
      <c r="O514" s="116">
        <v>516</v>
      </c>
      <c r="P514" s="116">
        <v>523.98</v>
      </c>
      <c r="Q514" s="116">
        <v>2593.1999999999998</v>
      </c>
      <c r="R514">
        <v>86905</v>
      </c>
    </row>
    <row r="515" spans="1:18" x14ac:dyDescent="0.25">
      <c r="A515" s="170">
        <v>44858</v>
      </c>
      <c r="B515" s="116">
        <v>535.99</v>
      </c>
      <c r="C515" s="116">
        <v>533.38</v>
      </c>
      <c r="D515" s="116">
        <v>532</v>
      </c>
      <c r="E515" s="116">
        <v>532</v>
      </c>
      <c r="F515" s="116">
        <v>2666.9</v>
      </c>
      <c r="G515">
        <v>3477</v>
      </c>
      <c r="H515" s="116"/>
      <c r="I515" s="116"/>
      <c r="L515" s="170">
        <v>44862</v>
      </c>
      <c r="M515" s="116">
        <v>512.88</v>
      </c>
      <c r="N515" s="116">
        <v>521.16999999999996</v>
      </c>
      <c r="O515" s="116">
        <v>510.47</v>
      </c>
      <c r="P515" s="116">
        <v>521.16999999999996</v>
      </c>
      <c r="Q515" s="116">
        <v>2564.4</v>
      </c>
      <c r="R515">
        <v>56443</v>
      </c>
    </row>
    <row r="516" spans="1:18" x14ac:dyDescent="0.25">
      <c r="A516" s="170">
        <v>44859</v>
      </c>
      <c r="B516" s="116">
        <v>535.27</v>
      </c>
      <c r="C516" s="116">
        <v>523.01</v>
      </c>
      <c r="D516" s="116">
        <v>521.25</v>
      </c>
      <c r="E516" s="116">
        <v>533.95000000000005</v>
      </c>
      <c r="F516" s="116">
        <v>2615.0500000000002</v>
      </c>
      <c r="G516">
        <v>84263</v>
      </c>
      <c r="H516" s="116"/>
      <c r="I516" s="116"/>
      <c r="L516" s="170">
        <v>44865</v>
      </c>
      <c r="M516" s="116">
        <v>509.83</v>
      </c>
      <c r="N516" s="116">
        <v>517.4</v>
      </c>
      <c r="O516" s="116">
        <v>508</v>
      </c>
      <c r="P516" s="116">
        <v>517.4</v>
      </c>
      <c r="Q516" s="116">
        <v>2549.15</v>
      </c>
      <c r="R516">
        <v>83732</v>
      </c>
    </row>
    <row r="517" spans="1:18" x14ac:dyDescent="0.25">
      <c r="A517" s="170">
        <v>44861</v>
      </c>
      <c r="B517" s="116">
        <v>527.88</v>
      </c>
      <c r="C517" s="116">
        <v>518.48</v>
      </c>
      <c r="D517" s="116">
        <v>516</v>
      </c>
      <c r="E517" s="116">
        <v>523.4</v>
      </c>
      <c r="F517" s="116">
        <v>2592.4</v>
      </c>
      <c r="G517">
        <v>3385</v>
      </c>
      <c r="H517" s="116"/>
      <c r="I517" s="116"/>
      <c r="L517" s="170">
        <v>44866</v>
      </c>
      <c r="M517" s="116">
        <v>499.39</v>
      </c>
      <c r="N517" s="116">
        <v>511.39</v>
      </c>
      <c r="O517" s="116">
        <v>498</v>
      </c>
      <c r="P517" s="116">
        <v>511.39</v>
      </c>
      <c r="Q517" s="116">
        <v>2496.9499999999998</v>
      </c>
      <c r="R517">
        <v>126200</v>
      </c>
    </row>
    <row r="518" spans="1:18" x14ac:dyDescent="0.25">
      <c r="A518" s="170">
        <v>44862</v>
      </c>
      <c r="B518" s="116">
        <v>521.96</v>
      </c>
      <c r="C518" s="116">
        <v>512.71</v>
      </c>
      <c r="D518" s="116">
        <v>511</v>
      </c>
      <c r="E518" s="116">
        <v>521.41999999999996</v>
      </c>
      <c r="F518" s="116">
        <v>2563.5500000000002</v>
      </c>
      <c r="G518">
        <v>2159</v>
      </c>
      <c r="H518" s="116"/>
      <c r="I518" s="116"/>
      <c r="L518" s="170">
        <v>44867</v>
      </c>
      <c r="M518" s="116">
        <v>500.52</v>
      </c>
      <c r="N518" s="116">
        <v>505</v>
      </c>
      <c r="O518" s="116">
        <v>497.12</v>
      </c>
      <c r="P518" s="116">
        <v>500.96</v>
      </c>
      <c r="Q518" s="116">
        <v>2502.6</v>
      </c>
      <c r="R518">
        <v>104582</v>
      </c>
    </row>
    <row r="519" spans="1:18" x14ac:dyDescent="0.25">
      <c r="A519" s="170">
        <v>44865</v>
      </c>
      <c r="B519" s="116">
        <v>516.79999999999995</v>
      </c>
      <c r="C519" s="116">
        <v>509.71</v>
      </c>
      <c r="D519" s="116">
        <v>508.5</v>
      </c>
      <c r="E519" s="116">
        <v>513</v>
      </c>
      <c r="F519" s="116">
        <v>2548.5500000000002</v>
      </c>
      <c r="G519">
        <v>2715</v>
      </c>
      <c r="H519" s="116"/>
      <c r="I519" s="116"/>
      <c r="L519" s="170">
        <v>44868</v>
      </c>
      <c r="M519" s="116">
        <v>494.6</v>
      </c>
      <c r="N519" s="116">
        <v>507.95</v>
      </c>
      <c r="O519" s="116">
        <v>493</v>
      </c>
      <c r="P519" s="116">
        <v>500</v>
      </c>
      <c r="Q519" s="116">
        <v>2473</v>
      </c>
      <c r="R519">
        <v>128472</v>
      </c>
    </row>
    <row r="520" spans="1:18" x14ac:dyDescent="0.25">
      <c r="A520" s="170">
        <v>44866</v>
      </c>
      <c r="B520" s="116">
        <v>510.28</v>
      </c>
      <c r="C520" s="116">
        <v>499.53</v>
      </c>
      <c r="D520" s="116">
        <v>498.56</v>
      </c>
      <c r="E520" s="116">
        <v>510.01</v>
      </c>
      <c r="F520" s="116">
        <v>2497.65</v>
      </c>
      <c r="G520">
        <v>4715</v>
      </c>
      <c r="H520" s="116"/>
      <c r="I520" s="116"/>
      <c r="L520" s="170">
        <v>44869</v>
      </c>
      <c r="M520" s="116">
        <v>490.68</v>
      </c>
      <c r="N520" s="116">
        <v>499.26</v>
      </c>
      <c r="O520" s="116">
        <v>489.6</v>
      </c>
      <c r="P520" s="116">
        <v>497.08</v>
      </c>
      <c r="Q520" s="116">
        <v>2453.4</v>
      </c>
      <c r="R520">
        <v>238744</v>
      </c>
    </row>
    <row r="521" spans="1:18" x14ac:dyDescent="0.25">
      <c r="A521" s="170">
        <v>44867</v>
      </c>
      <c r="B521" s="116">
        <v>505</v>
      </c>
      <c r="C521" s="116">
        <v>500.44</v>
      </c>
      <c r="D521" s="116">
        <v>497.2</v>
      </c>
      <c r="E521" s="116">
        <v>499.53</v>
      </c>
      <c r="F521" s="116">
        <v>2502.1999999999998</v>
      </c>
      <c r="G521">
        <v>11404</v>
      </c>
      <c r="H521" s="116"/>
      <c r="I521" s="116"/>
      <c r="L521" s="170">
        <v>44872</v>
      </c>
      <c r="M521" s="116">
        <v>489.96</v>
      </c>
      <c r="N521" s="116">
        <v>503</v>
      </c>
      <c r="O521" s="116">
        <v>488</v>
      </c>
      <c r="P521" s="116">
        <v>498</v>
      </c>
      <c r="Q521" s="116">
        <v>2449.8000000000002</v>
      </c>
      <c r="R521">
        <v>135707</v>
      </c>
    </row>
    <row r="522" spans="1:18" x14ac:dyDescent="0.25">
      <c r="A522" s="170">
        <v>44868</v>
      </c>
      <c r="B522" s="116">
        <v>507.6</v>
      </c>
      <c r="C522" s="116">
        <v>494.67</v>
      </c>
      <c r="D522" s="116">
        <v>493</v>
      </c>
      <c r="E522" s="116">
        <v>499.31</v>
      </c>
      <c r="F522" s="116">
        <v>2473.35</v>
      </c>
      <c r="G522">
        <v>6111</v>
      </c>
      <c r="H522" s="116"/>
      <c r="I522" s="116"/>
      <c r="L522" s="170">
        <v>44874</v>
      </c>
      <c r="M522" s="116">
        <v>479.24</v>
      </c>
      <c r="N522" s="116">
        <v>492.45</v>
      </c>
      <c r="O522" s="116">
        <v>478</v>
      </c>
      <c r="P522" s="116">
        <v>492.45</v>
      </c>
      <c r="Q522" s="116">
        <v>2396.1999999999998</v>
      </c>
      <c r="R522">
        <v>221182</v>
      </c>
    </row>
    <row r="523" spans="1:18" x14ac:dyDescent="0.25">
      <c r="A523" s="170">
        <v>44869</v>
      </c>
      <c r="B523" s="116">
        <v>498.81</v>
      </c>
      <c r="C523" s="116">
        <v>490.75</v>
      </c>
      <c r="D523" s="116">
        <v>489.8</v>
      </c>
      <c r="E523" s="116">
        <v>495.81</v>
      </c>
      <c r="F523" s="116">
        <v>2453.75</v>
      </c>
      <c r="G523">
        <v>15693</v>
      </c>
      <c r="H523" s="116"/>
      <c r="I523" s="116"/>
      <c r="L523" s="170">
        <v>44875</v>
      </c>
      <c r="M523" s="116">
        <v>471.93</v>
      </c>
      <c r="N523" s="116">
        <v>483.12</v>
      </c>
      <c r="O523" s="116">
        <v>470.4</v>
      </c>
      <c r="P523" s="116">
        <v>479.2</v>
      </c>
      <c r="Q523" s="116">
        <v>2359.65</v>
      </c>
      <c r="R523">
        <v>149416</v>
      </c>
    </row>
    <row r="524" spans="1:18" x14ac:dyDescent="0.25">
      <c r="A524" s="170">
        <v>44872</v>
      </c>
      <c r="B524" s="116">
        <v>502.9</v>
      </c>
      <c r="C524" s="116">
        <v>489.79</v>
      </c>
      <c r="D524" s="116">
        <v>488</v>
      </c>
      <c r="E524" s="116">
        <v>495.8</v>
      </c>
      <c r="F524" s="116">
        <v>2448.9499999999998</v>
      </c>
      <c r="G524">
        <v>17243</v>
      </c>
      <c r="H524" s="116"/>
      <c r="I524" s="116"/>
      <c r="L524" s="170">
        <v>44876</v>
      </c>
      <c r="M524" s="116">
        <v>478.88</v>
      </c>
      <c r="N524" s="116">
        <v>480.51</v>
      </c>
      <c r="O524" s="116">
        <v>476.05</v>
      </c>
      <c r="P524" s="116">
        <v>479.8</v>
      </c>
      <c r="Q524" s="116">
        <v>2394.4</v>
      </c>
      <c r="R524">
        <v>96636</v>
      </c>
    </row>
    <row r="525" spans="1:18" x14ac:dyDescent="0.25">
      <c r="A525" s="170">
        <v>44874</v>
      </c>
      <c r="B525" s="116">
        <v>491.82</v>
      </c>
      <c r="C525" s="116">
        <v>479.11</v>
      </c>
      <c r="D525" s="116">
        <v>478.41</v>
      </c>
      <c r="E525" s="116">
        <v>489.79</v>
      </c>
      <c r="F525" s="116">
        <v>2395.5500000000002</v>
      </c>
      <c r="G525">
        <v>5664</v>
      </c>
      <c r="H525" s="116"/>
      <c r="I525" s="116"/>
      <c r="L525" s="170">
        <v>44879</v>
      </c>
      <c r="M525" s="116">
        <v>474.76</v>
      </c>
      <c r="N525" s="116">
        <v>481.28</v>
      </c>
      <c r="O525" s="116">
        <v>468.56</v>
      </c>
      <c r="P525" s="116">
        <v>481.24</v>
      </c>
      <c r="Q525" s="116">
        <v>2373.8000000000002</v>
      </c>
      <c r="R525">
        <v>278493</v>
      </c>
    </row>
    <row r="526" spans="1:18" x14ac:dyDescent="0.25">
      <c r="A526" s="170">
        <v>44875</v>
      </c>
      <c r="B526" s="116">
        <v>483.09</v>
      </c>
      <c r="C526" s="116">
        <v>471.58</v>
      </c>
      <c r="D526" s="116">
        <v>470.5</v>
      </c>
      <c r="E526" s="116">
        <v>479</v>
      </c>
      <c r="F526" s="116">
        <v>2357.9</v>
      </c>
      <c r="G526">
        <v>4784</v>
      </c>
      <c r="H526" s="116"/>
      <c r="I526" s="116"/>
      <c r="L526" s="170">
        <v>44880</v>
      </c>
      <c r="M526" s="116">
        <v>470.29</v>
      </c>
      <c r="N526" s="116">
        <v>478</v>
      </c>
      <c r="O526" s="116">
        <v>468.82</v>
      </c>
      <c r="P526" s="116">
        <v>478</v>
      </c>
      <c r="Q526" s="116">
        <v>2351.4499999999998</v>
      </c>
      <c r="R526">
        <v>109763</v>
      </c>
    </row>
    <row r="527" spans="1:18" x14ac:dyDescent="0.25">
      <c r="A527" s="170">
        <v>44876</v>
      </c>
      <c r="B527" s="116">
        <v>482.19</v>
      </c>
      <c r="C527" s="116">
        <v>479.19</v>
      </c>
      <c r="D527" s="116">
        <v>476.49</v>
      </c>
      <c r="E527" s="116">
        <v>482.19</v>
      </c>
      <c r="F527" s="116">
        <v>2395.9499999999998</v>
      </c>
      <c r="G527">
        <v>2871</v>
      </c>
      <c r="H527" s="116"/>
      <c r="I527" s="116"/>
      <c r="L527" s="170">
        <v>44881</v>
      </c>
      <c r="M527" s="116">
        <v>470.64</v>
      </c>
      <c r="N527" s="116">
        <v>475</v>
      </c>
      <c r="O527" s="116">
        <v>469</v>
      </c>
      <c r="P527" s="116">
        <v>471.04</v>
      </c>
      <c r="Q527" s="116">
        <v>2353.1999999999998</v>
      </c>
      <c r="R527">
        <v>145820</v>
      </c>
    </row>
    <row r="528" spans="1:18" x14ac:dyDescent="0.25">
      <c r="A528" s="170">
        <v>44879</v>
      </c>
      <c r="B528" s="116">
        <v>481.39</v>
      </c>
      <c r="C528" s="116">
        <v>475.16</v>
      </c>
      <c r="D528" s="116">
        <v>468.41</v>
      </c>
      <c r="E528" s="116">
        <v>478.61</v>
      </c>
      <c r="F528" s="116">
        <v>2375.8000000000002</v>
      </c>
      <c r="G528">
        <v>18016</v>
      </c>
      <c r="H528" s="116"/>
      <c r="I528" s="116"/>
      <c r="L528" s="170">
        <v>44882</v>
      </c>
      <c r="M528" s="116">
        <v>469.95</v>
      </c>
      <c r="N528" s="116">
        <v>475.2</v>
      </c>
      <c r="O528" s="116">
        <v>468.4</v>
      </c>
      <c r="P528" s="116">
        <v>471.1</v>
      </c>
      <c r="Q528" s="116">
        <v>2349.75</v>
      </c>
      <c r="R528">
        <v>192325</v>
      </c>
    </row>
    <row r="529" spans="1:18" x14ac:dyDescent="0.25">
      <c r="A529" s="170">
        <v>44880</v>
      </c>
      <c r="B529" s="116">
        <v>478</v>
      </c>
      <c r="C529" s="116">
        <v>470.49</v>
      </c>
      <c r="D529" s="116">
        <v>469</v>
      </c>
      <c r="E529" s="116">
        <v>475.17</v>
      </c>
      <c r="F529" s="116">
        <v>2352.4499999999998</v>
      </c>
      <c r="G529">
        <v>12943</v>
      </c>
      <c r="H529" s="116"/>
      <c r="I529" s="116"/>
      <c r="L529" s="170">
        <v>44883</v>
      </c>
      <c r="M529" s="116">
        <v>458.31</v>
      </c>
      <c r="N529" s="116">
        <v>473.2</v>
      </c>
      <c r="O529" s="116">
        <v>457</v>
      </c>
      <c r="P529" s="116">
        <v>470.5</v>
      </c>
      <c r="Q529" s="116">
        <v>2291.5500000000002</v>
      </c>
      <c r="R529">
        <v>176882</v>
      </c>
    </row>
    <row r="530" spans="1:18" x14ac:dyDescent="0.25">
      <c r="A530" s="170">
        <v>44881</v>
      </c>
      <c r="B530" s="116">
        <v>475.04</v>
      </c>
      <c r="C530" s="116">
        <v>471.06</v>
      </c>
      <c r="D530" s="116">
        <v>469</v>
      </c>
      <c r="E530" s="116">
        <v>472</v>
      </c>
      <c r="F530" s="116">
        <v>2355.3000000000002</v>
      </c>
      <c r="G530">
        <v>11787</v>
      </c>
      <c r="H530" s="116"/>
      <c r="I530" s="116"/>
      <c r="L530" s="170">
        <v>44886</v>
      </c>
      <c r="M530" s="116">
        <v>456.66</v>
      </c>
      <c r="N530" s="116">
        <v>462.18</v>
      </c>
      <c r="O530" s="116">
        <v>455.05</v>
      </c>
      <c r="P530" s="116">
        <v>458</v>
      </c>
      <c r="Q530" s="116">
        <v>2283.3000000000002</v>
      </c>
      <c r="R530">
        <v>104542</v>
      </c>
    </row>
    <row r="531" spans="1:18" x14ac:dyDescent="0.25">
      <c r="A531" s="170">
        <v>44882</v>
      </c>
      <c r="B531" s="116">
        <v>475.37</v>
      </c>
      <c r="C531" s="116">
        <v>470</v>
      </c>
      <c r="D531" s="116">
        <v>468.17</v>
      </c>
      <c r="E531" s="116">
        <v>471</v>
      </c>
      <c r="F531" s="116">
        <v>2350</v>
      </c>
      <c r="G531">
        <v>10957</v>
      </c>
      <c r="H531" s="116"/>
      <c r="I531" s="116"/>
      <c r="L531" s="170">
        <v>44887</v>
      </c>
      <c r="M531" s="116">
        <v>455.62</v>
      </c>
      <c r="N531" s="116">
        <v>458.95</v>
      </c>
      <c r="O531" s="116">
        <v>454</v>
      </c>
      <c r="P531" s="116">
        <v>458.78</v>
      </c>
      <c r="Q531" s="116">
        <v>2278.1</v>
      </c>
      <c r="R531">
        <v>65376</v>
      </c>
    </row>
    <row r="532" spans="1:18" x14ac:dyDescent="0.25">
      <c r="A532" s="170">
        <v>44883</v>
      </c>
      <c r="B532" s="116">
        <v>473.2</v>
      </c>
      <c r="C532" s="116">
        <v>458.89</v>
      </c>
      <c r="D532" s="116">
        <v>454.23</v>
      </c>
      <c r="E532" s="116">
        <v>473.2</v>
      </c>
      <c r="F532" s="116">
        <v>2294.4499999999998</v>
      </c>
      <c r="G532">
        <v>29498</v>
      </c>
      <c r="H532" s="116"/>
      <c r="I532" s="116"/>
      <c r="L532" s="170">
        <v>44888</v>
      </c>
      <c r="M532" s="116">
        <v>454.43</v>
      </c>
      <c r="N532" s="116">
        <v>458.74</v>
      </c>
      <c r="O532" s="116">
        <v>451</v>
      </c>
      <c r="P532" s="116">
        <v>457.54</v>
      </c>
      <c r="Q532" s="116">
        <v>2272.15</v>
      </c>
      <c r="R532">
        <v>286374</v>
      </c>
    </row>
    <row r="533" spans="1:18" x14ac:dyDescent="0.25">
      <c r="A533" s="170">
        <v>44886</v>
      </c>
      <c r="B533" s="116">
        <v>462.23</v>
      </c>
      <c r="C533" s="116">
        <v>456.91</v>
      </c>
      <c r="D533" s="116">
        <v>455.21</v>
      </c>
      <c r="E533" s="116">
        <v>456.01</v>
      </c>
      <c r="F533" s="116">
        <v>2284.5500000000002</v>
      </c>
      <c r="G533">
        <v>11786</v>
      </c>
      <c r="H533" s="116"/>
      <c r="I533" s="116"/>
      <c r="L533" s="170">
        <v>44889</v>
      </c>
      <c r="M533" s="116">
        <v>459.9</v>
      </c>
      <c r="N533" s="116">
        <v>461</v>
      </c>
      <c r="O533" s="116">
        <v>454.81</v>
      </c>
      <c r="P533" s="116">
        <v>456</v>
      </c>
      <c r="Q533" s="116">
        <v>2299.5</v>
      </c>
      <c r="R533">
        <v>80021</v>
      </c>
    </row>
    <row r="534" spans="1:18" x14ac:dyDescent="0.25">
      <c r="A534" s="170">
        <v>44887</v>
      </c>
      <c r="B534" s="116">
        <v>461.08</v>
      </c>
      <c r="C534" s="116">
        <v>455.61</v>
      </c>
      <c r="D534" s="116">
        <v>454.1</v>
      </c>
      <c r="E534" s="116">
        <v>456.21</v>
      </c>
      <c r="F534" s="116">
        <v>2278.0500000000002</v>
      </c>
      <c r="G534">
        <v>10558</v>
      </c>
      <c r="H534" s="116"/>
      <c r="I534" s="116"/>
      <c r="L534" s="170">
        <v>44890</v>
      </c>
      <c r="M534" s="116">
        <v>464.56</v>
      </c>
      <c r="N534" s="116">
        <v>468.88</v>
      </c>
      <c r="O534" s="116">
        <v>461.2</v>
      </c>
      <c r="P534" s="116">
        <v>462.1</v>
      </c>
      <c r="Q534" s="116">
        <v>2322.8000000000002</v>
      </c>
      <c r="R534">
        <v>104897</v>
      </c>
    </row>
    <row r="535" spans="1:18" x14ac:dyDescent="0.25">
      <c r="A535" s="170">
        <v>44888</v>
      </c>
      <c r="B535" s="116">
        <v>459.99</v>
      </c>
      <c r="C535" s="116">
        <v>454.09</v>
      </c>
      <c r="D535" s="116">
        <v>451.2</v>
      </c>
      <c r="E535" s="116">
        <v>459.99</v>
      </c>
      <c r="F535" s="116">
        <v>2270.4499999999998</v>
      </c>
      <c r="G535">
        <v>5154</v>
      </c>
      <c r="H535" s="116"/>
      <c r="I535" s="116"/>
      <c r="L535" s="170">
        <v>44893</v>
      </c>
      <c r="M535" s="116">
        <v>471.29</v>
      </c>
      <c r="N535" s="116">
        <v>473.8</v>
      </c>
      <c r="O535" s="116">
        <v>465.01</v>
      </c>
      <c r="P535" s="116">
        <v>465.8</v>
      </c>
      <c r="Q535" s="116">
        <v>2356.4499999999998</v>
      </c>
      <c r="R535">
        <v>126702</v>
      </c>
    </row>
    <row r="536" spans="1:18" x14ac:dyDescent="0.25">
      <c r="A536" s="170">
        <v>44889</v>
      </c>
      <c r="B536" s="116">
        <v>460.97</v>
      </c>
      <c r="C536" s="116">
        <v>459.31</v>
      </c>
      <c r="D536" s="116">
        <v>450.62</v>
      </c>
      <c r="E536" s="116">
        <v>450.62</v>
      </c>
      <c r="F536" s="116">
        <v>2296.5500000000002</v>
      </c>
      <c r="G536">
        <v>3525</v>
      </c>
      <c r="H536" s="116"/>
      <c r="I536" s="116"/>
      <c r="L536" s="170">
        <v>44894</v>
      </c>
      <c r="M536" s="116">
        <v>470.73</v>
      </c>
      <c r="N536" s="116">
        <v>479.29</v>
      </c>
      <c r="O536" s="116">
        <v>469.2</v>
      </c>
      <c r="P536" s="116">
        <v>473.6</v>
      </c>
      <c r="Q536" s="116">
        <v>2353.65</v>
      </c>
      <c r="R536">
        <v>54349</v>
      </c>
    </row>
    <row r="537" spans="1:18" x14ac:dyDescent="0.25">
      <c r="A537" s="170">
        <v>44890</v>
      </c>
      <c r="B537" s="116">
        <v>468.71</v>
      </c>
      <c r="C537" s="116">
        <v>464.86</v>
      </c>
      <c r="D537" s="116">
        <v>459.01</v>
      </c>
      <c r="E537" s="116">
        <v>459.01</v>
      </c>
      <c r="F537" s="116">
        <v>2324.3000000000002</v>
      </c>
      <c r="G537">
        <v>6178</v>
      </c>
      <c r="H537" s="116"/>
      <c r="I537" s="116"/>
      <c r="L537" s="170">
        <v>44895</v>
      </c>
      <c r="M537" s="116">
        <v>459.75</v>
      </c>
      <c r="N537" s="116">
        <v>471.92</v>
      </c>
      <c r="O537" s="116">
        <v>457</v>
      </c>
      <c r="P537" s="116">
        <v>471.92</v>
      </c>
      <c r="Q537" s="116">
        <v>2298.75</v>
      </c>
      <c r="R537">
        <v>131235</v>
      </c>
    </row>
    <row r="538" spans="1:18" x14ac:dyDescent="0.25">
      <c r="A538" s="170">
        <v>44893</v>
      </c>
      <c r="B538" s="116">
        <v>473</v>
      </c>
      <c r="C538" s="116">
        <v>471.46</v>
      </c>
      <c r="D538" s="116">
        <v>464.84</v>
      </c>
      <c r="E538" s="116">
        <v>464.84</v>
      </c>
      <c r="F538" s="116">
        <v>2357.3000000000002</v>
      </c>
      <c r="G538">
        <v>11317</v>
      </c>
      <c r="H538" s="116"/>
      <c r="I538" s="116"/>
      <c r="L538" s="170">
        <v>44896</v>
      </c>
      <c r="M538" s="116">
        <v>455.25</v>
      </c>
      <c r="N538" s="116">
        <v>465.95</v>
      </c>
      <c r="O538" s="116">
        <v>454.25</v>
      </c>
      <c r="P538" s="116">
        <v>462.2</v>
      </c>
      <c r="Q538" s="116">
        <v>2276.25</v>
      </c>
      <c r="R538">
        <v>376229</v>
      </c>
    </row>
    <row r="539" spans="1:18" x14ac:dyDescent="0.25">
      <c r="A539" s="170">
        <v>44894</v>
      </c>
      <c r="B539" s="116">
        <v>478.78</v>
      </c>
      <c r="C539" s="116">
        <v>470.8</v>
      </c>
      <c r="D539" s="116">
        <v>469.5</v>
      </c>
      <c r="E539" s="116">
        <v>471.61</v>
      </c>
      <c r="F539" s="116">
        <v>2354</v>
      </c>
      <c r="G539">
        <v>12033</v>
      </c>
      <c r="H539" s="116"/>
      <c r="I539" s="116"/>
      <c r="L539" s="170">
        <v>44897</v>
      </c>
      <c r="M539" s="116">
        <v>455.09</v>
      </c>
      <c r="N539" s="116">
        <v>461.2</v>
      </c>
      <c r="O539" s="116">
        <v>454.43</v>
      </c>
      <c r="P539" s="116">
        <v>455.41</v>
      </c>
      <c r="Q539" s="116">
        <v>2275.4499999999998</v>
      </c>
      <c r="R539">
        <v>142245</v>
      </c>
    </row>
    <row r="540" spans="1:18" x14ac:dyDescent="0.25">
      <c r="A540" s="170">
        <v>44895</v>
      </c>
      <c r="B540" s="116">
        <v>471.64</v>
      </c>
      <c r="C540" s="116">
        <v>459.89</v>
      </c>
      <c r="D540" s="116">
        <v>457.2</v>
      </c>
      <c r="E540" s="116">
        <v>470.8</v>
      </c>
      <c r="F540" s="116">
        <v>2299.4499999999998</v>
      </c>
      <c r="G540">
        <v>17833</v>
      </c>
      <c r="H540" s="116"/>
      <c r="I540" s="116"/>
      <c r="L540" s="170">
        <v>44900</v>
      </c>
      <c r="M540" s="116">
        <v>459.6</v>
      </c>
      <c r="N540" s="116">
        <v>464.67</v>
      </c>
      <c r="O540" s="116">
        <v>455.53</v>
      </c>
      <c r="P540" s="116">
        <v>457.66</v>
      </c>
      <c r="Q540" s="116">
        <v>2298</v>
      </c>
      <c r="R540">
        <v>154222</v>
      </c>
    </row>
    <row r="541" spans="1:18" x14ac:dyDescent="0.25">
      <c r="A541" s="170">
        <v>44896</v>
      </c>
      <c r="B541" s="116">
        <v>466.12</v>
      </c>
      <c r="C541" s="116">
        <v>455.3</v>
      </c>
      <c r="D541" s="116">
        <v>454.51</v>
      </c>
      <c r="E541" s="116">
        <v>460.01</v>
      </c>
      <c r="F541" s="116">
        <v>2276.5</v>
      </c>
      <c r="G541">
        <v>26704</v>
      </c>
      <c r="H541" s="116"/>
      <c r="I541" s="116"/>
      <c r="L541" s="170">
        <v>44901</v>
      </c>
      <c r="M541" s="116">
        <v>453.84</v>
      </c>
      <c r="N541" s="116">
        <v>458.94</v>
      </c>
      <c r="O541" s="116">
        <v>451.7</v>
      </c>
      <c r="P541" s="116">
        <v>458.94</v>
      </c>
      <c r="Q541" s="116">
        <v>2269.1999999999998</v>
      </c>
      <c r="R541">
        <v>250361</v>
      </c>
    </row>
    <row r="542" spans="1:18" x14ac:dyDescent="0.25">
      <c r="A542" s="170">
        <v>44897</v>
      </c>
      <c r="B542" s="116">
        <v>461.12</v>
      </c>
      <c r="C542" s="116">
        <v>455.38</v>
      </c>
      <c r="D542" s="116">
        <v>453.21</v>
      </c>
      <c r="E542" s="116">
        <v>453.21</v>
      </c>
      <c r="F542" s="116">
        <v>2276.9</v>
      </c>
      <c r="G542">
        <v>16588</v>
      </c>
      <c r="H542" s="116"/>
      <c r="I542" s="116"/>
      <c r="L542" s="170">
        <v>44902</v>
      </c>
      <c r="M542" s="116">
        <v>450.69</v>
      </c>
      <c r="N542" s="116">
        <v>455.38</v>
      </c>
      <c r="O542" s="116">
        <v>450.2</v>
      </c>
      <c r="P542" s="116">
        <v>454.23</v>
      </c>
      <c r="Q542" s="116">
        <v>2253.4499999999998</v>
      </c>
      <c r="R542">
        <v>78123</v>
      </c>
    </row>
    <row r="543" spans="1:18" x14ac:dyDescent="0.25">
      <c r="A543" s="170">
        <v>44900</v>
      </c>
      <c r="B543" s="116">
        <v>464.4</v>
      </c>
      <c r="C543" s="116">
        <v>459.47</v>
      </c>
      <c r="D543" s="116">
        <v>455.39</v>
      </c>
      <c r="E543" s="116">
        <v>455.39</v>
      </c>
      <c r="F543" s="116">
        <v>2297.35</v>
      </c>
      <c r="G543">
        <v>18460</v>
      </c>
      <c r="H543" s="116"/>
      <c r="I543" s="116"/>
      <c r="L543" s="170">
        <v>44903</v>
      </c>
      <c r="M543" s="116">
        <v>440.67</v>
      </c>
      <c r="N543" s="116">
        <v>451.76</v>
      </c>
      <c r="O543" s="116">
        <v>440</v>
      </c>
      <c r="P543" s="116">
        <v>451</v>
      </c>
      <c r="Q543" s="116">
        <v>2203.35</v>
      </c>
      <c r="R543">
        <v>357998</v>
      </c>
    </row>
    <row r="544" spans="1:18" x14ac:dyDescent="0.25">
      <c r="A544" s="170">
        <v>44901</v>
      </c>
      <c r="B544" s="116">
        <v>461.58</v>
      </c>
      <c r="C544" s="116">
        <v>454.63</v>
      </c>
      <c r="D544" s="116">
        <v>451.8</v>
      </c>
      <c r="E544" s="116">
        <v>461.58</v>
      </c>
      <c r="F544" s="116">
        <v>2273.15</v>
      </c>
      <c r="G544">
        <v>6249</v>
      </c>
      <c r="H544" s="116"/>
      <c r="I544" s="116"/>
      <c r="L544" s="170">
        <v>44904</v>
      </c>
      <c r="M544" s="116">
        <v>442.15</v>
      </c>
      <c r="N544" s="116">
        <v>448.69</v>
      </c>
      <c r="O544" s="116">
        <v>437.01</v>
      </c>
      <c r="P544" s="116">
        <v>444</v>
      </c>
      <c r="Q544" s="116">
        <v>2210.75</v>
      </c>
      <c r="R544">
        <v>129750</v>
      </c>
    </row>
    <row r="545" spans="1:18" x14ac:dyDescent="0.25">
      <c r="A545" s="170">
        <v>44902</v>
      </c>
      <c r="B545" s="116">
        <v>454.73</v>
      </c>
      <c r="C545" s="116">
        <v>451.03</v>
      </c>
      <c r="D545" s="116">
        <v>450.4</v>
      </c>
      <c r="E545" s="116">
        <v>453.01</v>
      </c>
      <c r="F545" s="116">
        <v>2255.15</v>
      </c>
      <c r="G545">
        <v>13585</v>
      </c>
      <c r="H545" s="116"/>
      <c r="I545" s="116"/>
      <c r="L545" s="170">
        <v>44907</v>
      </c>
      <c r="M545" s="116">
        <v>438.93</v>
      </c>
      <c r="N545" s="116">
        <v>443.87</v>
      </c>
      <c r="O545" s="116">
        <v>435.46</v>
      </c>
      <c r="P545" s="116">
        <v>443.87</v>
      </c>
      <c r="Q545" s="116">
        <v>2194.65</v>
      </c>
      <c r="R545">
        <v>98255</v>
      </c>
    </row>
    <row r="546" spans="1:18" x14ac:dyDescent="0.25">
      <c r="A546" s="170">
        <v>44903</v>
      </c>
      <c r="B546" s="116">
        <v>451.52</v>
      </c>
      <c r="C546" s="116">
        <v>440.85</v>
      </c>
      <c r="D546" s="116">
        <v>440.23</v>
      </c>
      <c r="E546" s="116">
        <v>450</v>
      </c>
      <c r="F546" s="116">
        <v>2204.25</v>
      </c>
      <c r="G546">
        <v>27505</v>
      </c>
      <c r="H546" s="116"/>
      <c r="I546" s="116"/>
      <c r="L546" s="170">
        <v>44908</v>
      </c>
      <c r="M546" s="116">
        <v>438.01</v>
      </c>
      <c r="N546" s="116">
        <v>441.56</v>
      </c>
      <c r="O546" s="116">
        <v>437.2</v>
      </c>
      <c r="P546" s="116">
        <v>440.9</v>
      </c>
      <c r="Q546" s="116">
        <v>2190.0500000000002</v>
      </c>
      <c r="R546">
        <v>99077</v>
      </c>
    </row>
    <row r="547" spans="1:18" x14ac:dyDescent="0.25">
      <c r="A547" s="170">
        <v>44904</v>
      </c>
      <c r="B547" s="116">
        <v>448.72</v>
      </c>
      <c r="C547" s="116">
        <v>442.09</v>
      </c>
      <c r="D547" s="116">
        <v>438.21</v>
      </c>
      <c r="E547" s="116">
        <v>444</v>
      </c>
      <c r="F547" s="116">
        <v>2210.4499999999998</v>
      </c>
      <c r="G547">
        <v>17192</v>
      </c>
      <c r="H547" s="116"/>
      <c r="I547" s="116"/>
      <c r="L547" s="170">
        <v>44909</v>
      </c>
      <c r="M547" s="116">
        <v>437.36</v>
      </c>
      <c r="N547" s="116">
        <v>441.18</v>
      </c>
      <c r="O547" s="116">
        <v>436</v>
      </c>
      <c r="P547" s="116">
        <v>441.18</v>
      </c>
      <c r="Q547" s="116">
        <v>2186.8000000000002</v>
      </c>
      <c r="R547">
        <v>314823</v>
      </c>
    </row>
    <row r="548" spans="1:18" x14ac:dyDescent="0.25">
      <c r="A548" s="170">
        <v>44907</v>
      </c>
      <c r="B548" s="116">
        <v>445.97</v>
      </c>
      <c r="C548" s="116">
        <v>438.93</v>
      </c>
      <c r="D548" s="116">
        <v>435.6</v>
      </c>
      <c r="E548" s="116">
        <v>445.97</v>
      </c>
      <c r="F548" s="116">
        <v>2194.65</v>
      </c>
      <c r="G548">
        <v>5725</v>
      </c>
      <c r="H548" s="116"/>
      <c r="I548" s="116"/>
      <c r="L548" s="170">
        <v>44910</v>
      </c>
      <c r="M548" s="116">
        <v>435.65</v>
      </c>
      <c r="N548" s="116">
        <v>439.67</v>
      </c>
      <c r="O548" s="116">
        <v>434.27</v>
      </c>
      <c r="P548" s="116">
        <v>436.81</v>
      </c>
      <c r="Q548" s="116">
        <v>2178.25</v>
      </c>
      <c r="R548">
        <v>138979</v>
      </c>
    </row>
    <row r="549" spans="1:18" x14ac:dyDescent="0.25">
      <c r="A549" s="170">
        <v>44908</v>
      </c>
      <c r="B549" s="116">
        <v>441.59</v>
      </c>
      <c r="C549" s="116">
        <v>438.34</v>
      </c>
      <c r="D549" s="116">
        <v>437.21</v>
      </c>
      <c r="E549" s="116">
        <v>440</v>
      </c>
      <c r="F549" s="116">
        <v>2191.6999999999998</v>
      </c>
      <c r="G549">
        <v>203937</v>
      </c>
      <c r="H549" s="116"/>
      <c r="I549" s="116"/>
      <c r="L549" s="170">
        <v>44911</v>
      </c>
      <c r="M549" s="116">
        <v>441.55</v>
      </c>
      <c r="N549" s="116">
        <v>449.9</v>
      </c>
      <c r="O549" s="116">
        <v>434.42</v>
      </c>
      <c r="P549" s="116">
        <v>435</v>
      </c>
      <c r="Q549" s="116">
        <v>2207.75</v>
      </c>
      <c r="R549">
        <v>234243</v>
      </c>
    </row>
    <row r="550" spans="1:18" x14ac:dyDescent="0.25">
      <c r="A550" s="170">
        <v>44909</v>
      </c>
      <c r="B550" s="116">
        <v>441.17</v>
      </c>
      <c r="C550" s="116">
        <v>437.59</v>
      </c>
      <c r="D550" s="116">
        <v>436</v>
      </c>
      <c r="E550" s="116">
        <v>440.01</v>
      </c>
      <c r="F550" s="116">
        <v>2187.9499999999998</v>
      </c>
      <c r="G550">
        <v>14069</v>
      </c>
      <c r="H550" s="116"/>
      <c r="I550" s="116"/>
      <c r="L550" s="170">
        <v>44914</v>
      </c>
      <c r="M550" s="116">
        <v>437.44</v>
      </c>
      <c r="N550" s="116">
        <v>444.98</v>
      </c>
      <c r="O550" s="116">
        <v>436</v>
      </c>
      <c r="P550" s="116">
        <v>444</v>
      </c>
      <c r="Q550" s="116">
        <v>2187.1999999999998</v>
      </c>
      <c r="R550">
        <v>102683</v>
      </c>
    </row>
    <row r="551" spans="1:18" x14ac:dyDescent="0.25">
      <c r="A551" s="170">
        <v>44910</v>
      </c>
      <c r="B551" s="116">
        <v>439.73</v>
      </c>
      <c r="C551" s="116">
        <v>436.12</v>
      </c>
      <c r="D551" s="116">
        <v>434.5</v>
      </c>
      <c r="E551" s="116">
        <v>437.99</v>
      </c>
      <c r="F551" s="116">
        <v>2180.6</v>
      </c>
      <c r="G551">
        <v>16610</v>
      </c>
      <c r="H551" s="116"/>
      <c r="I551" s="116"/>
      <c r="L551" s="170">
        <v>44915</v>
      </c>
      <c r="M551" s="116">
        <v>438.92</v>
      </c>
      <c r="N551" s="116">
        <v>441.43</v>
      </c>
      <c r="O551" s="116">
        <v>436.48</v>
      </c>
      <c r="P551" s="116">
        <v>440</v>
      </c>
      <c r="Q551" s="116">
        <v>2194.6</v>
      </c>
      <c r="R551">
        <v>69421</v>
      </c>
    </row>
    <row r="552" spans="1:18" x14ac:dyDescent="0.25">
      <c r="A552" s="170">
        <v>44911</v>
      </c>
      <c r="B552" s="116">
        <v>449.96</v>
      </c>
      <c r="C552" s="116">
        <v>441.27</v>
      </c>
      <c r="D552" s="116">
        <v>434</v>
      </c>
      <c r="E552" s="116">
        <v>434</v>
      </c>
      <c r="F552" s="116">
        <v>2206.35</v>
      </c>
      <c r="G552">
        <v>17982</v>
      </c>
      <c r="H552" s="116"/>
      <c r="I552" s="116"/>
      <c r="L552" s="170">
        <v>44916</v>
      </c>
      <c r="M552" s="116">
        <v>440.42</v>
      </c>
      <c r="N552" s="116">
        <v>447.92</v>
      </c>
      <c r="O552" s="116">
        <v>438.92</v>
      </c>
      <c r="P552" s="116">
        <v>440</v>
      </c>
      <c r="Q552" s="116">
        <v>2202.1</v>
      </c>
      <c r="R552">
        <v>210666</v>
      </c>
    </row>
    <row r="553" spans="1:18" x14ac:dyDescent="0.25">
      <c r="A553" s="170">
        <v>44914</v>
      </c>
      <c r="B553" s="116">
        <v>449.25</v>
      </c>
      <c r="C553" s="116">
        <v>437.77</v>
      </c>
      <c r="D553" s="116">
        <v>436.02</v>
      </c>
      <c r="E553" s="116">
        <v>449.25</v>
      </c>
      <c r="F553" s="116">
        <v>2188.85</v>
      </c>
      <c r="G553">
        <v>2754</v>
      </c>
      <c r="H553" s="116"/>
      <c r="I553" s="116"/>
      <c r="L553" s="170">
        <v>44917</v>
      </c>
      <c r="M553" s="116">
        <v>449.99</v>
      </c>
      <c r="N553" s="116">
        <v>456.8</v>
      </c>
      <c r="O553" s="116">
        <v>443</v>
      </c>
      <c r="P553" s="116">
        <v>443</v>
      </c>
      <c r="Q553" s="116">
        <v>2249.9499999999998</v>
      </c>
      <c r="R553">
        <v>364347</v>
      </c>
    </row>
    <row r="554" spans="1:18" x14ac:dyDescent="0.25">
      <c r="A554" s="170">
        <v>44915</v>
      </c>
      <c r="B554" s="116">
        <v>440.27</v>
      </c>
      <c r="C554" s="116">
        <v>438.77</v>
      </c>
      <c r="D554" s="116">
        <v>437</v>
      </c>
      <c r="E554" s="116">
        <v>437.78</v>
      </c>
      <c r="F554" s="116">
        <v>2193.85</v>
      </c>
      <c r="G554">
        <v>8388</v>
      </c>
      <c r="H554" s="116"/>
      <c r="I554" s="116"/>
      <c r="L554" s="170">
        <v>44918</v>
      </c>
      <c r="M554" s="116">
        <v>433.81</v>
      </c>
      <c r="N554" s="116">
        <v>448.8</v>
      </c>
      <c r="O554" s="116">
        <v>430</v>
      </c>
      <c r="P554" s="116">
        <v>448.8</v>
      </c>
      <c r="Q554" s="116">
        <v>2169.0500000000002</v>
      </c>
      <c r="R554">
        <v>134801</v>
      </c>
    </row>
    <row r="555" spans="1:18" x14ac:dyDescent="0.25">
      <c r="A555" s="170">
        <v>44916</v>
      </c>
      <c r="B555" s="116">
        <v>448.01</v>
      </c>
      <c r="C555" s="116">
        <v>440.29</v>
      </c>
      <c r="D555" s="116">
        <v>438.01</v>
      </c>
      <c r="E555" s="116">
        <v>438.01</v>
      </c>
      <c r="F555" s="116">
        <v>2201.4499999999998</v>
      </c>
      <c r="G555">
        <v>4104</v>
      </c>
      <c r="H555" s="116"/>
      <c r="I555" s="116"/>
      <c r="L555" s="170">
        <v>44921</v>
      </c>
      <c r="M555" s="116">
        <v>438.4</v>
      </c>
      <c r="N555" s="116">
        <v>443.6</v>
      </c>
      <c r="O555" s="116">
        <v>430.21</v>
      </c>
      <c r="P555" s="116">
        <v>433.81</v>
      </c>
      <c r="Q555" s="116">
        <v>2192</v>
      </c>
      <c r="R555">
        <v>49423</v>
      </c>
    </row>
    <row r="556" spans="1:18" x14ac:dyDescent="0.25">
      <c r="A556" s="170">
        <v>44917</v>
      </c>
      <c r="B556" s="116">
        <v>456.59</v>
      </c>
      <c r="C556" s="116">
        <v>449.86</v>
      </c>
      <c r="D556" s="116">
        <v>441</v>
      </c>
      <c r="E556" s="116">
        <v>441</v>
      </c>
      <c r="F556" s="116">
        <v>2249.3000000000002</v>
      </c>
      <c r="G556">
        <v>13442</v>
      </c>
      <c r="H556" s="116"/>
      <c r="I556" s="116"/>
      <c r="L556" s="170">
        <v>44922</v>
      </c>
      <c r="M556" s="116">
        <v>442.97</v>
      </c>
      <c r="N556" s="116">
        <v>445.8</v>
      </c>
      <c r="O556" s="116">
        <v>439.04</v>
      </c>
      <c r="P556" s="116">
        <v>441</v>
      </c>
      <c r="Q556" s="116">
        <v>2214.85</v>
      </c>
      <c r="R556">
        <v>66141</v>
      </c>
    </row>
    <row r="557" spans="1:18" x14ac:dyDescent="0.25">
      <c r="A557" s="170">
        <v>44918</v>
      </c>
      <c r="B557" s="116">
        <v>449.86</v>
      </c>
      <c r="C557" s="116">
        <v>434.09</v>
      </c>
      <c r="D557" s="116">
        <v>430.57</v>
      </c>
      <c r="E557" s="116">
        <v>449.86</v>
      </c>
      <c r="F557" s="116">
        <v>2170.4499999999998</v>
      </c>
      <c r="G557">
        <v>6749</v>
      </c>
      <c r="H557" s="116"/>
      <c r="I557" s="116"/>
      <c r="L557" s="170">
        <v>44923</v>
      </c>
      <c r="M557" s="116">
        <v>442.17</v>
      </c>
      <c r="N557" s="116">
        <v>443.76</v>
      </c>
      <c r="O557" s="116">
        <v>438.02</v>
      </c>
      <c r="P557" s="116">
        <v>440.6</v>
      </c>
      <c r="Q557" s="116">
        <v>2210.85</v>
      </c>
      <c r="R557">
        <v>45818</v>
      </c>
    </row>
    <row r="558" spans="1:18" x14ac:dyDescent="0.25">
      <c r="A558" s="170">
        <v>44921</v>
      </c>
      <c r="B558" s="116">
        <v>443.69</v>
      </c>
      <c r="C558" s="116">
        <v>438.5</v>
      </c>
      <c r="D558" s="116">
        <v>430.58</v>
      </c>
      <c r="E558" s="116">
        <v>430.58</v>
      </c>
      <c r="F558" s="116">
        <v>2192.5</v>
      </c>
      <c r="G558">
        <v>11506</v>
      </c>
      <c r="H558" s="116"/>
      <c r="I558" s="116"/>
      <c r="L558" s="170">
        <v>44924</v>
      </c>
      <c r="M558" s="116">
        <v>441.92</v>
      </c>
      <c r="N558" s="116">
        <v>444.71</v>
      </c>
      <c r="O558" s="116">
        <v>439.8</v>
      </c>
      <c r="P558" s="116">
        <v>442</v>
      </c>
      <c r="Q558" s="116">
        <v>2209.6</v>
      </c>
      <c r="R558">
        <v>53024</v>
      </c>
    </row>
    <row r="559" spans="1:18" x14ac:dyDescent="0.25">
      <c r="A559" s="170">
        <v>44922</v>
      </c>
      <c r="B559" s="116">
        <v>445</v>
      </c>
      <c r="C559" s="116">
        <v>443.06</v>
      </c>
      <c r="D559" s="116">
        <v>439.01</v>
      </c>
      <c r="E559" s="116">
        <v>439.01</v>
      </c>
      <c r="F559" s="116">
        <v>2215.3000000000002</v>
      </c>
      <c r="G559">
        <v>9688</v>
      </c>
      <c r="H559" s="116"/>
      <c r="I559" s="116"/>
      <c r="L559" s="170">
        <v>44925</v>
      </c>
      <c r="M559" s="116">
        <v>444.33</v>
      </c>
      <c r="N559" s="116">
        <v>446</v>
      </c>
      <c r="O559" s="116">
        <v>442.5</v>
      </c>
      <c r="P559" s="116">
        <v>442.6</v>
      </c>
      <c r="Q559" s="116">
        <v>2221.65</v>
      </c>
      <c r="R559">
        <v>46280</v>
      </c>
    </row>
    <row r="560" spans="1:18" x14ac:dyDescent="0.25">
      <c r="A560" s="170">
        <v>44923</v>
      </c>
      <c r="B560" s="116">
        <v>443.87</v>
      </c>
      <c r="C560" s="116">
        <v>442.27</v>
      </c>
      <c r="D560" s="116">
        <v>438</v>
      </c>
      <c r="E560" s="116">
        <v>439.01</v>
      </c>
      <c r="F560" s="116">
        <v>2211.35</v>
      </c>
      <c r="G560">
        <v>6588</v>
      </c>
      <c r="H560" s="116"/>
      <c r="I560" s="116"/>
      <c r="L560" s="170">
        <v>44928</v>
      </c>
      <c r="M560" s="116">
        <v>438.54</v>
      </c>
      <c r="N560" s="116">
        <v>445.34</v>
      </c>
      <c r="O560" s="116">
        <v>437.62</v>
      </c>
      <c r="P560" s="116">
        <v>445.34</v>
      </c>
      <c r="Q560" s="116">
        <v>2192.6999999999998</v>
      </c>
      <c r="R560">
        <v>71711</v>
      </c>
    </row>
    <row r="561" spans="1:18" x14ac:dyDescent="0.25">
      <c r="A561" s="170">
        <v>44924</v>
      </c>
      <c r="B561" s="116">
        <v>444.8</v>
      </c>
      <c r="C561" s="116">
        <v>441.84</v>
      </c>
      <c r="D561" s="116">
        <v>439.03</v>
      </c>
      <c r="E561" s="116">
        <v>440</v>
      </c>
      <c r="F561" s="116">
        <v>2209.1999999999998</v>
      </c>
      <c r="G561">
        <v>8145</v>
      </c>
      <c r="H561" s="116"/>
      <c r="I561" s="116"/>
      <c r="L561" s="170">
        <v>44929</v>
      </c>
      <c r="M561" s="116">
        <v>442.86</v>
      </c>
      <c r="N561" s="116">
        <v>444</v>
      </c>
      <c r="O561" s="116">
        <v>439.56</v>
      </c>
      <c r="P561" s="116">
        <v>439.62</v>
      </c>
      <c r="Q561" s="116">
        <v>2214.3000000000002</v>
      </c>
      <c r="R561">
        <v>39310</v>
      </c>
    </row>
    <row r="562" spans="1:18" x14ac:dyDescent="0.25">
      <c r="A562" s="170">
        <v>44925</v>
      </c>
      <c r="B562" s="116">
        <v>445.6</v>
      </c>
      <c r="C562" s="116">
        <v>444.08</v>
      </c>
      <c r="D562" s="116">
        <v>440.28</v>
      </c>
      <c r="E562" s="116">
        <v>440.28</v>
      </c>
      <c r="F562" s="116">
        <v>2220.4</v>
      </c>
      <c r="G562">
        <v>1288</v>
      </c>
      <c r="H562" s="116"/>
      <c r="I562" s="116"/>
      <c r="L562" s="170">
        <v>44930</v>
      </c>
      <c r="M562" s="116">
        <v>441.4</v>
      </c>
      <c r="N562" s="116">
        <v>443.78</v>
      </c>
      <c r="O562" s="116">
        <v>440.12</v>
      </c>
      <c r="P562" s="116">
        <v>443.78</v>
      </c>
      <c r="Q562" s="116">
        <v>2207</v>
      </c>
      <c r="R562">
        <v>43256</v>
      </c>
    </row>
    <row r="563" spans="1:18" x14ac:dyDescent="0.25">
      <c r="A563" s="170">
        <v>44928</v>
      </c>
      <c r="B563" s="116">
        <v>445</v>
      </c>
      <c r="C563" s="116">
        <v>439.03</v>
      </c>
      <c r="D563" s="116">
        <v>438</v>
      </c>
      <c r="E563" s="116">
        <v>445</v>
      </c>
      <c r="F563" s="116">
        <v>2195.15</v>
      </c>
      <c r="G563">
        <v>3918</v>
      </c>
      <c r="H563" s="116"/>
      <c r="I563" s="116"/>
      <c r="L563" s="170">
        <v>44931</v>
      </c>
      <c r="M563" s="116">
        <v>444.15</v>
      </c>
      <c r="N563" s="116">
        <v>449.38</v>
      </c>
      <c r="O563" s="116">
        <v>441.39</v>
      </c>
      <c r="P563" s="116">
        <v>442.79</v>
      </c>
      <c r="Q563" s="116">
        <v>2220.75</v>
      </c>
      <c r="R563">
        <v>87785</v>
      </c>
    </row>
    <row r="564" spans="1:18" x14ac:dyDescent="0.25">
      <c r="A564" s="170">
        <v>44929</v>
      </c>
      <c r="B564" s="116">
        <v>444.05</v>
      </c>
      <c r="C564" s="116">
        <v>442.84</v>
      </c>
      <c r="D564" s="116">
        <v>438</v>
      </c>
      <c r="E564" s="116">
        <v>438</v>
      </c>
      <c r="F564" s="116">
        <v>2214.1999999999998</v>
      </c>
      <c r="G564">
        <v>6610</v>
      </c>
      <c r="H564" s="116"/>
      <c r="I564" s="116"/>
      <c r="L564" s="170">
        <v>44932</v>
      </c>
      <c r="M564" s="116">
        <v>444.15</v>
      </c>
      <c r="N564" s="116">
        <v>446.38</v>
      </c>
      <c r="O564" s="116">
        <v>442.8</v>
      </c>
      <c r="P564" s="116">
        <v>444.15</v>
      </c>
      <c r="Q564" s="116">
        <v>2220.75</v>
      </c>
      <c r="R564">
        <v>27983</v>
      </c>
    </row>
    <row r="565" spans="1:18" x14ac:dyDescent="0.25">
      <c r="A565" s="170">
        <v>44930</v>
      </c>
      <c r="B565" s="116">
        <v>443.51</v>
      </c>
      <c r="C565" s="116">
        <v>441.4</v>
      </c>
      <c r="D565" s="116">
        <v>440.3</v>
      </c>
      <c r="E565" s="116">
        <v>441.23</v>
      </c>
      <c r="F565" s="116">
        <v>2207</v>
      </c>
      <c r="G565">
        <v>1177</v>
      </c>
      <c r="H565" s="116"/>
      <c r="I565" s="116"/>
      <c r="L565" s="170">
        <v>44935</v>
      </c>
      <c r="M565" s="116">
        <v>444.69</v>
      </c>
      <c r="N565" s="116">
        <v>447</v>
      </c>
      <c r="O565" s="116">
        <v>442.93</v>
      </c>
      <c r="P565" s="116">
        <v>446.54</v>
      </c>
      <c r="Q565" s="116">
        <v>2223.4499999999998</v>
      </c>
      <c r="R565">
        <v>42418</v>
      </c>
    </row>
    <row r="566" spans="1:18" x14ac:dyDescent="0.25">
      <c r="A566" s="170">
        <v>44931</v>
      </c>
      <c r="B566" s="116">
        <v>449.24</v>
      </c>
      <c r="C566" s="116">
        <v>444.23</v>
      </c>
      <c r="D566" s="116">
        <v>440.03</v>
      </c>
      <c r="E566" s="116">
        <v>440.03</v>
      </c>
      <c r="F566" s="116">
        <v>2221.15</v>
      </c>
      <c r="G566">
        <v>6740</v>
      </c>
      <c r="H566" s="116"/>
      <c r="I566" s="116"/>
      <c r="L566" s="170">
        <v>44936</v>
      </c>
      <c r="M566" s="116">
        <v>445.23</v>
      </c>
      <c r="N566" s="116">
        <v>448.8</v>
      </c>
      <c r="O566" s="116">
        <v>444</v>
      </c>
      <c r="P566" s="116">
        <v>445.3</v>
      </c>
      <c r="Q566" s="116">
        <v>2226.15</v>
      </c>
      <c r="R566">
        <v>56380</v>
      </c>
    </row>
    <row r="567" spans="1:18" x14ac:dyDescent="0.25">
      <c r="A567" s="170">
        <v>44932</v>
      </c>
      <c r="B567" s="116">
        <v>446.49</v>
      </c>
      <c r="C567" s="116">
        <v>443.54</v>
      </c>
      <c r="D567" s="116">
        <v>442.22</v>
      </c>
      <c r="E567" s="116">
        <v>444.99</v>
      </c>
      <c r="F567" s="116">
        <v>2217.6999999999998</v>
      </c>
      <c r="G567">
        <v>6456</v>
      </c>
      <c r="H567" s="116"/>
      <c r="I567" s="116"/>
      <c r="L567" s="170">
        <v>44937</v>
      </c>
      <c r="M567" s="116">
        <v>445.2</v>
      </c>
      <c r="N567" s="116">
        <v>448.71</v>
      </c>
      <c r="O567" s="116">
        <v>443.62</v>
      </c>
      <c r="P567" s="116">
        <v>445.47</v>
      </c>
      <c r="Q567" s="116">
        <v>2226</v>
      </c>
      <c r="R567">
        <v>72853</v>
      </c>
    </row>
    <row r="568" spans="1:18" x14ac:dyDescent="0.25">
      <c r="A568" s="170">
        <v>44935</v>
      </c>
      <c r="B568" s="116">
        <v>447</v>
      </c>
      <c r="C568" s="116">
        <v>444.73</v>
      </c>
      <c r="D568" s="116">
        <v>443.74</v>
      </c>
      <c r="E568" s="116">
        <v>444.21</v>
      </c>
      <c r="F568" s="116">
        <v>2223.65</v>
      </c>
      <c r="G568">
        <v>1620</v>
      </c>
      <c r="H568" s="116"/>
      <c r="I568" s="116"/>
      <c r="L568" s="170">
        <v>44938</v>
      </c>
      <c r="M568" s="116">
        <v>447.15</v>
      </c>
      <c r="N568" s="116">
        <v>449</v>
      </c>
      <c r="O568" s="116">
        <v>445.2</v>
      </c>
      <c r="P568" s="116">
        <v>445.2</v>
      </c>
      <c r="Q568" s="116">
        <v>2235.75</v>
      </c>
      <c r="R568">
        <v>56467</v>
      </c>
    </row>
    <row r="569" spans="1:18" x14ac:dyDescent="0.25">
      <c r="A569" s="170">
        <v>44936</v>
      </c>
      <c r="B569" s="116">
        <v>449.12</v>
      </c>
      <c r="C569" s="116">
        <v>444.86</v>
      </c>
      <c r="D569" s="116">
        <v>442.77</v>
      </c>
      <c r="E569" s="116">
        <v>442.77</v>
      </c>
      <c r="F569" s="116">
        <v>2224.3000000000002</v>
      </c>
      <c r="G569">
        <v>6257</v>
      </c>
      <c r="H569" s="116"/>
      <c r="I569" s="116"/>
      <c r="L569" s="170">
        <v>44939</v>
      </c>
      <c r="M569" s="116">
        <v>454.77</v>
      </c>
      <c r="N569" s="116">
        <v>455.98</v>
      </c>
      <c r="O569" s="116">
        <v>447.01</v>
      </c>
      <c r="P569" s="116">
        <v>448.4</v>
      </c>
      <c r="Q569" s="116">
        <v>2273.85</v>
      </c>
      <c r="R569">
        <v>129596</v>
      </c>
    </row>
    <row r="570" spans="1:18" x14ac:dyDescent="0.25">
      <c r="A570" s="170">
        <v>44937</v>
      </c>
      <c r="B570" s="116">
        <v>449</v>
      </c>
      <c r="C570" s="116">
        <v>445.34</v>
      </c>
      <c r="D570" s="116">
        <v>443.41</v>
      </c>
      <c r="E570" s="116">
        <v>444.53</v>
      </c>
      <c r="F570" s="116">
        <v>2226.6999999999998</v>
      </c>
      <c r="G570">
        <v>2184</v>
      </c>
      <c r="H570" s="116"/>
      <c r="I570" s="116"/>
      <c r="L570" s="170">
        <v>44942</v>
      </c>
      <c r="M570" s="116">
        <v>458.48</v>
      </c>
      <c r="N570" s="116">
        <v>461.2</v>
      </c>
      <c r="O570" s="116">
        <v>455.2</v>
      </c>
      <c r="P570" s="116">
        <v>457.34</v>
      </c>
      <c r="Q570" s="116">
        <v>2292.4</v>
      </c>
      <c r="R570">
        <v>76538</v>
      </c>
    </row>
    <row r="571" spans="1:18" x14ac:dyDescent="0.25">
      <c r="A571" s="170">
        <v>44938</v>
      </c>
      <c r="B571" s="116">
        <v>448.96</v>
      </c>
      <c r="C571" s="116">
        <v>444.98</v>
      </c>
      <c r="D571" s="116">
        <v>438.86</v>
      </c>
      <c r="E571" s="116">
        <v>447.91</v>
      </c>
      <c r="F571" s="116">
        <v>2224.9</v>
      </c>
      <c r="G571">
        <v>7369</v>
      </c>
      <c r="H571" s="116"/>
      <c r="I571" s="116"/>
      <c r="L571" s="170">
        <v>44943</v>
      </c>
      <c r="M571" s="116">
        <v>458.69</v>
      </c>
      <c r="N571" s="116">
        <v>460.87</v>
      </c>
      <c r="O571" s="116">
        <v>454.8</v>
      </c>
      <c r="P571" s="116">
        <v>458</v>
      </c>
      <c r="Q571" s="116">
        <v>2293.4499999999998</v>
      </c>
      <c r="R571">
        <v>116885</v>
      </c>
    </row>
    <row r="572" spans="1:18" x14ac:dyDescent="0.25">
      <c r="A572" s="170">
        <v>44939</v>
      </c>
      <c r="B572" s="116">
        <v>455.93</v>
      </c>
      <c r="C572" s="116">
        <v>454.21</v>
      </c>
      <c r="D572" s="116">
        <v>445.21</v>
      </c>
      <c r="E572" s="116">
        <v>445.21</v>
      </c>
      <c r="F572" s="116">
        <v>2271.0500000000002</v>
      </c>
      <c r="G572">
        <v>3737</v>
      </c>
      <c r="H572" s="116"/>
      <c r="I572" s="116"/>
      <c r="L572" s="170">
        <v>44944</v>
      </c>
      <c r="M572" s="116">
        <v>459.17</v>
      </c>
      <c r="N572" s="116">
        <v>463.12</v>
      </c>
      <c r="O572" s="116">
        <v>458.6</v>
      </c>
      <c r="P572" s="116">
        <v>459.14</v>
      </c>
      <c r="Q572" s="116">
        <v>2295.85</v>
      </c>
      <c r="R572">
        <v>112700</v>
      </c>
    </row>
    <row r="573" spans="1:18" x14ac:dyDescent="0.25">
      <c r="A573" s="170">
        <v>44942</v>
      </c>
      <c r="B573" s="116">
        <v>461.11</v>
      </c>
      <c r="C573" s="116">
        <v>457.56</v>
      </c>
      <c r="D573" s="116">
        <v>455.24</v>
      </c>
      <c r="E573" s="116">
        <v>459.79</v>
      </c>
      <c r="F573" s="116">
        <v>2287.8000000000002</v>
      </c>
      <c r="G573">
        <v>3498</v>
      </c>
      <c r="H573" s="116"/>
      <c r="I573" s="116"/>
      <c r="L573" s="170">
        <v>44945</v>
      </c>
      <c r="M573" s="116">
        <v>461.28</v>
      </c>
      <c r="N573" s="116">
        <v>462.15</v>
      </c>
      <c r="O573" s="116">
        <v>457.49</v>
      </c>
      <c r="P573" s="116">
        <v>458.8</v>
      </c>
      <c r="Q573" s="116">
        <v>2306.4</v>
      </c>
      <c r="R573">
        <v>58936</v>
      </c>
    </row>
    <row r="574" spans="1:18" x14ac:dyDescent="0.25">
      <c r="A574" s="170">
        <v>44943</v>
      </c>
      <c r="B574" s="116">
        <v>460.58</v>
      </c>
      <c r="C574" s="116">
        <v>457.99</v>
      </c>
      <c r="D574" s="116">
        <v>456</v>
      </c>
      <c r="E574" s="116">
        <v>459</v>
      </c>
      <c r="F574" s="116">
        <v>2289.9499999999998</v>
      </c>
      <c r="G574">
        <v>4472</v>
      </c>
      <c r="H574" s="116"/>
      <c r="I574" s="116"/>
      <c r="L574" s="170">
        <v>44946</v>
      </c>
      <c r="M574" s="116">
        <v>463.76</v>
      </c>
      <c r="N574" s="116">
        <v>464.58</v>
      </c>
      <c r="O574" s="116">
        <v>460.54</v>
      </c>
      <c r="P574" s="116">
        <v>461.4</v>
      </c>
      <c r="Q574" s="116">
        <v>2318.8000000000002</v>
      </c>
      <c r="R574">
        <v>60676</v>
      </c>
    </row>
    <row r="575" spans="1:18" x14ac:dyDescent="0.25">
      <c r="A575" s="170">
        <v>44944</v>
      </c>
      <c r="B575" s="116">
        <v>463.21</v>
      </c>
      <c r="C575" s="116">
        <v>458.97</v>
      </c>
      <c r="D575" s="116">
        <v>458.59</v>
      </c>
      <c r="E575" s="116">
        <v>458.94</v>
      </c>
      <c r="F575" s="116">
        <v>2294.85</v>
      </c>
      <c r="G575">
        <v>1435</v>
      </c>
      <c r="H575" s="116"/>
      <c r="I575" s="116"/>
      <c r="L575" s="170">
        <v>44949</v>
      </c>
      <c r="M575" s="116">
        <v>463.75</v>
      </c>
      <c r="N575" s="116">
        <v>467</v>
      </c>
      <c r="O575" s="116">
        <v>463.24</v>
      </c>
      <c r="P575" s="116">
        <v>465.8</v>
      </c>
      <c r="Q575" s="116">
        <v>2318.75</v>
      </c>
      <c r="R575">
        <v>62212</v>
      </c>
    </row>
    <row r="576" spans="1:18" x14ac:dyDescent="0.25">
      <c r="A576" s="170">
        <v>44945</v>
      </c>
      <c r="B576" s="116">
        <v>462.74</v>
      </c>
      <c r="C576" s="116">
        <v>461.08</v>
      </c>
      <c r="D576" s="116">
        <v>455.01</v>
      </c>
      <c r="E576" s="116">
        <v>455.01</v>
      </c>
      <c r="F576" s="116">
        <v>2305.4</v>
      </c>
      <c r="G576">
        <v>2147</v>
      </c>
      <c r="H576" s="116"/>
      <c r="I576" s="116"/>
      <c r="L576" s="170">
        <v>44950</v>
      </c>
      <c r="M576" s="116">
        <v>460.32</v>
      </c>
      <c r="N576" s="116">
        <v>465.06</v>
      </c>
      <c r="O576" s="116">
        <v>457</v>
      </c>
      <c r="P576" s="116">
        <v>464.96</v>
      </c>
      <c r="Q576" s="116">
        <v>2301.6</v>
      </c>
      <c r="R576">
        <v>50198</v>
      </c>
    </row>
    <row r="577" spans="1:18" x14ac:dyDescent="0.25">
      <c r="A577" s="170">
        <v>44946</v>
      </c>
      <c r="B577" s="116">
        <v>464.5</v>
      </c>
      <c r="C577" s="116">
        <v>463.78</v>
      </c>
      <c r="D577" s="116">
        <v>460.88</v>
      </c>
      <c r="E577" s="116">
        <v>461.09</v>
      </c>
      <c r="F577" s="116">
        <v>2318.9</v>
      </c>
      <c r="G577">
        <v>1440</v>
      </c>
      <c r="H577" s="116"/>
      <c r="I577" s="116"/>
      <c r="L577" s="170">
        <v>44951</v>
      </c>
      <c r="M577" s="116">
        <v>455.77</v>
      </c>
      <c r="N577" s="116">
        <v>459.8</v>
      </c>
      <c r="O577" s="116">
        <v>454.39</v>
      </c>
      <c r="P577" s="116">
        <v>458.6</v>
      </c>
      <c r="Q577" s="116">
        <v>2278.85</v>
      </c>
      <c r="R577">
        <v>53811</v>
      </c>
    </row>
    <row r="578" spans="1:18" x14ac:dyDescent="0.25">
      <c r="A578" s="170">
        <v>44949</v>
      </c>
      <c r="B578" s="116">
        <v>466.8</v>
      </c>
      <c r="C578" s="116">
        <v>463.38</v>
      </c>
      <c r="D578" s="116">
        <v>462.78</v>
      </c>
      <c r="E578" s="116">
        <v>462.81</v>
      </c>
      <c r="F578" s="116">
        <v>2316.9</v>
      </c>
      <c r="G578">
        <v>8656</v>
      </c>
      <c r="H578" s="116"/>
      <c r="I578" s="116"/>
      <c r="L578" s="170">
        <v>44953</v>
      </c>
      <c r="M578" s="116">
        <v>458.73</v>
      </c>
      <c r="N578" s="116">
        <v>468</v>
      </c>
      <c r="O578" s="116">
        <v>455.78</v>
      </c>
      <c r="P578" s="116">
        <v>457.94</v>
      </c>
      <c r="Q578" s="116">
        <v>2293.65</v>
      </c>
      <c r="R578">
        <v>279897</v>
      </c>
    </row>
    <row r="579" spans="1:18" x14ac:dyDescent="0.25">
      <c r="A579" s="170">
        <v>44950</v>
      </c>
      <c r="B579" s="116">
        <v>466.59</v>
      </c>
      <c r="C579" s="116">
        <v>460.25</v>
      </c>
      <c r="D579" s="116">
        <v>459</v>
      </c>
      <c r="E579" s="116">
        <v>466.59</v>
      </c>
      <c r="F579" s="116">
        <v>2301.25</v>
      </c>
      <c r="G579">
        <v>1532</v>
      </c>
      <c r="H579" s="116"/>
      <c r="I579" s="116"/>
      <c r="L579" s="170">
        <v>44956</v>
      </c>
      <c r="M579" s="116">
        <v>452.4</v>
      </c>
      <c r="N579" s="116">
        <v>461</v>
      </c>
      <c r="O579" s="116">
        <v>450</v>
      </c>
      <c r="P579" s="116">
        <v>455.45</v>
      </c>
      <c r="Q579" s="116">
        <v>2262</v>
      </c>
      <c r="R579">
        <v>72292</v>
      </c>
    </row>
    <row r="580" spans="1:18" x14ac:dyDescent="0.25">
      <c r="A580" s="170">
        <v>44951</v>
      </c>
      <c r="B580" s="116">
        <v>459.83</v>
      </c>
      <c r="C580" s="116">
        <v>455.51</v>
      </c>
      <c r="D580" s="116">
        <v>454.59</v>
      </c>
      <c r="E580" s="116">
        <v>458.2</v>
      </c>
      <c r="F580" s="116">
        <v>2277.5500000000002</v>
      </c>
      <c r="G580">
        <v>1592</v>
      </c>
      <c r="H580" s="116"/>
      <c r="I580" s="116"/>
      <c r="L580" s="170">
        <v>44957</v>
      </c>
      <c r="M580" s="116">
        <v>455.95</v>
      </c>
      <c r="N580" s="116">
        <v>459.76</v>
      </c>
      <c r="O580" s="116">
        <v>450.18</v>
      </c>
      <c r="P580" s="116">
        <v>452.4</v>
      </c>
      <c r="Q580" s="116">
        <v>2279.75</v>
      </c>
      <c r="R580">
        <v>61124</v>
      </c>
    </row>
    <row r="581" spans="1:18" x14ac:dyDescent="0.25">
      <c r="A581" s="170">
        <v>44953</v>
      </c>
      <c r="B581" s="116">
        <v>467.99</v>
      </c>
      <c r="C581" s="116">
        <v>459.25</v>
      </c>
      <c r="D581" s="116">
        <v>456.2</v>
      </c>
      <c r="E581" s="116">
        <v>456.69</v>
      </c>
      <c r="F581" s="116">
        <v>2296.25</v>
      </c>
      <c r="G581">
        <v>4563</v>
      </c>
      <c r="H581" s="116"/>
      <c r="I581" s="116"/>
      <c r="L581" s="170">
        <v>44958</v>
      </c>
      <c r="M581" s="116">
        <v>451.81</v>
      </c>
      <c r="N581" s="116">
        <v>460.02</v>
      </c>
      <c r="O581" s="116">
        <v>448.5</v>
      </c>
      <c r="P581" s="116">
        <v>457.6</v>
      </c>
      <c r="Q581" s="116">
        <v>2259.0500000000002</v>
      </c>
      <c r="R581">
        <v>87619</v>
      </c>
    </row>
    <row r="582" spans="1:18" x14ac:dyDescent="0.25">
      <c r="A582" s="170">
        <v>44956</v>
      </c>
      <c r="B582" s="116">
        <v>460.59</v>
      </c>
      <c r="C582" s="116">
        <v>451.8</v>
      </c>
      <c r="D582" s="116">
        <v>450.44</v>
      </c>
      <c r="E582" s="116">
        <v>454.02</v>
      </c>
      <c r="F582" s="116">
        <v>2259</v>
      </c>
      <c r="G582">
        <v>9486</v>
      </c>
      <c r="H582" s="116"/>
      <c r="I582" s="116"/>
      <c r="L582" s="170">
        <v>44959</v>
      </c>
      <c r="M582" s="116">
        <v>451.71</v>
      </c>
      <c r="N582" s="116">
        <v>455.52</v>
      </c>
      <c r="O582" s="116">
        <v>447.55</v>
      </c>
      <c r="P582" s="116">
        <v>450.95</v>
      </c>
      <c r="Q582" s="116">
        <v>2258.5500000000002</v>
      </c>
      <c r="R582">
        <v>41438</v>
      </c>
    </row>
    <row r="583" spans="1:18" x14ac:dyDescent="0.25">
      <c r="A583" s="170">
        <v>44957</v>
      </c>
      <c r="B583" s="116">
        <v>459.33</v>
      </c>
      <c r="C583" s="116">
        <v>455.09</v>
      </c>
      <c r="D583" s="116">
        <v>450.1</v>
      </c>
      <c r="E583" s="116">
        <v>450.21</v>
      </c>
      <c r="F583" s="116">
        <v>2275.4499999999998</v>
      </c>
      <c r="G583">
        <v>2079</v>
      </c>
      <c r="H583" s="116"/>
      <c r="I583" s="116"/>
      <c r="L583" s="170">
        <v>44960</v>
      </c>
      <c r="M583" s="116">
        <v>452.98</v>
      </c>
      <c r="N583" s="116">
        <v>456.99</v>
      </c>
      <c r="O583" s="116">
        <v>447.13</v>
      </c>
      <c r="P583" s="116">
        <v>448.42</v>
      </c>
      <c r="Q583" s="116">
        <v>2264.9</v>
      </c>
      <c r="R583">
        <v>64068</v>
      </c>
    </row>
    <row r="584" spans="1:18" x14ac:dyDescent="0.25">
      <c r="A584" s="170">
        <v>44958</v>
      </c>
      <c r="B584" s="116">
        <v>459.69</v>
      </c>
      <c r="C584" s="116">
        <v>450.93</v>
      </c>
      <c r="D584" s="116">
        <v>449</v>
      </c>
      <c r="E584" s="116">
        <v>455.11</v>
      </c>
      <c r="F584" s="116">
        <v>2254.65</v>
      </c>
      <c r="G584">
        <v>2465</v>
      </c>
      <c r="H584" s="116"/>
      <c r="I584" s="116"/>
      <c r="L584" s="170">
        <v>44963</v>
      </c>
      <c r="M584" s="116">
        <v>451.21</v>
      </c>
      <c r="N584" s="116">
        <v>456.01</v>
      </c>
      <c r="O584" s="116">
        <v>446.03</v>
      </c>
      <c r="P584" s="116">
        <v>446.03</v>
      </c>
      <c r="Q584" s="116">
        <v>2256.0500000000002</v>
      </c>
      <c r="R584">
        <v>49275</v>
      </c>
    </row>
    <row r="585" spans="1:18" x14ac:dyDescent="0.25">
      <c r="A585" s="170">
        <v>44959</v>
      </c>
      <c r="B585" s="116">
        <v>455.07</v>
      </c>
      <c r="C585" s="116">
        <v>450.82</v>
      </c>
      <c r="D585" s="116">
        <v>448</v>
      </c>
      <c r="E585" s="116">
        <v>451.82</v>
      </c>
      <c r="F585" s="116">
        <v>2254.1</v>
      </c>
      <c r="G585">
        <v>943</v>
      </c>
      <c r="H585" s="116"/>
      <c r="I585" s="116"/>
      <c r="L585" s="170">
        <v>44964</v>
      </c>
      <c r="M585" s="116">
        <v>452.08</v>
      </c>
      <c r="N585" s="116">
        <v>458.4</v>
      </c>
      <c r="O585" s="116">
        <v>441</v>
      </c>
      <c r="P585" s="116">
        <v>451.21</v>
      </c>
      <c r="Q585" s="116">
        <v>2260.4</v>
      </c>
      <c r="R585">
        <v>110116</v>
      </c>
    </row>
    <row r="586" spans="1:18" x14ac:dyDescent="0.25">
      <c r="A586" s="170">
        <v>44960</v>
      </c>
      <c r="B586" s="116">
        <v>456.64</v>
      </c>
      <c r="C586" s="116">
        <v>452.66</v>
      </c>
      <c r="D586" s="116">
        <v>447.45</v>
      </c>
      <c r="E586" s="116">
        <v>450.81</v>
      </c>
      <c r="F586" s="116">
        <v>2263.3000000000002</v>
      </c>
      <c r="G586">
        <v>1922</v>
      </c>
      <c r="H586" s="116"/>
      <c r="I586" s="116"/>
      <c r="L586" s="170">
        <v>44965</v>
      </c>
      <c r="M586" s="116">
        <v>452.3</v>
      </c>
      <c r="N586" s="116">
        <v>455.74</v>
      </c>
      <c r="O586" s="116">
        <v>450</v>
      </c>
      <c r="P586" s="116">
        <v>450</v>
      </c>
      <c r="Q586" s="116">
        <v>2261.5</v>
      </c>
      <c r="R586">
        <v>45805</v>
      </c>
    </row>
    <row r="587" spans="1:18" x14ac:dyDescent="0.25">
      <c r="A587" s="170">
        <v>44963</v>
      </c>
      <c r="B587" s="116">
        <v>455.42</v>
      </c>
      <c r="C587" s="116">
        <v>451.66</v>
      </c>
      <c r="D587" s="116">
        <v>443</v>
      </c>
      <c r="E587" s="116">
        <v>443</v>
      </c>
      <c r="F587" s="116">
        <v>2258.3000000000002</v>
      </c>
      <c r="G587">
        <v>7254</v>
      </c>
      <c r="H587" s="116"/>
      <c r="I587" s="116"/>
      <c r="L587" s="170">
        <v>44966</v>
      </c>
      <c r="M587" s="116">
        <v>450.62</v>
      </c>
      <c r="N587" s="116">
        <v>453.2</v>
      </c>
      <c r="O587" s="116">
        <v>445.02</v>
      </c>
      <c r="P587" s="116">
        <v>452.3</v>
      </c>
      <c r="Q587" s="116">
        <v>2253.1</v>
      </c>
      <c r="R587">
        <v>34738</v>
      </c>
    </row>
    <row r="588" spans="1:18" x14ac:dyDescent="0.25">
      <c r="A588" s="170">
        <v>44964</v>
      </c>
      <c r="B588" s="116">
        <v>458</v>
      </c>
      <c r="C588" s="116">
        <v>451.66</v>
      </c>
      <c r="D588" s="116">
        <v>442.41</v>
      </c>
      <c r="E588" s="116">
        <v>448.43</v>
      </c>
      <c r="F588" s="116">
        <v>2258.3000000000002</v>
      </c>
      <c r="G588">
        <v>15503</v>
      </c>
      <c r="H588" s="116"/>
      <c r="I588" s="116"/>
      <c r="L588" s="170">
        <v>44967</v>
      </c>
      <c r="M588" s="116">
        <v>454.36</v>
      </c>
      <c r="N588" s="116">
        <v>457.76</v>
      </c>
      <c r="O588" s="116">
        <v>448.48</v>
      </c>
      <c r="P588" s="116">
        <v>450.2</v>
      </c>
      <c r="Q588" s="116">
        <v>2271.8000000000002</v>
      </c>
      <c r="R588">
        <v>40660</v>
      </c>
    </row>
    <row r="589" spans="1:18" x14ac:dyDescent="0.25">
      <c r="A589" s="170">
        <v>44965</v>
      </c>
      <c r="B589" s="116">
        <v>455.54</v>
      </c>
      <c r="C589" s="116">
        <v>452.07</v>
      </c>
      <c r="D589" s="116">
        <v>446.14</v>
      </c>
      <c r="E589" s="116">
        <v>446.14</v>
      </c>
      <c r="F589" s="116">
        <v>2260.35</v>
      </c>
      <c r="G589">
        <v>2225</v>
      </c>
      <c r="H589" s="116"/>
      <c r="I589" s="116"/>
      <c r="L589" s="170">
        <v>44970</v>
      </c>
      <c r="M589" s="116">
        <v>455.85</v>
      </c>
      <c r="N589" s="116">
        <v>457</v>
      </c>
      <c r="O589" s="116">
        <v>452</v>
      </c>
      <c r="P589" s="116">
        <v>454.36</v>
      </c>
      <c r="Q589" s="116">
        <v>2279.25</v>
      </c>
      <c r="R589">
        <v>28253</v>
      </c>
    </row>
    <row r="590" spans="1:18" x14ac:dyDescent="0.25">
      <c r="A590" s="170">
        <v>44966</v>
      </c>
      <c r="B590" s="116">
        <v>454.99</v>
      </c>
      <c r="C590" s="116">
        <v>450.41</v>
      </c>
      <c r="D590" s="116">
        <v>448</v>
      </c>
      <c r="E590" s="116">
        <v>454.99</v>
      </c>
      <c r="F590" s="116">
        <v>2252.0500000000002</v>
      </c>
      <c r="G590">
        <v>1674</v>
      </c>
      <c r="H590" s="116"/>
      <c r="I590" s="116"/>
      <c r="L590" s="170">
        <v>44971</v>
      </c>
      <c r="M590" s="116">
        <v>453.41</v>
      </c>
      <c r="N590" s="116">
        <v>456.19</v>
      </c>
      <c r="O590" s="116">
        <v>451.18</v>
      </c>
      <c r="P590" s="116">
        <v>455</v>
      </c>
      <c r="Q590" s="116">
        <v>2267.0500000000002</v>
      </c>
      <c r="R590">
        <v>29431</v>
      </c>
    </row>
    <row r="591" spans="1:18" x14ac:dyDescent="0.25">
      <c r="A591" s="170">
        <v>44967</v>
      </c>
      <c r="B591" s="116">
        <v>457.54</v>
      </c>
      <c r="C591" s="116">
        <v>454.49</v>
      </c>
      <c r="D591" s="116">
        <v>448.57</v>
      </c>
      <c r="E591" s="116">
        <v>450</v>
      </c>
      <c r="F591" s="116">
        <v>2272.4499999999998</v>
      </c>
      <c r="G591">
        <v>2188</v>
      </c>
      <c r="H591" s="116"/>
      <c r="I591" s="116"/>
      <c r="L591" s="170">
        <v>44972</v>
      </c>
      <c r="M591" s="116">
        <v>457.96</v>
      </c>
      <c r="N591" s="116">
        <v>461.2</v>
      </c>
      <c r="O591" s="116">
        <v>448.67</v>
      </c>
      <c r="P591" s="116">
        <v>448.67</v>
      </c>
      <c r="Q591" s="116">
        <v>2289.8000000000002</v>
      </c>
      <c r="R591">
        <v>83217</v>
      </c>
    </row>
    <row r="592" spans="1:18" x14ac:dyDescent="0.25">
      <c r="A592" s="170">
        <v>44970</v>
      </c>
      <c r="B592" s="116">
        <v>456.86</v>
      </c>
      <c r="C592" s="116">
        <v>455.28</v>
      </c>
      <c r="D592" s="116">
        <v>449</v>
      </c>
      <c r="E592" s="116">
        <v>454.4</v>
      </c>
      <c r="F592" s="116">
        <v>2276.4</v>
      </c>
      <c r="G592">
        <v>5308</v>
      </c>
      <c r="H592" s="116"/>
      <c r="I592" s="116"/>
      <c r="L592" s="170">
        <v>44973</v>
      </c>
      <c r="M592" s="116">
        <v>459.51</v>
      </c>
      <c r="N592" s="116">
        <v>466.2</v>
      </c>
      <c r="O592" s="116">
        <v>454.48</v>
      </c>
      <c r="P592" s="116">
        <v>464.54</v>
      </c>
      <c r="Q592" s="116">
        <v>2297.5500000000002</v>
      </c>
      <c r="R592">
        <v>146134</v>
      </c>
    </row>
    <row r="593" spans="1:18" x14ac:dyDescent="0.25">
      <c r="A593" s="170">
        <v>44971</v>
      </c>
      <c r="B593" s="116">
        <v>459.59</v>
      </c>
      <c r="C593" s="116">
        <v>453.1</v>
      </c>
      <c r="D593" s="116">
        <v>451.54</v>
      </c>
      <c r="E593" s="116">
        <v>459.59</v>
      </c>
      <c r="F593" s="116">
        <v>2265.5</v>
      </c>
      <c r="G593">
        <v>1170</v>
      </c>
      <c r="H593" s="116"/>
      <c r="I593" s="116"/>
      <c r="L593" s="170">
        <v>44974</v>
      </c>
      <c r="M593" s="116">
        <v>460.13</v>
      </c>
      <c r="N593" s="116">
        <v>466</v>
      </c>
      <c r="O593" s="116">
        <v>456.61</v>
      </c>
      <c r="P593" s="116">
        <v>458.73</v>
      </c>
      <c r="Q593" s="116">
        <v>2300.65</v>
      </c>
      <c r="R593">
        <v>65033</v>
      </c>
    </row>
    <row r="594" spans="1:18" x14ac:dyDescent="0.25">
      <c r="A594" s="170">
        <v>44972</v>
      </c>
      <c r="B594" s="116">
        <v>461</v>
      </c>
      <c r="C594" s="116">
        <v>460.26</v>
      </c>
      <c r="D594" s="116">
        <v>449</v>
      </c>
      <c r="E594" s="116">
        <v>449</v>
      </c>
      <c r="F594" s="116">
        <v>2301.3000000000002</v>
      </c>
      <c r="G594">
        <v>5258</v>
      </c>
      <c r="H594" s="116"/>
      <c r="I594" s="116"/>
      <c r="L594" s="170">
        <v>44977</v>
      </c>
      <c r="M594" s="116">
        <v>459.87</v>
      </c>
      <c r="N594" s="116">
        <v>462</v>
      </c>
      <c r="O594" s="116">
        <v>457.81</v>
      </c>
      <c r="P594" s="116">
        <v>461.89</v>
      </c>
      <c r="Q594" s="116">
        <v>2299.35</v>
      </c>
      <c r="R594">
        <v>28418</v>
      </c>
    </row>
    <row r="595" spans="1:18" x14ac:dyDescent="0.25">
      <c r="A595" s="170">
        <v>44973</v>
      </c>
      <c r="B595" s="116">
        <v>465.96</v>
      </c>
      <c r="C595" s="116">
        <v>459.03</v>
      </c>
      <c r="D595" s="116">
        <v>454.79</v>
      </c>
      <c r="E595" s="116">
        <v>462</v>
      </c>
      <c r="F595" s="116">
        <v>2295.15</v>
      </c>
      <c r="G595">
        <v>11832</v>
      </c>
      <c r="H595" s="116"/>
      <c r="I595" s="116"/>
      <c r="L595" s="170">
        <v>44978</v>
      </c>
      <c r="M595" s="116">
        <v>459.45</v>
      </c>
      <c r="N595" s="116">
        <v>460.99</v>
      </c>
      <c r="O595" s="116">
        <v>456.3</v>
      </c>
      <c r="P595" s="116">
        <v>458.6</v>
      </c>
      <c r="Q595" s="116">
        <v>2297.25</v>
      </c>
      <c r="R595">
        <v>27630</v>
      </c>
    </row>
    <row r="596" spans="1:18" x14ac:dyDescent="0.25">
      <c r="A596" s="170">
        <v>44974</v>
      </c>
      <c r="B596" s="116">
        <v>465.8</v>
      </c>
      <c r="C596" s="116">
        <v>460</v>
      </c>
      <c r="D596" s="116">
        <v>456.26</v>
      </c>
      <c r="E596" s="116">
        <v>462.99</v>
      </c>
      <c r="F596" s="116">
        <v>2300</v>
      </c>
      <c r="G596">
        <v>2114</v>
      </c>
      <c r="H596" s="116"/>
      <c r="I596" s="116"/>
      <c r="L596" s="170">
        <v>44979</v>
      </c>
      <c r="M596" s="116">
        <v>460.22</v>
      </c>
      <c r="N596" s="116">
        <v>461.21</v>
      </c>
      <c r="O596" s="116">
        <v>453.31</v>
      </c>
      <c r="P596" s="116">
        <v>455.6</v>
      </c>
      <c r="Q596" s="116">
        <v>2301.1</v>
      </c>
      <c r="R596">
        <v>100607</v>
      </c>
    </row>
    <row r="597" spans="1:18" x14ac:dyDescent="0.25">
      <c r="A597" s="170">
        <v>44977</v>
      </c>
      <c r="B597" s="116">
        <v>461.76</v>
      </c>
      <c r="C597" s="116">
        <v>459.87</v>
      </c>
      <c r="D597" s="116">
        <v>457.05</v>
      </c>
      <c r="E597" s="116">
        <v>457.05</v>
      </c>
      <c r="F597" s="116">
        <v>2299.35</v>
      </c>
      <c r="G597">
        <v>1981</v>
      </c>
      <c r="H597" s="116"/>
      <c r="I597" s="116"/>
      <c r="L597" s="170">
        <v>44980</v>
      </c>
      <c r="M597" s="116">
        <v>460.22</v>
      </c>
      <c r="N597" s="116">
        <v>461.47</v>
      </c>
      <c r="O597" s="116">
        <v>459.2</v>
      </c>
      <c r="P597" s="116">
        <v>460.39</v>
      </c>
      <c r="Q597" s="116">
        <v>2301.1</v>
      </c>
      <c r="R597">
        <v>115524</v>
      </c>
    </row>
    <row r="598" spans="1:18" x14ac:dyDescent="0.25">
      <c r="A598" s="170">
        <v>44978</v>
      </c>
      <c r="B598" s="116">
        <v>461</v>
      </c>
      <c r="C598" s="116">
        <v>459.35</v>
      </c>
      <c r="D598" s="116">
        <v>455.8</v>
      </c>
      <c r="E598" s="116">
        <v>455.8</v>
      </c>
      <c r="F598" s="116">
        <v>2296.75</v>
      </c>
      <c r="G598">
        <v>4564</v>
      </c>
      <c r="H598" s="116"/>
      <c r="I598" s="116"/>
      <c r="L598" s="170">
        <v>44981</v>
      </c>
      <c r="M598" s="116">
        <v>458.59</v>
      </c>
      <c r="N598" s="116">
        <v>461.19</v>
      </c>
      <c r="O598" s="116">
        <v>457</v>
      </c>
      <c r="P598" s="116">
        <v>461.16</v>
      </c>
      <c r="Q598" s="116">
        <v>2292.9499999999998</v>
      </c>
      <c r="R598">
        <v>39040</v>
      </c>
    </row>
    <row r="599" spans="1:18" x14ac:dyDescent="0.25">
      <c r="A599" s="170">
        <v>44979</v>
      </c>
      <c r="B599" s="116">
        <v>461.32</v>
      </c>
      <c r="C599" s="116">
        <v>460.5</v>
      </c>
      <c r="D599" s="116">
        <v>453.58</v>
      </c>
      <c r="E599" s="116">
        <v>460.22</v>
      </c>
      <c r="F599" s="116">
        <v>2302.5</v>
      </c>
      <c r="G599">
        <v>2816</v>
      </c>
      <c r="H599" s="116"/>
      <c r="I599" s="116"/>
      <c r="L599" s="170">
        <v>44984</v>
      </c>
      <c r="M599" s="116">
        <v>453.54</v>
      </c>
      <c r="N599" s="116">
        <v>458.4</v>
      </c>
      <c r="O599" s="116">
        <v>450.47</v>
      </c>
      <c r="P599" s="116">
        <v>458.4</v>
      </c>
      <c r="Q599" s="116">
        <v>2267.6999999999998</v>
      </c>
      <c r="R599">
        <v>104535</v>
      </c>
    </row>
    <row r="600" spans="1:18" x14ac:dyDescent="0.25">
      <c r="A600" s="170">
        <v>44980</v>
      </c>
      <c r="B600" s="116">
        <v>461.46</v>
      </c>
      <c r="C600" s="116">
        <v>460.05</v>
      </c>
      <c r="D600" s="116">
        <v>452.6</v>
      </c>
      <c r="E600" s="116">
        <v>452.6</v>
      </c>
      <c r="F600" s="116">
        <v>2300.25</v>
      </c>
      <c r="G600">
        <v>4406</v>
      </c>
      <c r="H600" s="116"/>
      <c r="I600" s="116"/>
      <c r="L600" s="170">
        <v>44985</v>
      </c>
      <c r="M600" s="116">
        <v>452.01</v>
      </c>
      <c r="N600" s="116">
        <v>454.42</v>
      </c>
      <c r="O600" s="116">
        <v>441.62</v>
      </c>
      <c r="P600" s="116">
        <v>452.4</v>
      </c>
      <c r="Q600" s="116">
        <v>2260.0500000000002</v>
      </c>
      <c r="R600">
        <v>64110</v>
      </c>
    </row>
    <row r="601" spans="1:18" x14ac:dyDescent="0.25">
      <c r="A601" s="170">
        <v>44981</v>
      </c>
      <c r="B601" s="116">
        <v>460.77</v>
      </c>
      <c r="C601" s="116">
        <v>458.56</v>
      </c>
      <c r="D601" s="116">
        <v>457.2</v>
      </c>
      <c r="E601" s="116">
        <v>460.77</v>
      </c>
      <c r="F601" s="116">
        <v>2292.8000000000002</v>
      </c>
      <c r="G601">
        <v>1184</v>
      </c>
      <c r="H601" s="116"/>
      <c r="I601" s="116"/>
      <c r="L601" s="170">
        <v>44986</v>
      </c>
      <c r="M601" s="116">
        <v>450.74</v>
      </c>
      <c r="N601" s="116">
        <v>454.42</v>
      </c>
      <c r="O601" s="116">
        <v>450.04</v>
      </c>
      <c r="P601" s="116">
        <v>451</v>
      </c>
      <c r="Q601" s="116">
        <v>2253.6999999999998</v>
      </c>
      <c r="R601">
        <v>50372</v>
      </c>
    </row>
    <row r="602" spans="1:18" x14ac:dyDescent="0.25">
      <c r="A602" s="170">
        <v>44984</v>
      </c>
      <c r="B602" s="116">
        <v>457.89</v>
      </c>
      <c r="C602" s="116">
        <v>452.79</v>
      </c>
      <c r="D602" s="116">
        <v>450.68</v>
      </c>
      <c r="E602" s="116">
        <v>454.47</v>
      </c>
      <c r="F602" s="116">
        <v>2263.9499999999998</v>
      </c>
      <c r="G602">
        <v>1443</v>
      </c>
      <c r="H602" s="116"/>
      <c r="I602" s="116"/>
      <c r="L602" s="170">
        <v>44987</v>
      </c>
      <c r="M602" s="116">
        <v>451.43</v>
      </c>
      <c r="N602" s="116">
        <v>452.66</v>
      </c>
      <c r="O602" s="116">
        <v>450.01</v>
      </c>
      <c r="P602" s="116">
        <v>451.08</v>
      </c>
      <c r="Q602" s="116">
        <v>2257.15</v>
      </c>
      <c r="R602">
        <v>34573</v>
      </c>
    </row>
    <row r="603" spans="1:18" x14ac:dyDescent="0.25">
      <c r="A603" s="170">
        <v>44985</v>
      </c>
      <c r="B603" s="116">
        <v>456.39</v>
      </c>
      <c r="C603" s="116">
        <v>451.81</v>
      </c>
      <c r="D603" s="116">
        <v>443.84</v>
      </c>
      <c r="E603" s="116">
        <v>456.39</v>
      </c>
      <c r="F603" s="116">
        <v>2259.0500000000002</v>
      </c>
      <c r="G603">
        <v>2637</v>
      </c>
      <c r="H603" s="116"/>
      <c r="I603" s="116"/>
      <c r="L603" s="170">
        <v>44988</v>
      </c>
      <c r="M603" s="116">
        <v>462.55</v>
      </c>
      <c r="N603" s="116">
        <v>469.8</v>
      </c>
      <c r="O603" s="116">
        <v>451.46</v>
      </c>
      <c r="P603" s="116">
        <v>451.79</v>
      </c>
      <c r="Q603" s="116">
        <v>2312.75</v>
      </c>
      <c r="R603">
        <v>205728</v>
      </c>
    </row>
    <row r="604" spans="1:18" x14ac:dyDescent="0.25">
      <c r="A604" s="170">
        <v>44986</v>
      </c>
      <c r="B604" s="116">
        <v>455.39</v>
      </c>
      <c r="C604" s="116">
        <v>450.55</v>
      </c>
      <c r="D604" s="116">
        <v>448.01</v>
      </c>
      <c r="E604" s="116">
        <v>448.01</v>
      </c>
      <c r="F604" s="116">
        <v>2252.75</v>
      </c>
      <c r="G604">
        <v>2615</v>
      </c>
      <c r="H604" s="116"/>
      <c r="I604" s="116"/>
      <c r="L604" s="170">
        <v>44991</v>
      </c>
      <c r="M604" s="116">
        <v>461.95</v>
      </c>
      <c r="N604" s="116">
        <v>471</v>
      </c>
      <c r="O604" s="116">
        <v>460.22</v>
      </c>
      <c r="P604" s="116">
        <v>464.96</v>
      </c>
      <c r="Q604" s="116">
        <v>2309.75</v>
      </c>
      <c r="R604">
        <v>53808</v>
      </c>
    </row>
    <row r="605" spans="1:18" x14ac:dyDescent="0.25">
      <c r="A605" s="170">
        <v>44987</v>
      </c>
      <c r="B605" s="116">
        <v>452.39</v>
      </c>
      <c r="C605" s="116">
        <v>451.15</v>
      </c>
      <c r="D605" s="116">
        <v>450.21</v>
      </c>
      <c r="E605" s="116">
        <v>451.82</v>
      </c>
      <c r="F605" s="116">
        <v>2255.75</v>
      </c>
      <c r="G605">
        <v>783</v>
      </c>
      <c r="H605" s="116"/>
      <c r="I605" s="116"/>
      <c r="L605" s="170">
        <v>44993</v>
      </c>
      <c r="M605" s="116">
        <v>459.89</v>
      </c>
      <c r="N605" s="116">
        <v>461.94</v>
      </c>
      <c r="O605" s="116">
        <v>455.27</v>
      </c>
      <c r="P605" s="116">
        <v>461.4</v>
      </c>
      <c r="Q605" s="116">
        <v>2299.4499999999998</v>
      </c>
      <c r="R605">
        <v>52380</v>
      </c>
    </row>
    <row r="606" spans="1:18" x14ac:dyDescent="0.25">
      <c r="A606" s="170">
        <v>44988</v>
      </c>
      <c r="B606" s="116">
        <v>469.8</v>
      </c>
      <c r="C606" s="116">
        <v>462.39</v>
      </c>
      <c r="D606" s="116">
        <v>451.43</v>
      </c>
      <c r="E606" s="116">
        <v>451.8</v>
      </c>
      <c r="F606" s="116">
        <v>2311.9499999999998</v>
      </c>
      <c r="G606">
        <v>5552</v>
      </c>
      <c r="H606" s="116"/>
      <c r="I606" s="116"/>
      <c r="L606" s="170">
        <v>44994</v>
      </c>
      <c r="M606" s="116">
        <v>460.17</v>
      </c>
      <c r="N606" s="116">
        <v>462.18</v>
      </c>
      <c r="O606" s="116">
        <v>458.02</v>
      </c>
      <c r="P606" s="116">
        <v>462.18</v>
      </c>
      <c r="Q606" s="116">
        <v>2300.85</v>
      </c>
      <c r="R606">
        <v>99356</v>
      </c>
    </row>
    <row r="607" spans="1:18" x14ac:dyDescent="0.25">
      <c r="A607" s="170">
        <v>44991</v>
      </c>
      <c r="B607" s="116">
        <v>471.58</v>
      </c>
      <c r="C607" s="116">
        <v>462.86</v>
      </c>
      <c r="D607" s="116">
        <v>460.16</v>
      </c>
      <c r="E607" s="116">
        <v>467.64</v>
      </c>
      <c r="F607" s="116">
        <v>2314.3000000000002</v>
      </c>
      <c r="G607">
        <v>4579</v>
      </c>
      <c r="H607" s="116"/>
      <c r="I607" s="116"/>
      <c r="L607" s="170">
        <v>44995</v>
      </c>
      <c r="M607" s="116">
        <v>458.36</v>
      </c>
      <c r="N607" s="116">
        <v>461.5</v>
      </c>
      <c r="O607" s="116">
        <v>455.79</v>
      </c>
      <c r="P607" s="116">
        <v>457.2</v>
      </c>
      <c r="Q607" s="116">
        <v>2291.8000000000002</v>
      </c>
      <c r="R607">
        <v>80302</v>
      </c>
    </row>
    <row r="608" spans="1:18" x14ac:dyDescent="0.25">
      <c r="A608" s="170">
        <v>44993</v>
      </c>
      <c r="B608" s="116">
        <v>461.89</v>
      </c>
      <c r="C608" s="116">
        <v>460.04</v>
      </c>
      <c r="D608" s="116">
        <v>455.6</v>
      </c>
      <c r="E608" s="116">
        <v>457.43</v>
      </c>
      <c r="F608" s="116">
        <v>2300.1999999999998</v>
      </c>
      <c r="G608">
        <v>5622</v>
      </c>
      <c r="H608" s="116"/>
      <c r="I608" s="116"/>
      <c r="L608" s="170">
        <v>44998</v>
      </c>
      <c r="M608" s="116">
        <v>449.73</v>
      </c>
      <c r="N608" s="116">
        <v>458.36</v>
      </c>
      <c r="O608" s="116">
        <v>447</v>
      </c>
      <c r="P608" s="116">
        <v>457.74</v>
      </c>
      <c r="Q608" s="116">
        <v>2248.65</v>
      </c>
      <c r="R608">
        <v>63936</v>
      </c>
    </row>
    <row r="609" spans="1:18" x14ac:dyDescent="0.25">
      <c r="A609" s="170">
        <v>44994</v>
      </c>
      <c r="B609" s="116">
        <v>462.19</v>
      </c>
      <c r="C609" s="116">
        <v>460.09</v>
      </c>
      <c r="D609" s="116">
        <v>458.21</v>
      </c>
      <c r="E609" s="116">
        <v>460.01</v>
      </c>
      <c r="F609" s="116">
        <v>2300.4499999999998</v>
      </c>
      <c r="G609">
        <v>4605</v>
      </c>
      <c r="H609" s="116"/>
      <c r="I609" s="116"/>
      <c r="L609" s="170">
        <v>44999</v>
      </c>
      <c r="M609" s="116">
        <v>445.53</v>
      </c>
      <c r="N609" s="116">
        <v>449.74</v>
      </c>
      <c r="O609" s="116">
        <v>441.25</v>
      </c>
      <c r="P609" s="116">
        <v>447.6</v>
      </c>
      <c r="Q609" s="116">
        <v>2227.65</v>
      </c>
      <c r="R609">
        <v>39809</v>
      </c>
    </row>
    <row r="610" spans="1:18" x14ac:dyDescent="0.25">
      <c r="A610" s="170">
        <v>44995</v>
      </c>
      <c r="B610" s="116">
        <v>461.2</v>
      </c>
      <c r="C610" s="116">
        <v>458</v>
      </c>
      <c r="D610" s="116">
        <v>453.01</v>
      </c>
      <c r="E610" s="116">
        <v>453.01</v>
      </c>
      <c r="F610" s="116">
        <v>2290</v>
      </c>
      <c r="G610">
        <v>1768</v>
      </c>
      <c r="H610" s="116"/>
      <c r="I610" s="116"/>
      <c r="L610" s="170">
        <v>45000</v>
      </c>
      <c r="M610" s="116">
        <v>443.48</v>
      </c>
      <c r="N610" s="116">
        <v>447.71</v>
      </c>
      <c r="O610" s="116">
        <v>442</v>
      </c>
      <c r="P610" s="116">
        <v>444.26</v>
      </c>
      <c r="Q610" s="116">
        <v>2217.4</v>
      </c>
      <c r="R610">
        <v>29499</v>
      </c>
    </row>
    <row r="611" spans="1:18" x14ac:dyDescent="0.25">
      <c r="A611" s="170">
        <v>44998</v>
      </c>
      <c r="B611" s="116">
        <v>458</v>
      </c>
      <c r="C611" s="116">
        <v>450.17</v>
      </c>
      <c r="D611" s="116">
        <v>447.38</v>
      </c>
      <c r="E611" s="116">
        <v>453.02</v>
      </c>
      <c r="F611" s="116">
        <v>2250.85</v>
      </c>
      <c r="G611">
        <v>2596</v>
      </c>
      <c r="H611" s="116"/>
      <c r="I611" s="116"/>
      <c r="L611" s="170">
        <v>45001</v>
      </c>
      <c r="M611" s="116">
        <v>432.92</v>
      </c>
      <c r="N611" s="116">
        <v>444.91</v>
      </c>
      <c r="O611" s="116">
        <v>432</v>
      </c>
      <c r="P611" s="116">
        <v>441.21</v>
      </c>
      <c r="Q611" s="116">
        <v>2164.6</v>
      </c>
      <c r="R611">
        <v>104875</v>
      </c>
    </row>
    <row r="612" spans="1:18" x14ac:dyDescent="0.25">
      <c r="A612" s="170">
        <v>44999</v>
      </c>
      <c r="B612" s="116">
        <v>449.45</v>
      </c>
      <c r="C612" s="116">
        <v>444.64</v>
      </c>
      <c r="D612" s="116">
        <v>441.25</v>
      </c>
      <c r="E612" s="116">
        <v>445.01</v>
      </c>
      <c r="F612" s="116">
        <v>2223.1999999999998</v>
      </c>
      <c r="G612">
        <v>8627</v>
      </c>
      <c r="H612" s="116"/>
      <c r="I612" s="116"/>
      <c r="L612" s="170">
        <v>45002</v>
      </c>
      <c r="M612" s="116">
        <v>431.89</v>
      </c>
      <c r="N612" s="116">
        <v>437.18</v>
      </c>
      <c r="O612" s="116">
        <v>430.2</v>
      </c>
      <c r="P612" s="116">
        <v>433.11</v>
      </c>
      <c r="Q612" s="116">
        <v>2159.4499999999998</v>
      </c>
      <c r="R612">
        <v>42816</v>
      </c>
    </row>
    <row r="613" spans="1:18" x14ac:dyDescent="0.25">
      <c r="A613" s="170">
        <v>45000</v>
      </c>
      <c r="B613" s="116">
        <v>447.39</v>
      </c>
      <c r="C613" s="116">
        <v>443</v>
      </c>
      <c r="D613" s="116">
        <v>442.4</v>
      </c>
      <c r="E613" s="116">
        <v>445</v>
      </c>
      <c r="F613" s="116">
        <v>2215</v>
      </c>
      <c r="G613">
        <v>2234</v>
      </c>
      <c r="H613" s="116"/>
      <c r="I613" s="116"/>
      <c r="L613" s="170">
        <v>45005</v>
      </c>
      <c r="M613" s="116">
        <v>432.38</v>
      </c>
      <c r="N613" s="116">
        <v>433.92</v>
      </c>
      <c r="O613" s="116">
        <v>428.89</v>
      </c>
      <c r="P613" s="116">
        <v>431.8</v>
      </c>
      <c r="Q613" s="116">
        <v>2161.9</v>
      </c>
      <c r="R613">
        <v>42719</v>
      </c>
    </row>
    <row r="614" spans="1:18" x14ac:dyDescent="0.25">
      <c r="A614" s="170">
        <v>45001</v>
      </c>
      <c r="B614" s="116">
        <v>444.17</v>
      </c>
      <c r="C614" s="116">
        <v>433.02</v>
      </c>
      <c r="D614" s="116">
        <v>432</v>
      </c>
      <c r="E614" s="116">
        <v>442</v>
      </c>
      <c r="F614" s="116">
        <v>2165.1</v>
      </c>
      <c r="G614">
        <v>3810</v>
      </c>
      <c r="H614" s="116"/>
      <c r="I614" s="116"/>
      <c r="L614" s="170">
        <v>45006</v>
      </c>
      <c r="M614" s="116">
        <v>433.52</v>
      </c>
      <c r="N614" s="116">
        <v>437.98</v>
      </c>
      <c r="O614" s="116">
        <v>433</v>
      </c>
      <c r="P614" s="116">
        <v>434.59</v>
      </c>
      <c r="Q614" s="116">
        <v>2167.6</v>
      </c>
      <c r="R614">
        <v>31850</v>
      </c>
    </row>
    <row r="615" spans="1:18" x14ac:dyDescent="0.25">
      <c r="A615" s="170">
        <v>45002</v>
      </c>
      <c r="B615" s="116">
        <v>437.23</v>
      </c>
      <c r="C615" s="116">
        <v>432.06</v>
      </c>
      <c r="D615" s="116">
        <v>430.49</v>
      </c>
      <c r="E615" s="116">
        <v>430.61</v>
      </c>
      <c r="F615" s="116">
        <v>2160.3000000000002</v>
      </c>
      <c r="G615">
        <v>5238</v>
      </c>
      <c r="H615" s="116"/>
      <c r="I615" s="116"/>
      <c r="L615" s="170">
        <v>45007</v>
      </c>
      <c r="M615" s="116">
        <v>436.19</v>
      </c>
      <c r="N615" s="116">
        <v>442.66</v>
      </c>
      <c r="O615" s="116">
        <v>434.08</v>
      </c>
      <c r="P615" s="116">
        <v>434.63</v>
      </c>
      <c r="Q615" s="116">
        <v>2180.9499999999998</v>
      </c>
      <c r="R615">
        <v>27074</v>
      </c>
    </row>
    <row r="616" spans="1:18" x14ac:dyDescent="0.25">
      <c r="A616" s="170">
        <v>45005</v>
      </c>
      <c r="B616" s="116">
        <v>433.91</v>
      </c>
      <c r="C616" s="116">
        <v>432.39</v>
      </c>
      <c r="D616" s="116">
        <v>425</v>
      </c>
      <c r="E616" s="116">
        <v>425</v>
      </c>
      <c r="F616" s="116">
        <v>2161.9499999999998</v>
      </c>
      <c r="G616">
        <v>8213</v>
      </c>
      <c r="H616" s="116"/>
      <c r="I616" s="116"/>
      <c r="L616" s="170">
        <v>45008</v>
      </c>
      <c r="M616" s="116">
        <v>432.54</v>
      </c>
      <c r="N616" s="116">
        <v>437.39</v>
      </c>
      <c r="O616" s="116">
        <v>430</v>
      </c>
      <c r="P616" s="116">
        <v>436.2</v>
      </c>
      <c r="Q616" s="116">
        <v>2162.6999999999998</v>
      </c>
      <c r="R616">
        <v>43176</v>
      </c>
    </row>
    <row r="617" spans="1:18" x14ac:dyDescent="0.25">
      <c r="A617" s="170">
        <v>45006</v>
      </c>
      <c r="B617" s="116">
        <v>437.73</v>
      </c>
      <c r="C617" s="116">
        <v>433.57</v>
      </c>
      <c r="D617" s="116">
        <v>432.2</v>
      </c>
      <c r="E617" s="116">
        <v>432.2</v>
      </c>
      <c r="F617" s="116">
        <v>2167.85</v>
      </c>
      <c r="G617">
        <v>6156</v>
      </c>
      <c r="H617" s="116"/>
      <c r="I617" s="116"/>
      <c r="L617" s="170">
        <v>45009</v>
      </c>
      <c r="M617" s="116">
        <v>426.56</v>
      </c>
      <c r="N617" s="116">
        <v>433.81</v>
      </c>
      <c r="O617" s="116">
        <v>425.17</v>
      </c>
      <c r="P617" s="116">
        <v>431.93</v>
      </c>
      <c r="Q617" s="116">
        <v>2132.8000000000002</v>
      </c>
      <c r="R617">
        <v>51143</v>
      </c>
    </row>
    <row r="618" spans="1:18" x14ac:dyDescent="0.25">
      <c r="A618" s="170">
        <v>45007</v>
      </c>
      <c r="B618" s="116">
        <v>442.63</v>
      </c>
      <c r="C618" s="116">
        <v>436.09</v>
      </c>
      <c r="D618" s="116">
        <v>432.23</v>
      </c>
      <c r="E618" s="116">
        <v>432.23</v>
      </c>
      <c r="F618" s="116">
        <v>2180.4499999999998</v>
      </c>
      <c r="G618">
        <v>8479</v>
      </c>
      <c r="H618" s="116"/>
      <c r="I618" s="116"/>
      <c r="L618" s="170">
        <v>45012</v>
      </c>
      <c r="M618" s="116">
        <v>412.16</v>
      </c>
      <c r="N618" s="116">
        <v>425.77</v>
      </c>
      <c r="O618" s="116">
        <v>409</v>
      </c>
      <c r="P618" s="116">
        <v>423</v>
      </c>
      <c r="Q618" s="116">
        <v>2060.8000000000002</v>
      </c>
      <c r="R618">
        <v>76464</v>
      </c>
    </row>
    <row r="619" spans="1:18" x14ac:dyDescent="0.25">
      <c r="A619" s="170">
        <v>45008</v>
      </c>
      <c r="B619" s="116">
        <v>436.58</v>
      </c>
      <c r="C619" s="116">
        <v>434.21</v>
      </c>
      <c r="D619" s="116">
        <v>430.16</v>
      </c>
      <c r="E619" s="116">
        <v>435.62</v>
      </c>
      <c r="F619" s="116">
        <v>2171.0500000000002</v>
      </c>
      <c r="G619">
        <v>5168</v>
      </c>
      <c r="H619" s="116"/>
      <c r="I619" s="116"/>
      <c r="L619" s="170">
        <v>45013</v>
      </c>
      <c r="M619" s="116">
        <v>403.11</v>
      </c>
      <c r="N619" s="116">
        <v>413.77</v>
      </c>
      <c r="O619" s="116">
        <v>402</v>
      </c>
      <c r="P619" s="116">
        <v>407</v>
      </c>
      <c r="Q619" s="116">
        <v>2015.55</v>
      </c>
      <c r="R619">
        <v>76521</v>
      </c>
    </row>
    <row r="620" spans="1:18" x14ac:dyDescent="0.25">
      <c r="A620" s="170">
        <v>45009</v>
      </c>
      <c r="B620" s="116">
        <v>433.6</v>
      </c>
      <c r="C620" s="116">
        <v>426.42</v>
      </c>
      <c r="D620" s="116">
        <v>425</v>
      </c>
      <c r="E620" s="116">
        <v>430.01</v>
      </c>
      <c r="F620" s="116">
        <v>2132.1</v>
      </c>
      <c r="G620">
        <v>10367</v>
      </c>
      <c r="H620" s="116"/>
      <c r="I620" s="116"/>
      <c r="L620" s="170">
        <v>45014</v>
      </c>
      <c r="M620" s="116">
        <v>403.48</v>
      </c>
      <c r="N620" s="116">
        <v>409.58</v>
      </c>
      <c r="O620" s="116">
        <v>402.01</v>
      </c>
      <c r="P620" s="116">
        <v>404</v>
      </c>
      <c r="Q620" s="116">
        <v>2017.4</v>
      </c>
      <c r="R620">
        <v>62569</v>
      </c>
    </row>
    <row r="621" spans="1:18" x14ac:dyDescent="0.25">
      <c r="A621" s="170">
        <v>45012</v>
      </c>
      <c r="B621" s="116">
        <v>426.21</v>
      </c>
      <c r="C621" s="116">
        <v>411.17</v>
      </c>
      <c r="D621" s="116">
        <v>409.01</v>
      </c>
      <c r="E621" s="116">
        <v>421.02</v>
      </c>
      <c r="F621" s="116">
        <v>2055.85</v>
      </c>
      <c r="G621">
        <v>4620</v>
      </c>
      <c r="H621" s="116"/>
      <c r="I621" s="116"/>
      <c r="L621" s="170">
        <v>45016</v>
      </c>
      <c r="M621" s="116">
        <v>406.19</v>
      </c>
      <c r="N621" s="116">
        <v>419.48</v>
      </c>
      <c r="O621" s="116">
        <v>404.81</v>
      </c>
      <c r="P621" s="116">
        <v>405</v>
      </c>
      <c r="Q621" s="116">
        <v>2030.95</v>
      </c>
      <c r="R621">
        <v>111789</v>
      </c>
    </row>
    <row r="622" spans="1:18" x14ac:dyDescent="0.25">
      <c r="A622" s="170">
        <v>45013</v>
      </c>
      <c r="B622" s="116">
        <v>414</v>
      </c>
      <c r="C622" s="116">
        <v>402.72</v>
      </c>
      <c r="D622" s="116">
        <v>401.41</v>
      </c>
      <c r="E622" s="116">
        <v>414</v>
      </c>
      <c r="F622" s="116">
        <v>2013.6</v>
      </c>
      <c r="G622">
        <v>4933</v>
      </c>
      <c r="H622" s="116"/>
      <c r="I622" s="116"/>
      <c r="L622" s="170">
        <v>45019</v>
      </c>
      <c r="M622" s="116">
        <v>422.17</v>
      </c>
      <c r="N622" s="116">
        <v>428.88</v>
      </c>
      <c r="O622" s="116">
        <v>407.6</v>
      </c>
      <c r="P622" s="116">
        <v>407.8</v>
      </c>
      <c r="Q622" s="116">
        <v>2110.85</v>
      </c>
      <c r="R622">
        <v>132541</v>
      </c>
    </row>
    <row r="623" spans="1:18" x14ac:dyDescent="0.25">
      <c r="A623" s="170">
        <v>45014</v>
      </c>
      <c r="B623" s="116">
        <v>410.34</v>
      </c>
      <c r="C623" s="116">
        <v>403.22</v>
      </c>
      <c r="D623" s="116">
        <v>400.42</v>
      </c>
      <c r="E623" s="116">
        <v>400.42</v>
      </c>
      <c r="F623" s="116">
        <v>2016.1</v>
      </c>
      <c r="G623">
        <v>4032</v>
      </c>
      <c r="H623" s="116"/>
      <c r="I623" s="116"/>
      <c r="L623" s="170">
        <v>45021</v>
      </c>
      <c r="M623" s="116">
        <v>431.97</v>
      </c>
      <c r="N623" s="116">
        <v>433</v>
      </c>
      <c r="O623" s="116">
        <v>425.19</v>
      </c>
      <c r="P623" s="116">
        <v>426.7</v>
      </c>
      <c r="Q623" s="116">
        <v>2159.85</v>
      </c>
      <c r="R623">
        <v>87658</v>
      </c>
    </row>
    <row r="624" spans="1:18" x14ac:dyDescent="0.25">
      <c r="A624" s="170">
        <v>45016</v>
      </c>
      <c r="B624" s="116">
        <v>419.03</v>
      </c>
      <c r="C624" s="116">
        <v>406.38</v>
      </c>
      <c r="D624" s="116">
        <v>404.65</v>
      </c>
      <c r="E624" s="116">
        <v>405</v>
      </c>
      <c r="F624" s="116">
        <v>2031.9</v>
      </c>
      <c r="G624">
        <v>8110</v>
      </c>
      <c r="H624" s="116"/>
      <c r="I624" s="116"/>
      <c r="L624" s="170">
        <v>45022</v>
      </c>
      <c r="M624" s="116">
        <v>435.23</v>
      </c>
      <c r="N624" s="116">
        <v>440.59</v>
      </c>
      <c r="O624" s="116">
        <v>431.97</v>
      </c>
      <c r="P624" s="116">
        <v>432.74</v>
      </c>
      <c r="Q624" s="116">
        <v>2176.15</v>
      </c>
      <c r="R624">
        <v>31863</v>
      </c>
    </row>
    <row r="625" spans="1:18" x14ac:dyDescent="0.25">
      <c r="A625" s="170">
        <v>45019</v>
      </c>
      <c r="B625" s="116">
        <v>428.91</v>
      </c>
      <c r="C625" s="116">
        <v>423.57</v>
      </c>
      <c r="D625" s="116">
        <v>406.81</v>
      </c>
      <c r="E625" s="116">
        <v>406.81</v>
      </c>
      <c r="F625" s="116">
        <v>2117.85</v>
      </c>
      <c r="G625">
        <v>8489</v>
      </c>
      <c r="H625" s="116"/>
      <c r="I625" s="116"/>
      <c r="L625" s="170">
        <v>45026</v>
      </c>
      <c r="M625" s="116">
        <v>445.5</v>
      </c>
      <c r="N625" s="116">
        <v>452.74</v>
      </c>
      <c r="O625" s="116">
        <v>434.4</v>
      </c>
      <c r="P625" s="116">
        <v>435.23</v>
      </c>
      <c r="Q625" s="116">
        <v>2227.5</v>
      </c>
      <c r="R625">
        <v>111599</v>
      </c>
    </row>
    <row r="626" spans="1:18" x14ac:dyDescent="0.25">
      <c r="A626" s="170">
        <v>45021</v>
      </c>
      <c r="B626" s="116">
        <v>433</v>
      </c>
      <c r="C626" s="116">
        <v>432.15</v>
      </c>
      <c r="D626" s="116">
        <v>423.59</v>
      </c>
      <c r="E626" s="116">
        <v>423.59</v>
      </c>
      <c r="F626" s="116">
        <v>2160.75</v>
      </c>
      <c r="G626">
        <v>5906</v>
      </c>
      <c r="H626" s="116"/>
      <c r="I626" s="116"/>
      <c r="L626" s="170">
        <v>45027</v>
      </c>
      <c r="M626" s="116">
        <v>438.24</v>
      </c>
      <c r="N626" s="116">
        <v>448.4</v>
      </c>
      <c r="O626" s="116">
        <v>437.61</v>
      </c>
      <c r="P626" s="116">
        <v>447.16</v>
      </c>
      <c r="Q626" s="116">
        <v>2191.1999999999998</v>
      </c>
      <c r="R626">
        <v>58870</v>
      </c>
    </row>
    <row r="627" spans="1:18" x14ac:dyDescent="0.25">
      <c r="A627" s="170">
        <v>45022</v>
      </c>
      <c r="B627" s="116">
        <v>440.56</v>
      </c>
      <c r="C627" s="116">
        <v>435.27</v>
      </c>
      <c r="D627" s="116">
        <v>431.88</v>
      </c>
      <c r="E627" s="116">
        <v>432</v>
      </c>
      <c r="F627" s="116">
        <v>2176.35</v>
      </c>
      <c r="G627">
        <v>5205</v>
      </c>
      <c r="H627" s="116"/>
      <c r="I627" s="116"/>
      <c r="L627" s="170">
        <v>45028</v>
      </c>
      <c r="M627" s="116">
        <v>432.13</v>
      </c>
      <c r="N627" s="116">
        <v>442.9</v>
      </c>
      <c r="O627" s="116">
        <v>428.14</v>
      </c>
      <c r="P627" s="116">
        <v>439.54</v>
      </c>
      <c r="Q627" s="116">
        <v>2160.65</v>
      </c>
      <c r="R627">
        <v>183345</v>
      </c>
    </row>
    <row r="628" spans="1:18" x14ac:dyDescent="0.25">
      <c r="A628" s="170">
        <v>45026</v>
      </c>
      <c r="B628" s="116">
        <v>452.6</v>
      </c>
      <c r="C628" s="116">
        <v>445.55</v>
      </c>
      <c r="D628" s="116">
        <v>434.34</v>
      </c>
      <c r="E628" s="116">
        <v>435.33</v>
      </c>
      <c r="F628" s="116">
        <v>2227.75</v>
      </c>
      <c r="G628">
        <v>9390</v>
      </c>
      <c r="H628" s="116"/>
      <c r="I628" s="116"/>
      <c r="L628" s="170">
        <v>45029</v>
      </c>
      <c r="M628" s="116">
        <v>427.6</v>
      </c>
      <c r="N628" s="116">
        <v>435.94</v>
      </c>
      <c r="O628" s="116">
        <v>426.04</v>
      </c>
      <c r="P628" s="116">
        <v>433.4</v>
      </c>
      <c r="Q628" s="116">
        <v>2138</v>
      </c>
      <c r="R628">
        <v>42384</v>
      </c>
    </row>
    <row r="629" spans="1:18" x14ac:dyDescent="0.25">
      <c r="A629" s="170">
        <v>45027</v>
      </c>
      <c r="B629" s="116">
        <v>449.93</v>
      </c>
      <c r="C629" s="116">
        <v>438.29</v>
      </c>
      <c r="D629" s="116">
        <v>437.22</v>
      </c>
      <c r="E629" s="116">
        <v>449.93</v>
      </c>
      <c r="F629" s="116">
        <v>2191.4499999999998</v>
      </c>
      <c r="G629">
        <v>6808</v>
      </c>
      <c r="H629" s="116"/>
      <c r="I629" s="116"/>
      <c r="L629" s="170">
        <v>45033</v>
      </c>
      <c r="M629" s="116">
        <v>420.01</v>
      </c>
      <c r="N629" s="116">
        <v>427.54</v>
      </c>
      <c r="O629" s="116">
        <v>418.5</v>
      </c>
      <c r="P629" s="116">
        <v>427.54</v>
      </c>
      <c r="Q629" s="116">
        <v>2100.0500000000002</v>
      </c>
      <c r="R629">
        <v>50446</v>
      </c>
    </row>
    <row r="630" spans="1:18" x14ac:dyDescent="0.25">
      <c r="A630" s="170">
        <v>45028</v>
      </c>
      <c r="B630" s="116">
        <v>442.09</v>
      </c>
      <c r="C630" s="116">
        <v>432.19</v>
      </c>
      <c r="D630" s="116">
        <v>428.2</v>
      </c>
      <c r="E630" s="116">
        <v>436.53</v>
      </c>
      <c r="F630" s="116">
        <v>2160.9499999999998</v>
      </c>
      <c r="G630">
        <v>7142</v>
      </c>
      <c r="H630" s="116"/>
      <c r="I630" s="116"/>
      <c r="L630" s="170">
        <v>45034</v>
      </c>
      <c r="M630" s="116">
        <v>425.83</v>
      </c>
      <c r="N630" s="116">
        <v>429.4</v>
      </c>
      <c r="O630" s="116">
        <v>420.01</v>
      </c>
      <c r="P630" s="116">
        <v>422</v>
      </c>
      <c r="Q630" s="116">
        <v>2129.15</v>
      </c>
      <c r="R630">
        <v>39117</v>
      </c>
    </row>
    <row r="631" spans="1:18" x14ac:dyDescent="0.25">
      <c r="A631" s="170">
        <v>45029</v>
      </c>
      <c r="B631" s="116">
        <v>434.94</v>
      </c>
      <c r="C631" s="116">
        <v>427.81</v>
      </c>
      <c r="D631" s="116">
        <v>426.01</v>
      </c>
      <c r="E631" s="116">
        <v>432.19</v>
      </c>
      <c r="F631" s="116">
        <v>2139.0500000000002</v>
      </c>
      <c r="G631">
        <v>5826</v>
      </c>
      <c r="H631" s="116"/>
      <c r="I631" s="116"/>
      <c r="L631" s="170">
        <v>45035</v>
      </c>
      <c r="M631" s="116">
        <v>422.82</v>
      </c>
      <c r="N631" s="116">
        <v>429.99</v>
      </c>
      <c r="O631" s="116">
        <v>421.14</v>
      </c>
      <c r="P631" s="116">
        <v>427.96</v>
      </c>
      <c r="Q631" s="116">
        <v>2114.1</v>
      </c>
      <c r="R631">
        <v>28673</v>
      </c>
    </row>
    <row r="632" spans="1:18" x14ac:dyDescent="0.25">
      <c r="A632" s="170">
        <v>45033</v>
      </c>
      <c r="B632" s="116">
        <v>428.2</v>
      </c>
      <c r="C632" s="116">
        <v>419.99</v>
      </c>
      <c r="D632" s="116">
        <v>418.58</v>
      </c>
      <c r="E632" s="116">
        <v>428.2</v>
      </c>
      <c r="F632" s="116">
        <v>2099.9499999999998</v>
      </c>
      <c r="G632">
        <v>8533</v>
      </c>
      <c r="H632" s="116"/>
      <c r="I632" s="116"/>
      <c r="L632" s="170">
        <v>45036</v>
      </c>
      <c r="M632" s="116">
        <v>420.42</v>
      </c>
      <c r="N632" s="116">
        <v>424.78</v>
      </c>
      <c r="O632" s="116">
        <v>419.33</v>
      </c>
      <c r="P632" s="116">
        <v>423.8</v>
      </c>
      <c r="Q632" s="116">
        <v>2102.1</v>
      </c>
      <c r="R632">
        <v>35210</v>
      </c>
    </row>
    <row r="633" spans="1:18" x14ac:dyDescent="0.25">
      <c r="A633" s="170">
        <v>45034</v>
      </c>
      <c r="B633" s="116">
        <v>429.32</v>
      </c>
      <c r="C633" s="116">
        <v>425.32</v>
      </c>
      <c r="D633" s="116">
        <v>418.01</v>
      </c>
      <c r="E633" s="116">
        <v>418.01</v>
      </c>
      <c r="F633" s="116">
        <v>2126.6</v>
      </c>
      <c r="G633">
        <v>807</v>
      </c>
      <c r="H633" s="116"/>
      <c r="I633" s="116"/>
      <c r="L633" s="170">
        <v>45037</v>
      </c>
      <c r="M633" s="116">
        <v>412.87</v>
      </c>
      <c r="N633" s="116">
        <v>421.73</v>
      </c>
      <c r="O633" s="116">
        <v>412</v>
      </c>
      <c r="P633" s="116">
        <v>421.56</v>
      </c>
      <c r="Q633" s="116">
        <v>2064.35</v>
      </c>
      <c r="R633">
        <v>75203</v>
      </c>
    </row>
    <row r="634" spans="1:18" x14ac:dyDescent="0.25">
      <c r="A634" s="170">
        <v>45035</v>
      </c>
      <c r="B634" s="116">
        <v>429.19</v>
      </c>
      <c r="C634" s="116">
        <v>423.29</v>
      </c>
      <c r="D634" s="116">
        <v>421.13</v>
      </c>
      <c r="E634" s="116">
        <v>425.32</v>
      </c>
      <c r="F634" s="116">
        <v>2116.4499999999998</v>
      </c>
      <c r="G634">
        <v>918</v>
      </c>
      <c r="H634" s="116"/>
      <c r="I634" s="116"/>
      <c r="L634" s="170">
        <v>45040</v>
      </c>
      <c r="M634" s="116">
        <v>406.93</v>
      </c>
      <c r="N634" s="116">
        <v>414.79</v>
      </c>
      <c r="O634" s="116">
        <v>405.24</v>
      </c>
      <c r="P634" s="116">
        <v>413.79</v>
      </c>
      <c r="Q634" s="116">
        <v>2034.65</v>
      </c>
      <c r="R634">
        <v>157047</v>
      </c>
    </row>
    <row r="635" spans="1:18" x14ac:dyDescent="0.25">
      <c r="A635" s="170">
        <v>45036</v>
      </c>
      <c r="B635" s="116">
        <v>429.99</v>
      </c>
      <c r="C635" s="116">
        <v>420.25</v>
      </c>
      <c r="D635" s="116">
        <v>419.4</v>
      </c>
      <c r="E635" s="116">
        <v>429.99</v>
      </c>
      <c r="F635" s="116">
        <v>2101.25</v>
      </c>
      <c r="G635">
        <v>4640</v>
      </c>
      <c r="H635" s="116"/>
      <c r="I635" s="116"/>
      <c r="L635" s="170">
        <v>45041</v>
      </c>
      <c r="M635" s="116">
        <v>409.53</v>
      </c>
      <c r="N635" s="116">
        <v>412</v>
      </c>
      <c r="O635" s="116">
        <v>406.4</v>
      </c>
      <c r="P635" s="116">
        <v>407</v>
      </c>
      <c r="Q635" s="116">
        <v>2047.65</v>
      </c>
      <c r="R635">
        <v>318410</v>
      </c>
    </row>
    <row r="636" spans="1:18" x14ac:dyDescent="0.25">
      <c r="A636" s="170">
        <v>45037</v>
      </c>
      <c r="B636" s="116">
        <v>422</v>
      </c>
      <c r="C636" s="116">
        <v>413.18</v>
      </c>
      <c r="D636" s="116">
        <v>412.2</v>
      </c>
      <c r="E636" s="116">
        <v>419.41</v>
      </c>
      <c r="F636" s="116">
        <v>2065.9</v>
      </c>
      <c r="G636">
        <v>2031</v>
      </c>
      <c r="H636" s="116"/>
      <c r="I636" s="116"/>
      <c r="L636" s="170">
        <v>45042</v>
      </c>
      <c r="M636" s="116">
        <v>411.63</v>
      </c>
      <c r="N636" s="116">
        <v>416</v>
      </c>
      <c r="O636" s="116">
        <v>410.02</v>
      </c>
      <c r="P636" s="116">
        <v>410.93</v>
      </c>
      <c r="Q636" s="116">
        <v>2058.15</v>
      </c>
      <c r="R636">
        <v>47806</v>
      </c>
    </row>
    <row r="637" spans="1:18" x14ac:dyDescent="0.25">
      <c r="A637" s="170">
        <v>45040</v>
      </c>
      <c r="B637" s="116">
        <v>415.59</v>
      </c>
      <c r="C637" s="116">
        <v>407.01</v>
      </c>
      <c r="D637" s="116">
        <v>405.25</v>
      </c>
      <c r="E637" s="116">
        <v>415.59</v>
      </c>
      <c r="F637" s="116">
        <v>2035.05</v>
      </c>
      <c r="G637">
        <v>8440</v>
      </c>
      <c r="H637" s="116"/>
      <c r="I637" s="116"/>
      <c r="L637" s="170">
        <v>45043</v>
      </c>
      <c r="M637" s="116">
        <v>409.62</v>
      </c>
      <c r="N637" s="116">
        <v>413.54</v>
      </c>
      <c r="O637" s="116">
        <v>407.12</v>
      </c>
      <c r="P637" s="116">
        <v>413.54</v>
      </c>
      <c r="Q637" s="116">
        <v>2048.1</v>
      </c>
      <c r="R637">
        <v>51617</v>
      </c>
    </row>
    <row r="638" spans="1:18" x14ac:dyDescent="0.25">
      <c r="A638" s="170">
        <v>45041</v>
      </c>
      <c r="B638" s="116">
        <v>411.6</v>
      </c>
      <c r="C638" s="116">
        <v>409.58</v>
      </c>
      <c r="D638" s="116">
        <v>401.5</v>
      </c>
      <c r="E638" s="116">
        <v>406.41</v>
      </c>
      <c r="F638" s="116">
        <v>2047.9</v>
      </c>
      <c r="G638">
        <v>9629</v>
      </c>
      <c r="H638" s="116"/>
      <c r="I638" s="116"/>
      <c r="L638" s="170">
        <v>45044</v>
      </c>
      <c r="M638" s="116">
        <v>412.25</v>
      </c>
      <c r="N638" s="116">
        <v>414.2</v>
      </c>
      <c r="O638" s="116">
        <v>406.8</v>
      </c>
      <c r="P638" s="116">
        <v>411.58</v>
      </c>
      <c r="Q638" s="116">
        <v>2061.25</v>
      </c>
      <c r="R638">
        <v>86602</v>
      </c>
    </row>
    <row r="639" spans="1:18" x14ac:dyDescent="0.25">
      <c r="A639" s="170">
        <v>45042</v>
      </c>
      <c r="B639" s="116">
        <v>416.15</v>
      </c>
      <c r="C639" s="116">
        <v>412.08</v>
      </c>
      <c r="D639" s="116">
        <v>409.81</v>
      </c>
      <c r="E639" s="116">
        <v>409.81</v>
      </c>
      <c r="F639" s="116">
        <v>2060.4</v>
      </c>
      <c r="G639">
        <v>5820</v>
      </c>
      <c r="H639" s="116"/>
      <c r="I639" s="116"/>
      <c r="L639" s="170">
        <v>45048</v>
      </c>
      <c r="M639" s="116">
        <v>409.83</v>
      </c>
      <c r="N639" s="116">
        <v>415.08</v>
      </c>
      <c r="O639" s="116">
        <v>409.01</v>
      </c>
      <c r="P639" s="116">
        <v>413.79</v>
      </c>
      <c r="Q639" s="116">
        <v>2049.15</v>
      </c>
      <c r="R639">
        <v>74076</v>
      </c>
    </row>
    <row r="640" spans="1:18" x14ac:dyDescent="0.25">
      <c r="A640" s="170">
        <v>45043</v>
      </c>
      <c r="B640" s="116">
        <v>413.22</v>
      </c>
      <c r="C640" s="116">
        <v>409.48</v>
      </c>
      <c r="D640" s="116">
        <v>407.4</v>
      </c>
      <c r="E640" s="116">
        <v>412.09</v>
      </c>
      <c r="F640" s="116">
        <v>2047.4</v>
      </c>
      <c r="G640">
        <v>7536</v>
      </c>
      <c r="H640" s="116"/>
      <c r="I640" s="116"/>
      <c r="L640" s="170">
        <v>45049</v>
      </c>
      <c r="M640" s="116">
        <v>410.15</v>
      </c>
      <c r="N640" s="116">
        <v>413.6</v>
      </c>
      <c r="O640" s="116">
        <v>408.01</v>
      </c>
      <c r="P640" s="116">
        <v>409.84</v>
      </c>
      <c r="Q640" s="116">
        <v>2050.75</v>
      </c>
      <c r="R640">
        <v>55668</v>
      </c>
    </row>
    <row r="641" spans="1:18" x14ac:dyDescent="0.25">
      <c r="A641" s="170">
        <v>45044</v>
      </c>
      <c r="B641" s="116">
        <v>414.1</v>
      </c>
      <c r="C641" s="116">
        <v>412.4</v>
      </c>
      <c r="D641" s="116">
        <v>406.9</v>
      </c>
      <c r="E641" s="116">
        <v>412</v>
      </c>
      <c r="F641" s="116">
        <v>2062</v>
      </c>
      <c r="G641">
        <v>3881</v>
      </c>
      <c r="H641" s="116"/>
      <c r="I641" s="116"/>
      <c r="L641" s="170">
        <v>45050</v>
      </c>
      <c r="M641" s="116">
        <v>412.34</v>
      </c>
      <c r="N641" s="116">
        <v>414.4</v>
      </c>
      <c r="O641" s="116">
        <v>410.15</v>
      </c>
      <c r="P641" s="116">
        <v>410.68</v>
      </c>
      <c r="Q641" s="116">
        <v>2061.6999999999998</v>
      </c>
      <c r="R641">
        <v>59887</v>
      </c>
    </row>
    <row r="642" spans="1:18" x14ac:dyDescent="0.25">
      <c r="A642" s="170">
        <v>45048</v>
      </c>
      <c r="B642" s="116">
        <v>414.6</v>
      </c>
      <c r="C642" s="116">
        <v>410.07</v>
      </c>
      <c r="D642" s="116">
        <v>409</v>
      </c>
      <c r="E642" s="116">
        <v>413.01</v>
      </c>
      <c r="F642" s="116">
        <v>2050.35</v>
      </c>
      <c r="G642">
        <v>10525</v>
      </c>
      <c r="H642" s="116"/>
      <c r="I642" s="116"/>
      <c r="L642" s="170">
        <v>45051</v>
      </c>
      <c r="M642" s="116">
        <v>414.45</v>
      </c>
      <c r="N642" s="116">
        <v>419.6</v>
      </c>
      <c r="O642" s="116">
        <v>412</v>
      </c>
      <c r="P642" s="116">
        <v>412.21</v>
      </c>
      <c r="Q642" s="116">
        <v>2072.25</v>
      </c>
      <c r="R642">
        <v>74190</v>
      </c>
    </row>
    <row r="643" spans="1:18" x14ac:dyDescent="0.25">
      <c r="A643" s="170">
        <v>45049</v>
      </c>
      <c r="B643" s="116">
        <v>413.81</v>
      </c>
      <c r="C643" s="116">
        <v>410.59</v>
      </c>
      <c r="D643" s="116">
        <v>407.05</v>
      </c>
      <c r="E643" s="116">
        <v>410.79</v>
      </c>
      <c r="F643" s="116">
        <v>2052.9499999999998</v>
      </c>
      <c r="G643">
        <v>11680</v>
      </c>
      <c r="H643" s="116"/>
      <c r="I643" s="116"/>
      <c r="L643" s="170">
        <v>45054</v>
      </c>
      <c r="M643" s="116">
        <v>411.01</v>
      </c>
      <c r="N643" s="116">
        <v>417.4</v>
      </c>
      <c r="O643" s="116">
        <v>409.4</v>
      </c>
      <c r="P643" s="116">
        <v>417.4</v>
      </c>
      <c r="Q643" s="116">
        <v>2055.0500000000002</v>
      </c>
      <c r="R643">
        <v>61281</v>
      </c>
    </row>
    <row r="644" spans="1:18" x14ac:dyDescent="0.25">
      <c r="A644" s="170">
        <v>45050</v>
      </c>
      <c r="B644" s="116">
        <v>413.99</v>
      </c>
      <c r="C644" s="116">
        <v>412.14</v>
      </c>
      <c r="D644" s="116">
        <v>409.05</v>
      </c>
      <c r="E644" s="116">
        <v>409.05</v>
      </c>
      <c r="F644" s="116">
        <v>2060.6999999999998</v>
      </c>
      <c r="G644">
        <v>7419</v>
      </c>
      <c r="H644" s="116"/>
      <c r="I644" s="116"/>
      <c r="L644" s="170">
        <v>45055</v>
      </c>
      <c r="M644" s="116">
        <v>422.07</v>
      </c>
      <c r="N644" s="116">
        <v>423.59</v>
      </c>
      <c r="O644" s="116">
        <v>411.67</v>
      </c>
      <c r="P644" s="116">
        <v>412.94</v>
      </c>
      <c r="Q644" s="116">
        <v>2110.35</v>
      </c>
      <c r="R644">
        <v>240428</v>
      </c>
    </row>
    <row r="645" spans="1:18" x14ac:dyDescent="0.25">
      <c r="A645" s="170">
        <v>45051</v>
      </c>
      <c r="B645" s="116">
        <v>419.79</v>
      </c>
      <c r="C645" s="116">
        <v>414.74</v>
      </c>
      <c r="D645" s="116">
        <v>411.41</v>
      </c>
      <c r="E645" s="116">
        <v>419.79</v>
      </c>
      <c r="F645" s="116">
        <v>2073.6999999999998</v>
      </c>
      <c r="G645">
        <v>2722</v>
      </c>
      <c r="H645" s="116"/>
      <c r="I645" s="116"/>
      <c r="L645" s="170">
        <v>45056</v>
      </c>
      <c r="M645" s="116">
        <v>417.71</v>
      </c>
      <c r="N645" s="116">
        <v>427.4</v>
      </c>
      <c r="O645" s="116">
        <v>413.43</v>
      </c>
      <c r="P645" s="116">
        <v>422.4</v>
      </c>
      <c r="Q645" s="116">
        <v>2088.5500000000002</v>
      </c>
      <c r="R645">
        <v>180922</v>
      </c>
    </row>
    <row r="646" spans="1:18" x14ac:dyDescent="0.25">
      <c r="A646" s="170">
        <v>45054</v>
      </c>
      <c r="B646" s="116">
        <v>417.14</v>
      </c>
      <c r="C646" s="116">
        <v>411.07</v>
      </c>
      <c r="D646" s="116">
        <v>409.23</v>
      </c>
      <c r="E646" s="116">
        <v>415.01</v>
      </c>
      <c r="F646" s="116">
        <v>2055.35</v>
      </c>
      <c r="G646">
        <v>11445</v>
      </c>
      <c r="H646" s="116"/>
      <c r="I646" s="116"/>
      <c r="L646" s="170">
        <v>45057</v>
      </c>
      <c r="M646" s="116">
        <v>417.4</v>
      </c>
      <c r="N646" s="116">
        <v>421.39</v>
      </c>
      <c r="O646" s="116">
        <v>415.2</v>
      </c>
      <c r="P646" s="116">
        <v>419.88</v>
      </c>
      <c r="Q646" s="116">
        <v>2087</v>
      </c>
      <c r="R646">
        <v>61467</v>
      </c>
    </row>
    <row r="647" spans="1:18" x14ac:dyDescent="0.25">
      <c r="A647" s="170">
        <v>45055</v>
      </c>
      <c r="B647" s="116">
        <v>423.14</v>
      </c>
      <c r="C647" s="116">
        <v>422.11</v>
      </c>
      <c r="D647" s="116">
        <v>412.01</v>
      </c>
      <c r="E647" s="116">
        <v>412.01</v>
      </c>
      <c r="F647" s="116">
        <v>2110.5500000000002</v>
      </c>
      <c r="G647">
        <v>22148</v>
      </c>
      <c r="H647" s="116"/>
      <c r="I647" s="116"/>
      <c r="L647" s="170">
        <v>45058</v>
      </c>
      <c r="M647" s="116">
        <v>411.56</v>
      </c>
      <c r="N647" s="116">
        <v>418.81</v>
      </c>
      <c r="O647" s="116">
        <v>410.8</v>
      </c>
      <c r="P647" s="116">
        <v>417.94</v>
      </c>
      <c r="Q647" s="116">
        <v>2057.8000000000002</v>
      </c>
      <c r="R647">
        <v>165019</v>
      </c>
    </row>
    <row r="648" spans="1:18" x14ac:dyDescent="0.25">
      <c r="A648" s="170">
        <v>45056</v>
      </c>
      <c r="B648" s="116">
        <v>426.8</v>
      </c>
      <c r="C648" s="116">
        <v>417.54</v>
      </c>
      <c r="D648" s="116">
        <v>414.2</v>
      </c>
      <c r="E648" s="116">
        <v>424.79</v>
      </c>
      <c r="F648" s="116">
        <v>2087.6999999999998</v>
      </c>
      <c r="G648">
        <v>12022</v>
      </c>
      <c r="H648" s="116"/>
      <c r="I648" s="116"/>
      <c r="L648" s="170">
        <v>45061</v>
      </c>
      <c r="M648" s="116">
        <v>413.2</v>
      </c>
      <c r="N648" s="116">
        <v>414.39</v>
      </c>
      <c r="O648" s="116">
        <v>410.2</v>
      </c>
      <c r="P648" s="116">
        <v>411.4</v>
      </c>
      <c r="Q648" s="116">
        <v>2066</v>
      </c>
      <c r="R648">
        <v>53585</v>
      </c>
    </row>
    <row r="649" spans="1:18" x14ac:dyDescent="0.25">
      <c r="A649" s="170">
        <v>45057</v>
      </c>
      <c r="B649" s="116">
        <v>421</v>
      </c>
      <c r="C649" s="116">
        <v>417.81</v>
      </c>
      <c r="D649" s="116">
        <v>415.6</v>
      </c>
      <c r="E649" s="116">
        <v>419.78</v>
      </c>
      <c r="F649" s="116">
        <v>2089.0500000000002</v>
      </c>
      <c r="G649">
        <v>2039</v>
      </c>
      <c r="H649" s="116"/>
      <c r="I649" s="116"/>
      <c r="L649" s="170">
        <v>45062</v>
      </c>
      <c r="M649" s="116">
        <v>415.18</v>
      </c>
      <c r="N649" s="116">
        <v>419.49</v>
      </c>
      <c r="O649" s="116">
        <v>412.46</v>
      </c>
      <c r="P649" s="116">
        <v>414.4</v>
      </c>
      <c r="Q649" s="116">
        <v>2075.9</v>
      </c>
      <c r="R649">
        <v>157072</v>
      </c>
    </row>
    <row r="650" spans="1:18" x14ac:dyDescent="0.25">
      <c r="A650" s="170">
        <v>45058</v>
      </c>
      <c r="B650" s="116">
        <v>418.54</v>
      </c>
      <c r="C650" s="116">
        <v>411.5</v>
      </c>
      <c r="D650" s="116">
        <v>410.8</v>
      </c>
      <c r="E650" s="116">
        <v>418</v>
      </c>
      <c r="F650" s="116">
        <v>2057.5</v>
      </c>
      <c r="G650">
        <v>10073</v>
      </c>
      <c r="H650" s="116"/>
      <c r="I650" s="116"/>
      <c r="L650" s="170">
        <v>45063</v>
      </c>
      <c r="M650" s="116">
        <v>414.17</v>
      </c>
      <c r="N650" s="116">
        <v>422</v>
      </c>
      <c r="O650" s="116">
        <v>413.21</v>
      </c>
      <c r="P650" s="116">
        <v>416.7</v>
      </c>
      <c r="Q650" s="116">
        <v>2070.85</v>
      </c>
      <c r="R650">
        <v>80773</v>
      </c>
    </row>
    <row r="651" spans="1:18" x14ac:dyDescent="0.25">
      <c r="A651" s="170">
        <v>45061</v>
      </c>
      <c r="B651" s="116">
        <v>414</v>
      </c>
      <c r="C651" s="116">
        <v>413.27</v>
      </c>
      <c r="D651" s="116">
        <v>410.01</v>
      </c>
      <c r="E651" s="116">
        <v>410.01</v>
      </c>
      <c r="F651" s="116">
        <v>2066.35</v>
      </c>
      <c r="G651">
        <v>2808</v>
      </c>
      <c r="H651" s="116"/>
      <c r="I651" s="116"/>
      <c r="L651" s="170">
        <v>45064</v>
      </c>
      <c r="M651" s="116">
        <v>413.94</v>
      </c>
      <c r="N651" s="116">
        <v>415.99</v>
      </c>
      <c r="O651" s="116">
        <v>412.81</v>
      </c>
      <c r="P651" s="116">
        <v>415</v>
      </c>
      <c r="Q651" s="116">
        <v>2069.6999999999998</v>
      </c>
      <c r="R651">
        <v>30685</v>
      </c>
    </row>
    <row r="652" spans="1:18" x14ac:dyDescent="0.25">
      <c r="A652" s="170">
        <v>45062</v>
      </c>
      <c r="B652" s="116">
        <v>419.28</v>
      </c>
      <c r="C652" s="116">
        <v>415.74</v>
      </c>
      <c r="D652" s="116">
        <v>412.4</v>
      </c>
      <c r="E652" s="116">
        <v>413.7</v>
      </c>
      <c r="F652" s="116">
        <v>2078.6999999999998</v>
      </c>
      <c r="G652">
        <v>12250</v>
      </c>
      <c r="H652" s="116"/>
      <c r="I652" s="116"/>
      <c r="L652" s="170">
        <v>45065</v>
      </c>
      <c r="M652" s="116">
        <v>416.34</v>
      </c>
      <c r="N652" s="116">
        <v>417.9</v>
      </c>
      <c r="O652" s="116">
        <v>409.72</v>
      </c>
      <c r="P652" s="116">
        <v>413.94</v>
      </c>
      <c r="Q652" s="116">
        <v>2081.6999999999998</v>
      </c>
      <c r="R652">
        <v>55337</v>
      </c>
    </row>
    <row r="653" spans="1:18" x14ac:dyDescent="0.25">
      <c r="A653" s="170">
        <v>45063</v>
      </c>
      <c r="B653" s="116">
        <v>421.36</v>
      </c>
      <c r="C653" s="116">
        <v>414.22</v>
      </c>
      <c r="D653" s="116">
        <v>413.12</v>
      </c>
      <c r="E653" s="116">
        <v>414.29</v>
      </c>
      <c r="F653" s="116">
        <v>2071.1</v>
      </c>
      <c r="G653">
        <v>10184</v>
      </c>
      <c r="H653" s="116"/>
      <c r="I653" s="116"/>
      <c r="L653" s="170">
        <v>45068</v>
      </c>
      <c r="M653" s="116">
        <v>426.96</v>
      </c>
      <c r="N653" s="116">
        <v>432</v>
      </c>
      <c r="O653" s="116">
        <v>416.72</v>
      </c>
      <c r="P653" s="116">
        <v>417.68</v>
      </c>
      <c r="Q653" s="116">
        <v>2134.8000000000002</v>
      </c>
      <c r="R653">
        <v>189043</v>
      </c>
    </row>
    <row r="654" spans="1:18" x14ac:dyDescent="0.25">
      <c r="A654" s="170">
        <v>45064</v>
      </c>
      <c r="B654" s="116">
        <v>416</v>
      </c>
      <c r="C654" s="116">
        <v>413.98</v>
      </c>
      <c r="D654" s="116">
        <v>412.81</v>
      </c>
      <c r="E654" s="116">
        <v>415.98</v>
      </c>
      <c r="F654" s="116">
        <v>2069.9</v>
      </c>
      <c r="G654">
        <v>8109</v>
      </c>
      <c r="H654" s="116"/>
      <c r="I654" s="116"/>
      <c r="L654" s="170">
        <v>45069</v>
      </c>
      <c r="M654" s="116">
        <v>438.15</v>
      </c>
      <c r="N654" s="116">
        <v>438.95</v>
      </c>
      <c r="O654" s="116">
        <v>428</v>
      </c>
      <c r="P654" s="116">
        <v>428.94</v>
      </c>
      <c r="Q654" s="116">
        <v>2190.75</v>
      </c>
      <c r="R654">
        <v>137967</v>
      </c>
    </row>
    <row r="655" spans="1:18" x14ac:dyDescent="0.25">
      <c r="A655" s="170">
        <v>45065</v>
      </c>
      <c r="B655" s="116">
        <v>417.8</v>
      </c>
      <c r="C655" s="116">
        <v>416.26</v>
      </c>
      <c r="D655" s="116">
        <v>409.77</v>
      </c>
      <c r="E655" s="116">
        <v>412.21</v>
      </c>
      <c r="F655" s="116">
        <v>2081.3000000000002</v>
      </c>
      <c r="G655">
        <v>10275</v>
      </c>
      <c r="H655" s="116"/>
      <c r="I655" s="116"/>
      <c r="L655" s="170">
        <v>45070</v>
      </c>
      <c r="M655" s="116">
        <v>434.33</v>
      </c>
      <c r="N655" s="116">
        <v>442.59</v>
      </c>
      <c r="O655" s="116">
        <v>432.53</v>
      </c>
      <c r="P655" s="116">
        <v>437.2</v>
      </c>
      <c r="Q655" s="116">
        <v>2171.65</v>
      </c>
      <c r="R655">
        <v>47301</v>
      </c>
    </row>
    <row r="656" spans="1:18" x14ac:dyDescent="0.25">
      <c r="A656" s="170">
        <v>45068</v>
      </c>
      <c r="B656" s="116">
        <v>432.3</v>
      </c>
      <c r="C656" s="116">
        <v>427.25</v>
      </c>
      <c r="D656" s="116">
        <v>416.27</v>
      </c>
      <c r="E656" s="116">
        <v>416.27</v>
      </c>
      <c r="F656" s="116">
        <v>2136.25</v>
      </c>
      <c r="G656">
        <v>6403</v>
      </c>
      <c r="H656" s="116"/>
      <c r="I656" s="116"/>
      <c r="L656" s="170">
        <v>45071</v>
      </c>
      <c r="M656" s="116">
        <v>428.99</v>
      </c>
      <c r="N656" s="116">
        <v>434.54</v>
      </c>
      <c r="O656" s="116">
        <v>427.51</v>
      </c>
      <c r="P656" s="116">
        <v>434.54</v>
      </c>
      <c r="Q656" s="116">
        <v>2144.9499999999998</v>
      </c>
      <c r="R656">
        <v>43351</v>
      </c>
    </row>
    <row r="657" spans="1:18" x14ac:dyDescent="0.25">
      <c r="A657" s="170">
        <v>45069</v>
      </c>
      <c r="B657" s="116">
        <v>438.8</v>
      </c>
      <c r="C657" s="116">
        <v>438.05</v>
      </c>
      <c r="D657" s="116">
        <v>426.01</v>
      </c>
      <c r="E657" s="116">
        <v>426.01</v>
      </c>
      <c r="F657" s="116">
        <v>2190.25</v>
      </c>
      <c r="G657">
        <v>23010</v>
      </c>
      <c r="H657" s="116"/>
      <c r="I657" s="116"/>
      <c r="L657" s="170">
        <v>45072</v>
      </c>
      <c r="M657" s="116">
        <v>427.02</v>
      </c>
      <c r="N657" s="116">
        <v>430.94</v>
      </c>
      <c r="O657" s="116">
        <v>425.18</v>
      </c>
      <c r="P657" s="116">
        <v>429.79</v>
      </c>
      <c r="Q657" s="116">
        <v>2135.1</v>
      </c>
      <c r="R657">
        <v>35520</v>
      </c>
    </row>
    <row r="658" spans="1:18" x14ac:dyDescent="0.25">
      <c r="A658" s="170">
        <v>45070</v>
      </c>
      <c r="B658" s="116">
        <v>442</v>
      </c>
      <c r="C658" s="116">
        <v>434.12</v>
      </c>
      <c r="D658" s="116">
        <v>432.8</v>
      </c>
      <c r="E658" s="116">
        <v>436.01</v>
      </c>
      <c r="F658" s="116">
        <v>2170.6</v>
      </c>
      <c r="G658">
        <v>2079</v>
      </c>
      <c r="H658" s="116"/>
      <c r="I658" s="116"/>
      <c r="L658" s="170">
        <v>45075</v>
      </c>
      <c r="M658" s="116">
        <v>427.63</v>
      </c>
      <c r="N658" s="116">
        <v>429.88</v>
      </c>
      <c r="O658" s="116">
        <v>426.86</v>
      </c>
      <c r="P658" s="116">
        <v>428.2</v>
      </c>
      <c r="Q658" s="116">
        <v>2138.15</v>
      </c>
      <c r="R658">
        <v>29937</v>
      </c>
    </row>
    <row r="659" spans="1:18" x14ac:dyDescent="0.25">
      <c r="A659" s="170">
        <v>45071</v>
      </c>
      <c r="B659" s="116">
        <v>434</v>
      </c>
      <c r="C659" s="116">
        <v>429.16</v>
      </c>
      <c r="D659" s="116">
        <v>427.69</v>
      </c>
      <c r="E659" s="116">
        <v>434</v>
      </c>
      <c r="F659" s="116">
        <v>2145.8000000000002</v>
      </c>
      <c r="G659">
        <v>1563</v>
      </c>
      <c r="H659" s="116"/>
      <c r="I659" s="116"/>
      <c r="L659" s="170">
        <v>45076</v>
      </c>
      <c r="M659" s="116">
        <v>428.5</v>
      </c>
      <c r="N659" s="116">
        <v>431</v>
      </c>
      <c r="O659" s="116">
        <v>427</v>
      </c>
      <c r="P659" s="116">
        <v>428.2</v>
      </c>
      <c r="Q659" s="116">
        <v>2142.5</v>
      </c>
      <c r="R659">
        <v>27634</v>
      </c>
    </row>
    <row r="660" spans="1:18" x14ac:dyDescent="0.25">
      <c r="A660" s="170">
        <v>45072</v>
      </c>
      <c r="B660" s="116">
        <v>430.59</v>
      </c>
      <c r="C660" s="116">
        <v>427.4</v>
      </c>
      <c r="D660" s="116">
        <v>425.6</v>
      </c>
      <c r="E660" s="116">
        <v>429.01</v>
      </c>
      <c r="F660" s="116">
        <v>2137</v>
      </c>
      <c r="G660">
        <v>7858</v>
      </c>
      <c r="H660" s="116"/>
      <c r="I660" s="116"/>
      <c r="L660" s="170">
        <v>45077</v>
      </c>
      <c r="M660" s="116">
        <v>443.38</v>
      </c>
      <c r="N660" s="116">
        <v>445</v>
      </c>
      <c r="O660" s="116">
        <v>428.5</v>
      </c>
      <c r="P660" s="116">
        <v>428.5</v>
      </c>
      <c r="Q660" s="116">
        <v>2216.9</v>
      </c>
      <c r="R660">
        <v>114179</v>
      </c>
    </row>
    <row r="661" spans="1:18" x14ac:dyDescent="0.25">
      <c r="A661" s="170">
        <v>45075</v>
      </c>
      <c r="B661" s="116">
        <v>429.83</v>
      </c>
      <c r="C661" s="116">
        <v>427.58</v>
      </c>
      <c r="D661" s="116">
        <v>421.01</v>
      </c>
      <c r="E661" s="116">
        <v>421.01</v>
      </c>
      <c r="F661" s="116">
        <v>2137.9</v>
      </c>
      <c r="G661">
        <v>6008</v>
      </c>
      <c r="H661" s="116"/>
      <c r="I661" s="116"/>
      <c r="L661" s="170">
        <v>45078</v>
      </c>
      <c r="M661" s="116">
        <v>445.99</v>
      </c>
      <c r="N661" s="116">
        <v>453</v>
      </c>
      <c r="O661" s="116">
        <v>442.18</v>
      </c>
      <c r="P661" s="116">
        <v>443.38</v>
      </c>
      <c r="Q661" s="116">
        <v>2229.9499999999998</v>
      </c>
      <c r="R661">
        <v>135721</v>
      </c>
    </row>
    <row r="662" spans="1:18" x14ac:dyDescent="0.25">
      <c r="A662" s="170">
        <v>45076</v>
      </c>
      <c r="B662" s="116">
        <v>431.8</v>
      </c>
      <c r="C662" s="116">
        <v>429.29</v>
      </c>
      <c r="D662" s="116">
        <v>427.01</v>
      </c>
      <c r="E662" s="116">
        <v>429.99</v>
      </c>
      <c r="F662" s="116">
        <v>2146.4499999999998</v>
      </c>
      <c r="G662">
        <v>1824</v>
      </c>
      <c r="H662" s="116"/>
      <c r="I662" s="116"/>
      <c r="L662" s="170">
        <v>45079</v>
      </c>
      <c r="M662" s="116">
        <v>439.43</v>
      </c>
      <c r="N662" s="116">
        <v>449.98</v>
      </c>
      <c r="O662" s="116">
        <v>438.55</v>
      </c>
      <c r="P662" s="116">
        <v>446.72</v>
      </c>
      <c r="Q662" s="116">
        <v>2197.15</v>
      </c>
      <c r="R662">
        <v>77627</v>
      </c>
    </row>
    <row r="663" spans="1:18" x14ac:dyDescent="0.25">
      <c r="A663" s="170">
        <v>45077</v>
      </c>
      <c r="B663" s="116">
        <v>444.53</v>
      </c>
      <c r="C663" s="116">
        <v>443.04</v>
      </c>
      <c r="D663" s="116">
        <v>429</v>
      </c>
      <c r="E663" s="116">
        <v>429.99</v>
      </c>
      <c r="F663" s="116">
        <v>2215.1999999999998</v>
      </c>
      <c r="G663">
        <v>15256</v>
      </c>
      <c r="H663" s="116"/>
      <c r="I663" s="116"/>
      <c r="L663" s="170">
        <v>45082</v>
      </c>
      <c r="M663" s="116">
        <v>439.15</v>
      </c>
      <c r="N663" s="116">
        <v>441.4</v>
      </c>
      <c r="O663" s="116">
        <v>437.02</v>
      </c>
      <c r="P663" s="116">
        <v>440.18</v>
      </c>
      <c r="Q663" s="116">
        <v>2195.75</v>
      </c>
      <c r="R663">
        <v>46912</v>
      </c>
    </row>
    <row r="664" spans="1:18" x14ac:dyDescent="0.25">
      <c r="A664" s="170">
        <v>45078</v>
      </c>
      <c r="B664" s="116">
        <v>452.8</v>
      </c>
      <c r="C664" s="116">
        <v>445.44</v>
      </c>
      <c r="D664" s="116">
        <v>437.58</v>
      </c>
      <c r="E664" s="116">
        <v>444.99</v>
      </c>
      <c r="F664" s="116">
        <v>2227.1999999999998</v>
      </c>
      <c r="G664">
        <v>7347</v>
      </c>
      <c r="H664" s="116"/>
      <c r="I664" s="116"/>
      <c r="L664" s="170">
        <v>45083</v>
      </c>
      <c r="M664" s="116">
        <v>434.81</v>
      </c>
      <c r="N664" s="116">
        <v>439.39</v>
      </c>
      <c r="O664" s="116">
        <v>434.21</v>
      </c>
      <c r="P664" s="116">
        <v>439.39</v>
      </c>
      <c r="Q664" s="116">
        <v>2174.0500000000002</v>
      </c>
      <c r="R664">
        <v>30906</v>
      </c>
    </row>
    <row r="665" spans="1:18" x14ac:dyDescent="0.25">
      <c r="A665" s="170">
        <v>45079</v>
      </c>
      <c r="B665" s="116">
        <v>449.7</v>
      </c>
      <c r="C665" s="116">
        <v>439.25</v>
      </c>
      <c r="D665" s="116">
        <v>438.79</v>
      </c>
      <c r="E665" s="116">
        <v>444.61</v>
      </c>
      <c r="F665" s="116">
        <v>2196.25</v>
      </c>
      <c r="G665">
        <v>2968</v>
      </c>
      <c r="H665" s="116"/>
      <c r="I665" s="116"/>
      <c r="L665" s="170">
        <v>45084</v>
      </c>
      <c r="M665" s="116">
        <v>436.01</v>
      </c>
      <c r="N665" s="116">
        <v>439</v>
      </c>
      <c r="O665" s="116">
        <v>433.61</v>
      </c>
      <c r="P665" s="116">
        <v>434.81</v>
      </c>
      <c r="Q665" s="116">
        <v>2180.0500000000002</v>
      </c>
      <c r="R665">
        <v>45636</v>
      </c>
    </row>
    <row r="666" spans="1:18" x14ac:dyDescent="0.25">
      <c r="A666" s="170">
        <v>45082</v>
      </c>
      <c r="B666" s="116">
        <v>441.35</v>
      </c>
      <c r="C666" s="116">
        <v>439.26</v>
      </c>
      <c r="D666" s="116">
        <v>437.08</v>
      </c>
      <c r="E666" s="116">
        <v>439.01</v>
      </c>
      <c r="F666" s="116">
        <v>2196.3000000000002</v>
      </c>
      <c r="G666">
        <v>2449</v>
      </c>
      <c r="H666" s="116"/>
      <c r="I666" s="116"/>
      <c r="L666" s="170">
        <v>45085</v>
      </c>
      <c r="M666" s="116">
        <v>433.72</v>
      </c>
      <c r="N666" s="116">
        <v>437.67</v>
      </c>
      <c r="O666" s="116">
        <v>432.2</v>
      </c>
      <c r="P666" s="116">
        <v>436.01</v>
      </c>
      <c r="Q666" s="116">
        <v>2168.6</v>
      </c>
      <c r="R666">
        <v>29104</v>
      </c>
    </row>
    <row r="667" spans="1:18" x14ac:dyDescent="0.25">
      <c r="A667" s="170">
        <v>45083</v>
      </c>
      <c r="B667" s="116">
        <v>438.5</v>
      </c>
      <c r="C667" s="116">
        <v>434.53</v>
      </c>
      <c r="D667" s="116">
        <v>434.01</v>
      </c>
      <c r="E667" s="116">
        <v>436.03</v>
      </c>
      <c r="F667" s="116">
        <v>2172.65</v>
      </c>
      <c r="G667">
        <v>6094</v>
      </c>
      <c r="H667" s="116"/>
      <c r="I667" s="116"/>
      <c r="L667" s="170">
        <v>45086</v>
      </c>
      <c r="M667" s="116">
        <v>430.33</v>
      </c>
      <c r="N667" s="116">
        <v>435.76</v>
      </c>
      <c r="O667" s="116">
        <v>430</v>
      </c>
      <c r="P667" s="116">
        <v>433.72</v>
      </c>
      <c r="Q667" s="116">
        <v>2151.65</v>
      </c>
      <c r="R667">
        <v>26258</v>
      </c>
    </row>
    <row r="668" spans="1:18" x14ac:dyDescent="0.25">
      <c r="A668" s="170">
        <v>45084</v>
      </c>
      <c r="B668" s="116">
        <v>439.36</v>
      </c>
      <c r="C668" s="116">
        <v>435.93</v>
      </c>
      <c r="D668" s="116">
        <v>433.6</v>
      </c>
      <c r="E668" s="116">
        <v>434.01</v>
      </c>
      <c r="F668" s="116">
        <v>2179.65</v>
      </c>
      <c r="G668">
        <v>1753</v>
      </c>
      <c r="H668" s="116"/>
      <c r="I668" s="116"/>
      <c r="L668" s="170">
        <v>45089</v>
      </c>
      <c r="M668" s="116">
        <v>432.58</v>
      </c>
      <c r="N668" s="116">
        <v>435.4</v>
      </c>
      <c r="O668" s="116">
        <v>430</v>
      </c>
      <c r="P668" s="116">
        <v>432</v>
      </c>
      <c r="Q668" s="116">
        <v>2162.9</v>
      </c>
      <c r="R668">
        <v>39318</v>
      </c>
    </row>
    <row r="669" spans="1:18" x14ac:dyDescent="0.25">
      <c r="A669" s="170">
        <v>45085</v>
      </c>
      <c r="B669" s="116">
        <v>437.04</v>
      </c>
      <c r="C669" s="116">
        <v>433.85</v>
      </c>
      <c r="D669" s="116">
        <v>432.8</v>
      </c>
      <c r="E669" s="116">
        <v>434.01</v>
      </c>
      <c r="F669" s="116">
        <v>2169.25</v>
      </c>
      <c r="G669">
        <v>1333</v>
      </c>
      <c r="H669" s="116"/>
      <c r="I669" s="116"/>
      <c r="L669" s="170">
        <v>45090</v>
      </c>
      <c r="M669" s="116">
        <v>432.78</v>
      </c>
      <c r="N669" s="116">
        <v>436.63</v>
      </c>
      <c r="O669" s="116">
        <v>431.6</v>
      </c>
      <c r="P669" s="116">
        <v>435.85</v>
      </c>
      <c r="Q669" s="116">
        <v>2163.9</v>
      </c>
      <c r="R669">
        <v>38685</v>
      </c>
    </row>
    <row r="670" spans="1:18" x14ac:dyDescent="0.25">
      <c r="A670" s="170">
        <v>45086</v>
      </c>
      <c r="B670" s="116">
        <v>434.01</v>
      </c>
      <c r="C670" s="116">
        <v>430.02</v>
      </c>
      <c r="D670" s="116">
        <v>429.01</v>
      </c>
      <c r="E670" s="116">
        <v>433</v>
      </c>
      <c r="F670" s="116">
        <v>2150.1</v>
      </c>
      <c r="G670">
        <v>7301</v>
      </c>
      <c r="H670" s="116"/>
      <c r="I670" s="116"/>
      <c r="L670" s="170">
        <v>45091</v>
      </c>
      <c r="M670" s="116">
        <v>437.07</v>
      </c>
      <c r="N670" s="116">
        <v>439.8</v>
      </c>
      <c r="O670" s="116">
        <v>433.23</v>
      </c>
      <c r="P670" s="116">
        <v>434.59</v>
      </c>
      <c r="Q670" s="116">
        <v>2185.35</v>
      </c>
      <c r="R670">
        <v>40801</v>
      </c>
    </row>
    <row r="671" spans="1:18" x14ac:dyDescent="0.25">
      <c r="A671" s="170">
        <v>45089</v>
      </c>
      <c r="B671" s="116">
        <v>434.83</v>
      </c>
      <c r="C671" s="116">
        <v>432.58</v>
      </c>
      <c r="D671" s="116">
        <v>430.16</v>
      </c>
      <c r="E671" s="116">
        <v>430.21</v>
      </c>
      <c r="F671" s="116">
        <v>2162.9</v>
      </c>
      <c r="G671">
        <v>2826</v>
      </c>
      <c r="H671" s="116"/>
      <c r="I671" s="116"/>
      <c r="L671" s="170">
        <v>45092</v>
      </c>
      <c r="M671" s="116">
        <v>439.24</v>
      </c>
      <c r="N671" s="116">
        <v>446.63</v>
      </c>
      <c r="O671" s="116">
        <v>437.22</v>
      </c>
      <c r="P671" s="116">
        <v>439.38</v>
      </c>
      <c r="Q671" s="116">
        <v>2196.1999999999998</v>
      </c>
      <c r="R671">
        <v>107363</v>
      </c>
    </row>
    <row r="672" spans="1:18" x14ac:dyDescent="0.25">
      <c r="A672" s="170">
        <v>45090</v>
      </c>
      <c r="B672" s="116">
        <v>436.99</v>
      </c>
      <c r="C672" s="116">
        <v>433.04</v>
      </c>
      <c r="D672" s="116">
        <v>431.76</v>
      </c>
      <c r="E672" s="116">
        <v>434</v>
      </c>
      <c r="F672" s="116">
        <v>2165.1999999999998</v>
      </c>
      <c r="G672">
        <v>7613</v>
      </c>
      <c r="H672" s="116"/>
      <c r="I672" s="116"/>
      <c r="L672" s="170">
        <v>45093</v>
      </c>
      <c r="M672" s="116">
        <v>439.37</v>
      </c>
      <c r="N672" s="116">
        <v>445.76</v>
      </c>
      <c r="O672" s="116">
        <v>437.42</v>
      </c>
      <c r="P672" s="116">
        <v>443.58</v>
      </c>
      <c r="Q672" s="116">
        <v>2196.85</v>
      </c>
      <c r="R672">
        <v>45928</v>
      </c>
    </row>
    <row r="673" spans="1:18" x14ac:dyDescent="0.25">
      <c r="A673" s="170">
        <v>45091</v>
      </c>
      <c r="B673" s="116">
        <v>439.6</v>
      </c>
      <c r="C673" s="116">
        <v>436.8</v>
      </c>
      <c r="D673" s="116">
        <v>433.05</v>
      </c>
      <c r="E673" s="116">
        <v>433.05</v>
      </c>
      <c r="F673" s="116">
        <v>2184</v>
      </c>
      <c r="G673">
        <v>8045</v>
      </c>
      <c r="H673" s="116"/>
      <c r="I673" s="116"/>
      <c r="L673" s="170">
        <v>45096</v>
      </c>
      <c r="M673" s="116">
        <v>435.88</v>
      </c>
      <c r="N673" s="116">
        <v>441.76</v>
      </c>
      <c r="O673" s="116">
        <v>435</v>
      </c>
      <c r="P673" s="116">
        <v>440.2</v>
      </c>
      <c r="Q673" s="116">
        <v>2179.4</v>
      </c>
      <c r="R673">
        <v>40076</v>
      </c>
    </row>
    <row r="674" spans="1:18" x14ac:dyDescent="0.25">
      <c r="A674" s="170">
        <v>45092</v>
      </c>
      <c r="B674" s="116">
        <v>446.52</v>
      </c>
      <c r="C674" s="116">
        <v>438.69</v>
      </c>
      <c r="D674" s="116">
        <v>437.75</v>
      </c>
      <c r="E674" s="116">
        <v>441.39</v>
      </c>
      <c r="F674" s="116">
        <v>2193.4499999999998</v>
      </c>
      <c r="G674">
        <v>5160</v>
      </c>
      <c r="H674" s="116"/>
      <c r="I674" s="116"/>
      <c r="L674" s="170">
        <v>45097</v>
      </c>
      <c r="M674" s="116">
        <v>436.91</v>
      </c>
      <c r="N674" s="116">
        <v>442.76</v>
      </c>
      <c r="O674" s="116">
        <v>434.91</v>
      </c>
      <c r="P674" s="116">
        <v>439.28</v>
      </c>
      <c r="Q674" s="116">
        <v>2184.5500000000002</v>
      </c>
      <c r="R674">
        <v>41997</v>
      </c>
    </row>
    <row r="675" spans="1:18" x14ac:dyDescent="0.25">
      <c r="A675" s="170">
        <v>45093</v>
      </c>
      <c r="B675" s="116">
        <v>445.6</v>
      </c>
      <c r="C675" s="116">
        <v>439.33</v>
      </c>
      <c r="D675" s="116">
        <v>437.6</v>
      </c>
      <c r="E675" s="116">
        <v>443.8</v>
      </c>
      <c r="F675" s="116">
        <v>2196.65</v>
      </c>
      <c r="G675">
        <v>2655</v>
      </c>
      <c r="H675" s="116"/>
      <c r="I675" s="116"/>
      <c r="L675" s="170">
        <v>45098</v>
      </c>
      <c r="M675" s="116">
        <v>437.54</v>
      </c>
      <c r="N675" s="116">
        <v>441.32</v>
      </c>
      <c r="O675" s="116">
        <v>435.17</v>
      </c>
      <c r="P675" s="116">
        <v>439.6</v>
      </c>
      <c r="Q675" s="116">
        <v>2187.6999999999998</v>
      </c>
      <c r="R675">
        <v>53221</v>
      </c>
    </row>
    <row r="676" spans="1:18" x14ac:dyDescent="0.25">
      <c r="A676" s="170">
        <v>45096</v>
      </c>
      <c r="B676" s="116">
        <v>441.93</v>
      </c>
      <c r="C676" s="116">
        <v>436.09</v>
      </c>
      <c r="D676" s="116">
        <v>435.03</v>
      </c>
      <c r="E676" s="116">
        <v>438.21</v>
      </c>
      <c r="F676" s="116">
        <v>2180.4499999999998</v>
      </c>
      <c r="G676">
        <v>1531</v>
      </c>
      <c r="H676" s="116"/>
      <c r="I676" s="116"/>
      <c r="L676" s="170">
        <v>45099</v>
      </c>
      <c r="M676" s="116">
        <v>435.37</v>
      </c>
      <c r="N676" s="116">
        <v>441.35</v>
      </c>
      <c r="O676" s="116">
        <v>432.44</v>
      </c>
      <c r="P676" s="116">
        <v>440.99</v>
      </c>
      <c r="Q676" s="116">
        <v>2176.85</v>
      </c>
      <c r="R676">
        <v>62564</v>
      </c>
    </row>
    <row r="677" spans="1:18" x14ac:dyDescent="0.25">
      <c r="A677" s="170">
        <v>45097</v>
      </c>
      <c r="B677" s="116">
        <v>441.69</v>
      </c>
      <c r="C677" s="116">
        <v>436.61</v>
      </c>
      <c r="D677" s="116">
        <v>435</v>
      </c>
      <c r="E677" s="116">
        <v>437</v>
      </c>
      <c r="F677" s="116">
        <v>2183.0500000000002</v>
      </c>
      <c r="G677">
        <v>8454</v>
      </c>
      <c r="H677" s="116"/>
      <c r="I677" s="116"/>
      <c r="L677" s="170">
        <v>45100</v>
      </c>
      <c r="M677" s="116">
        <v>431.36</v>
      </c>
      <c r="N677" s="116">
        <v>437.99</v>
      </c>
      <c r="O677" s="116">
        <v>429.57</v>
      </c>
      <c r="P677" s="116">
        <v>436.8</v>
      </c>
      <c r="Q677" s="116">
        <v>2156.8000000000002</v>
      </c>
      <c r="R677">
        <v>46138</v>
      </c>
    </row>
    <row r="678" spans="1:18" x14ac:dyDescent="0.25">
      <c r="A678" s="170">
        <v>45098</v>
      </c>
      <c r="B678" s="116">
        <v>441</v>
      </c>
      <c r="C678" s="116">
        <v>437.44</v>
      </c>
      <c r="D678" s="116">
        <v>435.07</v>
      </c>
      <c r="E678" s="116">
        <v>437.01</v>
      </c>
      <c r="F678" s="116">
        <v>2187.1999999999998</v>
      </c>
      <c r="G678">
        <v>2703</v>
      </c>
      <c r="H678" s="116"/>
      <c r="I678" s="116"/>
      <c r="L678" s="170">
        <v>45103</v>
      </c>
      <c r="M678" s="116">
        <v>429.95</v>
      </c>
      <c r="N678" s="116">
        <v>434.8</v>
      </c>
      <c r="O678" s="116">
        <v>428.05</v>
      </c>
      <c r="P678" s="116">
        <v>432.74</v>
      </c>
      <c r="Q678" s="116">
        <v>2149.75</v>
      </c>
      <c r="R678">
        <v>50595</v>
      </c>
    </row>
    <row r="679" spans="1:18" x14ac:dyDescent="0.25">
      <c r="A679" s="170">
        <v>45099</v>
      </c>
      <c r="B679" s="116">
        <v>441.2</v>
      </c>
      <c r="C679" s="116">
        <v>434.79</v>
      </c>
      <c r="D679" s="116">
        <v>432.27</v>
      </c>
      <c r="E679" s="116">
        <v>441.2</v>
      </c>
      <c r="F679" s="116">
        <v>2173.9499999999998</v>
      </c>
      <c r="G679">
        <v>2319</v>
      </c>
      <c r="H679" s="116"/>
      <c r="I679" s="116"/>
      <c r="L679" s="170">
        <v>45104</v>
      </c>
      <c r="M679" s="116">
        <v>427.08</v>
      </c>
      <c r="N679" s="116">
        <v>432.51</v>
      </c>
      <c r="O679" s="116">
        <v>426.4</v>
      </c>
      <c r="P679" s="116">
        <v>432.51</v>
      </c>
      <c r="Q679" s="116">
        <v>2135.4</v>
      </c>
      <c r="R679">
        <v>57618</v>
      </c>
    </row>
    <row r="680" spans="1:18" x14ac:dyDescent="0.25">
      <c r="A680" s="170">
        <v>45100</v>
      </c>
      <c r="B680" s="116">
        <v>437.75</v>
      </c>
      <c r="C680" s="116">
        <v>431.32</v>
      </c>
      <c r="D680" s="116">
        <v>428.98</v>
      </c>
      <c r="E680" s="116">
        <v>436</v>
      </c>
      <c r="F680" s="116">
        <v>2156.6</v>
      </c>
      <c r="G680">
        <v>2209</v>
      </c>
      <c r="H680" s="116"/>
      <c r="I680" s="116"/>
      <c r="L680" s="170">
        <v>45105</v>
      </c>
      <c r="M680" s="116">
        <v>431.77</v>
      </c>
      <c r="N680" s="116">
        <v>433.39</v>
      </c>
      <c r="O680" s="116">
        <v>428.01</v>
      </c>
      <c r="P680" s="116">
        <v>429.51</v>
      </c>
      <c r="Q680" s="116">
        <v>2158.85</v>
      </c>
      <c r="R680">
        <v>66575</v>
      </c>
    </row>
    <row r="681" spans="1:18" x14ac:dyDescent="0.25">
      <c r="A681" s="170">
        <v>45103</v>
      </c>
      <c r="B681" s="116">
        <v>435.98</v>
      </c>
      <c r="C681" s="116">
        <v>430.4</v>
      </c>
      <c r="D681" s="116">
        <v>429.14</v>
      </c>
      <c r="E681" s="116">
        <v>435.98</v>
      </c>
      <c r="F681" s="116">
        <v>2152</v>
      </c>
      <c r="G681">
        <v>2501</v>
      </c>
      <c r="H681" s="116"/>
      <c r="I681" s="116"/>
      <c r="L681" s="170">
        <v>45107</v>
      </c>
      <c r="M681" s="116">
        <v>439.71</v>
      </c>
      <c r="N681" s="116">
        <v>445</v>
      </c>
      <c r="O681" s="116">
        <v>435.98</v>
      </c>
      <c r="P681" s="116">
        <v>437.6</v>
      </c>
      <c r="Q681" s="116">
        <v>2198.5500000000002</v>
      </c>
      <c r="R681">
        <v>223340</v>
      </c>
    </row>
    <row r="682" spans="1:18" x14ac:dyDescent="0.25">
      <c r="A682" s="170">
        <v>45104</v>
      </c>
      <c r="B682" s="116">
        <v>434.99</v>
      </c>
      <c r="C682" s="116">
        <v>427.27</v>
      </c>
      <c r="D682" s="116">
        <v>426.6</v>
      </c>
      <c r="E682" s="116">
        <v>434.99</v>
      </c>
      <c r="F682" s="116">
        <v>2136.35</v>
      </c>
      <c r="G682">
        <v>9533</v>
      </c>
      <c r="H682" s="116"/>
      <c r="I682" s="116"/>
      <c r="L682" s="170">
        <v>45110</v>
      </c>
      <c r="M682" s="116">
        <v>458.51</v>
      </c>
      <c r="N682" s="116">
        <v>466</v>
      </c>
      <c r="O682" s="116">
        <v>445.02</v>
      </c>
      <c r="P682" s="116">
        <v>447.6</v>
      </c>
      <c r="Q682" s="116">
        <v>2292.5500000000002</v>
      </c>
      <c r="R682">
        <v>521776</v>
      </c>
    </row>
    <row r="683" spans="1:18" x14ac:dyDescent="0.25">
      <c r="A683" s="170">
        <v>45105</v>
      </c>
      <c r="B683" s="116">
        <v>433.62</v>
      </c>
      <c r="C683" s="116">
        <v>431.87</v>
      </c>
      <c r="D683" s="116">
        <v>429</v>
      </c>
      <c r="E683" s="116">
        <v>430.79</v>
      </c>
      <c r="F683" s="116">
        <v>2159.35</v>
      </c>
      <c r="G683">
        <v>10768</v>
      </c>
      <c r="H683" s="116"/>
      <c r="I683" s="116"/>
      <c r="L683" s="170">
        <v>45111</v>
      </c>
      <c r="M683" s="116">
        <v>457.92</v>
      </c>
      <c r="N683" s="116">
        <v>469</v>
      </c>
      <c r="O683" s="116">
        <v>455</v>
      </c>
      <c r="P683" s="116">
        <v>464.4</v>
      </c>
      <c r="Q683" s="116">
        <v>2289.6</v>
      </c>
      <c r="R683">
        <v>221638</v>
      </c>
    </row>
    <row r="684" spans="1:18" x14ac:dyDescent="0.25">
      <c r="A684" s="170">
        <v>45107</v>
      </c>
      <c r="B684" s="116">
        <v>444.8</v>
      </c>
      <c r="C684" s="116">
        <v>439.91</v>
      </c>
      <c r="D684" s="116">
        <v>435</v>
      </c>
      <c r="E684" s="116">
        <v>435</v>
      </c>
      <c r="F684" s="116">
        <v>2199.5500000000002</v>
      </c>
      <c r="G684">
        <v>24713</v>
      </c>
      <c r="H684" s="116"/>
      <c r="I684" s="116"/>
      <c r="L684" s="170">
        <v>45112</v>
      </c>
      <c r="M684" s="116">
        <v>455.01</v>
      </c>
      <c r="N684" s="116">
        <v>462.6</v>
      </c>
      <c r="O684" s="116">
        <v>452.38</v>
      </c>
      <c r="P684" s="116">
        <v>458</v>
      </c>
      <c r="Q684" s="116">
        <v>2275.0500000000002</v>
      </c>
      <c r="R684">
        <v>99434</v>
      </c>
    </row>
    <row r="685" spans="1:18" x14ac:dyDescent="0.25">
      <c r="A685" s="170">
        <v>45110</v>
      </c>
      <c r="B685" s="116">
        <v>465.86</v>
      </c>
      <c r="C685" s="116">
        <v>458.55</v>
      </c>
      <c r="D685" s="116">
        <v>445.2</v>
      </c>
      <c r="E685" s="116">
        <v>445.2</v>
      </c>
      <c r="F685" s="116">
        <v>2292.75</v>
      </c>
      <c r="G685">
        <v>57005</v>
      </c>
      <c r="H685" s="116"/>
      <c r="I685" s="116"/>
      <c r="L685" s="170">
        <v>45113</v>
      </c>
      <c r="M685" s="116">
        <v>460.26</v>
      </c>
      <c r="N685" s="116">
        <v>465.98</v>
      </c>
      <c r="O685" s="116">
        <v>455.21</v>
      </c>
      <c r="P685" s="116">
        <v>456.2</v>
      </c>
      <c r="Q685" s="116">
        <v>2301.3000000000002</v>
      </c>
      <c r="R685">
        <v>101789</v>
      </c>
    </row>
    <row r="686" spans="1:18" x14ac:dyDescent="0.25">
      <c r="A686" s="170">
        <v>45111</v>
      </c>
      <c r="B686" s="116">
        <v>469.18</v>
      </c>
      <c r="C686" s="116">
        <v>457.68</v>
      </c>
      <c r="D686" s="116">
        <v>455.51</v>
      </c>
      <c r="E686" s="116">
        <v>464</v>
      </c>
      <c r="F686" s="116">
        <v>2288.4</v>
      </c>
      <c r="G686">
        <v>30794</v>
      </c>
      <c r="H686" s="116"/>
      <c r="I686" s="116"/>
      <c r="L686" s="170">
        <v>45114</v>
      </c>
      <c r="M686" s="116">
        <v>457.21</v>
      </c>
      <c r="N686" s="116">
        <v>466.2</v>
      </c>
      <c r="O686" s="116">
        <v>454.01</v>
      </c>
      <c r="P686" s="116">
        <v>459.8</v>
      </c>
      <c r="Q686" s="116">
        <v>2286.0500000000002</v>
      </c>
      <c r="R686">
        <v>125495</v>
      </c>
    </row>
    <row r="687" spans="1:18" x14ac:dyDescent="0.25">
      <c r="A687" s="170">
        <v>45112</v>
      </c>
      <c r="B687" s="116">
        <v>462.43</v>
      </c>
      <c r="C687" s="116">
        <v>455.69</v>
      </c>
      <c r="D687" s="116">
        <v>452.4</v>
      </c>
      <c r="E687" s="116">
        <v>459.99</v>
      </c>
      <c r="F687" s="116">
        <v>2278.4499999999998</v>
      </c>
      <c r="G687">
        <v>6245</v>
      </c>
      <c r="H687" s="116"/>
      <c r="I687" s="116"/>
      <c r="L687" s="170">
        <v>45117</v>
      </c>
      <c r="M687" s="116">
        <v>449.27</v>
      </c>
      <c r="N687" s="116">
        <v>462</v>
      </c>
      <c r="O687" s="116">
        <v>448</v>
      </c>
      <c r="P687" s="116">
        <v>457</v>
      </c>
      <c r="Q687" s="116">
        <v>2246.35</v>
      </c>
      <c r="R687">
        <v>69266</v>
      </c>
    </row>
    <row r="688" spans="1:18" x14ac:dyDescent="0.25">
      <c r="A688" s="170">
        <v>45113</v>
      </c>
      <c r="B688" s="116">
        <v>465.69</v>
      </c>
      <c r="C688" s="116">
        <v>460.17</v>
      </c>
      <c r="D688" s="116">
        <v>455.69</v>
      </c>
      <c r="E688" s="116">
        <v>455.69</v>
      </c>
      <c r="F688" s="116">
        <v>2300.85</v>
      </c>
      <c r="G688">
        <v>14038</v>
      </c>
      <c r="H688" s="116"/>
      <c r="I688" s="116"/>
      <c r="L688" s="170">
        <v>45118</v>
      </c>
      <c r="M688" s="116">
        <v>449.8</v>
      </c>
      <c r="N688" s="116">
        <v>456.3</v>
      </c>
      <c r="O688" s="116">
        <v>447.2</v>
      </c>
      <c r="P688" s="116">
        <v>451.49</v>
      </c>
      <c r="Q688" s="116">
        <v>2249</v>
      </c>
      <c r="R688">
        <v>69685</v>
      </c>
    </row>
    <row r="689" spans="1:18" x14ac:dyDescent="0.25">
      <c r="A689" s="170">
        <v>45114</v>
      </c>
      <c r="B689" s="116">
        <v>466.63</v>
      </c>
      <c r="C689" s="116">
        <v>457.87</v>
      </c>
      <c r="D689" s="116">
        <v>454.33</v>
      </c>
      <c r="E689" s="116">
        <v>460.26</v>
      </c>
      <c r="F689" s="116">
        <v>2289.35</v>
      </c>
      <c r="G689">
        <v>4038</v>
      </c>
      <c r="H689" s="116"/>
      <c r="I689" s="116"/>
      <c r="L689" s="170">
        <v>45119</v>
      </c>
      <c r="M689" s="116">
        <v>446.41</v>
      </c>
      <c r="N689" s="116">
        <v>453.46</v>
      </c>
      <c r="O689" s="116">
        <v>444.6</v>
      </c>
      <c r="P689" s="116">
        <v>451.94</v>
      </c>
      <c r="Q689" s="116">
        <v>2232.0500000000002</v>
      </c>
      <c r="R689">
        <v>91738</v>
      </c>
    </row>
    <row r="690" spans="1:18" x14ac:dyDescent="0.25">
      <c r="A690" s="170">
        <v>45117</v>
      </c>
      <c r="B690" s="116">
        <v>462.37</v>
      </c>
      <c r="C690" s="116">
        <v>449.33</v>
      </c>
      <c r="D690" s="116">
        <v>447.86</v>
      </c>
      <c r="E690" s="116">
        <v>455.01</v>
      </c>
      <c r="F690" s="116">
        <v>2246.65</v>
      </c>
      <c r="G690">
        <v>15703</v>
      </c>
      <c r="H690" s="116"/>
      <c r="I690" s="116"/>
      <c r="L690" s="170">
        <v>45120</v>
      </c>
      <c r="M690" s="116">
        <v>448.26</v>
      </c>
      <c r="N690" s="116">
        <v>448.8</v>
      </c>
      <c r="O690" s="116">
        <v>444.03</v>
      </c>
      <c r="P690" s="116">
        <v>447.54</v>
      </c>
      <c r="Q690" s="116">
        <v>2241.3000000000002</v>
      </c>
      <c r="R690">
        <v>72908</v>
      </c>
    </row>
    <row r="691" spans="1:18" x14ac:dyDescent="0.25">
      <c r="A691" s="170">
        <v>45118</v>
      </c>
      <c r="B691" s="116">
        <v>456.19</v>
      </c>
      <c r="C691" s="116">
        <v>449.6</v>
      </c>
      <c r="D691" s="116">
        <v>447.26</v>
      </c>
      <c r="E691" s="116">
        <v>456.1</v>
      </c>
      <c r="F691" s="116">
        <v>2248</v>
      </c>
      <c r="G691">
        <v>9871</v>
      </c>
      <c r="H691" s="116"/>
      <c r="I691" s="116"/>
      <c r="L691" s="170">
        <v>45121</v>
      </c>
      <c r="M691" s="116">
        <v>454.42</v>
      </c>
      <c r="N691" s="116">
        <v>455.8</v>
      </c>
      <c r="O691" s="116">
        <v>447.23</v>
      </c>
      <c r="P691" s="116">
        <v>449.94</v>
      </c>
      <c r="Q691" s="116">
        <v>2272.1</v>
      </c>
      <c r="R691">
        <v>105535</v>
      </c>
    </row>
    <row r="692" spans="1:18" x14ac:dyDescent="0.25">
      <c r="A692" s="170">
        <v>45119</v>
      </c>
      <c r="B692" s="116">
        <v>453.91</v>
      </c>
      <c r="C692" s="116">
        <v>446.28</v>
      </c>
      <c r="D692" s="116">
        <v>444.55</v>
      </c>
      <c r="E692" s="116">
        <v>449.61</v>
      </c>
      <c r="F692" s="116">
        <v>2231.4</v>
      </c>
      <c r="G692">
        <v>2884</v>
      </c>
      <c r="H692" s="116"/>
      <c r="I692" s="116"/>
      <c r="L692" s="170">
        <v>45124</v>
      </c>
      <c r="M692" s="116">
        <v>454.44</v>
      </c>
      <c r="N692" s="116">
        <v>460.59</v>
      </c>
      <c r="O692" s="116">
        <v>453.61</v>
      </c>
      <c r="P692" s="116">
        <v>457</v>
      </c>
      <c r="Q692" s="116">
        <v>2272.1999999999998</v>
      </c>
      <c r="R692">
        <v>77325</v>
      </c>
    </row>
    <row r="693" spans="1:18" x14ac:dyDescent="0.25">
      <c r="A693" s="170">
        <v>45120</v>
      </c>
      <c r="B693" s="116">
        <v>448.6</v>
      </c>
      <c r="C693" s="116">
        <v>448.03</v>
      </c>
      <c r="D693" s="116">
        <v>444.39</v>
      </c>
      <c r="E693" s="116">
        <v>447</v>
      </c>
      <c r="F693" s="116">
        <v>2240.15</v>
      </c>
      <c r="G693">
        <v>1850</v>
      </c>
      <c r="H693" s="116"/>
      <c r="I693" s="116"/>
      <c r="L693" s="170">
        <v>45125</v>
      </c>
      <c r="M693" s="116">
        <v>454.86</v>
      </c>
      <c r="N693" s="116">
        <v>457.8</v>
      </c>
      <c r="O693" s="116">
        <v>450.31</v>
      </c>
      <c r="P693" s="116">
        <v>457</v>
      </c>
      <c r="Q693" s="116">
        <v>2274.3000000000002</v>
      </c>
      <c r="R693">
        <v>64110</v>
      </c>
    </row>
    <row r="694" spans="1:18" x14ac:dyDescent="0.25">
      <c r="A694" s="170">
        <v>45121</v>
      </c>
      <c r="B694" s="116">
        <v>455.18</v>
      </c>
      <c r="C694" s="116">
        <v>454.43</v>
      </c>
      <c r="D694" s="116">
        <v>447.22</v>
      </c>
      <c r="E694" s="116">
        <v>449.01</v>
      </c>
      <c r="F694" s="116">
        <v>2272.15</v>
      </c>
      <c r="G694">
        <v>2849</v>
      </c>
      <c r="H694" s="116"/>
      <c r="I694" s="116"/>
      <c r="L694" s="170">
        <v>45126</v>
      </c>
      <c r="M694" s="116">
        <v>456.07</v>
      </c>
      <c r="N694" s="116">
        <v>459.41</v>
      </c>
      <c r="O694" s="116">
        <v>453.4</v>
      </c>
      <c r="P694" s="116">
        <v>455.74</v>
      </c>
      <c r="Q694" s="116">
        <v>2280.35</v>
      </c>
      <c r="R694">
        <v>84358</v>
      </c>
    </row>
    <row r="695" spans="1:18" x14ac:dyDescent="0.25">
      <c r="A695" s="170">
        <v>45124</v>
      </c>
      <c r="B695" s="116">
        <v>460.61</v>
      </c>
      <c r="C695" s="116">
        <v>454.4</v>
      </c>
      <c r="D695" s="116">
        <v>453.44</v>
      </c>
      <c r="E695" s="116">
        <v>454.44</v>
      </c>
      <c r="F695" s="116">
        <v>2272</v>
      </c>
      <c r="G695">
        <v>12582</v>
      </c>
      <c r="H695" s="116"/>
      <c r="I695" s="116"/>
      <c r="L695" s="170">
        <v>45127</v>
      </c>
      <c r="M695" s="116">
        <v>454.77</v>
      </c>
      <c r="N695" s="116">
        <v>458.8</v>
      </c>
      <c r="O695" s="116">
        <v>453.63</v>
      </c>
      <c r="P695" s="116">
        <v>456.59</v>
      </c>
      <c r="Q695" s="116">
        <v>2273.85</v>
      </c>
      <c r="R695">
        <v>85019</v>
      </c>
    </row>
    <row r="696" spans="1:18" x14ac:dyDescent="0.25">
      <c r="A696" s="170">
        <v>45125</v>
      </c>
      <c r="B696" s="116">
        <v>458.37</v>
      </c>
      <c r="C696" s="116">
        <v>454.78</v>
      </c>
      <c r="D696" s="116">
        <v>450.4</v>
      </c>
      <c r="E696" s="116">
        <v>458.37</v>
      </c>
      <c r="F696" s="116">
        <v>2273.9</v>
      </c>
      <c r="G696">
        <v>2005</v>
      </c>
      <c r="H696" s="116"/>
      <c r="I696" s="116"/>
      <c r="L696" s="170">
        <v>45128</v>
      </c>
      <c r="M696" s="116">
        <v>459.06</v>
      </c>
      <c r="N696" s="116">
        <v>462.72</v>
      </c>
      <c r="O696" s="116">
        <v>452.8</v>
      </c>
      <c r="P696" s="116">
        <v>453.2</v>
      </c>
      <c r="Q696" s="116">
        <v>2295.3000000000002</v>
      </c>
      <c r="R696">
        <v>142464</v>
      </c>
    </row>
    <row r="697" spans="1:18" x14ac:dyDescent="0.25">
      <c r="A697" s="170">
        <v>45126</v>
      </c>
      <c r="B697" s="116">
        <v>459.22</v>
      </c>
      <c r="C697" s="116">
        <v>456.11</v>
      </c>
      <c r="D697" s="116">
        <v>453.35</v>
      </c>
      <c r="E697" s="116">
        <v>456.07</v>
      </c>
      <c r="F697" s="116">
        <v>2280.5500000000002</v>
      </c>
      <c r="G697">
        <v>4027</v>
      </c>
      <c r="H697" s="116"/>
      <c r="I697" s="116"/>
      <c r="L697" s="170">
        <v>45131</v>
      </c>
      <c r="M697" s="116">
        <v>467.18</v>
      </c>
      <c r="N697" s="116">
        <v>472.99</v>
      </c>
      <c r="O697" s="116">
        <v>459</v>
      </c>
      <c r="P697" s="116">
        <v>459.93</v>
      </c>
      <c r="Q697" s="116">
        <v>2335.9</v>
      </c>
      <c r="R697">
        <v>275541</v>
      </c>
    </row>
    <row r="698" spans="1:18" x14ac:dyDescent="0.25">
      <c r="A698" s="170">
        <v>45127</v>
      </c>
      <c r="B698" s="116">
        <v>459</v>
      </c>
      <c r="C698" s="116">
        <v>454.81</v>
      </c>
      <c r="D698" s="116">
        <v>453.2</v>
      </c>
      <c r="E698" s="116">
        <v>455.02</v>
      </c>
      <c r="F698" s="116">
        <v>2274.0500000000002</v>
      </c>
      <c r="G698">
        <v>8812</v>
      </c>
      <c r="H698" s="116"/>
      <c r="I698" s="116"/>
      <c r="L698" s="170">
        <v>45132</v>
      </c>
      <c r="M698" s="116">
        <v>467.37</v>
      </c>
      <c r="N698" s="116">
        <v>469.96</v>
      </c>
      <c r="O698" s="116">
        <v>463.18</v>
      </c>
      <c r="P698" s="116">
        <v>469.63</v>
      </c>
      <c r="Q698" s="116">
        <v>2336.85</v>
      </c>
      <c r="R698">
        <v>77021</v>
      </c>
    </row>
    <row r="699" spans="1:18" x14ac:dyDescent="0.25">
      <c r="A699" s="170">
        <v>45128</v>
      </c>
      <c r="B699" s="116">
        <v>462.4</v>
      </c>
      <c r="C699" s="116">
        <v>459.07</v>
      </c>
      <c r="D699" s="116">
        <v>453.2</v>
      </c>
      <c r="E699" s="116">
        <v>453.2</v>
      </c>
      <c r="F699" s="116">
        <v>2295.35</v>
      </c>
      <c r="G699">
        <v>15321</v>
      </c>
      <c r="H699" s="116"/>
      <c r="I699" s="116"/>
      <c r="L699" s="170">
        <v>45133</v>
      </c>
      <c r="M699" s="116">
        <v>465.92</v>
      </c>
      <c r="N699" s="116">
        <v>470.78</v>
      </c>
      <c r="O699" s="116">
        <v>464</v>
      </c>
      <c r="P699" s="116">
        <v>467.4</v>
      </c>
      <c r="Q699" s="116">
        <v>2329.6</v>
      </c>
      <c r="R699">
        <v>56955</v>
      </c>
    </row>
    <row r="700" spans="1:18" x14ac:dyDescent="0.25">
      <c r="A700" s="170">
        <v>45131</v>
      </c>
      <c r="B700" s="116">
        <v>472.59</v>
      </c>
      <c r="C700" s="116">
        <v>467.27</v>
      </c>
      <c r="D700" s="116">
        <v>458.01</v>
      </c>
      <c r="E700" s="116">
        <v>458.01</v>
      </c>
      <c r="F700" s="116">
        <v>2336.35</v>
      </c>
      <c r="G700">
        <v>27468</v>
      </c>
      <c r="H700" s="116"/>
      <c r="I700" s="116"/>
      <c r="L700" s="170">
        <v>45134</v>
      </c>
      <c r="M700" s="116">
        <v>467.28</v>
      </c>
      <c r="N700" s="116">
        <v>470.78</v>
      </c>
      <c r="O700" s="116">
        <v>465.6</v>
      </c>
      <c r="P700" s="116">
        <v>468.94</v>
      </c>
      <c r="Q700" s="116">
        <v>2336.4</v>
      </c>
      <c r="R700">
        <v>64428</v>
      </c>
    </row>
    <row r="701" spans="1:18" x14ac:dyDescent="0.25">
      <c r="A701" s="170">
        <v>45132</v>
      </c>
      <c r="B701" s="116">
        <v>470</v>
      </c>
      <c r="C701" s="116">
        <v>467.09</v>
      </c>
      <c r="D701" s="116">
        <v>461</v>
      </c>
      <c r="E701" s="116">
        <v>467.4</v>
      </c>
      <c r="F701" s="116">
        <v>2335.4499999999998</v>
      </c>
      <c r="G701">
        <v>11673</v>
      </c>
      <c r="H701" s="116"/>
      <c r="I701" s="116"/>
      <c r="L701" s="170">
        <v>45135</v>
      </c>
      <c r="M701" s="116">
        <v>466.72</v>
      </c>
      <c r="N701" s="116">
        <v>468.96</v>
      </c>
      <c r="O701" s="116">
        <v>464</v>
      </c>
      <c r="P701" s="116">
        <v>467.14</v>
      </c>
      <c r="Q701" s="116">
        <v>2333.6</v>
      </c>
      <c r="R701">
        <v>57247</v>
      </c>
    </row>
    <row r="702" spans="1:18" x14ac:dyDescent="0.25">
      <c r="A702" s="170">
        <v>45133</v>
      </c>
      <c r="B702" s="116">
        <v>470</v>
      </c>
      <c r="C702" s="116">
        <v>465.76</v>
      </c>
      <c r="D702" s="116">
        <v>463.81</v>
      </c>
      <c r="E702" s="116">
        <v>466.01</v>
      </c>
      <c r="F702" s="116">
        <v>2328.8000000000002</v>
      </c>
      <c r="G702">
        <v>1925</v>
      </c>
      <c r="H702" s="116"/>
      <c r="I702" s="116"/>
      <c r="L702" s="170">
        <v>45138</v>
      </c>
      <c r="M702" s="116">
        <v>471.39</v>
      </c>
      <c r="N702" s="116">
        <v>478.56</v>
      </c>
      <c r="O702" s="116">
        <v>469.3</v>
      </c>
      <c r="P702" s="116">
        <v>469.3</v>
      </c>
      <c r="Q702" s="116">
        <v>2356.9499999999998</v>
      </c>
      <c r="R702">
        <v>188890</v>
      </c>
    </row>
    <row r="703" spans="1:18" x14ac:dyDescent="0.25">
      <c r="A703" s="170">
        <v>45134</v>
      </c>
      <c r="B703" s="116">
        <v>470.01</v>
      </c>
      <c r="C703" s="116">
        <v>467.31</v>
      </c>
      <c r="D703" s="116">
        <v>465.56</v>
      </c>
      <c r="E703" s="116">
        <v>466.43</v>
      </c>
      <c r="F703" s="116">
        <v>2336.5500000000002</v>
      </c>
      <c r="G703">
        <v>2032</v>
      </c>
      <c r="H703" s="116"/>
      <c r="I703" s="116"/>
      <c r="L703" s="170">
        <v>45139</v>
      </c>
      <c r="M703" s="116">
        <v>474.22</v>
      </c>
      <c r="N703" s="116">
        <v>481.74</v>
      </c>
      <c r="O703" s="116">
        <v>472.2</v>
      </c>
      <c r="P703" s="116">
        <v>473.79</v>
      </c>
      <c r="Q703" s="116">
        <v>2371.1</v>
      </c>
      <c r="R703">
        <v>111149</v>
      </c>
    </row>
    <row r="704" spans="1:18" x14ac:dyDescent="0.25">
      <c r="A704" s="170">
        <v>45135</v>
      </c>
      <c r="B704" s="116">
        <v>469</v>
      </c>
      <c r="C704" s="116">
        <v>466.69</v>
      </c>
      <c r="D704" s="116">
        <v>464.2</v>
      </c>
      <c r="E704" s="116">
        <v>466.04</v>
      </c>
      <c r="F704" s="116">
        <v>2333.4499999999998</v>
      </c>
      <c r="G704">
        <v>7632</v>
      </c>
      <c r="H704" s="116"/>
      <c r="I704" s="116"/>
      <c r="L704" s="170">
        <v>45140</v>
      </c>
      <c r="M704" s="116">
        <v>474.28</v>
      </c>
      <c r="N704" s="116">
        <v>480.59</v>
      </c>
      <c r="O704" s="116">
        <v>469.4</v>
      </c>
      <c r="P704" s="116">
        <v>475.14</v>
      </c>
      <c r="Q704" s="116">
        <v>2371.4</v>
      </c>
      <c r="R704">
        <v>111368</v>
      </c>
    </row>
    <row r="705" spans="1:18" x14ac:dyDescent="0.25">
      <c r="A705" s="170">
        <v>45138</v>
      </c>
      <c r="B705" s="116">
        <v>478.76</v>
      </c>
      <c r="C705" s="116">
        <v>472.25</v>
      </c>
      <c r="D705" s="116">
        <v>469.99</v>
      </c>
      <c r="E705" s="116">
        <v>470</v>
      </c>
      <c r="F705" s="116">
        <v>2361.25</v>
      </c>
      <c r="G705">
        <v>7959</v>
      </c>
      <c r="H705" s="116"/>
      <c r="I705" s="116"/>
      <c r="L705" s="170">
        <v>45141</v>
      </c>
      <c r="M705" s="116">
        <v>470.16</v>
      </c>
      <c r="N705" s="116">
        <v>485</v>
      </c>
      <c r="O705" s="116">
        <v>468.02</v>
      </c>
      <c r="P705" s="116">
        <v>470</v>
      </c>
      <c r="Q705" s="116">
        <v>2350.8000000000002</v>
      </c>
      <c r="R705">
        <v>260004</v>
      </c>
    </row>
    <row r="706" spans="1:18" x14ac:dyDescent="0.25">
      <c r="A706" s="170">
        <v>45139</v>
      </c>
      <c r="B706" s="116">
        <v>481.4</v>
      </c>
      <c r="C706" s="116">
        <v>474.09</v>
      </c>
      <c r="D706" s="116">
        <v>471.8</v>
      </c>
      <c r="E706" s="116">
        <v>474.56</v>
      </c>
      <c r="F706" s="116">
        <v>2370.4499999999998</v>
      </c>
      <c r="G706">
        <v>16432</v>
      </c>
      <c r="H706" s="116"/>
      <c r="I706" s="116"/>
      <c r="L706" s="170">
        <v>45142</v>
      </c>
      <c r="M706" s="116">
        <v>462.05</v>
      </c>
      <c r="N706" s="116">
        <v>475.77</v>
      </c>
      <c r="O706" s="116">
        <v>461</v>
      </c>
      <c r="P706" s="116">
        <v>471.4</v>
      </c>
      <c r="Q706" s="116">
        <v>2310.25</v>
      </c>
      <c r="R706">
        <v>75554</v>
      </c>
    </row>
    <row r="707" spans="1:18" x14ac:dyDescent="0.25">
      <c r="A707" s="170">
        <v>45140</v>
      </c>
      <c r="B707" s="116">
        <v>480.2</v>
      </c>
      <c r="C707" s="116">
        <v>473.63</v>
      </c>
      <c r="D707" s="116">
        <v>470</v>
      </c>
      <c r="E707" s="116">
        <v>479.39</v>
      </c>
      <c r="F707" s="116">
        <v>2368.15</v>
      </c>
      <c r="G707">
        <v>3295</v>
      </c>
      <c r="H707" s="116"/>
      <c r="I707" s="116"/>
      <c r="L707" s="170">
        <v>45145</v>
      </c>
      <c r="M707" s="116">
        <v>475.47</v>
      </c>
      <c r="N707" s="116">
        <v>491.6</v>
      </c>
      <c r="O707" s="116">
        <v>463.71</v>
      </c>
      <c r="P707" s="116">
        <v>463.99</v>
      </c>
      <c r="Q707" s="116">
        <v>2377.35</v>
      </c>
      <c r="R707">
        <v>276913</v>
      </c>
    </row>
    <row r="708" spans="1:18" x14ac:dyDescent="0.25">
      <c r="A708" s="170">
        <v>45141</v>
      </c>
      <c r="B708" s="116">
        <v>484.94</v>
      </c>
      <c r="C708" s="116">
        <v>470.5</v>
      </c>
      <c r="D708" s="116">
        <v>468.01</v>
      </c>
      <c r="E708" s="116">
        <v>470.38</v>
      </c>
      <c r="F708" s="116">
        <v>2352.5</v>
      </c>
      <c r="G708">
        <v>3927</v>
      </c>
      <c r="H708" s="116"/>
      <c r="I708" s="116"/>
      <c r="L708" s="170">
        <v>45146</v>
      </c>
      <c r="M708" s="116">
        <v>475.97</v>
      </c>
      <c r="N708" s="116">
        <v>480</v>
      </c>
      <c r="O708" s="116">
        <v>470.89</v>
      </c>
      <c r="P708" s="116">
        <v>479.72</v>
      </c>
      <c r="Q708" s="116">
        <v>2379.85</v>
      </c>
      <c r="R708">
        <v>118938</v>
      </c>
    </row>
    <row r="709" spans="1:18" x14ac:dyDescent="0.25">
      <c r="A709" s="170">
        <v>45142</v>
      </c>
      <c r="B709" s="116">
        <v>475.19</v>
      </c>
      <c r="C709" s="116">
        <v>462.19</v>
      </c>
      <c r="D709" s="116">
        <v>460.92</v>
      </c>
      <c r="E709" s="116">
        <v>471</v>
      </c>
      <c r="F709" s="116">
        <v>2310.9499999999998</v>
      </c>
      <c r="G709">
        <v>13982</v>
      </c>
      <c r="H709" s="116"/>
      <c r="I709" s="116"/>
      <c r="L709" s="170">
        <v>45147</v>
      </c>
      <c r="M709" s="116">
        <v>481.19</v>
      </c>
      <c r="N709" s="116">
        <v>484.33</v>
      </c>
      <c r="O709" s="116">
        <v>475.97</v>
      </c>
      <c r="P709" s="116">
        <v>476.8</v>
      </c>
      <c r="Q709" s="116">
        <v>2405.9499999999998</v>
      </c>
      <c r="R709">
        <v>97423</v>
      </c>
    </row>
    <row r="710" spans="1:18" x14ac:dyDescent="0.25">
      <c r="A710" s="170">
        <v>45145</v>
      </c>
      <c r="B710" s="116">
        <v>490</v>
      </c>
      <c r="C710" s="116">
        <v>475.61</v>
      </c>
      <c r="D710" s="116">
        <v>463.01</v>
      </c>
      <c r="E710" s="116">
        <v>463.01</v>
      </c>
      <c r="F710" s="116">
        <v>2378.0500000000002</v>
      </c>
      <c r="G710">
        <v>29290</v>
      </c>
      <c r="H710" s="116"/>
      <c r="I710" s="116"/>
      <c r="L710" s="170">
        <v>45148</v>
      </c>
      <c r="M710" s="116">
        <v>482.58</v>
      </c>
      <c r="N710" s="116">
        <v>486</v>
      </c>
      <c r="O710" s="116">
        <v>480.54</v>
      </c>
      <c r="P710" s="116">
        <v>481.41</v>
      </c>
      <c r="Q710" s="116">
        <v>2412.9</v>
      </c>
      <c r="R710">
        <v>85651</v>
      </c>
    </row>
    <row r="711" spans="1:18" x14ac:dyDescent="0.25">
      <c r="A711" s="170">
        <v>45146</v>
      </c>
      <c r="B711" s="116">
        <v>479.74</v>
      </c>
      <c r="C711" s="116">
        <v>475.9</v>
      </c>
      <c r="D711" s="116">
        <v>471</v>
      </c>
      <c r="E711" s="116">
        <v>477.01</v>
      </c>
      <c r="F711" s="116">
        <v>2379.5</v>
      </c>
      <c r="G711">
        <v>11552</v>
      </c>
      <c r="H711" s="116"/>
      <c r="I711" s="116"/>
      <c r="L711" s="170">
        <v>45149</v>
      </c>
      <c r="M711" s="116">
        <v>485.28</v>
      </c>
      <c r="N711" s="116">
        <v>487</v>
      </c>
      <c r="O711" s="116">
        <v>481.36</v>
      </c>
      <c r="P711" s="116">
        <v>483</v>
      </c>
      <c r="Q711" s="116">
        <v>2426.4</v>
      </c>
      <c r="R711">
        <v>255462</v>
      </c>
    </row>
    <row r="712" spans="1:18" x14ac:dyDescent="0.25">
      <c r="A712" s="170">
        <v>45147</v>
      </c>
      <c r="B712" s="116">
        <v>484.47</v>
      </c>
      <c r="C712" s="116">
        <v>481.04</v>
      </c>
      <c r="D712" s="116">
        <v>476.01</v>
      </c>
      <c r="E712" s="116">
        <v>476.01</v>
      </c>
      <c r="F712" s="116">
        <v>2405.1999999999998</v>
      </c>
      <c r="G712">
        <v>3425</v>
      </c>
      <c r="H712" s="116"/>
      <c r="I712" s="116"/>
      <c r="L712" s="170">
        <v>45152</v>
      </c>
      <c r="M712" s="116">
        <v>490.89</v>
      </c>
      <c r="N712" s="116">
        <v>493</v>
      </c>
      <c r="O712" s="116">
        <v>476</v>
      </c>
      <c r="P712" s="116">
        <v>483.8</v>
      </c>
      <c r="Q712" s="116">
        <v>2454.4499999999998</v>
      </c>
      <c r="R712">
        <v>183959</v>
      </c>
    </row>
    <row r="713" spans="1:18" x14ac:dyDescent="0.25">
      <c r="A713" s="170">
        <v>45148</v>
      </c>
      <c r="B713" s="116">
        <v>485.62</v>
      </c>
      <c r="C713" s="116">
        <v>482.4</v>
      </c>
      <c r="D713" s="116">
        <v>481.6</v>
      </c>
      <c r="E713" s="116">
        <v>483</v>
      </c>
      <c r="F713" s="116">
        <v>2412</v>
      </c>
      <c r="G713">
        <v>3177</v>
      </c>
      <c r="H713" s="116"/>
      <c r="I713" s="116"/>
      <c r="L713" s="170">
        <v>45154</v>
      </c>
      <c r="M713" s="116">
        <v>499.44</v>
      </c>
      <c r="N713" s="116">
        <v>501.36</v>
      </c>
      <c r="O713" s="116">
        <v>488</v>
      </c>
      <c r="P713" s="116">
        <v>489.2</v>
      </c>
      <c r="Q713" s="116">
        <v>2497.1999999999998</v>
      </c>
      <c r="R713">
        <v>214129</v>
      </c>
    </row>
    <row r="714" spans="1:18" x14ac:dyDescent="0.25">
      <c r="A714" s="170">
        <v>45149</v>
      </c>
      <c r="B714" s="116">
        <v>486.6</v>
      </c>
      <c r="C714" s="116">
        <v>484.89</v>
      </c>
      <c r="D714" s="116">
        <v>481.6</v>
      </c>
      <c r="E714" s="116">
        <v>485</v>
      </c>
      <c r="F714" s="116">
        <v>2424.4499999999998</v>
      </c>
      <c r="G714">
        <v>5291</v>
      </c>
      <c r="H714" s="116"/>
      <c r="I714" s="116"/>
      <c r="L714" s="170">
        <v>45155</v>
      </c>
      <c r="M714" s="116">
        <v>507.28</v>
      </c>
      <c r="N714" s="116">
        <v>507.98</v>
      </c>
      <c r="O714" s="116">
        <v>498.05</v>
      </c>
      <c r="P714" s="116">
        <v>500.39</v>
      </c>
      <c r="Q714" s="116">
        <v>2536.4</v>
      </c>
      <c r="R714">
        <v>174468</v>
      </c>
    </row>
    <row r="715" spans="1:18" x14ac:dyDescent="0.25">
      <c r="A715" s="170">
        <v>45152</v>
      </c>
      <c r="B715" s="116">
        <v>493.01</v>
      </c>
      <c r="C715" s="116">
        <v>490.68</v>
      </c>
      <c r="D715" s="116">
        <v>476.01</v>
      </c>
      <c r="E715" s="116">
        <v>481.21</v>
      </c>
      <c r="F715" s="116">
        <v>2453.4</v>
      </c>
      <c r="G715">
        <v>6451</v>
      </c>
      <c r="H715" s="116"/>
      <c r="I715" s="116"/>
      <c r="L715" s="170">
        <v>45156</v>
      </c>
      <c r="M715" s="116">
        <v>507.71</v>
      </c>
      <c r="N715" s="116">
        <v>509.04</v>
      </c>
      <c r="O715" s="116">
        <v>501.31</v>
      </c>
      <c r="P715" s="116">
        <v>507.2</v>
      </c>
      <c r="Q715" s="116">
        <v>2538.5500000000002</v>
      </c>
      <c r="R715">
        <v>111154</v>
      </c>
    </row>
    <row r="716" spans="1:18" x14ac:dyDescent="0.25">
      <c r="A716" s="170">
        <v>45154</v>
      </c>
      <c r="B716" s="116">
        <v>501.59</v>
      </c>
      <c r="C716" s="116">
        <v>499.34</v>
      </c>
      <c r="D716" s="116">
        <v>484.62</v>
      </c>
      <c r="E716" s="116">
        <v>484.62</v>
      </c>
      <c r="F716" s="116">
        <v>2496.6999999999998</v>
      </c>
      <c r="G716">
        <v>9557</v>
      </c>
      <c r="H716" s="116"/>
      <c r="I716" s="116"/>
      <c r="L716" s="170">
        <v>45159</v>
      </c>
      <c r="M716" s="116">
        <v>500.35</v>
      </c>
      <c r="N716" s="116">
        <v>508.99</v>
      </c>
      <c r="O716" s="116">
        <v>493.78</v>
      </c>
      <c r="P716" s="116">
        <v>507.7</v>
      </c>
      <c r="Q716" s="116">
        <v>2501.75</v>
      </c>
      <c r="R716">
        <v>150254</v>
      </c>
    </row>
    <row r="717" spans="1:18" x14ac:dyDescent="0.25">
      <c r="A717" s="170">
        <v>45155</v>
      </c>
      <c r="B717" s="116">
        <v>508</v>
      </c>
      <c r="C717" s="116">
        <v>507.24</v>
      </c>
      <c r="D717" s="116">
        <v>499.34</v>
      </c>
      <c r="E717" s="116">
        <v>499.35</v>
      </c>
      <c r="F717" s="116">
        <v>2536.1999999999998</v>
      </c>
      <c r="G717">
        <v>4314</v>
      </c>
      <c r="H717" s="116"/>
      <c r="I717" s="116"/>
      <c r="L717" s="170">
        <v>45160</v>
      </c>
      <c r="M717" s="116">
        <v>500.07</v>
      </c>
      <c r="N717" s="116">
        <v>506.82</v>
      </c>
      <c r="O717" s="116">
        <v>497.29</v>
      </c>
      <c r="P717" s="116">
        <v>500.74</v>
      </c>
      <c r="Q717" s="116">
        <v>2500.35</v>
      </c>
      <c r="R717">
        <v>78235</v>
      </c>
    </row>
    <row r="718" spans="1:18" x14ac:dyDescent="0.25">
      <c r="A718" s="170">
        <v>45156</v>
      </c>
      <c r="B718" s="116">
        <v>508.6</v>
      </c>
      <c r="C718" s="116">
        <v>507.35</v>
      </c>
      <c r="D718" s="116">
        <v>501.58</v>
      </c>
      <c r="E718" s="116">
        <v>507.28</v>
      </c>
      <c r="F718" s="116">
        <v>2536.75</v>
      </c>
      <c r="G718">
        <v>3291</v>
      </c>
      <c r="H718" s="116"/>
      <c r="I718" s="116"/>
      <c r="L718" s="170">
        <v>45161</v>
      </c>
      <c r="M718" s="116">
        <v>498.8</v>
      </c>
      <c r="N718" s="116">
        <v>504.6</v>
      </c>
      <c r="O718" s="116">
        <v>493.21</v>
      </c>
      <c r="P718" s="116">
        <v>500.39</v>
      </c>
      <c r="Q718" s="116">
        <v>2494</v>
      </c>
      <c r="R718">
        <v>260252</v>
      </c>
    </row>
    <row r="719" spans="1:18" x14ac:dyDescent="0.25">
      <c r="A719" s="170">
        <v>45159</v>
      </c>
      <c r="B719" s="116">
        <v>508.61</v>
      </c>
      <c r="C719" s="116">
        <v>500.16</v>
      </c>
      <c r="D719" s="116">
        <v>493.93</v>
      </c>
      <c r="E719" s="116">
        <v>506.01</v>
      </c>
      <c r="F719" s="116">
        <v>2500.8000000000002</v>
      </c>
      <c r="G719">
        <v>5536</v>
      </c>
      <c r="H719" s="116"/>
      <c r="I719" s="116"/>
      <c r="L719" s="170">
        <v>45162</v>
      </c>
      <c r="M719" s="116">
        <v>487.5</v>
      </c>
      <c r="N719" s="116">
        <v>503.36</v>
      </c>
      <c r="O719" s="116">
        <v>485</v>
      </c>
      <c r="P719" s="116">
        <v>499.6</v>
      </c>
      <c r="Q719" s="116">
        <v>2437.5</v>
      </c>
      <c r="R719">
        <v>304450</v>
      </c>
    </row>
    <row r="720" spans="1:18" x14ac:dyDescent="0.25">
      <c r="A720" s="170">
        <v>45160</v>
      </c>
      <c r="B720" s="116">
        <v>506.2</v>
      </c>
      <c r="C720" s="116">
        <v>499.74</v>
      </c>
      <c r="D720" s="116">
        <v>497.01</v>
      </c>
      <c r="E720" s="116">
        <v>497.01</v>
      </c>
      <c r="F720" s="116">
        <v>2498.6999999999998</v>
      </c>
      <c r="G720">
        <v>2284</v>
      </c>
      <c r="H720" s="116"/>
      <c r="I720" s="116"/>
      <c r="L720" s="170">
        <v>45163</v>
      </c>
      <c r="M720" s="116">
        <v>482.92</v>
      </c>
      <c r="N720" s="116">
        <v>491.79</v>
      </c>
      <c r="O720" s="116">
        <v>480.55</v>
      </c>
      <c r="P720" s="116">
        <v>486.62</v>
      </c>
      <c r="Q720" s="116">
        <v>2414.6</v>
      </c>
      <c r="R720">
        <v>185038</v>
      </c>
    </row>
    <row r="721" spans="1:18" x14ac:dyDescent="0.25">
      <c r="A721" s="170">
        <v>45161</v>
      </c>
      <c r="B721" s="116">
        <v>503.85</v>
      </c>
      <c r="C721" s="116">
        <v>498.25</v>
      </c>
      <c r="D721" s="116">
        <v>494</v>
      </c>
      <c r="E721" s="116">
        <v>495.08</v>
      </c>
      <c r="F721" s="116">
        <v>2491.25</v>
      </c>
      <c r="G721">
        <v>247305</v>
      </c>
      <c r="H721" s="116"/>
      <c r="I721" s="116"/>
      <c r="L721" s="170">
        <v>45166</v>
      </c>
      <c r="M721" s="116">
        <v>475.21</v>
      </c>
      <c r="N721" s="116">
        <v>488</v>
      </c>
      <c r="O721" s="116">
        <v>471.6</v>
      </c>
      <c r="P721" s="116">
        <v>483.99</v>
      </c>
      <c r="Q721" s="116">
        <v>2376.0500000000002</v>
      </c>
      <c r="R721">
        <v>83711</v>
      </c>
    </row>
    <row r="722" spans="1:18" x14ac:dyDescent="0.25">
      <c r="A722" s="170">
        <v>45162</v>
      </c>
      <c r="B722" s="116">
        <v>503.73</v>
      </c>
      <c r="C722" s="116">
        <v>487.34</v>
      </c>
      <c r="D722" s="116">
        <v>486.04</v>
      </c>
      <c r="E722" s="116">
        <v>498.26</v>
      </c>
      <c r="F722" s="116">
        <v>2436.6999999999998</v>
      </c>
      <c r="G722">
        <v>4317</v>
      </c>
      <c r="H722" s="116"/>
      <c r="I722" s="116"/>
      <c r="L722" s="170">
        <v>45167</v>
      </c>
      <c r="M722" s="116">
        <v>473.61</v>
      </c>
      <c r="N722" s="116">
        <v>484</v>
      </c>
      <c r="O722" s="116">
        <v>472.27</v>
      </c>
      <c r="P722" s="116">
        <v>476.44</v>
      </c>
      <c r="Q722" s="116">
        <v>2368.0500000000002</v>
      </c>
      <c r="R722">
        <v>71292</v>
      </c>
    </row>
    <row r="723" spans="1:18" x14ac:dyDescent="0.25">
      <c r="A723" s="170">
        <v>45163</v>
      </c>
      <c r="B723" s="116">
        <v>492.14</v>
      </c>
      <c r="C723" s="116">
        <v>482.97</v>
      </c>
      <c r="D723" s="116">
        <v>481.83</v>
      </c>
      <c r="E723" s="116">
        <v>492.14</v>
      </c>
      <c r="F723" s="116">
        <v>2414.85</v>
      </c>
      <c r="G723">
        <v>205979</v>
      </c>
      <c r="H723" s="116"/>
      <c r="I723" s="116"/>
      <c r="L723" s="170">
        <v>45168</v>
      </c>
      <c r="M723" s="116">
        <v>476.78</v>
      </c>
      <c r="N723" s="116">
        <v>480.8</v>
      </c>
      <c r="O723" s="116">
        <v>474.44</v>
      </c>
      <c r="P723" s="116">
        <v>476.8</v>
      </c>
      <c r="Q723" s="116">
        <v>2383.9</v>
      </c>
      <c r="R723">
        <v>47803</v>
      </c>
    </row>
    <row r="724" spans="1:18" x14ac:dyDescent="0.25">
      <c r="A724" s="170">
        <v>45166</v>
      </c>
      <c r="B724" s="116">
        <v>487.87</v>
      </c>
      <c r="C724" s="116">
        <v>474.89</v>
      </c>
      <c r="D724" s="116">
        <v>471.18</v>
      </c>
      <c r="E724" s="116">
        <v>483.01</v>
      </c>
      <c r="F724" s="116">
        <v>2374.4499999999998</v>
      </c>
      <c r="G724">
        <v>15941</v>
      </c>
      <c r="H724" s="116"/>
      <c r="I724" s="116"/>
      <c r="L724" s="170">
        <v>45169</v>
      </c>
      <c r="M724" s="116">
        <v>475.09</v>
      </c>
      <c r="N724" s="116">
        <v>479.4</v>
      </c>
      <c r="O724" s="116">
        <v>473.64</v>
      </c>
      <c r="P724" s="116">
        <v>478</v>
      </c>
      <c r="Q724" s="116">
        <v>2375.4499999999998</v>
      </c>
      <c r="R724">
        <v>48329</v>
      </c>
    </row>
    <row r="725" spans="1:18" x14ac:dyDescent="0.25">
      <c r="A725" s="170">
        <v>45167</v>
      </c>
      <c r="B725" s="116">
        <v>483.41</v>
      </c>
      <c r="C725" s="116">
        <v>473.86</v>
      </c>
      <c r="D725" s="116">
        <v>472.81</v>
      </c>
      <c r="E725" s="116">
        <v>475.41</v>
      </c>
      <c r="F725" s="116">
        <v>2369.3000000000002</v>
      </c>
      <c r="G725">
        <v>2566</v>
      </c>
      <c r="H725" s="116"/>
      <c r="I725" s="116"/>
      <c r="L725" s="170">
        <v>45170</v>
      </c>
      <c r="M725" s="116">
        <v>471.22</v>
      </c>
      <c r="N725" s="116">
        <v>477.97</v>
      </c>
      <c r="O725" s="116">
        <v>470.2</v>
      </c>
      <c r="P725" s="116">
        <v>475.2</v>
      </c>
      <c r="Q725" s="116">
        <v>2356.1</v>
      </c>
      <c r="R725">
        <v>49420</v>
      </c>
    </row>
    <row r="726" spans="1:18" x14ac:dyDescent="0.25">
      <c r="A726" s="170">
        <v>45168</v>
      </c>
      <c r="B726" s="116">
        <v>480.99</v>
      </c>
      <c r="C726" s="116">
        <v>476.74</v>
      </c>
      <c r="D726" s="116">
        <v>474.01</v>
      </c>
      <c r="E726" s="116">
        <v>474.01</v>
      </c>
      <c r="F726" s="116">
        <v>2383.6999999999998</v>
      </c>
      <c r="G726">
        <v>8531</v>
      </c>
      <c r="H726" s="116"/>
      <c r="I726" s="116"/>
      <c r="L726" s="170">
        <v>45173</v>
      </c>
      <c r="M726" s="116">
        <v>476.69</v>
      </c>
      <c r="N726" s="116">
        <v>479.78</v>
      </c>
      <c r="O726" s="116">
        <v>472.71</v>
      </c>
      <c r="P726" s="116">
        <v>473.2</v>
      </c>
      <c r="Q726" s="116">
        <v>2383.4499999999998</v>
      </c>
      <c r="R726">
        <v>220401</v>
      </c>
    </row>
    <row r="727" spans="1:18" x14ac:dyDescent="0.25">
      <c r="A727" s="170">
        <v>45169</v>
      </c>
      <c r="B727" s="116">
        <v>482.79</v>
      </c>
      <c r="C727" s="116">
        <v>475.19</v>
      </c>
      <c r="D727" s="116">
        <v>473.66</v>
      </c>
      <c r="E727" s="116">
        <v>482.79</v>
      </c>
      <c r="F727" s="116">
        <v>2375.9499999999998</v>
      </c>
      <c r="G727">
        <v>1318</v>
      </c>
      <c r="H727" s="116"/>
      <c r="I727" s="116"/>
      <c r="L727" s="170">
        <v>45174</v>
      </c>
      <c r="M727" s="116">
        <v>489.43</v>
      </c>
      <c r="N727" s="116">
        <v>496.37</v>
      </c>
      <c r="O727" s="116">
        <v>477</v>
      </c>
      <c r="P727" s="116">
        <v>477.6</v>
      </c>
      <c r="Q727" s="116">
        <v>2447.15</v>
      </c>
      <c r="R727">
        <v>193006</v>
      </c>
    </row>
    <row r="728" spans="1:18" x14ac:dyDescent="0.25">
      <c r="A728" s="170">
        <v>45170</v>
      </c>
      <c r="B728" s="116">
        <v>478.59</v>
      </c>
      <c r="C728" s="116">
        <v>471.24</v>
      </c>
      <c r="D728" s="116">
        <v>470.36</v>
      </c>
      <c r="E728" s="116">
        <v>472.6</v>
      </c>
      <c r="F728" s="116">
        <v>2356.1999999999998</v>
      </c>
      <c r="G728">
        <v>9093</v>
      </c>
      <c r="H728" s="116"/>
      <c r="I728" s="116"/>
      <c r="L728" s="170">
        <v>45175</v>
      </c>
      <c r="M728" s="116">
        <v>494.95</v>
      </c>
      <c r="N728" s="116">
        <v>500.85</v>
      </c>
      <c r="O728" s="116">
        <v>489.6</v>
      </c>
      <c r="P728" s="116">
        <v>489.74</v>
      </c>
      <c r="Q728" s="116">
        <v>2474.75</v>
      </c>
      <c r="R728">
        <v>97513</v>
      </c>
    </row>
    <row r="729" spans="1:18" x14ac:dyDescent="0.25">
      <c r="A729" s="170">
        <v>45173</v>
      </c>
      <c r="B729" s="116">
        <v>479.48</v>
      </c>
      <c r="C729" s="116">
        <v>476.62</v>
      </c>
      <c r="D729" s="116">
        <v>472.01</v>
      </c>
      <c r="E729" s="116">
        <v>472.01</v>
      </c>
      <c r="F729" s="116">
        <v>2383.1</v>
      </c>
      <c r="G729">
        <v>12177</v>
      </c>
      <c r="H729" s="116"/>
      <c r="I729" s="116"/>
      <c r="L729" s="170">
        <v>45176</v>
      </c>
      <c r="M729" s="116">
        <v>488.51</v>
      </c>
      <c r="N729" s="116">
        <v>499.18</v>
      </c>
      <c r="O729" s="116">
        <v>486.3</v>
      </c>
      <c r="P729" s="116">
        <v>495.2</v>
      </c>
      <c r="Q729" s="116">
        <v>2442.5500000000002</v>
      </c>
      <c r="R729">
        <v>69564</v>
      </c>
    </row>
    <row r="730" spans="1:18" x14ac:dyDescent="0.25">
      <c r="A730" s="170">
        <v>45174</v>
      </c>
      <c r="B730" s="116">
        <v>496.16</v>
      </c>
      <c r="C730" s="116">
        <v>489.47</v>
      </c>
      <c r="D730" s="116">
        <v>476.61</v>
      </c>
      <c r="E730" s="116">
        <v>476.61</v>
      </c>
      <c r="F730" s="116">
        <v>2447.35</v>
      </c>
      <c r="G730">
        <v>6905</v>
      </c>
      <c r="H730" s="116"/>
      <c r="I730" s="116"/>
      <c r="L730" s="170">
        <v>45177</v>
      </c>
      <c r="M730" s="116">
        <v>492.92</v>
      </c>
      <c r="N730" s="116">
        <v>498</v>
      </c>
      <c r="O730" s="116">
        <v>489.4</v>
      </c>
      <c r="P730" s="116">
        <v>490.8</v>
      </c>
      <c r="Q730" s="116">
        <v>2464.6</v>
      </c>
      <c r="R730">
        <v>78774</v>
      </c>
    </row>
    <row r="731" spans="1:18" x14ac:dyDescent="0.25">
      <c r="A731" s="170">
        <v>45175</v>
      </c>
      <c r="B731" s="116">
        <v>500.4</v>
      </c>
      <c r="C731" s="116">
        <v>494.96</v>
      </c>
      <c r="D731" s="116">
        <v>488.01</v>
      </c>
      <c r="E731" s="116">
        <v>488.01</v>
      </c>
      <c r="F731" s="116">
        <v>2474.8000000000002</v>
      </c>
      <c r="G731">
        <v>13626</v>
      </c>
      <c r="H731" s="116"/>
      <c r="I731" s="116"/>
      <c r="L731" s="170">
        <v>45180</v>
      </c>
      <c r="M731" s="116">
        <v>520.91999999999996</v>
      </c>
      <c r="N731" s="116">
        <v>525.54</v>
      </c>
      <c r="O731" s="116">
        <v>497.45</v>
      </c>
      <c r="P731" s="116">
        <v>500.2</v>
      </c>
      <c r="Q731" s="116">
        <v>2604.6</v>
      </c>
      <c r="R731">
        <v>748817</v>
      </c>
    </row>
    <row r="732" spans="1:18" x14ac:dyDescent="0.25">
      <c r="A732" s="170">
        <v>45176</v>
      </c>
      <c r="B732" s="116">
        <v>499.08</v>
      </c>
      <c r="C732" s="116">
        <v>488.57</v>
      </c>
      <c r="D732" s="116">
        <v>487.11</v>
      </c>
      <c r="E732" s="116">
        <v>494.01</v>
      </c>
      <c r="F732" s="116">
        <v>2442.85</v>
      </c>
      <c r="G732">
        <v>10034</v>
      </c>
      <c r="H732" s="116"/>
      <c r="I732" s="116"/>
      <c r="L732" s="170">
        <v>45181</v>
      </c>
      <c r="M732" s="116">
        <v>520.58000000000004</v>
      </c>
      <c r="N732" s="116">
        <v>530.17999999999995</v>
      </c>
      <c r="O732" s="116">
        <v>498.9</v>
      </c>
      <c r="P732" s="116">
        <v>526.98</v>
      </c>
      <c r="Q732" s="116">
        <v>2602.9</v>
      </c>
      <c r="R732">
        <v>507511</v>
      </c>
    </row>
    <row r="733" spans="1:18" x14ac:dyDescent="0.25">
      <c r="A733" s="170">
        <v>45177</v>
      </c>
      <c r="B733" s="116">
        <v>497.64</v>
      </c>
      <c r="C733" s="116">
        <v>492.65</v>
      </c>
      <c r="D733" s="116">
        <v>489.4</v>
      </c>
      <c r="E733" s="116">
        <v>489.4</v>
      </c>
      <c r="F733" s="116">
        <v>2463.25</v>
      </c>
      <c r="G733">
        <v>10298</v>
      </c>
      <c r="H733" s="116"/>
      <c r="I733" s="116"/>
      <c r="L733" s="170">
        <v>45182</v>
      </c>
      <c r="M733" s="116">
        <v>518.14</v>
      </c>
      <c r="N733" s="116">
        <v>529.97</v>
      </c>
      <c r="O733" s="116">
        <v>511.01</v>
      </c>
      <c r="P733" s="116">
        <v>521.6</v>
      </c>
      <c r="Q733" s="116">
        <v>2590.6999999999998</v>
      </c>
      <c r="R733">
        <v>204603</v>
      </c>
    </row>
    <row r="734" spans="1:18" x14ac:dyDescent="0.25">
      <c r="A734" s="170">
        <v>45180</v>
      </c>
      <c r="B734" s="116">
        <v>525.02</v>
      </c>
      <c r="C734" s="116">
        <v>520.73</v>
      </c>
      <c r="D734" s="116">
        <v>497.5</v>
      </c>
      <c r="E734" s="116">
        <v>498.01</v>
      </c>
      <c r="F734" s="116">
        <v>2603.65</v>
      </c>
      <c r="G734">
        <v>31784</v>
      </c>
      <c r="H734" s="116"/>
      <c r="I734" s="116"/>
      <c r="L734" s="170">
        <v>45183</v>
      </c>
      <c r="M734" s="116">
        <v>523.16</v>
      </c>
      <c r="N734" s="116">
        <v>533.58000000000004</v>
      </c>
      <c r="O734" s="116">
        <v>518.15</v>
      </c>
      <c r="P734" s="116">
        <v>519</v>
      </c>
      <c r="Q734" s="116">
        <v>2615.8000000000002</v>
      </c>
      <c r="R734">
        <v>145248</v>
      </c>
    </row>
    <row r="735" spans="1:18" x14ac:dyDescent="0.25">
      <c r="A735" s="170">
        <v>45181</v>
      </c>
      <c r="B735" s="116">
        <v>529.47</v>
      </c>
      <c r="C735" s="116">
        <v>520.85</v>
      </c>
      <c r="D735" s="116">
        <v>499.52</v>
      </c>
      <c r="E735" s="116">
        <v>527.83000000000004</v>
      </c>
      <c r="F735" s="116">
        <v>2604.25</v>
      </c>
      <c r="G735">
        <v>15401</v>
      </c>
      <c r="H735" s="116"/>
      <c r="I735" s="116"/>
      <c r="L735" s="170">
        <v>45184</v>
      </c>
      <c r="M735" s="116">
        <v>519.21</v>
      </c>
      <c r="N735" s="116">
        <v>527.61</v>
      </c>
      <c r="O735" s="116">
        <v>517.20000000000005</v>
      </c>
      <c r="P735" s="116">
        <v>525</v>
      </c>
      <c r="Q735" s="116">
        <v>2596.0500000000002</v>
      </c>
      <c r="R735">
        <v>89802</v>
      </c>
    </row>
    <row r="736" spans="1:18" x14ac:dyDescent="0.25">
      <c r="A736" s="170">
        <v>45182</v>
      </c>
      <c r="B736" s="116">
        <v>530</v>
      </c>
      <c r="C736" s="116">
        <v>517.46</v>
      </c>
      <c r="D736" s="116">
        <v>511</v>
      </c>
      <c r="E736" s="116">
        <v>520</v>
      </c>
      <c r="F736" s="116">
        <v>2587.3000000000002</v>
      </c>
      <c r="G736">
        <v>26412</v>
      </c>
      <c r="H736" s="116"/>
      <c r="I736" s="116"/>
      <c r="L736" s="170">
        <v>45187</v>
      </c>
      <c r="M736" s="116">
        <v>507.59</v>
      </c>
      <c r="N736" s="116">
        <v>521.91</v>
      </c>
      <c r="O736" s="116">
        <v>504.72</v>
      </c>
      <c r="P736" s="116">
        <v>519.79999999999995</v>
      </c>
      <c r="Q736" s="116">
        <v>2537.9499999999998</v>
      </c>
      <c r="R736">
        <v>82415</v>
      </c>
    </row>
    <row r="737" spans="1:18" x14ac:dyDescent="0.25">
      <c r="A737" s="170">
        <v>45183</v>
      </c>
      <c r="B737" s="116">
        <v>533.20000000000005</v>
      </c>
      <c r="C737" s="116">
        <v>523.39</v>
      </c>
      <c r="D737" s="116">
        <v>518.49</v>
      </c>
      <c r="E737" s="116">
        <v>520.9</v>
      </c>
      <c r="F737" s="116">
        <v>2616.9499999999998</v>
      </c>
      <c r="G737">
        <v>7365</v>
      </c>
      <c r="H737" s="116"/>
      <c r="I737" s="116"/>
      <c r="L737" s="170">
        <v>45189</v>
      </c>
      <c r="M737" s="116">
        <v>508.97</v>
      </c>
      <c r="N737" s="116">
        <v>513</v>
      </c>
      <c r="O737" s="116">
        <v>500</v>
      </c>
      <c r="P737" s="116">
        <v>509.59</v>
      </c>
      <c r="Q737" s="116">
        <v>2544.85</v>
      </c>
      <c r="R737">
        <v>92561</v>
      </c>
    </row>
    <row r="738" spans="1:18" x14ac:dyDescent="0.25">
      <c r="A738" s="170">
        <v>45184</v>
      </c>
      <c r="B738" s="116">
        <v>526.35</v>
      </c>
      <c r="C738" s="116">
        <v>519.42999999999995</v>
      </c>
      <c r="D738" s="116">
        <v>517.46</v>
      </c>
      <c r="E738" s="116">
        <v>525.98</v>
      </c>
      <c r="F738" s="116">
        <v>2597.15</v>
      </c>
      <c r="G738">
        <v>14489</v>
      </c>
      <c r="H738" s="116"/>
      <c r="I738" s="116"/>
      <c r="L738" s="170">
        <v>45190</v>
      </c>
      <c r="M738" s="116">
        <v>500.16</v>
      </c>
      <c r="N738" s="116">
        <v>511.29</v>
      </c>
      <c r="O738" s="116">
        <v>498.4</v>
      </c>
      <c r="P738" s="116">
        <v>508.8</v>
      </c>
      <c r="Q738" s="116">
        <v>2500.8000000000002</v>
      </c>
      <c r="R738">
        <v>90926</v>
      </c>
    </row>
    <row r="739" spans="1:18" x14ac:dyDescent="0.25">
      <c r="A739" s="170">
        <v>45187</v>
      </c>
      <c r="B739" s="116">
        <v>522</v>
      </c>
      <c r="C739" s="116">
        <v>507.84</v>
      </c>
      <c r="D739" s="116">
        <v>505.78</v>
      </c>
      <c r="E739" s="116">
        <v>520</v>
      </c>
      <c r="F739" s="116">
        <v>2539.1999999999998</v>
      </c>
      <c r="G739">
        <v>16647</v>
      </c>
      <c r="H739" s="116"/>
      <c r="I739" s="116"/>
      <c r="L739" s="170">
        <v>45191</v>
      </c>
      <c r="M739" s="116">
        <v>496.68</v>
      </c>
      <c r="N739" s="116">
        <v>505</v>
      </c>
      <c r="O739" s="116">
        <v>491.2</v>
      </c>
      <c r="P739" s="116">
        <v>498.21</v>
      </c>
      <c r="Q739" s="116">
        <v>2483.4</v>
      </c>
      <c r="R739">
        <v>84650</v>
      </c>
    </row>
    <row r="740" spans="1:18" x14ac:dyDescent="0.25">
      <c r="A740" s="170">
        <v>45189</v>
      </c>
      <c r="B740" s="116">
        <v>517.6</v>
      </c>
      <c r="C740" s="116">
        <v>509.39</v>
      </c>
      <c r="D740" s="116">
        <v>500</v>
      </c>
      <c r="E740" s="116">
        <v>508.41</v>
      </c>
      <c r="F740" s="116">
        <v>2546.9499999999998</v>
      </c>
      <c r="G740">
        <v>14176</v>
      </c>
      <c r="H740" s="116"/>
      <c r="I740" s="116"/>
      <c r="L740" s="170">
        <v>45194</v>
      </c>
      <c r="M740" s="116">
        <v>498.39</v>
      </c>
      <c r="N740" s="116">
        <v>504</v>
      </c>
      <c r="O740" s="116">
        <v>493</v>
      </c>
      <c r="P740" s="116">
        <v>496.68</v>
      </c>
      <c r="Q740" s="116">
        <v>2491.9499999999998</v>
      </c>
      <c r="R740">
        <v>46905</v>
      </c>
    </row>
    <row r="741" spans="1:18" x14ac:dyDescent="0.25">
      <c r="A741" s="170">
        <v>45190</v>
      </c>
      <c r="B741" s="116">
        <v>510.9</v>
      </c>
      <c r="C741" s="116">
        <v>500.04</v>
      </c>
      <c r="D741" s="116">
        <v>498</v>
      </c>
      <c r="E741" s="116">
        <v>509</v>
      </c>
      <c r="F741" s="116">
        <v>2500.1999999999998</v>
      </c>
      <c r="G741">
        <v>12909</v>
      </c>
      <c r="H741" s="116"/>
      <c r="I741" s="116"/>
      <c r="L741" s="170">
        <v>45195</v>
      </c>
      <c r="M741" s="116">
        <v>499.4</v>
      </c>
      <c r="N741" s="116">
        <v>503.99</v>
      </c>
      <c r="O741" s="116">
        <v>497.05</v>
      </c>
      <c r="P741" s="116">
        <v>498</v>
      </c>
      <c r="Q741" s="116">
        <v>2497</v>
      </c>
      <c r="R741">
        <v>52147</v>
      </c>
    </row>
    <row r="742" spans="1:18" x14ac:dyDescent="0.25">
      <c r="A742" s="170">
        <v>45191</v>
      </c>
      <c r="B742" s="116">
        <v>503.06</v>
      </c>
      <c r="C742" s="116">
        <v>496.06</v>
      </c>
      <c r="D742" s="116">
        <v>491.42</v>
      </c>
      <c r="E742" s="116">
        <v>499.73</v>
      </c>
      <c r="F742" s="116">
        <v>2480.3000000000002</v>
      </c>
      <c r="G742">
        <v>3150</v>
      </c>
      <c r="H742" s="116"/>
      <c r="I742" s="116"/>
      <c r="L742" s="170">
        <v>45196</v>
      </c>
      <c r="M742" s="116">
        <v>495.21</v>
      </c>
      <c r="N742" s="116">
        <v>507.43</v>
      </c>
      <c r="O742" s="116">
        <v>491.6</v>
      </c>
      <c r="P742" s="116">
        <v>499.55</v>
      </c>
      <c r="Q742" s="116">
        <v>2476.0500000000002</v>
      </c>
      <c r="R742">
        <v>98286</v>
      </c>
    </row>
    <row r="743" spans="1:18" x14ac:dyDescent="0.25">
      <c r="A743" s="170">
        <v>45194</v>
      </c>
      <c r="B743" s="116">
        <v>500.24</v>
      </c>
      <c r="C743" s="116">
        <v>498.22</v>
      </c>
      <c r="D743" s="116">
        <v>493.5</v>
      </c>
      <c r="E743" s="116">
        <v>495.6</v>
      </c>
      <c r="F743" s="116">
        <v>2491.1</v>
      </c>
      <c r="G743">
        <v>2012</v>
      </c>
      <c r="H743" s="116"/>
      <c r="I743" s="116"/>
      <c r="L743" s="170">
        <v>45197</v>
      </c>
      <c r="M743" s="116">
        <v>487.63</v>
      </c>
      <c r="N743" s="116">
        <v>495.56</v>
      </c>
      <c r="O743" s="116">
        <v>484.8</v>
      </c>
      <c r="P743" s="116">
        <v>493</v>
      </c>
      <c r="Q743" s="116">
        <v>2438.15</v>
      </c>
      <c r="R743">
        <v>50712</v>
      </c>
    </row>
    <row r="744" spans="1:18" x14ac:dyDescent="0.25">
      <c r="A744" s="170">
        <v>45195</v>
      </c>
      <c r="B744" s="116">
        <v>503.62</v>
      </c>
      <c r="C744" s="116">
        <v>499.42</v>
      </c>
      <c r="D744" s="116">
        <v>497.81</v>
      </c>
      <c r="E744" s="116">
        <v>501.97</v>
      </c>
      <c r="F744" s="116">
        <v>2497.1</v>
      </c>
      <c r="G744">
        <v>1421</v>
      </c>
      <c r="H744" s="116"/>
      <c r="I744" s="116"/>
      <c r="L744" s="170">
        <v>45198</v>
      </c>
      <c r="M744" s="116">
        <v>502.11</v>
      </c>
      <c r="N744" s="116">
        <v>505</v>
      </c>
      <c r="O744" s="116">
        <v>487.39</v>
      </c>
      <c r="P744" s="116">
        <v>489</v>
      </c>
      <c r="Q744" s="116">
        <v>2510.5500000000002</v>
      </c>
      <c r="R744">
        <v>80836</v>
      </c>
    </row>
    <row r="745" spans="1:18" x14ac:dyDescent="0.25">
      <c r="A745" s="170">
        <v>45196</v>
      </c>
      <c r="B745" s="116">
        <v>507.39</v>
      </c>
      <c r="C745" s="116">
        <v>495.3</v>
      </c>
      <c r="D745" s="116">
        <v>493.72</v>
      </c>
      <c r="E745" s="116">
        <v>500.98</v>
      </c>
      <c r="F745" s="116">
        <v>2476.5</v>
      </c>
      <c r="G745">
        <v>6710</v>
      </c>
      <c r="H745" s="116"/>
      <c r="I745" s="116"/>
      <c r="L745" s="170">
        <v>45202</v>
      </c>
      <c r="M745" s="116">
        <v>503.49</v>
      </c>
      <c r="N745" s="116">
        <v>506</v>
      </c>
      <c r="O745" s="116">
        <v>496.11</v>
      </c>
      <c r="P745" s="116">
        <v>503.78</v>
      </c>
      <c r="Q745" s="116">
        <v>2517.4499999999998</v>
      </c>
      <c r="R745">
        <v>70649</v>
      </c>
    </row>
    <row r="746" spans="1:18" x14ac:dyDescent="0.25">
      <c r="A746" s="170">
        <v>45197</v>
      </c>
      <c r="B746" s="116">
        <v>495.78</v>
      </c>
      <c r="C746" s="116">
        <v>487.27</v>
      </c>
      <c r="D746" s="116">
        <v>484.8</v>
      </c>
      <c r="E746" s="116">
        <v>493.2</v>
      </c>
      <c r="F746" s="116">
        <v>2436.35</v>
      </c>
      <c r="G746">
        <v>10069</v>
      </c>
      <c r="H746" s="116"/>
      <c r="I746" s="116"/>
      <c r="L746" s="170">
        <v>45203</v>
      </c>
      <c r="M746" s="116">
        <v>489.99</v>
      </c>
      <c r="N746" s="116">
        <v>502.05</v>
      </c>
      <c r="O746" s="116">
        <v>489.02</v>
      </c>
      <c r="P746" s="116">
        <v>499.8</v>
      </c>
      <c r="Q746" s="116">
        <v>2449.9499999999998</v>
      </c>
      <c r="R746">
        <v>62204</v>
      </c>
    </row>
    <row r="747" spans="1:18" x14ac:dyDescent="0.25">
      <c r="A747" s="170">
        <v>45198</v>
      </c>
      <c r="B747" s="116">
        <v>505.36</v>
      </c>
      <c r="C747" s="116">
        <v>502.19</v>
      </c>
      <c r="D747" s="116">
        <v>486.01</v>
      </c>
      <c r="E747" s="116">
        <v>486.01</v>
      </c>
      <c r="F747" s="116">
        <v>2510.9499999999998</v>
      </c>
      <c r="G747">
        <v>3328</v>
      </c>
      <c r="H747" s="116"/>
      <c r="I747" s="116"/>
      <c r="L747" s="170">
        <v>45204</v>
      </c>
      <c r="M747" s="116">
        <v>494.69</v>
      </c>
      <c r="N747" s="116">
        <v>499.6</v>
      </c>
      <c r="O747" s="116">
        <v>490.6</v>
      </c>
      <c r="P747" s="116">
        <v>491.8</v>
      </c>
      <c r="Q747" s="116">
        <v>2473.4499999999998</v>
      </c>
      <c r="R747">
        <v>60525</v>
      </c>
    </row>
    <row r="748" spans="1:18" x14ac:dyDescent="0.25">
      <c r="A748" s="170">
        <v>45202</v>
      </c>
      <c r="B748" s="116">
        <v>505.6</v>
      </c>
      <c r="C748" s="116">
        <v>503.29</v>
      </c>
      <c r="D748" s="116">
        <v>496</v>
      </c>
      <c r="E748" s="116">
        <v>502.19</v>
      </c>
      <c r="F748" s="116">
        <v>2516.4499999999998</v>
      </c>
      <c r="G748">
        <v>7961</v>
      </c>
      <c r="H748" s="116"/>
      <c r="I748" s="116"/>
      <c r="L748" s="170">
        <v>45205</v>
      </c>
      <c r="M748" s="116">
        <v>497.88</v>
      </c>
      <c r="N748" s="116">
        <v>499.59</v>
      </c>
      <c r="O748" s="116">
        <v>489.2</v>
      </c>
      <c r="P748" s="116">
        <v>496</v>
      </c>
      <c r="Q748" s="116">
        <v>2489.4</v>
      </c>
      <c r="R748">
        <v>120412</v>
      </c>
    </row>
    <row r="749" spans="1:18" x14ac:dyDescent="0.25">
      <c r="A749" s="170">
        <v>45203</v>
      </c>
      <c r="B749" s="116">
        <v>502.98</v>
      </c>
      <c r="C749" s="116">
        <v>489.86</v>
      </c>
      <c r="D749" s="116">
        <v>489.12</v>
      </c>
      <c r="E749" s="116">
        <v>502.98</v>
      </c>
      <c r="F749" s="116">
        <v>2449.3000000000002</v>
      </c>
      <c r="G749">
        <v>2778</v>
      </c>
      <c r="H749" s="116"/>
      <c r="I749" s="116"/>
      <c r="L749" s="170">
        <v>45208</v>
      </c>
      <c r="M749" s="116">
        <v>482.43</v>
      </c>
      <c r="N749" s="116">
        <v>492</v>
      </c>
      <c r="O749" s="116">
        <v>481.42</v>
      </c>
      <c r="P749" s="116">
        <v>490.2</v>
      </c>
      <c r="Q749" s="116">
        <v>2412.15</v>
      </c>
      <c r="R749">
        <v>76265</v>
      </c>
    </row>
    <row r="750" spans="1:18" x14ac:dyDescent="0.25">
      <c r="A750" s="170">
        <v>45204</v>
      </c>
      <c r="B750" s="116">
        <v>499.35</v>
      </c>
      <c r="C750" s="116">
        <v>494.08</v>
      </c>
      <c r="D750" s="116">
        <v>491.82</v>
      </c>
      <c r="E750" s="116">
        <v>491.99</v>
      </c>
      <c r="F750" s="116">
        <v>2470.4</v>
      </c>
      <c r="G750">
        <v>1762</v>
      </c>
      <c r="H750" s="116"/>
      <c r="I750" s="116"/>
      <c r="L750" s="170">
        <v>45209</v>
      </c>
      <c r="M750" s="116">
        <v>482.7</v>
      </c>
      <c r="N750" s="116">
        <v>491.2</v>
      </c>
      <c r="O750" s="116">
        <v>481.8</v>
      </c>
      <c r="P750" s="116">
        <v>486.38</v>
      </c>
      <c r="Q750" s="116">
        <v>2413.5</v>
      </c>
      <c r="R750">
        <v>45033</v>
      </c>
    </row>
    <row r="751" spans="1:18" x14ac:dyDescent="0.25">
      <c r="A751" s="170">
        <v>45205</v>
      </c>
      <c r="B751" s="116">
        <v>499.49</v>
      </c>
      <c r="C751" s="116">
        <v>497.53</v>
      </c>
      <c r="D751" s="116">
        <v>490</v>
      </c>
      <c r="E751" s="116">
        <v>494.21</v>
      </c>
      <c r="F751" s="116">
        <v>2487.65</v>
      </c>
      <c r="G751">
        <v>2677</v>
      </c>
      <c r="H751" s="116"/>
      <c r="I751" s="116"/>
      <c r="L751" s="170">
        <v>45210</v>
      </c>
      <c r="M751" s="116">
        <v>483.02</v>
      </c>
      <c r="N751" s="116">
        <v>489.98</v>
      </c>
      <c r="O751" s="116">
        <v>482</v>
      </c>
      <c r="P751" s="116">
        <v>484.7</v>
      </c>
      <c r="Q751" s="116">
        <v>2415.1</v>
      </c>
      <c r="R751">
        <v>53171</v>
      </c>
    </row>
    <row r="752" spans="1:18" x14ac:dyDescent="0.25">
      <c r="A752" s="170">
        <v>45208</v>
      </c>
      <c r="B752" s="116">
        <v>492.06</v>
      </c>
      <c r="C752" s="116">
        <v>482.57</v>
      </c>
      <c r="D752" s="116">
        <v>481</v>
      </c>
      <c r="E752" s="116">
        <v>487.61</v>
      </c>
      <c r="F752" s="116">
        <v>2412.85</v>
      </c>
      <c r="G752">
        <v>3371</v>
      </c>
      <c r="H752" s="116"/>
      <c r="I752" s="116"/>
      <c r="L752" s="170">
        <v>45211</v>
      </c>
      <c r="M752" s="116">
        <v>512.58000000000004</v>
      </c>
      <c r="N752" s="116">
        <v>519.79999999999995</v>
      </c>
      <c r="O752" s="116">
        <v>485.34</v>
      </c>
      <c r="P752" s="116">
        <v>487.6</v>
      </c>
      <c r="Q752" s="116">
        <v>2562.9</v>
      </c>
      <c r="R752">
        <v>837436</v>
      </c>
    </row>
    <row r="753" spans="1:18" x14ac:dyDescent="0.25">
      <c r="A753" s="170">
        <v>45209</v>
      </c>
      <c r="B753" s="116">
        <v>491.56</v>
      </c>
      <c r="C753" s="116">
        <v>482.84</v>
      </c>
      <c r="D753" s="116">
        <v>480.01</v>
      </c>
      <c r="E753" s="116">
        <v>480.01</v>
      </c>
      <c r="F753" s="116">
        <v>2414.1999999999998</v>
      </c>
      <c r="G753">
        <v>5492</v>
      </c>
      <c r="H753" s="116"/>
      <c r="I753" s="116"/>
      <c r="L753" s="170">
        <v>45212</v>
      </c>
      <c r="M753" s="116">
        <v>504.13</v>
      </c>
      <c r="N753" s="116">
        <v>515</v>
      </c>
      <c r="O753" s="116">
        <v>500.99</v>
      </c>
      <c r="P753" s="116">
        <v>509.71</v>
      </c>
      <c r="Q753" s="116">
        <v>2520.65</v>
      </c>
      <c r="R753">
        <v>100294</v>
      </c>
    </row>
    <row r="754" spans="1:18" x14ac:dyDescent="0.25">
      <c r="A754" s="170">
        <v>45210</v>
      </c>
      <c r="B754" s="116">
        <v>490</v>
      </c>
      <c r="C754" s="116">
        <v>482.97</v>
      </c>
      <c r="D754" s="116">
        <v>482</v>
      </c>
      <c r="E754" s="116">
        <v>482.85</v>
      </c>
      <c r="F754" s="116">
        <v>2414.85</v>
      </c>
      <c r="G754">
        <v>7717</v>
      </c>
      <c r="H754" s="116"/>
      <c r="I754" s="116"/>
      <c r="L754" s="170">
        <v>45215</v>
      </c>
      <c r="M754" s="116">
        <v>499.16</v>
      </c>
      <c r="N754" s="116">
        <v>506.59</v>
      </c>
      <c r="O754" s="116">
        <v>497.05</v>
      </c>
      <c r="P754" s="116">
        <v>504.99</v>
      </c>
      <c r="Q754" s="116">
        <v>2495.8000000000002</v>
      </c>
      <c r="R754">
        <v>85054</v>
      </c>
    </row>
    <row r="755" spans="1:18" x14ac:dyDescent="0.25">
      <c r="A755" s="170">
        <v>45211</v>
      </c>
      <c r="B755" s="116">
        <v>519.79999999999995</v>
      </c>
      <c r="C755" s="116">
        <v>513.54999999999995</v>
      </c>
      <c r="D755" s="116">
        <v>484.01</v>
      </c>
      <c r="E755" s="116">
        <v>484.01</v>
      </c>
      <c r="F755" s="116">
        <v>2567.75</v>
      </c>
      <c r="G755">
        <v>26399</v>
      </c>
      <c r="H755" s="116"/>
      <c r="I755" s="116"/>
      <c r="L755" s="170">
        <v>45216</v>
      </c>
      <c r="M755" s="116">
        <v>514.01</v>
      </c>
      <c r="N755" s="116">
        <v>515.76</v>
      </c>
      <c r="O755" s="116">
        <v>500.11</v>
      </c>
      <c r="P755" s="116">
        <v>502.4</v>
      </c>
      <c r="Q755" s="116">
        <v>2570.0500000000002</v>
      </c>
      <c r="R755">
        <v>129503</v>
      </c>
    </row>
    <row r="756" spans="1:18" x14ac:dyDescent="0.25">
      <c r="A756" s="170">
        <v>45212</v>
      </c>
      <c r="B756" s="116">
        <v>514.12</v>
      </c>
      <c r="C756" s="116">
        <v>504.24</v>
      </c>
      <c r="D756" s="116">
        <v>501</v>
      </c>
      <c r="E756" s="116">
        <v>511.79</v>
      </c>
      <c r="F756" s="116">
        <v>2521.1999999999998</v>
      </c>
      <c r="G756">
        <v>10858</v>
      </c>
      <c r="H756" s="116"/>
      <c r="I756" s="116"/>
      <c r="L756" s="170">
        <v>45217</v>
      </c>
      <c r="M756" s="116">
        <v>519.23</v>
      </c>
      <c r="N756" s="116">
        <v>527.79999999999995</v>
      </c>
      <c r="O756" s="116">
        <v>514.01</v>
      </c>
      <c r="P756" s="116">
        <v>517.48</v>
      </c>
      <c r="Q756" s="116">
        <v>2596.15</v>
      </c>
      <c r="R756">
        <v>263170</v>
      </c>
    </row>
    <row r="757" spans="1:18" x14ac:dyDescent="0.25">
      <c r="A757" s="170">
        <v>45215</v>
      </c>
      <c r="B757" s="116">
        <v>506.03</v>
      </c>
      <c r="C757" s="116">
        <v>498.47</v>
      </c>
      <c r="D757" s="116">
        <v>497.02</v>
      </c>
      <c r="E757" s="116">
        <v>503.63</v>
      </c>
      <c r="F757" s="116">
        <v>2492.35</v>
      </c>
      <c r="G757">
        <v>12548</v>
      </c>
      <c r="H757" s="116"/>
      <c r="I757" s="116"/>
      <c r="L757" s="170">
        <v>45218</v>
      </c>
      <c r="M757" s="116">
        <v>507.82</v>
      </c>
      <c r="N757" s="116">
        <v>518.73</v>
      </c>
      <c r="O757" s="116">
        <v>505.6</v>
      </c>
      <c r="P757" s="116">
        <v>518.73</v>
      </c>
      <c r="Q757" s="116">
        <v>2539.1</v>
      </c>
      <c r="R757">
        <v>83892</v>
      </c>
    </row>
    <row r="758" spans="1:18" x14ac:dyDescent="0.25">
      <c r="A758" s="170">
        <v>45216</v>
      </c>
      <c r="B758" s="116">
        <v>515.45000000000005</v>
      </c>
      <c r="C758" s="116">
        <v>513.88</v>
      </c>
      <c r="D758" s="116">
        <v>499.82</v>
      </c>
      <c r="E758" s="116">
        <v>501.08</v>
      </c>
      <c r="F758" s="116">
        <v>2569.4</v>
      </c>
      <c r="G758">
        <v>3849</v>
      </c>
      <c r="H758" s="116"/>
      <c r="I758" s="116"/>
      <c r="L758" s="170">
        <v>45219</v>
      </c>
      <c r="M758" s="116">
        <v>500.22</v>
      </c>
      <c r="N758" s="116">
        <v>511</v>
      </c>
      <c r="O758" s="116">
        <v>498.33</v>
      </c>
      <c r="P758" s="116">
        <v>508.27</v>
      </c>
      <c r="Q758" s="116">
        <v>2501.1</v>
      </c>
      <c r="R758">
        <v>73580</v>
      </c>
    </row>
    <row r="759" spans="1:18" x14ac:dyDescent="0.25">
      <c r="A759" s="170">
        <v>45217</v>
      </c>
      <c r="B759" s="116">
        <v>527.6</v>
      </c>
      <c r="C759" s="116">
        <v>519.70000000000005</v>
      </c>
      <c r="D759" s="116">
        <v>514.20000000000005</v>
      </c>
      <c r="E759" s="116">
        <v>516.89</v>
      </c>
      <c r="F759" s="116">
        <v>2598.5</v>
      </c>
      <c r="G759">
        <v>8025</v>
      </c>
      <c r="H759" s="116"/>
      <c r="I759" s="116"/>
      <c r="L759" s="170">
        <v>45222</v>
      </c>
      <c r="M759" s="116">
        <v>482.97</v>
      </c>
      <c r="N759" s="116">
        <v>503.39</v>
      </c>
      <c r="O759" s="116">
        <v>480.2</v>
      </c>
      <c r="P759" s="116">
        <v>501.2</v>
      </c>
      <c r="Q759" s="116">
        <v>2414.85</v>
      </c>
      <c r="R759">
        <v>89774</v>
      </c>
    </row>
    <row r="760" spans="1:18" x14ac:dyDescent="0.25">
      <c r="A760" s="170">
        <v>45218</v>
      </c>
      <c r="B760" s="116">
        <v>517.01</v>
      </c>
      <c r="C760" s="116">
        <v>508.22</v>
      </c>
      <c r="D760" s="116">
        <v>505.32</v>
      </c>
      <c r="E760" s="116">
        <v>517.01</v>
      </c>
      <c r="F760" s="116">
        <v>2541.1</v>
      </c>
      <c r="G760">
        <v>9917</v>
      </c>
      <c r="H760" s="116"/>
      <c r="I760" s="116"/>
      <c r="L760" s="170">
        <v>45224</v>
      </c>
      <c r="M760" s="116">
        <v>480.56</v>
      </c>
      <c r="N760" s="116">
        <v>485.49</v>
      </c>
      <c r="O760" s="116">
        <v>473.28</v>
      </c>
      <c r="P760" s="116">
        <v>482.97</v>
      </c>
      <c r="Q760" s="116">
        <v>2402.8000000000002</v>
      </c>
      <c r="R760">
        <v>124291</v>
      </c>
    </row>
    <row r="761" spans="1:18" x14ac:dyDescent="0.25">
      <c r="A761" s="170">
        <v>45219</v>
      </c>
      <c r="B761" s="116">
        <v>510.06</v>
      </c>
      <c r="C761" s="116">
        <v>500.63</v>
      </c>
      <c r="D761" s="116">
        <v>498.97</v>
      </c>
      <c r="E761" s="116">
        <v>506.87</v>
      </c>
      <c r="F761" s="116">
        <v>2503.15</v>
      </c>
      <c r="G761">
        <v>8407</v>
      </c>
      <c r="H761" s="116"/>
      <c r="I761" s="116"/>
      <c r="L761" s="170">
        <v>45225</v>
      </c>
      <c r="M761" s="116">
        <v>460.32</v>
      </c>
      <c r="N761" s="116">
        <v>479.76</v>
      </c>
      <c r="O761" s="116">
        <v>459.19</v>
      </c>
      <c r="P761" s="116">
        <v>479.76</v>
      </c>
      <c r="Q761" s="116">
        <v>2301.6</v>
      </c>
      <c r="R761">
        <v>168620</v>
      </c>
    </row>
    <row r="762" spans="1:18" x14ac:dyDescent="0.25">
      <c r="A762" s="170">
        <v>45222</v>
      </c>
      <c r="B762" s="116">
        <v>503.36</v>
      </c>
      <c r="C762" s="116">
        <v>482.27</v>
      </c>
      <c r="D762" s="116">
        <v>480</v>
      </c>
      <c r="E762" s="116">
        <v>498.01</v>
      </c>
      <c r="F762" s="116">
        <v>2411.35</v>
      </c>
      <c r="G762">
        <v>15389</v>
      </c>
      <c r="H762" s="116"/>
      <c r="I762" s="116"/>
      <c r="L762" s="170">
        <v>45226</v>
      </c>
      <c r="M762" s="116">
        <v>460.75</v>
      </c>
      <c r="N762" s="116">
        <v>468.88</v>
      </c>
      <c r="O762" s="116">
        <v>460</v>
      </c>
      <c r="P762" s="116">
        <v>466.79</v>
      </c>
      <c r="Q762" s="116">
        <v>2303.75</v>
      </c>
      <c r="R762">
        <v>97364</v>
      </c>
    </row>
    <row r="763" spans="1:18" x14ac:dyDescent="0.25">
      <c r="A763" s="170">
        <v>45224</v>
      </c>
      <c r="B763" s="116">
        <v>487.1</v>
      </c>
      <c r="C763" s="116">
        <v>480.3</v>
      </c>
      <c r="D763" s="116">
        <v>475</v>
      </c>
      <c r="E763" s="116">
        <v>487.1</v>
      </c>
      <c r="F763" s="116">
        <v>2401.5</v>
      </c>
      <c r="G763">
        <v>6828</v>
      </c>
      <c r="H763" s="116"/>
      <c r="I763" s="116"/>
      <c r="L763" s="170">
        <v>45229</v>
      </c>
      <c r="M763" s="116">
        <v>456.08</v>
      </c>
      <c r="N763" s="116">
        <v>467.7</v>
      </c>
      <c r="O763" s="116">
        <v>455</v>
      </c>
      <c r="P763" s="116">
        <v>462.38</v>
      </c>
      <c r="Q763" s="116">
        <v>2280.4</v>
      </c>
      <c r="R763">
        <v>86508</v>
      </c>
    </row>
    <row r="764" spans="1:18" x14ac:dyDescent="0.25">
      <c r="A764" s="170">
        <v>45225</v>
      </c>
      <c r="B764" s="116">
        <v>480.39</v>
      </c>
      <c r="C764" s="116">
        <v>460.53</v>
      </c>
      <c r="D764" s="116">
        <v>459.6</v>
      </c>
      <c r="E764" s="116">
        <v>480.39</v>
      </c>
      <c r="F764" s="116">
        <v>2302.65</v>
      </c>
      <c r="G764">
        <v>7188</v>
      </c>
      <c r="H764" s="116"/>
      <c r="I764" s="116"/>
      <c r="L764" s="170">
        <v>45230</v>
      </c>
      <c r="M764" s="116">
        <v>449.38</v>
      </c>
      <c r="N764" s="116">
        <v>458.79</v>
      </c>
      <c r="O764" s="116">
        <v>448</v>
      </c>
      <c r="P764" s="116">
        <v>458.2</v>
      </c>
      <c r="Q764" s="116">
        <v>2246.9</v>
      </c>
      <c r="R764">
        <v>139337</v>
      </c>
    </row>
    <row r="765" spans="1:18" x14ac:dyDescent="0.25">
      <c r="A765" s="170">
        <v>45226</v>
      </c>
      <c r="B765" s="116">
        <v>469.38</v>
      </c>
      <c r="C765" s="116">
        <v>461.05</v>
      </c>
      <c r="D765" s="116">
        <v>460.01</v>
      </c>
      <c r="E765" s="116">
        <v>465.38</v>
      </c>
      <c r="F765" s="116">
        <v>2305.25</v>
      </c>
      <c r="G765">
        <v>11293</v>
      </c>
      <c r="H765" s="116"/>
      <c r="I765" s="116"/>
      <c r="L765" s="170">
        <v>45231</v>
      </c>
      <c r="M765" s="116">
        <v>447.5</v>
      </c>
      <c r="N765" s="116">
        <v>458.6</v>
      </c>
      <c r="O765" s="116">
        <v>446</v>
      </c>
      <c r="P765" s="116">
        <v>451.79</v>
      </c>
      <c r="Q765" s="116">
        <v>2237.5</v>
      </c>
      <c r="R765">
        <v>161510</v>
      </c>
    </row>
    <row r="766" spans="1:18" x14ac:dyDescent="0.25">
      <c r="A766" s="170">
        <v>45229</v>
      </c>
      <c r="B766" s="116">
        <v>467.8</v>
      </c>
      <c r="C766" s="116">
        <v>455.81</v>
      </c>
      <c r="D766" s="116">
        <v>454.82</v>
      </c>
      <c r="E766" s="116">
        <v>461.5</v>
      </c>
      <c r="F766" s="116">
        <v>2279.0500000000002</v>
      </c>
      <c r="G766">
        <v>11144</v>
      </c>
      <c r="H766" s="116"/>
      <c r="I766" s="116"/>
      <c r="L766" s="170">
        <v>45232</v>
      </c>
      <c r="M766" s="116">
        <v>452.69</v>
      </c>
      <c r="N766" s="116">
        <v>461</v>
      </c>
      <c r="O766" s="116">
        <v>450.8</v>
      </c>
      <c r="P766" s="116">
        <v>451.69</v>
      </c>
      <c r="Q766" s="116">
        <v>2263.4499999999998</v>
      </c>
      <c r="R766">
        <v>91735</v>
      </c>
    </row>
    <row r="767" spans="1:18" x14ac:dyDescent="0.25">
      <c r="A767" s="170">
        <v>45230</v>
      </c>
      <c r="B767" s="116">
        <v>461.82</v>
      </c>
      <c r="C767" s="116">
        <v>449.74</v>
      </c>
      <c r="D767" s="116">
        <v>448.22</v>
      </c>
      <c r="E767" s="116">
        <v>461.82</v>
      </c>
      <c r="F767" s="116">
        <v>2248.6999999999998</v>
      </c>
      <c r="G767">
        <v>4489</v>
      </c>
      <c r="H767" s="116"/>
      <c r="I767" s="116"/>
      <c r="L767" s="170">
        <v>45233</v>
      </c>
      <c r="M767" s="116">
        <v>478.13</v>
      </c>
      <c r="N767" s="116">
        <v>481.52</v>
      </c>
      <c r="O767" s="116">
        <v>453.33</v>
      </c>
      <c r="P767" s="116">
        <v>456</v>
      </c>
      <c r="Q767" s="116">
        <v>2390.65</v>
      </c>
      <c r="R767">
        <v>530523</v>
      </c>
    </row>
    <row r="768" spans="1:18" x14ac:dyDescent="0.25">
      <c r="A768" s="170">
        <v>45231</v>
      </c>
      <c r="B768" s="116">
        <v>458.88</v>
      </c>
      <c r="C768" s="116">
        <v>447.75</v>
      </c>
      <c r="D768" s="116">
        <v>446.42</v>
      </c>
      <c r="E768" s="116">
        <v>451.51</v>
      </c>
      <c r="F768" s="116">
        <v>2238.75</v>
      </c>
      <c r="G768">
        <v>15060</v>
      </c>
      <c r="H768" s="116"/>
      <c r="I768" s="116"/>
      <c r="L768" s="170">
        <v>45236</v>
      </c>
      <c r="M768" s="116">
        <v>483.08</v>
      </c>
      <c r="N768" s="116">
        <v>488.8</v>
      </c>
      <c r="O768" s="116">
        <v>480.4</v>
      </c>
      <c r="P768" s="116">
        <v>485.32</v>
      </c>
      <c r="Q768" s="116">
        <v>2415.4</v>
      </c>
      <c r="R768">
        <v>322959</v>
      </c>
    </row>
    <row r="769" spans="1:18" x14ac:dyDescent="0.25">
      <c r="A769" s="170">
        <v>45232</v>
      </c>
      <c r="B769" s="116">
        <v>461</v>
      </c>
      <c r="C769" s="116">
        <v>452.54</v>
      </c>
      <c r="D769" s="116">
        <v>451</v>
      </c>
      <c r="E769" s="116">
        <v>452</v>
      </c>
      <c r="F769" s="116">
        <v>2262.6999999999998</v>
      </c>
      <c r="G769">
        <v>13395</v>
      </c>
      <c r="H769" s="116"/>
      <c r="I769" s="116"/>
      <c r="L769" s="170">
        <v>45237</v>
      </c>
      <c r="M769" s="116">
        <v>481.38</v>
      </c>
      <c r="N769" s="116">
        <v>484.97</v>
      </c>
      <c r="O769" s="116">
        <v>478.8</v>
      </c>
      <c r="P769" s="116">
        <v>484.39</v>
      </c>
      <c r="Q769" s="116">
        <v>2406.9</v>
      </c>
      <c r="R769">
        <v>83815</v>
      </c>
    </row>
    <row r="770" spans="1:18" x14ac:dyDescent="0.25">
      <c r="A770" s="170">
        <v>45233</v>
      </c>
      <c r="B770" s="116">
        <v>481.25</v>
      </c>
      <c r="C770" s="116">
        <v>477.72</v>
      </c>
      <c r="D770" s="116">
        <v>454.4</v>
      </c>
      <c r="E770" s="116">
        <v>456.46</v>
      </c>
      <c r="F770" s="116">
        <v>2388.6</v>
      </c>
      <c r="G770">
        <v>7784</v>
      </c>
      <c r="H770" s="116"/>
      <c r="I770" s="116"/>
      <c r="L770" s="170">
        <v>45238</v>
      </c>
      <c r="M770" s="116">
        <v>485.74</v>
      </c>
      <c r="N770" s="116">
        <v>490.8</v>
      </c>
      <c r="O770" s="116">
        <v>481.7</v>
      </c>
      <c r="P770" s="116">
        <v>488.8</v>
      </c>
      <c r="Q770" s="116">
        <v>2428.6999999999998</v>
      </c>
      <c r="R770">
        <v>248428</v>
      </c>
    </row>
    <row r="771" spans="1:18" x14ac:dyDescent="0.25">
      <c r="A771" s="170">
        <v>45236</v>
      </c>
      <c r="B771" s="116">
        <v>489.99</v>
      </c>
      <c r="C771" s="116">
        <v>483.46</v>
      </c>
      <c r="D771" s="116">
        <v>480.6</v>
      </c>
      <c r="E771" s="116">
        <v>489.99</v>
      </c>
      <c r="F771" s="116">
        <v>2417.3000000000002</v>
      </c>
      <c r="G771">
        <v>3991</v>
      </c>
      <c r="H771" s="116"/>
      <c r="I771" s="116"/>
      <c r="L771" s="170">
        <v>45239</v>
      </c>
      <c r="M771" s="116">
        <v>475.26</v>
      </c>
      <c r="N771" s="116">
        <v>488.6</v>
      </c>
      <c r="O771" s="116">
        <v>470.2</v>
      </c>
      <c r="P771" s="116">
        <v>488.6</v>
      </c>
      <c r="Q771" s="116">
        <v>2376.3000000000002</v>
      </c>
      <c r="R771">
        <v>312754</v>
      </c>
    </row>
    <row r="772" spans="1:18" x14ac:dyDescent="0.25">
      <c r="A772" s="170">
        <v>45237</v>
      </c>
      <c r="B772" s="116">
        <v>485.42</v>
      </c>
      <c r="C772" s="116">
        <v>481.39</v>
      </c>
      <c r="D772" s="116">
        <v>478.87</v>
      </c>
      <c r="E772" s="116">
        <v>483.46</v>
      </c>
      <c r="F772" s="116">
        <v>2406.9499999999998</v>
      </c>
      <c r="G772">
        <v>8564</v>
      </c>
      <c r="H772" s="116"/>
      <c r="I772" s="116"/>
      <c r="L772" s="170">
        <v>45240</v>
      </c>
      <c r="M772" s="116">
        <v>485.08</v>
      </c>
      <c r="N772" s="116">
        <v>493</v>
      </c>
      <c r="O772" s="116">
        <v>477.6</v>
      </c>
      <c r="P772" s="116">
        <v>477.76</v>
      </c>
      <c r="Q772" s="116">
        <v>2425.4</v>
      </c>
      <c r="R772">
        <v>279541</v>
      </c>
    </row>
    <row r="773" spans="1:18" x14ac:dyDescent="0.25">
      <c r="A773" s="170">
        <v>45238</v>
      </c>
      <c r="B773" s="116">
        <v>490.95</v>
      </c>
      <c r="C773" s="116">
        <v>485.7</v>
      </c>
      <c r="D773" s="116">
        <v>483</v>
      </c>
      <c r="E773" s="116">
        <v>486.41</v>
      </c>
      <c r="F773" s="116">
        <v>2428.5</v>
      </c>
      <c r="G773">
        <v>16859</v>
      </c>
      <c r="H773" s="116"/>
      <c r="I773" s="116"/>
      <c r="L773" s="170">
        <v>45242</v>
      </c>
      <c r="M773" s="116">
        <v>497.15</v>
      </c>
      <c r="N773" s="116">
        <v>499</v>
      </c>
      <c r="O773" s="116">
        <v>492.63</v>
      </c>
      <c r="P773" s="116">
        <v>499</v>
      </c>
      <c r="Q773" s="116">
        <v>2485.75</v>
      </c>
      <c r="R773">
        <v>66509</v>
      </c>
    </row>
    <row r="774" spans="1:18" x14ac:dyDescent="0.25">
      <c r="A774" s="170">
        <v>45239</v>
      </c>
      <c r="B774" s="116">
        <v>490.79</v>
      </c>
      <c r="C774" s="116">
        <v>475.65</v>
      </c>
      <c r="D774" s="116">
        <v>472.35</v>
      </c>
      <c r="E774" s="116">
        <v>490.79</v>
      </c>
      <c r="F774" s="116">
        <v>2378.25</v>
      </c>
      <c r="G774">
        <v>5125</v>
      </c>
      <c r="H774" s="116"/>
      <c r="I774" s="116"/>
      <c r="L774" s="170">
        <v>45243</v>
      </c>
      <c r="M774" s="116">
        <v>536.62</v>
      </c>
      <c r="N774" s="116">
        <v>545.66</v>
      </c>
      <c r="O774" s="116">
        <v>494.74</v>
      </c>
      <c r="P774" s="116">
        <v>499.58</v>
      </c>
      <c r="Q774" s="116">
        <v>2683.1</v>
      </c>
      <c r="R774">
        <v>1047730</v>
      </c>
    </row>
    <row r="775" spans="1:18" x14ac:dyDescent="0.25">
      <c r="A775" s="170">
        <v>45240</v>
      </c>
      <c r="B775" s="116">
        <v>492.4</v>
      </c>
      <c r="C775" s="116">
        <v>485.21</v>
      </c>
      <c r="D775" s="116">
        <v>475.65</v>
      </c>
      <c r="E775" s="116">
        <v>479.59</v>
      </c>
      <c r="F775" s="116">
        <v>2426.0500000000002</v>
      </c>
      <c r="G775">
        <v>23565</v>
      </c>
      <c r="H775" s="116"/>
      <c r="I775" s="116"/>
      <c r="L775" s="170">
        <v>45245</v>
      </c>
      <c r="M775" s="116">
        <v>560.89</v>
      </c>
      <c r="N775" s="116">
        <v>572.65</v>
      </c>
      <c r="O775" s="116">
        <v>555</v>
      </c>
      <c r="P775" s="116">
        <v>560</v>
      </c>
      <c r="Q775" s="116">
        <v>2804.45</v>
      </c>
      <c r="R775">
        <v>1308922</v>
      </c>
    </row>
    <row r="776" spans="1:18" x14ac:dyDescent="0.25">
      <c r="A776" s="170">
        <v>45242</v>
      </c>
      <c r="B776" s="116">
        <v>498</v>
      </c>
      <c r="C776" s="116">
        <v>497</v>
      </c>
      <c r="D776" s="116">
        <v>490.96</v>
      </c>
      <c r="E776" s="116">
        <v>495</v>
      </c>
      <c r="F776" s="116">
        <v>2485</v>
      </c>
      <c r="G776">
        <v>14892</v>
      </c>
      <c r="H776" s="116"/>
      <c r="I776" s="116"/>
      <c r="L776" s="170">
        <v>45246</v>
      </c>
      <c r="M776" s="116">
        <v>567.94000000000005</v>
      </c>
      <c r="N776" s="116">
        <v>578</v>
      </c>
      <c r="O776" s="116">
        <v>560.44000000000005</v>
      </c>
      <c r="P776" s="116">
        <v>562.79999999999995</v>
      </c>
      <c r="Q776" s="116">
        <v>2839.7</v>
      </c>
      <c r="R776">
        <v>713903</v>
      </c>
    </row>
    <row r="777" spans="1:18" x14ac:dyDescent="0.25">
      <c r="A777" s="170">
        <v>45243</v>
      </c>
      <c r="B777" s="116">
        <v>545.4</v>
      </c>
      <c r="C777" s="116">
        <v>536.95000000000005</v>
      </c>
      <c r="D777" s="116">
        <v>494.5</v>
      </c>
      <c r="E777" s="116">
        <v>503.91</v>
      </c>
      <c r="F777" s="116">
        <v>2684.75</v>
      </c>
      <c r="G777">
        <v>40132</v>
      </c>
      <c r="H777" s="116"/>
      <c r="I777" s="116"/>
      <c r="L777" s="170">
        <v>45247</v>
      </c>
      <c r="M777" s="116">
        <v>566.59</v>
      </c>
      <c r="N777" s="116">
        <v>576.20000000000005</v>
      </c>
      <c r="O777" s="116">
        <v>556.94000000000005</v>
      </c>
      <c r="P777" s="116">
        <v>570</v>
      </c>
      <c r="Q777" s="116">
        <v>2832.95</v>
      </c>
      <c r="R777">
        <v>566692</v>
      </c>
    </row>
    <row r="778" spans="1:18" x14ac:dyDescent="0.25">
      <c r="A778" s="170">
        <v>45245</v>
      </c>
      <c r="B778" s="116">
        <v>574.04999999999995</v>
      </c>
      <c r="C778" s="116">
        <v>561.02</v>
      </c>
      <c r="D778" s="116">
        <v>555</v>
      </c>
      <c r="E778" s="116">
        <v>560</v>
      </c>
      <c r="F778" s="116">
        <v>2805.1</v>
      </c>
      <c r="G778">
        <v>125220</v>
      </c>
      <c r="H778" s="116"/>
      <c r="I778" s="116"/>
      <c r="L778" s="170">
        <v>45250</v>
      </c>
      <c r="M778" s="116">
        <v>570.95000000000005</v>
      </c>
      <c r="N778" s="116">
        <v>587</v>
      </c>
      <c r="O778" s="116">
        <v>567.73</v>
      </c>
      <c r="P778" s="116">
        <v>573.96</v>
      </c>
      <c r="Q778" s="116">
        <v>2854.75</v>
      </c>
      <c r="R778">
        <v>491800</v>
      </c>
    </row>
    <row r="779" spans="1:18" x14ac:dyDescent="0.25">
      <c r="A779" s="170">
        <v>45246</v>
      </c>
      <c r="B779" s="116">
        <v>578</v>
      </c>
      <c r="C779" s="116">
        <v>567.61</v>
      </c>
      <c r="D779" s="116">
        <v>556.94000000000005</v>
      </c>
      <c r="E779" s="116">
        <v>563.99</v>
      </c>
      <c r="F779" s="116">
        <v>2838.05</v>
      </c>
      <c r="G779">
        <v>82198</v>
      </c>
      <c r="H779" s="116"/>
      <c r="I779" s="116"/>
      <c r="L779" s="170">
        <v>45251</v>
      </c>
      <c r="M779" s="116">
        <v>568.91</v>
      </c>
      <c r="N779" s="116">
        <v>579</v>
      </c>
      <c r="O779" s="116">
        <v>563.42999999999995</v>
      </c>
      <c r="P779" s="116">
        <v>572.94000000000005</v>
      </c>
      <c r="Q779" s="116">
        <v>2844.55</v>
      </c>
      <c r="R779">
        <v>247138</v>
      </c>
    </row>
    <row r="780" spans="1:18" x14ac:dyDescent="0.25">
      <c r="A780" s="170">
        <v>45247</v>
      </c>
      <c r="B780" s="116">
        <v>576.20000000000005</v>
      </c>
      <c r="C780" s="116">
        <v>566.41999999999996</v>
      </c>
      <c r="D780" s="116">
        <v>557</v>
      </c>
      <c r="E780" s="116">
        <v>569.79999999999995</v>
      </c>
      <c r="F780" s="116">
        <v>2832.1</v>
      </c>
      <c r="G780">
        <v>19548</v>
      </c>
      <c r="H780" s="116"/>
      <c r="I780" s="116"/>
      <c r="L780" s="170">
        <v>45252</v>
      </c>
      <c r="M780" s="116">
        <v>550.67999999999995</v>
      </c>
      <c r="N780" s="116">
        <v>572.76</v>
      </c>
      <c r="O780" s="116">
        <v>548.20000000000005</v>
      </c>
      <c r="P780" s="116">
        <v>570</v>
      </c>
      <c r="Q780" s="116">
        <v>2753.4</v>
      </c>
      <c r="R780">
        <v>300305</v>
      </c>
    </row>
    <row r="781" spans="1:18" x14ac:dyDescent="0.25">
      <c r="A781" s="170">
        <v>45250</v>
      </c>
      <c r="B781" s="116">
        <v>587.51</v>
      </c>
      <c r="C781" s="116">
        <v>570.99</v>
      </c>
      <c r="D781" s="116">
        <v>567.62</v>
      </c>
      <c r="E781" s="116">
        <v>572.01</v>
      </c>
      <c r="F781" s="116">
        <v>2854.95</v>
      </c>
      <c r="G781">
        <v>18466</v>
      </c>
      <c r="H781" s="116"/>
      <c r="I781" s="116"/>
      <c r="L781" s="170">
        <v>45253</v>
      </c>
      <c r="M781" s="116">
        <v>558.23</v>
      </c>
      <c r="N781" s="116">
        <v>565.47</v>
      </c>
      <c r="O781" s="116">
        <v>551.45000000000005</v>
      </c>
      <c r="P781" s="116">
        <v>551.79999999999995</v>
      </c>
      <c r="Q781" s="116">
        <v>2791.15</v>
      </c>
      <c r="R781">
        <v>229826</v>
      </c>
    </row>
    <row r="782" spans="1:18" x14ac:dyDescent="0.25">
      <c r="A782" s="170">
        <v>45251</v>
      </c>
      <c r="B782" s="116">
        <v>579</v>
      </c>
      <c r="C782" s="116">
        <v>568.21</v>
      </c>
      <c r="D782" s="116">
        <v>563</v>
      </c>
      <c r="E782" s="116">
        <v>570.79999999999995</v>
      </c>
      <c r="F782" s="116">
        <v>2841.05</v>
      </c>
      <c r="G782">
        <v>35982</v>
      </c>
      <c r="H782" s="116"/>
      <c r="I782" s="116"/>
      <c r="L782" s="170">
        <v>45254</v>
      </c>
      <c r="M782" s="116">
        <v>557.22</v>
      </c>
      <c r="N782" s="116">
        <v>565.70000000000005</v>
      </c>
      <c r="O782" s="116">
        <v>555.02</v>
      </c>
      <c r="P782" s="116">
        <v>563</v>
      </c>
      <c r="Q782" s="116">
        <v>2786.1</v>
      </c>
      <c r="R782">
        <v>122029</v>
      </c>
    </row>
    <row r="783" spans="1:18" x14ac:dyDescent="0.25">
      <c r="A783" s="170">
        <v>45252</v>
      </c>
      <c r="B783" s="116">
        <v>572.65</v>
      </c>
      <c r="C783" s="116">
        <v>550.33000000000004</v>
      </c>
      <c r="D783" s="116">
        <v>548</v>
      </c>
      <c r="E783" s="116">
        <v>568.22</v>
      </c>
      <c r="F783" s="116">
        <v>2751.65</v>
      </c>
      <c r="G783">
        <v>10624</v>
      </c>
      <c r="H783" s="116"/>
      <c r="I783" s="116"/>
      <c r="L783" s="170">
        <v>45258</v>
      </c>
      <c r="M783" s="116">
        <v>552.15</v>
      </c>
      <c r="N783" s="116">
        <v>559.6</v>
      </c>
      <c r="O783" s="116">
        <v>544.33000000000004</v>
      </c>
      <c r="P783" s="116">
        <v>559.6</v>
      </c>
      <c r="Q783" s="116">
        <v>2760.75</v>
      </c>
      <c r="R783">
        <v>229410</v>
      </c>
    </row>
    <row r="784" spans="1:18" x14ac:dyDescent="0.25">
      <c r="A784" s="170">
        <v>45253</v>
      </c>
      <c r="B784" s="116">
        <v>565.61</v>
      </c>
      <c r="C784" s="116">
        <v>558.37</v>
      </c>
      <c r="D784" s="116">
        <v>551.01</v>
      </c>
      <c r="E784" s="116">
        <v>551.01</v>
      </c>
      <c r="F784" s="116">
        <v>2791.85</v>
      </c>
      <c r="G784">
        <v>6988</v>
      </c>
      <c r="H784" s="116"/>
      <c r="I784" s="116"/>
      <c r="L784" s="170">
        <v>45259</v>
      </c>
      <c r="M784" s="116">
        <v>556.80999999999995</v>
      </c>
      <c r="N784" s="116">
        <v>562.4</v>
      </c>
      <c r="O784" s="116">
        <v>550</v>
      </c>
      <c r="P784" s="116">
        <v>557.49</v>
      </c>
      <c r="Q784" s="116">
        <v>2784.05</v>
      </c>
      <c r="R784">
        <v>249331</v>
      </c>
    </row>
    <row r="785" spans="1:18" x14ac:dyDescent="0.25">
      <c r="A785" s="170">
        <v>45254</v>
      </c>
      <c r="B785" s="116">
        <v>565.92999999999995</v>
      </c>
      <c r="C785" s="116">
        <v>557.28</v>
      </c>
      <c r="D785" s="116">
        <v>554.76</v>
      </c>
      <c r="E785" s="116">
        <v>564.19000000000005</v>
      </c>
      <c r="F785" s="116">
        <v>2786.4</v>
      </c>
      <c r="G785">
        <v>13527</v>
      </c>
      <c r="H785" s="116"/>
      <c r="I785" s="116"/>
      <c r="L785" s="170">
        <v>45260</v>
      </c>
      <c r="M785" s="116">
        <v>560.23</v>
      </c>
      <c r="N785" s="116">
        <v>565.6</v>
      </c>
      <c r="O785" s="116">
        <v>545.57000000000005</v>
      </c>
      <c r="P785" s="116">
        <v>558</v>
      </c>
      <c r="Q785" s="116">
        <v>2801.15</v>
      </c>
      <c r="R785">
        <v>355241</v>
      </c>
    </row>
    <row r="786" spans="1:18" x14ac:dyDescent="0.25">
      <c r="A786" s="170">
        <v>45258</v>
      </c>
      <c r="B786" s="116">
        <v>560</v>
      </c>
      <c r="C786" s="116">
        <v>552.11</v>
      </c>
      <c r="D786" s="116">
        <v>544.08000000000004</v>
      </c>
      <c r="E786" s="116">
        <v>558.01</v>
      </c>
      <c r="F786" s="116">
        <v>2760.55</v>
      </c>
      <c r="G786">
        <v>25558</v>
      </c>
      <c r="H786" s="116"/>
      <c r="I786" s="116"/>
      <c r="L786" s="170">
        <v>45261</v>
      </c>
      <c r="M786" s="116">
        <v>558.67999999999995</v>
      </c>
      <c r="N786" s="116">
        <v>566.98</v>
      </c>
      <c r="O786" s="116">
        <v>555.84</v>
      </c>
      <c r="P786" s="116">
        <v>564</v>
      </c>
      <c r="Q786" s="116">
        <v>2793.4</v>
      </c>
      <c r="R786">
        <v>166019</v>
      </c>
    </row>
    <row r="787" spans="1:18" x14ac:dyDescent="0.25">
      <c r="A787" s="170">
        <v>45259</v>
      </c>
      <c r="B787" s="116">
        <v>561.6</v>
      </c>
      <c r="C787" s="116">
        <v>556.35</v>
      </c>
      <c r="D787" s="116">
        <v>550.29999999999995</v>
      </c>
      <c r="E787" s="116">
        <v>556.01</v>
      </c>
      <c r="F787" s="116">
        <v>2781.75</v>
      </c>
      <c r="G787">
        <v>7993</v>
      </c>
      <c r="H787" s="116"/>
      <c r="I787" s="116"/>
      <c r="L787" s="170">
        <v>45264</v>
      </c>
      <c r="M787" s="116">
        <v>578.78</v>
      </c>
      <c r="N787" s="116">
        <v>587.67999999999995</v>
      </c>
      <c r="O787" s="116">
        <v>558.74</v>
      </c>
      <c r="P787" s="116">
        <v>570.08000000000004</v>
      </c>
      <c r="Q787" s="116">
        <v>2893.9</v>
      </c>
      <c r="R787">
        <v>1077444</v>
      </c>
    </row>
    <row r="788" spans="1:18" x14ac:dyDescent="0.25">
      <c r="A788" s="170">
        <v>45260</v>
      </c>
      <c r="B788" s="116">
        <v>566</v>
      </c>
      <c r="C788" s="116">
        <v>561.21</v>
      </c>
      <c r="D788" s="116">
        <v>546.13</v>
      </c>
      <c r="E788" s="116">
        <v>563.85</v>
      </c>
      <c r="F788" s="116">
        <v>2806.05</v>
      </c>
      <c r="G788">
        <v>8495</v>
      </c>
      <c r="H788" s="116"/>
      <c r="I788" s="116"/>
      <c r="L788" s="170">
        <v>45265</v>
      </c>
      <c r="M788" s="116">
        <v>574.85</v>
      </c>
      <c r="N788" s="116">
        <v>597.6</v>
      </c>
      <c r="O788" s="116">
        <v>572.4</v>
      </c>
      <c r="P788" s="116">
        <v>593</v>
      </c>
      <c r="Q788" s="116">
        <v>2874.25</v>
      </c>
      <c r="R788">
        <v>973503</v>
      </c>
    </row>
    <row r="789" spans="1:18" x14ac:dyDescent="0.25">
      <c r="A789" s="170">
        <v>45261</v>
      </c>
      <c r="B789" s="116">
        <v>567</v>
      </c>
      <c r="C789" s="116">
        <v>558.03</v>
      </c>
      <c r="D789" s="116">
        <v>554.98</v>
      </c>
      <c r="E789" s="116">
        <v>561.20000000000005</v>
      </c>
      <c r="F789" s="116">
        <v>2790.15</v>
      </c>
      <c r="G789">
        <v>24561</v>
      </c>
      <c r="H789" s="116"/>
      <c r="I789" s="116"/>
      <c r="L789" s="170">
        <v>45266</v>
      </c>
      <c r="M789" s="116">
        <v>551.13</v>
      </c>
      <c r="N789" s="116">
        <v>574</v>
      </c>
      <c r="O789" s="116">
        <v>548.6</v>
      </c>
      <c r="P789" s="116">
        <v>574</v>
      </c>
      <c r="Q789" s="116">
        <v>2755.65</v>
      </c>
      <c r="R789">
        <v>960783</v>
      </c>
    </row>
    <row r="790" spans="1:18" x14ac:dyDescent="0.25">
      <c r="A790" s="170">
        <v>45264</v>
      </c>
      <c r="B790" s="116">
        <v>587.11</v>
      </c>
      <c r="C790" s="116">
        <v>578.34</v>
      </c>
      <c r="D790" s="116">
        <v>553.20000000000005</v>
      </c>
      <c r="E790" s="116">
        <v>569</v>
      </c>
      <c r="F790" s="116">
        <v>2891.7</v>
      </c>
      <c r="G790">
        <v>9853236</v>
      </c>
      <c r="H790" s="116"/>
      <c r="I790" s="116"/>
      <c r="L790" s="170">
        <v>45267</v>
      </c>
      <c r="M790" s="116">
        <v>562.20000000000005</v>
      </c>
      <c r="N790" s="116">
        <v>566.29</v>
      </c>
      <c r="O790" s="116">
        <v>550.79999999999995</v>
      </c>
      <c r="P790" s="116">
        <v>554.99</v>
      </c>
      <c r="Q790" s="116">
        <v>2811</v>
      </c>
      <c r="R790">
        <v>645099</v>
      </c>
    </row>
    <row r="791" spans="1:18" x14ac:dyDescent="0.25">
      <c r="A791" s="170">
        <v>45265</v>
      </c>
      <c r="B791" s="116">
        <v>597.86</v>
      </c>
      <c r="C791" s="116">
        <v>574.94000000000005</v>
      </c>
      <c r="D791" s="116">
        <v>572.6</v>
      </c>
      <c r="E791" s="116">
        <v>592.01</v>
      </c>
      <c r="F791" s="116">
        <v>2874.7</v>
      </c>
      <c r="G791">
        <v>38704</v>
      </c>
      <c r="H791" s="116"/>
      <c r="I791" s="116"/>
      <c r="L791" s="170">
        <v>45268</v>
      </c>
      <c r="M791" s="116">
        <v>548.95000000000005</v>
      </c>
      <c r="N791" s="116">
        <v>565</v>
      </c>
      <c r="O791" s="116">
        <v>547</v>
      </c>
      <c r="P791" s="116">
        <v>563.99</v>
      </c>
      <c r="Q791" s="116">
        <v>2744.75</v>
      </c>
      <c r="R791">
        <v>380674</v>
      </c>
    </row>
    <row r="792" spans="1:18" x14ac:dyDescent="0.25">
      <c r="A792" s="170">
        <v>45266</v>
      </c>
      <c r="B792" s="116">
        <v>578.79</v>
      </c>
      <c r="C792" s="116">
        <v>551.17999999999995</v>
      </c>
      <c r="D792" s="116">
        <v>548.59</v>
      </c>
      <c r="E792" s="116">
        <v>578.79</v>
      </c>
      <c r="F792" s="116">
        <v>2755.9</v>
      </c>
      <c r="G792">
        <v>81544</v>
      </c>
      <c r="H792" s="116"/>
      <c r="I792" s="116"/>
      <c r="L792" s="170">
        <v>45271</v>
      </c>
      <c r="M792" s="116">
        <v>541.19000000000005</v>
      </c>
      <c r="N792" s="116">
        <v>550.41999999999996</v>
      </c>
      <c r="O792" s="116">
        <v>540</v>
      </c>
      <c r="P792" s="116">
        <v>548.04</v>
      </c>
      <c r="Q792" s="116">
        <v>2705.95</v>
      </c>
      <c r="R792">
        <v>348104</v>
      </c>
    </row>
    <row r="793" spans="1:18" x14ac:dyDescent="0.25">
      <c r="A793" s="170">
        <v>45267</v>
      </c>
      <c r="B793" s="116">
        <v>566</v>
      </c>
      <c r="C793" s="116">
        <v>561.4</v>
      </c>
      <c r="D793" s="116">
        <v>550.69000000000005</v>
      </c>
      <c r="E793" s="116">
        <v>552.21</v>
      </c>
      <c r="F793" s="116">
        <v>2807</v>
      </c>
      <c r="G793">
        <v>41796</v>
      </c>
      <c r="H793" s="116"/>
      <c r="I793" s="116"/>
      <c r="L793" s="170">
        <v>45272</v>
      </c>
      <c r="M793" s="116">
        <v>541.65</v>
      </c>
      <c r="N793" s="116">
        <v>552.34</v>
      </c>
      <c r="O793" s="116">
        <v>538.01</v>
      </c>
      <c r="P793" s="116">
        <v>544</v>
      </c>
      <c r="Q793" s="116">
        <v>2708.25</v>
      </c>
      <c r="R793">
        <v>538563</v>
      </c>
    </row>
    <row r="794" spans="1:18" x14ac:dyDescent="0.25">
      <c r="A794" s="170">
        <v>45268</v>
      </c>
      <c r="B794" s="116">
        <v>565.17999999999995</v>
      </c>
      <c r="C794" s="116">
        <v>548.77</v>
      </c>
      <c r="D794" s="116">
        <v>547</v>
      </c>
      <c r="E794" s="116">
        <v>564.67999999999995</v>
      </c>
      <c r="F794" s="116">
        <v>2743.85</v>
      </c>
      <c r="G794">
        <v>13650</v>
      </c>
      <c r="H794" s="116"/>
      <c r="I794" s="116"/>
      <c r="L794" s="170">
        <v>45273</v>
      </c>
      <c r="M794" s="116">
        <v>541.01</v>
      </c>
      <c r="N794" s="116">
        <v>545.09</v>
      </c>
      <c r="O794" s="116">
        <v>537</v>
      </c>
      <c r="P794" s="116">
        <v>541.82000000000005</v>
      </c>
      <c r="Q794" s="116">
        <v>2705.05</v>
      </c>
      <c r="R794">
        <v>305404</v>
      </c>
    </row>
    <row r="795" spans="1:18" x14ac:dyDescent="0.25">
      <c r="A795" s="170">
        <v>45271</v>
      </c>
      <c r="B795" s="116">
        <v>550.51</v>
      </c>
      <c r="C795" s="116">
        <v>541.4</v>
      </c>
      <c r="D795" s="116">
        <v>539.98</v>
      </c>
      <c r="E795" s="116">
        <v>547</v>
      </c>
      <c r="F795" s="116">
        <v>2707</v>
      </c>
      <c r="G795">
        <v>13727</v>
      </c>
      <c r="H795" s="116"/>
      <c r="I795" s="116"/>
      <c r="L795" s="170">
        <v>45274</v>
      </c>
      <c r="M795" s="116">
        <v>549.04</v>
      </c>
      <c r="N795" s="116">
        <v>551.72</v>
      </c>
      <c r="O795" s="116">
        <v>544.01</v>
      </c>
      <c r="P795" s="116">
        <v>546.79999999999995</v>
      </c>
      <c r="Q795" s="116">
        <v>2745.2</v>
      </c>
      <c r="R795">
        <v>335258</v>
      </c>
    </row>
    <row r="796" spans="1:18" x14ac:dyDescent="0.25">
      <c r="A796" s="170">
        <v>45272</v>
      </c>
      <c r="B796" s="116">
        <v>552</v>
      </c>
      <c r="C796" s="116">
        <v>541.6</v>
      </c>
      <c r="D796" s="116">
        <v>538.55999999999995</v>
      </c>
      <c r="E796" s="116">
        <v>542.05999999999995</v>
      </c>
      <c r="F796" s="116">
        <v>2708</v>
      </c>
      <c r="G796">
        <v>40852</v>
      </c>
      <c r="H796" s="116"/>
      <c r="I796" s="116"/>
      <c r="L796" s="170">
        <v>45275</v>
      </c>
      <c r="M796" s="116">
        <v>544.41</v>
      </c>
      <c r="N796" s="116">
        <v>554.73</v>
      </c>
      <c r="O796" s="116">
        <v>541.6</v>
      </c>
      <c r="P796" s="116">
        <v>553.66999999999996</v>
      </c>
      <c r="Q796" s="116">
        <v>2722.05</v>
      </c>
      <c r="R796">
        <v>340402</v>
      </c>
    </row>
    <row r="797" spans="1:18" x14ac:dyDescent="0.25">
      <c r="A797" s="170">
        <v>45273</v>
      </c>
      <c r="B797" s="116">
        <v>545.04</v>
      </c>
      <c r="C797" s="116">
        <v>540.71</v>
      </c>
      <c r="D797" s="116">
        <v>537.02</v>
      </c>
      <c r="E797" s="116">
        <v>542</v>
      </c>
      <c r="F797" s="116">
        <v>2703.55</v>
      </c>
      <c r="G797">
        <v>5545</v>
      </c>
      <c r="H797" s="116"/>
      <c r="I797" s="116"/>
      <c r="L797" s="170">
        <v>45278</v>
      </c>
      <c r="M797" s="116">
        <v>538.12</v>
      </c>
      <c r="N797" s="116">
        <v>544.41</v>
      </c>
      <c r="O797" s="116">
        <v>534.74</v>
      </c>
      <c r="P797" s="116">
        <v>544.41</v>
      </c>
      <c r="Q797" s="116">
        <v>2690.6</v>
      </c>
      <c r="R797">
        <v>455444</v>
      </c>
    </row>
    <row r="798" spans="1:18" x14ac:dyDescent="0.25">
      <c r="A798" s="170">
        <v>45274</v>
      </c>
      <c r="B798" s="116">
        <v>551.45000000000005</v>
      </c>
      <c r="C798" s="116">
        <v>548.75</v>
      </c>
      <c r="D798" s="116">
        <v>544.19000000000005</v>
      </c>
      <c r="E798" s="116">
        <v>546.24</v>
      </c>
      <c r="F798" s="116">
        <v>2743.75</v>
      </c>
      <c r="G798">
        <v>8614</v>
      </c>
      <c r="H798" s="116"/>
      <c r="I798" s="116"/>
      <c r="L798" s="170">
        <v>45279</v>
      </c>
      <c r="M798" s="116">
        <v>535.46</v>
      </c>
      <c r="N798" s="116">
        <v>549.97</v>
      </c>
      <c r="O798" s="116">
        <v>534.46</v>
      </c>
      <c r="P798" s="116">
        <v>540</v>
      </c>
      <c r="Q798" s="116">
        <v>2677.3</v>
      </c>
      <c r="R798">
        <v>447576</v>
      </c>
    </row>
    <row r="799" spans="1:18" x14ac:dyDescent="0.25">
      <c r="A799" s="170">
        <v>45275</v>
      </c>
      <c r="B799" s="116">
        <v>554.97</v>
      </c>
      <c r="C799" s="116">
        <v>543.24</v>
      </c>
      <c r="D799" s="116">
        <v>540</v>
      </c>
      <c r="E799" s="116">
        <v>551.80999999999995</v>
      </c>
      <c r="F799" s="116">
        <v>2716.2</v>
      </c>
      <c r="G799">
        <v>8768</v>
      </c>
      <c r="H799" s="116"/>
      <c r="I799" s="116"/>
      <c r="L799" s="170">
        <v>45280</v>
      </c>
      <c r="M799" s="116">
        <v>531.07000000000005</v>
      </c>
      <c r="N799" s="116">
        <v>554.48</v>
      </c>
      <c r="O799" s="116">
        <v>529</v>
      </c>
      <c r="P799" s="116">
        <v>540.19000000000005</v>
      </c>
      <c r="Q799" s="116">
        <v>2655.35</v>
      </c>
      <c r="R799">
        <v>913662</v>
      </c>
    </row>
    <row r="800" spans="1:18" x14ac:dyDescent="0.25">
      <c r="A800" s="170">
        <v>45278</v>
      </c>
      <c r="B800" s="116">
        <v>544.4</v>
      </c>
      <c r="C800" s="116">
        <v>538.01</v>
      </c>
      <c r="D800" s="116">
        <v>535</v>
      </c>
      <c r="E800" s="116">
        <v>542.01</v>
      </c>
      <c r="F800" s="116">
        <v>2690.05</v>
      </c>
      <c r="G800">
        <v>10571</v>
      </c>
      <c r="H800" s="116"/>
      <c r="I800" s="116"/>
      <c r="L800" s="170">
        <v>45281</v>
      </c>
      <c r="M800" s="116">
        <v>542.41</v>
      </c>
      <c r="N800" s="116">
        <v>544.62</v>
      </c>
      <c r="O800" s="116">
        <v>523.61</v>
      </c>
      <c r="P800" s="116">
        <v>528.4</v>
      </c>
      <c r="Q800" s="116">
        <v>2712.05</v>
      </c>
      <c r="R800">
        <v>371564</v>
      </c>
    </row>
    <row r="801" spans="1:18" x14ac:dyDescent="0.25">
      <c r="A801" s="170">
        <v>45279</v>
      </c>
      <c r="B801" s="116">
        <v>549.70000000000005</v>
      </c>
      <c r="C801" s="116">
        <v>535.29999999999995</v>
      </c>
      <c r="D801" s="116">
        <v>534.6</v>
      </c>
      <c r="E801" s="116">
        <v>540.55999999999995</v>
      </c>
      <c r="F801" s="116">
        <v>2676.5</v>
      </c>
      <c r="G801">
        <v>10113</v>
      </c>
      <c r="H801" s="116"/>
      <c r="I801" s="116"/>
      <c r="L801" s="170">
        <v>45282</v>
      </c>
      <c r="M801" s="116">
        <v>535.67999999999995</v>
      </c>
      <c r="N801" s="116">
        <v>546.89</v>
      </c>
      <c r="O801" s="116">
        <v>534.20000000000005</v>
      </c>
      <c r="P801" s="116">
        <v>543</v>
      </c>
      <c r="Q801" s="116">
        <v>2678.4</v>
      </c>
      <c r="R801">
        <v>291298</v>
      </c>
    </row>
    <row r="802" spans="1:18" x14ac:dyDescent="0.25">
      <c r="A802" s="170">
        <v>45280</v>
      </c>
      <c r="B802" s="116">
        <v>553.96</v>
      </c>
      <c r="C802" s="116">
        <v>530.52</v>
      </c>
      <c r="D802" s="116">
        <v>527.35</v>
      </c>
      <c r="E802" s="116">
        <v>539.74</v>
      </c>
      <c r="F802" s="116">
        <v>2652.6</v>
      </c>
      <c r="G802">
        <v>24723</v>
      </c>
      <c r="H802" s="116"/>
      <c r="I802" s="116"/>
      <c r="L802" s="170">
        <v>45286</v>
      </c>
      <c r="M802" s="116">
        <v>531.47</v>
      </c>
      <c r="N802" s="116">
        <v>541.89</v>
      </c>
      <c r="O802" s="116">
        <v>530</v>
      </c>
      <c r="P802" s="116">
        <v>539.05999999999995</v>
      </c>
      <c r="Q802" s="116">
        <v>2657.35</v>
      </c>
      <c r="R802">
        <v>154057</v>
      </c>
    </row>
    <row r="803" spans="1:18" x14ac:dyDescent="0.25">
      <c r="A803" s="170">
        <v>45281</v>
      </c>
      <c r="B803" s="116">
        <v>544.91</v>
      </c>
      <c r="C803" s="116">
        <v>542.36</v>
      </c>
      <c r="D803" s="116">
        <v>523.29999999999995</v>
      </c>
      <c r="E803" s="116">
        <v>528.03</v>
      </c>
      <c r="F803" s="116">
        <v>2711.8</v>
      </c>
      <c r="G803">
        <v>9540</v>
      </c>
      <c r="H803" s="116"/>
      <c r="I803" s="116"/>
      <c r="L803" s="170">
        <v>45287</v>
      </c>
      <c r="M803" s="116">
        <v>531.82000000000005</v>
      </c>
      <c r="N803" s="116">
        <v>538.76</v>
      </c>
      <c r="O803" s="116">
        <v>529.44000000000005</v>
      </c>
      <c r="P803" s="116">
        <v>537.65</v>
      </c>
      <c r="Q803" s="116">
        <v>2659.1</v>
      </c>
      <c r="R803">
        <v>393234</v>
      </c>
    </row>
    <row r="804" spans="1:18" x14ac:dyDescent="0.25">
      <c r="A804" s="170">
        <v>45282</v>
      </c>
      <c r="B804" s="116">
        <v>545.29999999999995</v>
      </c>
      <c r="C804" s="116">
        <v>535.85</v>
      </c>
      <c r="D804" s="116">
        <v>534.22</v>
      </c>
      <c r="E804" s="116">
        <v>542.44000000000005</v>
      </c>
      <c r="F804" s="116">
        <v>2679.25</v>
      </c>
      <c r="G804">
        <v>5404</v>
      </c>
      <c r="H804" s="116"/>
      <c r="I804" s="116"/>
      <c r="L804" s="170">
        <v>45288</v>
      </c>
      <c r="M804" s="116">
        <v>532.70000000000005</v>
      </c>
      <c r="N804" s="116">
        <v>537.24</v>
      </c>
      <c r="O804" s="116">
        <v>530</v>
      </c>
      <c r="P804" s="116">
        <v>537.24</v>
      </c>
      <c r="Q804" s="116">
        <v>2663.5</v>
      </c>
      <c r="R804">
        <v>207452</v>
      </c>
    </row>
    <row r="805" spans="1:18" x14ac:dyDescent="0.25">
      <c r="A805" s="170">
        <v>45286</v>
      </c>
      <c r="B805" s="116">
        <v>541.94000000000005</v>
      </c>
      <c r="C805" s="116">
        <v>531.54</v>
      </c>
      <c r="D805" s="116">
        <v>530.01</v>
      </c>
      <c r="E805" s="116">
        <v>537.33000000000004</v>
      </c>
      <c r="F805" s="116">
        <v>2657.7</v>
      </c>
      <c r="G805">
        <v>16517</v>
      </c>
      <c r="H805" s="116"/>
      <c r="I805" s="116"/>
      <c r="L805" s="170">
        <v>45289</v>
      </c>
      <c r="M805" s="116">
        <v>530.28</v>
      </c>
      <c r="N805" s="116">
        <v>535.54999999999995</v>
      </c>
      <c r="O805" s="116">
        <v>529.15</v>
      </c>
      <c r="P805" s="116">
        <v>533</v>
      </c>
      <c r="Q805" s="116">
        <v>2651.4</v>
      </c>
      <c r="R805">
        <v>226597</v>
      </c>
    </row>
    <row r="806" spans="1:18" x14ac:dyDescent="0.25">
      <c r="A806" s="170">
        <v>45287</v>
      </c>
      <c r="B806" s="116">
        <v>538.79999999999995</v>
      </c>
      <c r="C806" s="116">
        <v>531.87</v>
      </c>
      <c r="D806" s="116">
        <v>529.21</v>
      </c>
      <c r="E806" s="116">
        <v>537.79999999999995</v>
      </c>
      <c r="F806" s="116">
        <v>2659.35</v>
      </c>
      <c r="G806">
        <v>25062</v>
      </c>
      <c r="H806" s="116"/>
      <c r="I806" s="116"/>
      <c r="L806" s="170">
        <v>45292</v>
      </c>
      <c r="M806" s="116">
        <v>529.70000000000005</v>
      </c>
      <c r="N806" s="116">
        <v>535.4</v>
      </c>
      <c r="O806" s="116">
        <v>528.66</v>
      </c>
      <c r="P806" s="116">
        <v>531.79999999999995</v>
      </c>
      <c r="Q806" s="116">
        <v>2648.5</v>
      </c>
      <c r="R806">
        <v>66066</v>
      </c>
    </row>
    <row r="807" spans="1:18" x14ac:dyDescent="0.25">
      <c r="A807" s="170">
        <v>45288</v>
      </c>
      <c r="B807" s="116">
        <v>537.76</v>
      </c>
      <c r="C807" s="116">
        <v>532.47</v>
      </c>
      <c r="D807" s="116">
        <v>529.95000000000005</v>
      </c>
      <c r="E807" s="116">
        <v>536.03</v>
      </c>
      <c r="F807" s="116">
        <v>2662.35</v>
      </c>
      <c r="G807">
        <v>16246</v>
      </c>
      <c r="H807" s="116"/>
      <c r="I807" s="116"/>
      <c r="L807" s="170">
        <v>45293</v>
      </c>
      <c r="M807" s="116">
        <v>533.94000000000005</v>
      </c>
      <c r="N807" s="116">
        <v>539</v>
      </c>
      <c r="O807" s="116">
        <v>530.11</v>
      </c>
      <c r="P807" s="116">
        <v>531</v>
      </c>
      <c r="Q807" s="116">
        <v>2669.7</v>
      </c>
      <c r="R807">
        <v>143141</v>
      </c>
    </row>
    <row r="808" spans="1:18" x14ac:dyDescent="0.25">
      <c r="A808" s="170">
        <v>45289</v>
      </c>
      <c r="B808" s="116">
        <v>534.85</v>
      </c>
      <c r="C808" s="116">
        <v>530.51</v>
      </c>
      <c r="D808" s="116">
        <v>529.36</v>
      </c>
      <c r="E808" s="116">
        <v>532.47</v>
      </c>
      <c r="F808" s="116">
        <v>2652.55</v>
      </c>
      <c r="G808">
        <v>6442</v>
      </c>
      <c r="H808" s="116"/>
      <c r="I808" s="116"/>
      <c r="L808" s="170">
        <v>45294</v>
      </c>
      <c r="M808" s="116">
        <v>530.41999999999996</v>
      </c>
      <c r="N808" s="116">
        <v>537.16</v>
      </c>
      <c r="O808" s="116">
        <v>529.9</v>
      </c>
      <c r="P808" s="116">
        <v>534.14</v>
      </c>
      <c r="Q808" s="116">
        <v>2652.1</v>
      </c>
      <c r="R808">
        <v>112428</v>
      </c>
    </row>
    <row r="809" spans="1:18" x14ac:dyDescent="0.25">
      <c r="A809" s="170">
        <v>45292</v>
      </c>
      <c r="B809" s="116">
        <v>535.30999999999995</v>
      </c>
      <c r="C809" s="116">
        <v>529.66</v>
      </c>
      <c r="D809" s="116">
        <v>528.89</v>
      </c>
      <c r="E809" s="116">
        <v>529.01</v>
      </c>
      <c r="F809" s="116">
        <v>2648.3</v>
      </c>
      <c r="G809">
        <v>15262</v>
      </c>
      <c r="H809" s="116"/>
      <c r="I809" s="116"/>
      <c r="L809" s="170">
        <v>45295</v>
      </c>
      <c r="M809" s="116">
        <v>541.66999999999996</v>
      </c>
      <c r="N809" s="116">
        <v>548.95000000000005</v>
      </c>
      <c r="O809" s="116">
        <v>534.20000000000005</v>
      </c>
      <c r="P809" s="116">
        <v>535</v>
      </c>
      <c r="Q809" s="116">
        <v>2708.35</v>
      </c>
      <c r="R809">
        <v>268532</v>
      </c>
    </row>
    <row r="810" spans="1:18" x14ac:dyDescent="0.25">
      <c r="A810" s="170">
        <v>45293</v>
      </c>
      <c r="B810" s="116">
        <v>539</v>
      </c>
      <c r="C810" s="116">
        <v>534.02</v>
      </c>
      <c r="D810" s="116">
        <v>530.74</v>
      </c>
      <c r="E810" s="116">
        <v>533.97</v>
      </c>
      <c r="F810" s="116">
        <v>2670.1</v>
      </c>
      <c r="G810">
        <v>6003</v>
      </c>
      <c r="H810" s="116"/>
      <c r="I810" s="116"/>
      <c r="L810" s="170">
        <v>45296</v>
      </c>
      <c r="M810" s="116">
        <v>549.63</v>
      </c>
      <c r="N810" s="116">
        <v>553.6</v>
      </c>
      <c r="O810" s="116">
        <v>542.44000000000005</v>
      </c>
      <c r="P810" s="116">
        <v>545.04999999999995</v>
      </c>
      <c r="Q810" s="116">
        <v>2748.15</v>
      </c>
      <c r="R810">
        <v>354882</v>
      </c>
    </row>
    <row r="811" spans="1:18" x14ac:dyDescent="0.25">
      <c r="A811" s="170">
        <v>45294</v>
      </c>
      <c r="B811" s="116">
        <v>536.99</v>
      </c>
      <c r="C811" s="116">
        <v>530.71</v>
      </c>
      <c r="D811" s="116">
        <v>530</v>
      </c>
      <c r="E811" s="116">
        <v>532.83000000000004</v>
      </c>
      <c r="F811" s="116">
        <v>2653.55</v>
      </c>
      <c r="G811">
        <v>21160</v>
      </c>
      <c r="H811" s="116"/>
      <c r="I811" s="116"/>
      <c r="L811" s="170">
        <v>45299</v>
      </c>
      <c r="M811" s="116">
        <v>552.88</v>
      </c>
      <c r="N811" s="116">
        <v>557.70000000000005</v>
      </c>
      <c r="O811" s="116">
        <v>550.79999999999995</v>
      </c>
      <c r="P811" s="116">
        <v>553.79999999999995</v>
      </c>
      <c r="Q811" s="116">
        <v>2764.4</v>
      </c>
      <c r="R811">
        <v>259268</v>
      </c>
    </row>
    <row r="812" spans="1:18" x14ac:dyDescent="0.25">
      <c r="A812" s="170">
        <v>45295</v>
      </c>
      <c r="B812" s="116">
        <v>548.74</v>
      </c>
      <c r="C812" s="116">
        <v>541.65</v>
      </c>
      <c r="D812" s="116">
        <v>532.04</v>
      </c>
      <c r="E812" s="116">
        <v>532.04</v>
      </c>
      <c r="F812" s="116">
        <v>2708.25</v>
      </c>
      <c r="G812">
        <v>36470</v>
      </c>
      <c r="H812" s="116"/>
      <c r="I812" s="116"/>
      <c r="L812" s="170">
        <v>45300</v>
      </c>
      <c r="M812" s="116">
        <v>553.28</v>
      </c>
      <c r="N812" s="116">
        <v>558</v>
      </c>
      <c r="O812" s="116">
        <v>551.11</v>
      </c>
      <c r="P812" s="116">
        <v>556.79999999999995</v>
      </c>
      <c r="Q812" s="116">
        <v>2766.4</v>
      </c>
      <c r="R812">
        <v>183656</v>
      </c>
    </row>
    <row r="813" spans="1:18" x14ac:dyDescent="0.25">
      <c r="A813" s="170">
        <v>45296</v>
      </c>
      <c r="B813" s="116">
        <v>553.72</v>
      </c>
      <c r="C813" s="116">
        <v>549.46</v>
      </c>
      <c r="D813" s="116">
        <v>542.30999999999995</v>
      </c>
      <c r="E813" s="116">
        <v>545.61</v>
      </c>
      <c r="F813" s="116">
        <v>2747.3</v>
      </c>
      <c r="G813">
        <v>13437</v>
      </c>
      <c r="H813" s="116"/>
      <c r="I813" s="116"/>
      <c r="L813" s="170">
        <v>45301</v>
      </c>
      <c r="M813" s="116">
        <v>552.25</v>
      </c>
      <c r="N813" s="116">
        <v>555.99</v>
      </c>
      <c r="O813" s="116">
        <v>549.79999999999995</v>
      </c>
      <c r="P813" s="116">
        <v>553.28</v>
      </c>
      <c r="Q813" s="116">
        <v>2761.25</v>
      </c>
      <c r="R813">
        <v>135336</v>
      </c>
    </row>
    <row r="814" spans="1:18" x14ac:dyDescent="0.25">
      <c r="A814" s="170">
        <v>45299</v>
      </c>
      <c r="B814" s="116">
        <v>558.11</v>
      </c>
      <c r="C814" s="116">
        <v>552.92999999999995</v>
      </c>
      <c r="D814" s="116">
        <v>550.62</v>
      </c>
      <c r="E814" s="116">
        <v>558.11</v>
      </c>
      <c r="F814" s="116">
        <v>2764.65</v>
      </c>
      <c r="G814">
        <v>7538</v>
      </c>
      <c r="H814" s="116"/>
      <c r="I814" s="116"/>
      <c r="L814" s="170">
        <v>45302</v>
      </c>
      <c r="M814" s="116">
        <v>558.74</v>
      </c>
      <c r="N814" s="116">
        <v>561.27</v>
      </c>
      <c r="O814" s="116">
        <v>553.01</v>
      </c>
      <c r="P814" s="116">
        <v>554.39</v>
      </c>
      <c r="Q814" s="116">
        <v>2793.7</v>
      </c>
      <c r="R814">
        <v>320624</v>
      </c>
    </row>
    <row r="815" spans="1:18" x14ac:dyDescent="0.25">
      <c r="A815" s="170">
        <v>45300</v>
      </c>
      <c r="B815" s="116">
        <v>557.99</v>
      </c>
      <c r="C815" s="116">
        <v>552.94000000000005</v>
      </c>
      <c r="D815" s="116">
        <v>550.97</v>
      </c>
      <c r="E815" s="116">
        <v>554.22</v>
      </c>
      <c r="F815" s="116">
        <v>2764.7</v>
      </c>
      <c r="G815">
        <v>23349</v>
      </c>
      <c r="H815" s="116"/>
      <c r="I815" s="116"/>
      <c r="L815" s="170">
        <v>45303</v>
      </c>
      <c r="M815" s="116">
        <v>567.84</v>
      </c>
      <c r="N815" s="116">
        <v>571.52</v>
      </c>
      <c r="O815" s="116">
        <v>558.4</v>
      </c>
      <c r="P815" s="116">
        <v>562</v>
      </c>
      <c r="Q815" s="116">
        <v>2839.2</v>
      </c>
      <c r="R815">
        <v>420064</v>
      </c>
    </row>
    <row r="816" spans="1:18" x14ac:dyDescent="0.25">
      <c r="A816" s="170">
        <v>45301</v>
      </c>
      <c r="B816" s="116">
        <v>556.36</v>
      </c>
      <c r="C816" s="116">
        <v>552.24</v>
      </c>
      <c r="D816" s="116">
        <v>549.41999999999996</v>
      </c>
      <c r="E816" s="116">
        <v>552.94000000000005</v>
      </c>
      <c r="F816" s="116">
        <v>2761.2</v>
      </c>
      <c r="G816">
        <v>3547</v>
      </c>
      <c r="H816" s="116"/>
      <c r="I816" s="116"/>
      <c r="L816" s="170">
        <v>45306</v>
      </c>
      <c r="M816" s="116">
        <v>569.99</v>
      </c>
      <c r="N816" s="116">
        <v>572</v>
      </c>
      <c r="O816" s="116">
        <v>566.75</v>
      </c>
      <c r="P816" s="116">
        <v>570.20000000000005</v>
      </c>
      <c r="Q816" s="116">
        <v>2849.95</v>
      </c>
      <c r="R816">
        <v>322982</v>
      </c>
    </row>
    <row r="817" spans="1:18" x14ac:dyDescent="0.25">
      <c r="A817" s="170">
        <v>45302</v>
      </c>
      <c r="B817" s="116">
        <v>561</v>
      </c>
      <c r="C817" s="116">
        <v>557.89</v>
      </c>
      <c r="D817" s="116">
        <v>553.52</v>
      </c>
      <c r="E817" s="116">
        <v>554</v>
      </c>
      <c r="F817" s="116">
        <v>2789.45</v>
      </c>
      <c r="G817">
        <v>5246</v>
      </c>
      <c r="H817" s="116"/>
      <c r="I817" s="116"/>
      <c r="L817" s="170">
        <v>45307</v>
      </c>
      <c r="M817" s="116">
        <v>569.54</v>
      </c>
      <c r="N817" s="116">
        <v>573.33000000000004</v>
      </c>
      <c r="O817" s="116">
        <v>564</v>
      </c>
      <c r="P817" s="116">
        <v>569.99</v>
      </c>
      <c r="Q817" s="116">
        <v>2847.7</v>
      </c>
      <c r="R817">
        <v>295251</v>
      </c>
    </row>
    <row r="818" spans="1:18" x14ac:dyDescent="0.25">
      <c r="A818" s="170">
        <v>45303</v>
      </c>
      <c r="B818" s="116">
        <v>570.53</v>
      </c>
      <c r="C818" s="116">
        <v>567.61</v>
      </c>
      <c r="D818" s="116">
        <v>558.95000000000005</v>
      </c>
      <c r="E818" s="116">
        <v>564.37</v>
      </c>
      <c r="F818" s="116">
        <v>2838.05</v>
      </c>
      <c r="G818">
        <v>6836</v>
      </c>
      <c r="H818" s="116"/>
      <c r="I818" s="116"/>
      <c r="L818" s="170">
        <v>45308</v>
      </c>
      <c r="M818" s="116">
        <v>564.79999999999995</v>
      </c>
      <c r="N818" s="116">
        <v>574.4</v>
      </c>
      <c r="O818" s="116">
        <v>559.80999999999995</v>
      </c>
      <c r="P818" s="116">
        <v>567.79999999999995</v>
      </c>
      <c r="Q818" s="116">
        <v>2824</v>
      </c>
      <c r="R818">
        <v>263893</v>
      </c>
    </row>
    <row r="819" spans="1:18" x14ac:dyDescent="0.25">
      <c r="A819" s="170">
        <v>45306</v>
      </c>
      <c r="B819" s="116">
        <v>571.91999999999996</v>
      </c>
      <c r="C819" s="116">
        <v>569.99</v>
      </c>
      <c r="D819" s="116">
        <v>566.46</v>
      </c>
      <c r="E819" s="116">
        <v>568.84</v>
      </c>
      <c r="F819" s="116">
        <v>2849.95</v>
      </c>
      <c r="G819">
        <v>14790</v>
      </c>
      <c r="H819" s="116"/>
      <c r="I819" s="116"/>
      <c r="L819" s="170">
        <v>45309</v>
      </c>
      <c r="M819" s="116">
        <v>560.63</v>
      </c>
      <c r="N819" s="116">
        <v>563.29</v>
      </c>
      <c r="O819" s="116">
        <v>543.23</v>
      </c>
      <c r="P819" s="116">
        <v>561</v>
      </c>
      <c r="Q819" s="116">
        <v>2803.15</v>
      </c>
      <c r="R819">
        <v>284083</v>
      </c>
    </row>
    <row r="820" spans="1:18" x14ac:dyDescent="0.25">
      <c r="A820" s="170">
        <v>45307</v>
      </c>
      <c r="B820" s="116">
        <v>572.98</v>
      </c>
      <c r="C820" s="116">
        <v>569.25</v>
      </c>
      <c r="D820" s="116">
        <v>561.23</v>
      </c>
      <c r="E820" s="116">
        <v>561.23</v>
      </c>
      <c r="F820" s="116">
        <v>2846.25</v>
      </c>
      <c r="G820">
        <v>26469</v>
      </c>
      <c r="H820" s="116"/>
      <c r="I820" s="116"/>
      <c r="L820" s="170">
        <v>45310</v>
      </c>
      <c r="M820" s="116">
        <v>560.94000000000005</v>
      </c>
      <c r="N820" s="116">
        <v>565.62</v>
      </c>
      <c r="O820" s="116">
        <v>555.4</v>
      </c>
      <c r="P820" s="116">
        <v>563.20000000000005</v>
      </c>
      <c r="Q820" s="116">
        <v>2804.7</v>
      </c>
      <c r="R820">
        <v>172854</v>
      </c>
    </row>
    <row r="821" spans="1:18" x14ac:dyDescent="0.25">
      <c r="A821" s="170">
        <v>45308</v>
      </c>
      <c r="B821" s="116">
        <v>574.15</v>
      </c>
      <c r="C821" s="116">
        <v>564.66999999999996</v>
      </c>
      <c r="D821" s="116">
        <v>560.41</v>
      </c>
      <c r="E821" s="116">
        <v>565.11</v>
      </c>
      <c r="F821" s="116">
        <v>2823.35</v>
      </c>
      <c r="G821">
        <v>7050</v>
      </c>
      <c r="H821" s="116"/>
      <c r="I821" s="116"/>
      <c r="L821" s="170">
        <v>45311</v>
      </c>
      <c r="M821" s="116">
        <v>553.14</v>
      </c>
      <c r="N821" s="116">
        <v>567.76</v>
      </c>
      <c r="O821" s="116">
        <v>551.30999999999995</v>
      </c>
      <c r="P821" s="116">
        <v>557.6</v>
      </c>
      <c r="Q821" s="116">
        <v>2765.7</v>
      </c>
      <c r="R821">
        <v>60975</v>
      </c>
    </row>
    <row r="822" spans="1:18" x14ac:dyDescent="0.25">
      <c r="A822" s="170">
        <v>45309</v>
      </c>
      <c r="B822" s="116">
        <v>563.29</v>
      </c>
      <c r="C822" s="116">
        <v>560.59</v>
      </c>
      <c r="D822" s="116">
        <v>543.30999999999995</v>
      </c>
      <c r="E822" s="116">
        <v>555.63</v>
      </c>
      <c r="F822" s="116">
        <v>2802.95</v>
      </c>
      <c r="G822">
        <v>10288</v>
      </c>
      <c r="H822" s="116"/>
      <c r="I822" s="116"/>
      <c r="L822" s="170">
        <v>45314</v>
      </c>
      <c r="M822" s="116">
        <v>547.99</v>
      </c>
      <c r="N822" s="116">
        <v>556.96</v>
      </c>
      <c r="O822" s="116">
        <v>540.62</v>
      </c>
      <c r="P822" s="116">
        <v>556.20000000000005</v>
      </c>
      <c r="Q822" s="116">
        <v>2739.95</v>
      </c>
      <c r="R822">
        <v>208855</v>
      </c>
    </row>
    <row r="823" spans="1:18" x14ac:dyDescent="0.25">
      <c r="A823" s="170">
        <v>45310</v>
      </c>
      <c r="B823" s="116">
        <v>566.48</v>
      </c>
      <c r="C823" s="116">
        <v>560.95000000000005</v>
      </c>
      <c r="D823" s="116">
        <v>555.6</v>
      </c>
      <c r="E823" s="116">
        <v>566.48</v>
      </c>
      <c r="F823" s="116">
        <v>2804.75</v>
      </c>
      <c r="G823">
        <v>2642</v>
      </c>
      <c r="H823" s="116"/>
      <c r="I823" s="116"/>
      <c r="L823" s="170">
        <v>45315</v>
      </c>
      <c r="M823" s="116">
        <v>546.58000000000004</v>
      </c>
      <c r="N823" s="116">
        <v>555.89</v>
      </c>
      <c r="O823" s="116">
        <v>532.12</v>
      </c>
      <c r="P823" s="116">
        <v>540.20000000000005</v>
      </c>
      <c r="Q823" s="116">
        <v>2732.9</v>
      </c>
      <c r="R823">
        <v>822067</v>
      </c>
    </row>
    <row r="824" spans="1:18" x14ac:dyDescent="0.25">
      <c r="A824" s="170">
        <v>45311</v>
      </c>
      <c r="B824" s="116">
        <v>567.20000000000005</v>
      </c>
      <c r="C824" s="116">
        <v>552.64</v>
      </c>
      <c r="D824" s="116">
        <v>552</v>
      </c>
      <c r="E824" s="116">
        <v>555.02</v>
      </c>
      <c r="F824" s="116">
        <v>2763.2</v>
      </c>
      <c r="G824">
        <v>13433</v>
      </c>
      <c r="H824" s="116"/>
      <c r="I824" s="116"/>
      <c r="L824" s="170">
        <v>45316</v>
      </c>
      <c r="M824" s="116">
        <v>549.44000000000005</v>
      </c>
      <c r="N824" s="116">
        <v>553</v>
      </c>
      <c r="O824" s="116">
        <v>541.4</v>
      </c>
      <c r="P824" s="116">
        <v>546.99</v>
      </c>
      <c r="Q824" s="116">
        <v>2747.2</v>
      </c>
      <c r="R824">
        <v>74779</v>
      </c>
    </row>
    <row r="825" spans="1:18" x14ac:dyDescent="0.25">
      <c r="A825" s="170">
        <v>45314</v>
      </c>
      <c r="B825" s="116">
        <v>558.95000000000005</v>
      </c>
      <c r="C825" s="116">
        <v>547.95000000000005</v>
      </c>
      <c r="D825" s="116">
        <v>541.45000000000005</v>
      </c>
      <c r="E825" s="116">
        <v>558.95000000000005</v>
      </c>
      <c r="F825" s="116">
        <v>2739.75</v>
      </c>
      <c r="G825">
        <v>6743</v>
      </c>
      <c r="H825" s="116"/>
      <c r="I825" s="116"/>
      <c r="L825" s="170">
        <v>45320</v>
      </c>
      <c r="M825" s="116">
        <v>548.45000000000005</v>
      </c>
      <c r="N825" s="116">
        <v>549.49</v>
      </c>
      <c r="O825" s="116">
        <v>541.54</v>
      </c>
      <c r="P825" s="116">
        <v>543</v>
      </c>
      <c r="Q825" s="116">
        <v>2742.25</v>
      </c>
      <c r="R825">
        <v>131601</v>
      </c>
    </row>
    <row r="826" spans="1:18" x14ac:dyDescent="0.25">
      <c r="A826" s="170">
        <v>45315</v>
      </c>
      <c r="B826" s="116">
        <v>555.12</v>
      </c>
      <c r="C826" s="116">
        <v>546.66</v>
      </c>
      <c r="D826" s="116">
        <v>532.20000000000005</v>
      </c>
      <c r="E826" s="116">
        <v>540.6</v>
      </c>
      <c r="F826" s="116">
        <v>2733.3</v>
      </c>
      <c r="G826">
        <v>481044</v>
      </c>
      <c r="H826" s="116"/>
      <c r="I826" s="116"/>
      <c r="L826" s="170">
        <v>45321</v>
      </c>
      <c r="M826" s="116">
        <v>554.29999999999995</v>
      </c>
      <c r="N826" s="116">
        <v>567</v>
      </c>
      <c r="O826" s="116">
        <v>548.6</v>
      </c>
      <c r="P826" s="116">
        <v>548.61</v>
      </c>
      <c r="Q826" s="116">
        <v>2771.5</v>
      </c>
      <c r="R826">
        <v>295643</v>
      </c>
    </row>
    <row r="827" spans="1:18" x14ac:dyDescent="0.25">
      <c r="A827" s="170">
        <v>45316</v>
      </c>
      <c r="B827" s="116">
        <v>552.83000000000004</v>
      </c>
      <c r="C827" s="116">
        <v>549.01</v>
      </c>
      <c r="D827" s="116">
        <v>541.04999999999995</v>
      </c>
      <c r="E827" s="116">
        <v>546.33000000000004</v>
      </c>
      <c r="F827" s="116">
        <v>2745.05</v>
      </c>
      <c r="G827">
        <v>77196</v>
      </c>
      <c r="H827" s="116"/>
      <c r="I827" s="116"/>
      <c r="L827" s="170">
        <v>45322</v>
      </c>
      <c r="M827" s="116">
        <v>579.4</v>
      </c>
      <c r="N827" s="116">
        <v>586.97</v>
      </c>
      <c r="O827" s="116">
        <v>557</v>
      </c>
      <c r="P827" s="116">
        <v>559.59</v>
      </c>
      <c r="Q827" s="116">
        <v>2897</v>
      </c>
      <c r="R827">
        <v>686982</v>
      </c>
    </row>
    <row r="828" spans="1:18" x14ac:dyDescent="0.25">
      <c r="A828" s="170">
        <v>45320</v>
      </c>
      <c r="B828" s="116">
        <v>549.42999999999995</v>
      </c>
      <c r="C828" s="116">
        <v>548.13</v>
      </c>
      <c r="D828" s="116">
        <v>538.48</v>
      </c>
      <c r="E828" s="116">
        <v>538.48</v>
      </c>
      <c r="F828" s="116">
        <v>2740.65</v>
      </c>
      <c r="G828">
        <v>6647</v>
      </c>
      <c r="H828" s="116"/>
      <c r="I828" s="116"/>
      <c r="L828" s="170">
        <v>45323</v>
      </c>
      <c r="M828" s="116">
        <v>576.01</v>
      </c>
      <c r="N828" s="116">
        <v>586.75</v>
      </c>
      <c r="O828" s="116">
        <v>571.21</v>
      </c>
      <c r="P828" s="116">
        <v>586.75</v>
      </c>
      <c r="Q828" s="116">
        <v>2880.05</v>
      </c>
      <c r="R828">
        <v>186804</v>
      </c>
    </row>
    <row r="829" spans="1:18" x14ac:dyDescent="0.25">
      <c r="A829" s="170">
        <v>45321</v>
      </c>
      <c r="B829" s="116">
        <v>567.15</v>
      </c>
      <c r="C829" s="116">
        <v>555.22</v>
      </c>
      <c r="D829" s="116">
        <v>549.98</v>
      </c>
      <c r="E829" s="116">
        <v>549.98</v>
      </c>
      <c r="F829" s="116">
        <v>2776.1</v>
      </c>
      <c r="G829">
        <v>8588</v>
      </c>
      <c r="H829" s="116"/>
      <c r="I829" s="116"/>
      <c r="L829" s="170">
        <v>45324</v>
      </c>
      <c r="M829" s="116">
        <v>577.04999999999995</v>
      </c>
      <c r="N829" s="116">
        <v>585.48</v>
      </c>
      <c r="O829" s="116">
        <v>574.20000000000005</v>
      </c>
      <c r="P829" s="116">
        <v>576.08000000000004</v>
      </c>
      <c r="Q829" s="116">
        <v>2885.25</v>
      </c>
      <c r="R829">
        <v>283198</v>
      </c>
    </row>
    <row r="830" spans="1:18" x14ac:dyDescent="0.25">
      <c r="A830" s="170">
        <v>45322</v>
      </c>
      <c r="B830" s="116">
        <v>586.78</v>
      </c>
      <c r="C830" s="116">
        <v>579.22</v>
      </c>
      <c r="D830" s="116">
        <v>559.6</v>
      </c>
      <c r="E830" s="116">
        <v>561.15</v>
      </c>
      <c r="F830" s="116">
        <v>2896.1</v>
      </c>
      <c r="G830">
        <v>72739</v>
      </c>
      <c r="H830" s="116"/>
      <c r="I830" s="116"/>
      <c r="L830" s="170">
        <v>45327</v>
      </c>
      <c r="M830" s="116">
        <v>579.66999999999996</v>
      </c>
      <c r="N830" s="116">
        <v>592</v>
      </c>
      <c r="O830" s="116">
        <v>578.19000000000005</v>
      </c>
      <c r="P830" s="116">
        <v>580</v>
      </c>
      <c r="Q830" s="116">
        <v>2898.35</v>
      </c>
      <c r="R830">
        <v>336280</v>
      </c>
    </row>
    <row r="831" spans="1:18" x14ac:dyDescent="0.25">
      <c r="A831" s="170">
        <v>45323</v>
      </c>
      <c r="B831" s="116">
        <v>587</v>
      </c>
      <c r="C831" s="116">
        <v>576.75</v>
      </c>
      <c r="D831" s="116">
        <v>571.79999999999995</v>
      </c>
      <c r="E831" s="116">
        <v>587</v>
      </c>
      <c r="F831" s="116">
        <v>2883.75</v>
      </c>
      <c r="G831">
        <v>8880</v>
      </c>
      <c r="H831" s="116"/>
      <c r="I831" s="116"/>
      <c r="L831" s="170">
        <v>45328</v>
      </c>
      <c r="M831" s="116">
        <v>588.47</v>
      </c>
      <c r="N831" s="116">
        <v>597</v>
      </c>
      <c r="O831" s="116">
        <v>578.4</v>
      </c>
      <c r="P831" s="116">
        <v>579.66999999999996</v>
      </c>
      <c r="Q831" s="116">
        <v>2942.35</v>
      </c>
      <c r="R831">
        <v>647373</v>
      </c>
    </row>
    <row r="832" spans="1:18" x14ac:dyDescent="0.25">
      <c r="A832" s="170">
        <v>45324</v>
      </c>
      <c r="B832" s="116">
        <v>585.72</v>
      </c>
      <c r="C832" s="116">
        <v>576.22</v>
      </c>
      <c r="D832" s="116">
        <v>572.76</v>
      </c>
      <c r="E832" s="116">
        <v>572.76</v>
      </c>
      <c r="F832" s="116">
        <v>2881.1</v>
      </c>
      <c r="G832">
        <v>267067</v>
      </c>
      <c r="H832" s="116"/>
      <c r="I832" s="116"/>
      <c r="L832" s="170">
        <v>45329</v>
      </c>
      <c r="M832" s="116">
        <v>570.4</v>
      </c>
      <c r="N832" s="116">
        <v>595.76</v>
      </c>
      <c r="O832" s="116">
        <v>565.6</v>
      </c>
      <c r="P832" s="116">
        <v>592</v>
      </c>
      <c r="Q832" s="116">
        <v>2852</v>
      </c>
      <c r="R832">
        <v>456899</v>
      </c>
    </row>
    <row r="833" spans="1:18" x14ac:dyDescent="0.25">
      <c r="A833" s="170">
        <v>45327</v>
      </c>
      <c r="B833" s="116">
        <v>591.76</v>
      </c>
      <c r="C833" s="116">
        <v>579.58000000000004</v>
      </c>
      <c r="D833" s="116">
        <v>578.23</v>
      </c>
      <c r="E833" s="116">
        <v>580</v>
      </c>
      <c r="F833" s="116">
        <v>2897.9</v>
      </c>
      <c r="G833">
        <v>12054</v>
      </c>
      <c r="H833" s="116"/>
      <c r="I833" s="116"/>
      <c r="L833" s="170">
        <v>45330</v>
      </c>
      <c r="M833" s="116">
        <v>587.58000000000004</v>
      </c>
      <c r="N833" s="116">
        <v>604.99</v>
      </c>
      <c r="O833" s="116">
        <v>571</v>
      </c>
      <c r="P833" s="116">
        <v>571</v>
      </c>
      <c r="Q833" s="116">
        <v>2937.9</v>
      </c>
      <c r="R833">
        <v>591677</v>
      </c>
    </row>
    <row r="834" spans="1:18" x14ac:dyDescent="0.25">
      <c r="A834" s="170">
        <v>45328</v>
      </c>
      <c r="B834" s="116">
        <v>596.80999999999995</v>
      </c>
      <c r="C834" s="116">
        <v>588.41999999999996</v>
      </c>
      <c r="D834" s="116">
        <v>578.23</v>
      </c>
      <c r="E834" s="116">
        <v>578.83000000000004</v>
      </c>
      <c r="F834" s="116">
        <v>2942.1</v>
      </c>
      <c r="G834">
        <v>13069</v>
      </c>
      <c r="H834" s="116"/>
      <c r="I834" s="116"/>
      <c r="L834" s="170">
        <v>45331</v>
      </c>
      <c r="M834" s="116">
        <v>581.04999999999995</v>
      </c>
      <c r="N834" s="116">
        <v>596.39</v>
      </c>
      <c r="O834" s="116">
        <v>574</v>
      </c>
      <c r="P834" s="116">
        <v>589.21</v>
      </c>
      <c r="Q834" s="116">
        <v>2905.25</v>
      </c>
      <c r="R834">
        <v>181926</v>
      </c>
    </row>
    <row r="835" spans="1:18" x14ac:dyDescent="0.25">
      <c r="A835" s="170">
        <v>45329</v>
      </c>
      <c r="B835" s="116">
        <v>595.15</v>
      </c>
      <c r="C835" s="116">
        <v>569.94000000000005</v>
      </c>
      <c r="D835" s="116">
        <v>565.77</v>
      </c>
      <c r="E835" s="116">
        <v>592.84</v>
      </c>
      <c r="F835" s="116">
        <v>2849.7</v>
      </c>
      <c r="G835">
        <v>12754</v>
      </c>
      <c r="H835" s="116"/>
      <c r="I835" s="116"/>
      <c r="L835" s="170">
        <v>45334</v>
      </c>
      <c r="M835" s="116">
        <v>571.38</v>
      </c>
      <c r="N835" s="116">
        <v>592.63</v>
      </c>
      <c r="O835" s="116">
        <v>562.96</v>
      </c>
      <c r="P835" s="116">
        <v>585.79999999999995</v>
      </c>
      <c r="Q835" s="116">
        <v>2856.9</v>
      </c>
      <c r="R835">
        <v>230380</v>
      </c>
    </row>
    <row r="836" spans="1:18" x14ac:dyDescent="0.25">
      <c r="A836" s="170">
        <v>45330</v>
      </c>
      <c r="B836" s="116">
        <v>604.99</v>
      </c>
      <c r="C836" s="116">
        <v>588.84</v>
      </c>
      <c r="D836" s="116">
        <v>570.91</v>
      </c>
      <c r="E836" s="116">
        <v>574.37</v>
      </c>
      <c r="F836" s="116">
        <v>2944.2</v>
      </c>
      <c r="G836">
        <v>18034</v>
      </c>
      <c r="H836" s="116"/>
      <c r="I836" s="116"/>
      <c r="L836" s="170">
        <v>45335</v>
      </c>
      <c r="M836" s="116">
        <v>565.15</v>
      </c>
      <c r="N836" s="116">
        <v>573.41</v>
      </c>
      <c r="O836" s="116">
        <v>555.33000000000004</v>
      </c>
      <c r="P836" s="116">
        <v>569.04</v>
      </c>
      <c r="Q836" s="116">
        <v>2825.75</v>
      </c>
      <c r="R836">
        <v>264787</v>
      </c>
    </row>
    <row r="837" spans="1:18" x14ac:dyDescent="0.25">
      <c r="A837" s="170">
        <v>45331</v>
      </c>
      <c r="B837" s="116">
        <v>596</v>
      </c>
      <c r="C837" s="116">
        <v>580.80999999999995</v>
      </c>
      <c r="D837" s="116">
        <v>574</v>
      </c>
      <c r="E837" s="116">
        <v>592.37</v>
      </c>
      <c r="F837" s="116">
        <v>2904.05</v>
      </c>
      <c r="G837">
        <v>25467</v>
      </c>
      <c r="H837" s="116"/>
      <c r="I837" s="116"/>
      <c r="L837" s="170">
        <v>45336</v>
      </c>
      <c r="M837" s="116">
        <v>568.04</v>
      </c>
      <c r="N837" s="116">
        <v>570.24</v>
      </c>
      <c r="O837" s="116">
        <v>557.72</v>
      </c>
      <c r="P837" s="116">
        <v>558</v>
      </c>
      <c r="Q837" s="116">
        <v>2840.2</v>
      </c>
      <c r="R837">
        <v>111100</v>
      </c>
    </row>
    <row r="838" spans="1:18" x14ac:dyDescent="0.25">
      <c r="A838" s="170">
        <v>45334</v>
      </c>
      <c r="B838" s="116">
        <v>593.08000000000004</v>
      </c>
      <c r="C838" s="116">
        <v>567.20000000000005</v>
      </c>
      <c r="D838" s="116">
        <v>560.83000000000004</v>
      </c>
      <c r="E838" s="116">
        <v>590.35</v>
      </c>
      <c r="F838" s="116">
        <v>2836</v>
      </c>
      <c r="G838">
        <v>13480</v>
      </c>
      <c r="H838" s="116"/>
      <c r="I838" s="116"/>
      <c r="L838" s="170">
        <v>45337</v>
      </c>
      <c r="M838" s="116">
        <v>581.9</v>
      </c>
      <c r="N838" s="116">
        <v>584</v>
      </c>
      <c r="O838" s="116">
        <v>569.6</v>
      </c>
      <c r="P838" s="116">
        <v>569.6</v>
      </c>
      <c r="Q838" s="116">
        <v>2909.5</v>
      </c>
      <c r="R838">
        <v>171850</v>
      </c>
    </row>
    <row r="839" spans="1:18" x14ac:dyDescent="0.25">
      <c r="A839" s="170">
        <v>45335</v>
      </c>
      <c r="B839" s="116">
        <v>573.25</v>
      </c>
      <c r="C839" s="116">
        <v>565.07000000000005</v>
      </c>
      <c r="D839" s="116">
        <v>556</v>
      </c>
      <c r="E839" s="116">
        <v>568.04</v>
      </c>
      <c r="F839" s="116">
        <v>2825.35</v>
      </c>
      <c r="G839">
        <v>9138</v>
      </c>
      <c r="H839" s="116"/>
      <c r="I839" s="116"/>
      <c r="L839" s="170">
        <v>45338</v>
      </c>
      <c r="M839" s="116">
        <v>578.03</v>
      </c>
      <c r="N839" s="116">
        <v>583.95000000000005</v>
      </c>
      <c r="O839" s="116">
        <v>572.42999999999995</v>
      </c>
      <c r="P839" s="116">
        <v>583</v>
      </c>
      <c r="Q839" s="116">
        <v>2890.15</v>
      </c>
      <c r="R839">
        <v>113586</v>
      </c>
    </row>
    <row r="840" spans="1:18" x14ac:dyDescent="0.25">
      <c r="A840" s="170">
        <v>45336</v>
      </c>
      <c r="B840" s="116">
        <v>570.23</v>
      </c>
      <c r="C840" s="116">
        <v>567.70000000000005</v>
      </c>
      <c r="D840" s="116">
        <v>558.67999999999995</v>
      </c>
      <c r="E840" s="116">
        <v>558.67999999999995</v>
      </c>
      <c r="F840" s="116">
        <v>2838.5</v>
      </c>
      <c r="G840">
        <v>3466</v>
      </c>
      <c r="H840" s="116"/>
      <c r="I840" s="116"/>
      <c r="L840" s="170">
        <v>45341</v>
      </c>
      <c r="M840" s="116">
        <v>577.49</v>
      </c>
      <c r="N840" s="116">
        <v>580.29999999999995</v>
      </c>
      <c r="O840" s="116">
        <v>570.46</v>
      </c>
      <c r="P840" s="116">
        <v>577.79999999999995</v>
      </c>
      <c r="Q840" s="116">
        <v>2887.45</v>
      </c>
      <c r="R840">
        <v>111997</v>
      </c>
    </row>
    <row r="841" spans="1:18" x14ac:dyDescent="0.25">
      <c r="A841" s="170">
        <v>45337</v>
      </c>
      <c r="B841" s="116">
        <v>583.79999999999995</v>
      </c>
      <c r="C841" s="116">
        <v>581.79</v>
      </c>
      <c r="D841" s="116">
        <v>571.49</v>
      </c>
      <c r="E841" s="116">
        <v>571.72</v>
      </c>
      <c r="F841" s="116">
        <v>2908.95</v>
      </c>
      <c r="G841">
        <v>3575</v>
      </c>
      <c r="H841" s="116"/>
      <c r="I841" s="116"/>
      <c r="L841" s="170">
        <v>45342</v>
      </c>
      <c r="M841" s="116">
        <v>572.29</v>
      </c>
      <c r="N841" s="116">
        <v>583.6</v>
      </c>
      <c r="O841" s="116">
        <v>568.64</v>
      </c>
      <c r="P841" s="116">
        <v>578.79999999999995</v>
      </c>
      <c r="Q841" s="116">
        <v>2861.45</v>
      </c>
      <c r="R841">
        <v>239476</v>
      </c>
    </row>
    <row r="842" spans="1:18" x14ac:dyDescent="0.25">
      <c r="A842" s="170">
        <v>45338</v>
      </c>
      <c r="B842" s="116">
        <v>584.24</v>
      </c>
      <c r="C842" s="116">
        <v>578.01</v>
      </c>
      <c r="D842" s="116">
        <v>572.95000000000005</v>
      </c>
      <c r="E842" s="116">
        <v>582.01</v>
      </c>
      <c r="F842" s="116">
        <v>2890.05</v>
      </c>
      <c r="G842">
        <v>3552</v>
      </c>
      <c r="H842" s="116"/>
      <c r="I842" s="116"/>
      <c r="L842" s="170">
        <v>45343</v>
      </c>
      <c r="M842" s="116">
        <v>597.91</v>
      </c>
      <c r="N842" s="116">
        <v>607.99</v>
      </c>
      <c r="O842" s="116">
        <v>572.70000000000005</v>
      </c>
      <c r="P842" s="116">
        <v>573.6</v>
      </c>
      <c r="Q842" s="116">
        <v>2989.55</v>
      </c>
      <c r="R842">
        <v>798662</v>
      </c>
    </row>
    <row r="843" spans="1:18" x14ac:dyDescent="0.25">
      <c r="A843" s="170">
        <v>45341</v>
      </c>
      <c r="B843" s="116">
        <v>580.37</v>
      </c>
      <c r="C843" s="116">
        <v>577.97</v>
      </c>
      <c r="D843" s="116">
        <v>570.87</v>
      </c>
      <c r="E843" s="116">
        <v>576.45000000000005</v>
      </c>
      <c r="F843" s="116">
        <v>2889.85</v>
      </c>
      <c r="G843">
        <v>3745</v>
      </c>
      <c r="H843" s="116"/>
      <c r="I843" s="116"/>
      <c r="L843" s="170">
        <v>45344</v>
      </c>
      <c r="M843" s="116">
        <v>599.6</v>
      </c>
      <c r="N843" s="116">
        <v>607</v>
      </c>
      <c r="O843" s="116">
        <v>584.75</v>
      </c>
      <c r="P843" s="116">
        <v>605</v>
      </c>
      <c r="Q843" s="116">
        <v>2998</v>
      </c>
      <c r="R843">
        <v>417838</v>
      </c>
    </row>
    <row r="844" spans="1:18" x14ac:dyDescent="0.25">
      <c r="A844" s="170">
        <v>45342</v>
      </c>
      <c r="B844" s="116">
        <v>583.28</v>
      </c>
      <c r="C844" s="116">
        <v>572.03</v>
      </c>
      <c r="D844" s="116">
        <v>569.72</v>
      </c>
      <c r="E844" s="116">
        <v>577.62</v>
      </c>
      <c r="F844" s="116">
        <v>2860.15</v>
      </c>
      <c r="G844">
        <v>206913</v>
      </c>
      <c r="H844" s="116"/>
      <c r="I844" s="116"/>
      <c r="L844" s="170">
        <v>45345</v>
      </c>
      <c r="M844" s="116">
        <v>622.65</v>
      </c>
      <c r="N844" s="116">
        <v>628.99</v>
      </c>
      <c r="O844" s="116">
        <v>600.01</v>
      </c>
      <c r="P844" s="116">
        <v>600.99</v>
      </c>
      <c r="Q844" s="116">
        <v>3113.25</v>
      </c>
      <c r="R844">
        <v>889520</v>
      </c>
    </row>
    <row r="845" spans="1:18" x14ac:dyDescent="0.25">
      <c r="A845" s="170">
        <v>45343</v>
      </c>
      <c r="B845" s="116">
        <v>608</v>
      </c>
      <c r="C845" s="116">
        <v>597.79999999999995</v>
      </c>
      <c r="D845" s="116">
        <v>570.21</v>
      </c>
      <c r="E845" s="116">
        <v>570.21</v>
      </c>
      <c r="F845" s="116">
        <v>2989</v>
      </c>
      <c r="G845">
        <v>28031</v>
      </c>
      <c r="H845" s="116"/>
      <c r="I845" s="116"/>
      <c r="L845" s="170">
        <v>45348</v>
      </c>
      <c r="M845" s="116">
        <v>621.57000000000005</v>
      </c>
      <c r="N845" s="116">
        <v>637.79999999999995</v>
      </c>
      <c r="O845" s="116">
        <v>617.20000000000005</v>
      </c>
      <c r="P845" s="116">
        <v>630</v>
      </c>
      <c r="Q845" s="116">
        <v>3107.85</v>
      </c>
      <c r="R845">
        <v>411357</v>
      </c>
    </row>
    <row r="846" spans="1:18" x14ac:dyDescent="0.25">
      <c r="A846" s="170">
        <v>45344</v>
      </c>
      <c r="B846" s="116">
        <v>607.19000000000005</v>
      </c>
      <c r="C846" s="116">
        <v>599.86</v>
      </c>
      <c r="D846" s="116">
        <v>585</v>
      </c>
      <c r="E846" s="116">
        <v>605.73</v>
      </c>
      <c r="F846" s="116">
        <v>2999.3</v>
      </c>
      <c r="G846">
        <v>32564</v>
      </c>
      <c r="H846" s="116"/>
      <c r="I846" s="116"/>
      <c r="L846" s="170">
        <v>45349</v>
      </c>
      <c r="M846" s="116">
        <v>627.65</v>
      </c>
      <c r="N846" s="116">
        <v>644.6</v>
      </c>
      <c r="O846" s="116">
        <v>622.02</v>
      </c>
      <c r="P846" s="116">
        <v>624</v>
      </c>
      <c r="Q846" s="116">
        <v>3138.25</v>
      </c>
      <c r="R846">
        <v>611369</v>
      </c>
    </row>
    <row r="847" spans="1:18" x14ac:dyDescent="0.25">
      <c r="A847" s="170">
        <v>45345</v>
      </c>
      <c r="B847" s="116">
        <v>628.79999999999995</v>
      </c>
      <c r="C847" s="116">
        <v>622.5</v>
      </c>
      <c r="D847" s="116">
        <v>600.04</v>
      </c>
      <c r="E847" s="116">
        <v>600.04</v>
      </c>
      <c r="F847" s="116">
        <v>3112.5</v>
      </c>
      <c r="G847">
        <v>94669</v>
      </c>
      <c r="H847" s="116"/>
      <c r="I847" s="116"/>
      <c r="L847" s="170">
        <v>45350</v>
      </c>
      <c r="M847" s="116">
        <v>616.53</v>
      </c>
      <c r="N847" s="116">
        <v>648.4</v>
      </c>
      <c r="O847" s="116">
        <v>612</v>
      </c>
      <c r="P847" s="116">
        <v>631.4</v>
      </c>
      <c r="Q847" s="116">
        <v>3082.65</v>
      </c>
      <c r="R847">
        <v>641196</v>
      </c>
    </row>
    <row r="848" spans="1:18" x14ac:dyDescent="0.25">
      <c r="A848" s="170">
        <v>45348</v>
      </c>
      <c r="B848" s="116">
        <v>638.07000000000005</v>
      </c>
      <c r="C848" s="116">
        <v>622.33000000000004</v>
      </c>
      <c r="D848" s="116">
        <v>617</v>
      </c>
      <c r="E848" s="116">
        <v>630</v>
      </c>
      <c r="F848" s="116">
        <v>3111.65</v>
      </c>
      <c r="G848">
        <v>22769</v>
      </c>
      <c r="H848" s="116"/>
      <c r="I848" s="116"/>
      <c r="L848" s="170">
        <v>45351</v>
      </c>
      <c r="M848" s="116">
        <v>614.41999999999996</v>
      </c>
      <c r="N848" s="116">
        <v>622.39</v>
      </c>
      <c r="O848" s="116">
        <v>598.03</v>
      </c>
      <c r="P848" s="116">
        <v>616.53</v>
      </c>
      <c r="Q848" s="116">
        <v>3072.1</v>
      </c>
      <c r="R848">
        <v>472395</v>
      </c>
    </row>
    <row r="849" spans="1:18" x14ac:dyDescent="0.25">
      <c r="A849" s="170">
        <v>45349</v>
      </c>
      <c r="B849" s="116">
        <v>644</v>
      </c>
      <c r="C849" s="116">
        <v>627.96</v>
      </c>
      <c r="D849" s="116">
        <v>613.03</v>
      </c>
      <c r="E849" s="116">
        <v>613.03</v>
      </c>
      <c r="F849" s="116">
        <v>3139.8</v>
      </c>
      <c r="G849">
        <v>61223</v>
      </c>
      <c r="H849" s="116"/>
      <c r="I849" s="116"/>
      <c r="L849" s="170">
        <v>45352</v>
      </c>
      <c r="M849" s="116">
        <v>621.84</v>
      </c>
      <c r="N849" s="116">
        <v>629.98</v>
      </c>
      <c r="O849" s="116">
        <v>616.6</v>
      </c>
      <c r="P849" s="116">
        <v>619.79999999999995</v>
      </c>
      <c r="Q849" s="116">
        <v>3109.2</v>
      </c>
      <c r="R849">
        <v>239450</v>
      </c>
    </row>
    <row r="850" spans="1:18" x14ac:dyDescent="0.25">
      <c r="A850" s="170">
        <v>45350</v>
      </c>
      <c r="B850" s="116">
        <v>648</v>
      </c>
      <c r="C850" s="116">
        <v>616.32000000000005</v>
      </c>
      <c r="D850" s="116">
        <v>612</v>
      </c>
      <c r="E850" s="116">
        <v>633.79</v>
      </c>
      <c r="F850" s="116">
        <v>3081.6</v>
      </c>
      <c r="G850">
        <v>67091</v>
      </c>
      <c r="H850" s="116"/>
      <c r="I850" s="116"/>
      <c r="L850" s="170">
        <v>45353</v>
      </c>
      <c r="M850" s="116">
        <v>624.03</v>
      </c>
      <c r="N850" s="116">
        <v>629.6</v>
      </c>
      <c r="O850" s="116">
        <v>620.76</v>
      </c>
      <c r="P850" s="116">
        <v>623.99</v>
      </c>
      <c r="Q850" s="116">
        <v>3120.15</v>
      </c>
      <c r="R850">
        <v>23712</v>
      </c>
    </row>
    <row r="851" spans="1:18" x14ac:dyDescent="0.25">
      <c r="A851" s="170">
        <v>45351</v>
      </c>
      <c r="B851" s="116">
        <v>622</v>
      </c>
      <c r="C851" s="116">
        <v>613.47</v>
      </c>
      <c r="D851" s="116">
        <v>598.13</v>
      </c>
      <c r="E851" s="116">
        <v>619.99</v>
      </c>
      <c r="F851" s="116">
        <v>3067.35</v>
      </c>
      <c r="G851">
        <v>15982</v>
      </c>
      <c r="H851" s="116"/>
      <c r="I851" s="116"/>
      <c r="L851" s="170">
        <v>45355</v>
      </c>
      <c r="M851" s="116">
        <v>608.77</v>
      </c>
      <c r="N851" s="116">
        <v>626.79999999999995</v>
      </c>
      <c r="O851" s="116">
        <v>604.4</v>
      </c>
      <c r="P851" s="116">
        <v>625.79999999999995</v>
      </c>
      <c r="Q851" s="116">
        <v>3043.85</v>
      </c>
      <c r="R851">
        <v>248800</v>
      </c>
    </row>
    <row r="852" spans="1:18" x14ac:dyDescent="0.25">
      <c r="A852" s="170">
        <v>45352</v>
      </c>
      <c r="B852" s="116">
        <v>629.6</v>
      </c>
      <c r="C852" s="116">
        <v>622.04</v>
      </c>
      <c r="D852" s="116">
        <v>616.09</v>
      </c>
      <c r="E852" s="116">
        <v>620</v>
      </c>
      <c r="F852" s="116">
        <v>3110.2</v>
      </c>
      <c r="G852">
        <v>11472</v>
      </c>
      <c r="H852" s="116"/>
      <c r="I852" s="116"/>
      <c r="L852" s="170">
        <v>45356</v>
      </c>
      <c r="M852" s="116">
        <v>612.54999999999995</v>
      </c>
      <c r="N852" s="116">
        <v>614.98</v>
      </c>
      <c r="O852" s="116">
        <v>600</v>
      </c>
      <c r="P852" s="116">
        <v>608.6</v>
      </c>
      <c r="Q852" s="116">
        <v>3062.75</v>
      </c>
      <c r="R852">
        <v>145353</v>
      </c>
    </row>
    <row r="853" spans="1:18" x14ac:dyDescent="0.25">
      <c r="A853" s="170">
        <v>45353</v>
      </c>
      <c r="B853" s="116">
        <v>629.6</v>
      </c>
      <c r="C853" s="116">
        <v>623.76</v>
      </c>
      <c r="D853" s="116">
        <v>618</v>
      </c>
      <c r="E853" s="116">
        <v>620.01</v>
      </c>
      <c r="F853" s="116">
        <v>3118.8</v>
      </c>
      <c r="G853">
        <v>4503</v>
      </c>
      <c r="H853" s="116"/>
      <c r="I853" s="116"/>
      <c r="L853" s="170">
        <v>45357</v>
      </c>
      <c r="M853" s="116">
        <v>591.19000000000005</v>
      </c>
      <c r="N853" s="116">
        <v>610</v>
      </c>
      <c r="O853" s="116">
        <v>587.20000000000005</v>
      </c>
      <c r="P853" s="116">
        <v>610</v>
      </c>
      <c r="Q853" s="116">
        <v>2955.95</v>
      </c>
      <c r="R853">
        <v>317310</v>
      </c>
    </row>
    <row r="854" spans="1:18" x14ac:dyDescent="0.25">
      <c r="A854" s="170">
        <v>45355</v>
      </c>
      <c r="B854" s="116">
        <v>626.74</v>
      </c>
      <c r="C854" s="116">
        <v>608.21</v>
      </c>
      <c r="D854" s="116">
        <v>605.95000000000005</v>
      </c>
      <c r="E854" s="116">
        <v>624.42999999999995</v>
      </c>
      <c r="F854" s="116">
        <v>3041.05</v>
      </c>
      <c r="G854">
        <v>8164</v>
      </c>
      <c r="H854" s="116"/>
      <c r="I854" s="116"/>
      <c r="L854" s="170">
        <v>45358</v>
      </c>
      <c r="M854" s="116">
        <v>580.38</v>
      </c>
      <c r="N854" s="116">
        <v>601.59</v>
      </c>
      <c r="O854" s="116">
        <v>576.44000000000005</v>
      </c>
      <c r="P854" s="116">
        <v>595</v>
      </c>
      <c r="Q854" s="116">
        <v>2901.9</v>
      </c>
      <c r="R854">
        <v>182025</v>
      </c>
    </row>
    <row r="855" spans="1:18" x14ac:dyDescent="0.25">
      <c r="A855" s="170">
        <v>45356</v>
      </c>
      <c r="B855" s="116">
        <v>614.58000000000004</v>
      </c>
      <c r="C855" s="116">
        <v>608.54999999999995</v>
      </c>
      <c r="D855" s="116">
        <v>600.86</v>
      </c>
      <c r="E855" s="116">
        <v>609.86</v>
      </c>
      <c r="F855" s="116">
        <v>3042.75</v>
      </c>
      <c r="G855">
        <v>2690</v>
      </c>
      <c r="H855" s="116"/>
      <c r="I855" s="116"/>
      <c r="L855" s="170">
        <v>45362</v>
      </c>
      <c r="M855" s="116">
        <v>601.29</v>
      </c>
      <c r="N855" s="116">
        <v>603.78</v>
      </c>
      <c r="O855" s="116">
        <v>580.4</v>
      </c>
      <c r="P855" s="116">
        <v>580.79</v>
      </c>
      <c r="Q855" s="116">
        <v>3006.45</v>
      </c>
      <c r="R855">
        <v>307906</v>
      </c>
    </row>
    <row r="856" spans="1:18" x14ac:dyDescent="0.25">
      <c r="A856" s="170">
        <v>45357</v>
      </c>
      <c r="B856" s="116">
        <v>609.41999999999996</v>
      </c>
      <c r="C856" s="116">
        <v>590.14</v>
      </c>
      <c r="D856" s="116">
        <v>587.16</v>
      </c>
      <c r="E856" s="116">
        <v>608.54999999999995</v>
      </c>
      <c r="F856" s="116">
        <v>2950.7</v>
      </c>
      <c r="G856">
        <v>10553</v>
      </c>
      <c r="H856" s="116"/>
      <c r="I856" s="116"/>
      <c r="L856" s="170">
        <v>45363</v>
      </c>
      <c r="M856" s="116">
        <v>582.84</v>
      </c>
      <c r="N856" s="116">
        <v>607.79999999999995</v>
      </c>
      <c r="O856" s="116">
        <v>579.58000000000004</v>
      </c>
      <c r="P856" s="116">
        <v>600</v>
      </c>
      <c r="Q856" s="116">
        <v>2914.2</v>
      </c>
      <c r="R856">
        <v>182309</v>
      </c>
    </row>
    <row r="857" spans="1:18" x14ac:dyDescent="0.25">
      <c r="A857" s="170">
        <v>45358</v>
      </c>
      <c r="B857" s="116">
        <v>600.38</v>
      </c>
      <c r="C857" s="116">
        <v>580.27</v>
      </c>
      <c r="D857" s="116">
        <v>576.80999999999995</v>
      </c>
      <c r="E857" s="116">
        <v>591.01</v>
      </c>
      <c r="F857" s="116">
        <v>2901.35</v>
      </c>
      <c r="G857">
        <v>6232</v>
      </c>
      <c r="H857" s="116"/>
      <c r="I857" s="116"/>
      <c r="L857" s="170">
        <v>45364</v>
      </c>
      <c r="M857" s="116">
        <v>548.98</v>
      </c>
      <c r="N857" s="116">
        <v>594.29</v>
      </c>
      <c r="O857" s="116">
        <v>542.20000000000005</v>
      </c>
      <c r="P857" s="116">
        <v>582.79999999999995</v>
      </c>
      <c r="Q857" s="116">
        <v>2744.9</v>
      </c>
      <c r="R857">
        <v>458153</v>
      </c>
    </row>
    <row r="858" spans="1:18" x14ac:dyDescent="0.25">
      <c r="A858" s="170">
        <v>45362</v>
      </c>
      <c r="B858" s="116">
        <v>604.14</v>
      </c>
      <c r="C858" s="116">
        <v>602.30999999999995</v>
      </c>
      <c r="D858" s="116">
        <v>580.21</v>
      </c>
      <c r="E858" s="116">
        <v>580.21</v>
      </c>
      <c r="F858" s="116">
        <v>3011.55</v>
      </c>
      <c r="G858">
        <v>12964</v>
      </c>
      <c r="H858" s="116"/>
      <c r="I858" s="116"/>
      <c r="L858" s="170">
        <v>45365</v>
      </c>
      <c r="M858" s="116">
        <v>576.45000000000005</v>
      </c>
      <c r="N858" s="116">
        <v>581</v>
      </c>
      <c r="O858" s="116">
        <v>541.41999999999996</v>
      </c>
      <c r="P858" s="116">
        <v>547.91999999999996</v>
      </c>
      <c r="Q858" s="116">
        <v>2882.25</v>
      </c>
      <c r="R858">
        <v>172643</v>
      </c>
    </row>
    <row r="859" spans="1:18" x14ac:dyDescent="0.25">
      <c r="A859" s="170">
        <v>45363</v>
      </c>
      <c r="B859" s="116">
        <v>607.44000000000005</v>
      </c>
      <c r="C859" s="116">
        <v>582.41</v>
      </c>
      <c r="D859" s="116">
        <v>579.09</v>
      </c>
      <c r="E859" s="116">
        <v>600.73</v>
      </c>
      <c r="F859" s="116">
        <v>2912.05</v>
      </c>
      <c r="G859">
        <v>21811</v>
      </c>
      <c r="H859" s="116"/>
      <c r="I859" s="116"/>
      <c r="L859" s="170">
        <v>45366</v>
      </c>
      <c r="M859" s="116">
        <v>598.96</v>
      </c>
      <c r="N859" s="116">
        <v>609.79999999999995</v>
      </c>
      <c r="O859" s="116">
        <v>572.1</v>
      </c>
      <c r="P859" s="116">
        <v>573.01</v>
      </c>
      <c r="Q859" s="116">
        <v>2994.8</v>
      </c>
      <c r="R859">
        <v>268725</v>
      </c>
    </row>
    <row r="860" spans="1:18" x14ac:dyDescent="0.25">
      <c r="A860" s="170">
        <v>45364</v>
      </c>
      <c r="B860" s="116">
        <v>594.29999999999995</v>
      </c>
      <c r="C860" s="116">
        <v>548.36</v>
      </c>
      <c r="D860" s="116">
        <v>543.28</v>
      </c>
      <c r="E860" s="116">
        <v>580.25</v>
      </c>
      <c r="F860" s="116">
        <v>2741.8</v>
      </c>
      <c r="G860">
        <v>16286</v>
      </c>
      <c r="H860" s="116"/>
      <c r="I860" s="116"/>
      <c r="L860" s="170">
        <v>45369</v>
      </c>
      <c r="M860" s="116">
        <v>585.33000000000004</v>
      </c>
      <c r="N860" s="116">
        <v>606.47</v>
      </c>
      <c r="O860" s="116">
        <v>581.01</v>
      </c>
      <c r="P860" s="116">
        <v>599</v>
      </c>
      <c r="Q860" s="116">
        <v>2926.65</v>
      </c>
      <c r="R860">
        <v>192608</v>
      </c>
    </row>
    <row r="861" spans="1:18" x14ac:dyDescent="0.25">
      <c r="A861" s="170">
        <v>45365</v>
      </c>
      <c r="B861" s="116">
        <v>580.20000000000005</v>
      </c>
      <c r="C861" s="116">
        <v>571.80999999999995</v>
      </c>
      <c r="D861" s="116">
        <v>541.39</v>
      </c>
      <c r="E861" s="116">
        <v>557.59</v>
      </c>
      <c r="F861" s="116">
        <v>2859.05</v>
      </c>
      <c r="G861">
        <v>7614</v>
      </c>
      <c r="H861" s="116"/>
      <c r="I861" s="116"/>
      <c r="L861" s="170">
        <v>45370</v>
      </c>
      <c r="M861" s="116">
        <v>565.08000000000004</v>
      </c>
      <c r="N861" s="116">
        <v>585.79999999999995</v>
      </c>
      <c r="O861" s="116">
        <v>562.20000000000005</v>
      </c>
      <c r="P861" s="116">
        <v>585.79999999999995</v>
      </c>
      <c r="Q861" s="116">
        <v>2825.4</v>
      </c>
      <c r="R861">
        <v>149406</v>
      </c>
    </row>
    <row r="862" spans="1:18" x14ac:dyDescent="0.25">
      <c r="A862" s="170">
        <v>45366</v>
      </c>
      <c r="B862" s="116">
        <v>609.20000000000005</v>
      </c>
      <c r="C862" s="116">
        <v>598.6</v>
      </c>
      <c r="D862" s="116">
        <v>572.52</v>
      </c>
      <c r="E862" s="116">
        <v>576.11</v>
      </c>
      <c r="F862" s="116">
        <v>2993</v>
      </c>
      <c r="G862">
        <v>8157</v>
      </c>
      <c r="H862" s="116"/>
      <c r="I862" s="116"/>
      <c r="L862" s="170">
        <v>45371</v>
      </c>
      <c r="M862" s="116">
        <v>566.37</v>
      </c>
      <c r="N862" s="116">
        <v>575.6</v>
      </c>
      <c r="O862" s="116">
        <v>562.65</v>
      </c>
      <c r="P862" s="116">
        <v>568.22</v>
      </c>
      <c r="Q862" s="116">
        <v>2831.85</v>
      </c>
      <c r="R862">
        <v>140160</v>
      </c>
    </row>
    <row r="863" spans="1:18" x14ac:dyDescent="0.25">
      <c r="A863" s="170">
        <v>45369</v>
      </c>
      <c r="B863" s="116">
        <v>605.91999999999996</v>
      </c>
      <c r="C863" s="116">
        <v>586.04</v>
      </c>
      <c r="D863" s="116">
        <v>581.79999999999995</v>
      </c>
      <c r="E863" s="116">
        <v>599</v>
      </c>
      <c r="F863" s="116">
        <v>2930.2</v>
      </c>
      <c r="G863">
        <v>6341</v>
      </c>
      <c r="H863" s="116"/>
      <c r="I863" s="116"/>
      <c r="L863" s="170">
        <v>45372</v>
      </c>
      <c r="M863" s="116">
        <v>588.65</v>
      </c>
      <c r="N863" s="116">
        <v>593</v>
      </c>
      <c r="O863" s="116">
        <v>572</v>
      </c>
      <c r="P863" s="116">
        <v>573.79999999999995</v>
      </c>
      <c r="Q863" s="116">
        <v>2943.25</v>
      </c>
      <c r="R863">
        <v>151079</v>
      </c>
    </row>
    <row r="864" spans="1:18" x14ac:dyDescent="0.25">
      <c r="A864" s="170">
        <v>45370</v>
      </c>
      <c r="B864" s="116">
        <v>586</v>
      </c>
      <c r="C864" s="116">
        <v>564.62</v>
      </c>
      <c r="D864" s="116">
        <v>562.41</v>
      </c>
      <c r="E864" s="116">
        <v>585.41</v>
      </c>
      <c r="F864" s="116">
        <v>2823.1</v>
      </c>
      <c r="G864">
        <v>14298</v>
      </c>
      <c r="H864" s="116"/>
      <c r="I864" s="116"/>
      <c r="L864" s="170">
        <v>45373</v>
      </c>
      <c r="M864" s="116">
        <v>617.82000000000005</v>
      </c>
      <c r="N864" s="116">
        <v>627.29</v>
      </c>
      <c r="O864" s="116">
        <v>584.46</v>
      </c>
      <c r="P864" s="116">
        <v>587.76</v>
      </c>
      <c r="Q864" s="116">
        <v>3089.1</v>
      </c>
      <c r="R864">
        <v>796076</v>
      </c>
    </row>
    <row r="865" spans="1:18" x14ac:dyDescent="0.25">
      <c r="A865" s="170">
        <v>45371</v>
      </c>
      <c r="B865" s="116">
        <v>576.02</v>
      </c>
      <c r="C865" s="116">
        <v>566.61</v>
      </c>
      <c r="D865" s="116">
        <v>562.83000000000004</v>
      </c>
      <c r="E865" s="116">
        <v>574.19000000000005</v>
      </c>
      <c r="F865" s="116">
        <v>2833.05</v>
      </c>
      <c r="G865">
        <v>5801</v>
      </c>
      <c r="H865" s="116"/>
      <c r="I865" s="116"/>
      <c r="L865" s="170">
        <v>45377</v>
      </c>
      <c r="M865" s="116">
        <v>604.26</v>
      </c>
      <c r="N865" s="116">
        <v>617.6</v>
      </c>
      <c r="O865" s="116">
        <v>597</v>
      </c>
      <c r="P865" s="116">
        <v>617.6</v>
      </c>
      <c r="Q865" s="116">
        <v>3021.3</v>
      </c>
      <c r="R865">
        <v>294070</v>
      </c>
    </row>
    <row r="866" spans="1:18" x14ac:dyDescent="0.25">
      <c r="A866" s="170">
        <v>45372</v>
      </c>
      <c r="B866" s="116">
        <v>593</v>
      </c>
      <c r="C866" s="116">
        <v>588.45000000000005</v>
      </c>
      <c r="D866" s="116">
        <v>570.45000000000005</v>
      </c>
      <c r="E866" s="116">
        <v>570.45000000000005</v>
      </c>
      <c r="F866" s="116">
        <v>2942.25</v>
      </c>
      <c r="G866">
        <v>17234</v>
      </c>
      <c r="H866" s="116"/>
      <c r="I866" s="116"/>
      <c r="L866" s="170">
        <v>45378</v>
      </c>
      <c r="M866" s="116">
        <v>584.12</v>
      </c>
      <c r="N866" s="116">
        <v>609.79999999999995</v>
      </c>
      <c r="O866" s="116">
        <v>579.20000000000005</v>
      </c>
      <c r="P866" s="116">
        <v>609.79999999999995</v>
      </c>
      <c r="Q866" s="116">
        <v>2920.6</v>
      </c>
      <c r="R866">
        <v>345041</v>
      </c>
    </row>
    <row r="867" spans="1:18" x14ac:dyDescent="0.25">
      <c r="A867" s="170">
        <v>45373</v>
      </c>
      <c r="B867" s="116">
        <v>627.5</v>
      </c>
      <c r="C867" s="116">
        <v>617.54</v>
      </c>
      <c r="D867" s="116">
        <v>586.94000000000005</v>
      </c>
      <c r="E867" s="116">
        <v>588</v>
      </c>
      <c r="F867" s="116">
        <v>3087.7</v>
      </c>
      <c r="G867">
        <v>24469</v>
      </c>
      <c r="H867" s="116"/>
      <c r="I867" s="116"/>
      <c r="L867" s="170">
        <v>45379</v>
      </c>
      <c r="M867" s="116">
        <v>583.13</v>
      </c>
      <c r="N867" s="116">
        <v>596.03</v>
      </c>
      <c r="O867" s="116">
        <v>580.03</v>
      </c>
      <c r="P867" s="116">
        <v>587.99</v>
      </c>
      <c r="Q867" s="116">
        <v>2915.65</v>
      </c>
      <c r="R867">
        <v>187095</v>
      </c>
    </row>
    <row r="868" spans="1:18" x14ac:dyDescent="0.25">
      <c r="A868" s="170">
        <v>45377</v>
      </c>
      <c r="B868" s="116">
        <v>619.88</v>
      </c>
      <c r="C868" s="116">
        <v>604.37</v>
      </c>
      <c r="D868" s="116">
        <v>597</v>
      </c>
      <c r="E868" s="116">
        <v>619.88</v>
      </c>
      <c r="F868" s="116">
        <v>3021.85</v>
      </c>
      <c r="G868">
        <v>8687</v>
      </c>
      <c r="H868" s="116"/>
      <c r="I868" s="116"/>
      <c r="L868" s="170">
        <v>45383</v>
      </c>
      <c r="M868" s="116">
        <v>598.44000000000005</v>
      </c>
      <c r="N868" s="116">
        <v>604</v>
      </c>
      <c r="O868" s="116">
        <v>588.41</v>
      </c>
      <c r="P868" s="116">
        <v>590.79999999999995</v>
      </c>
      <c r="Q868" s="116">
        <v>2992.2</v>
      </c>
      <c r="R868">
        <v>142336</v>
      </c>
    </row>
    <row r="869" spans="1:18" x14ac:dyDescent="0.25">
      <c r="A869" s="170">
        <v>45378</v>
      </c>
      <c r="B869" s="116">
        <v>606.77</v>
      </c>
      <c r="C869" s="116">
        <v>585.27</v>
      </c>
      <c r="D869" s="116">
        <v>578.94000000000005</v>
      </c>
      <c r="E869" s="116">
        <v>605.39</v>
      </c>
      <c r="F869" s="116">
        <v>2926.35</v>
      </c>
      <c r="G869">
        <v>26039</v>
      </c>
      <c r="H869" s="116"/>
      <c r="I869" s="116"/>
      <c r="L869" s="170">
        <v>45384</v>
      </c>
      <c r="M869" s="116">
        <v>637.24</v>
      </c>
      <c r="N869" s="116">
        <v>645</v>
      </c>
      <c r="O869" s="116">
        <v>594.36</v>
      </c>
      <c r="P869" s="116">
        <v>604</v>
      </c>
      <c r="Q869" s="116">
        <v>3186.2</v>
      </c>
      <c r="R869">
        <v>1342861</v>
      </c>
    </row>
    <row r="870" spans="1:18" x14ac:dyDescent="0.25">
      <c r="A870" s="170">
        <v>45379</v>
      </c>
      <c r="B870" s="116">
        <v>596</v>
      </c>
      <c r="C870" s="116">
        <v>583.07000000000005</v>
      </c>
      <c r="D870" s="116">
        <v>580.1</v>
      </c>
      <c r="E870" s="116">
        <v>586.82000000000005</v>
      </c>
      <c r="F870" s="116">
        <v>2915.35</v>
      </c>
      <c r="G870">
        <v>20115</v>
      </c>
      <c r="H870" s="116"/>
      <c r="I870" s="116"/>
      <c r="L870" s="170">
        <v>45385</v>
      </c>
      <c r="M870" s="116">
        <v>629.79999999999995</v>
      </c>
      <c r="N870" s="116">
        <v>636</v>
      </c>
      <c r="O870" s="116">
        <v>626.25</v>
      </c>
      <c r="P870" s="116">
        <v>636</v>
      </c>
      <c r="Q870" s="116">
        <v>3149</v>
      </c>
      <c r="R870">
        <v>316439</v>
      </c>
    </row>
    <row r="871" spans="1:18" x14ac:dyDescent="0.25">
      <c r="A871" s="170">
        <v>45383</v>
      </c>
      <c r="B871" s="116">
        <v>604</v>
      </c>
      <c r="C871" s="116">
        <v>598.59</v>
      </c>
      <c r="D871" s="116">
        <v>589.01</v>
      </c>
      <c r="E871" s="116">
        <v>589.01</v>
      </c>
      <c r="F871" s="116">
        <v>2992.95</v>
      </c>
      <c r="G871">
        <v>5763</v>
      </c>
      <c r="H871" s="116"/>
      <c r="I871" s="116"/>
      <c r="L871" s="170">
        <v>45386</v>
      </c>
      <c r="M871" s="116">
        <v>628.07000000000005</v>
      </c>
      <c r="N871" s="116">
        <v>636.79999999999995</v>
      </c>
      <c r="O871" s="116">
        <v>623.4</v>
      </c>
      <c r="P871" s="116">
        <v>629.87</v>
      </c>
      <c r="Q871" s="116">
        <v>3140.35</v>
      </c>
      <c r="R871">
        <v>326085</v>
      </c>
    </row>
    <row r="872" spans="1:18" x14ac:dyDescent="0.25">
      <c r="A872" s="170">
        <v>45384</v>
      </c>
      <c r="B872" s="116">
        <v>644.6</v>
      </c>
      <c r="C872" s="116">
        <v>637.62</v>
      </c>
      <c r="D872" s="116">
        <v>594.53</v>
      </c>
      <c r="E872" s="116">
        <v>601.01</v>
      </c>
      <c r="F872" s="116">
        <v>3188.1</v>
      </c>
      <c r="G872">
        <v>103626</v>
      </c>
      <c r="H872" s="116"/>
      <c r="I872" s="116"/>
      <c r="L872" s="170">
        <v>45387</v>
      </c>
      <c r="M872" s="116">
        <v>629.35</v>
      </c>
      <c r="N872" s="116">
        <v>635</v>
      </c>
      <c r="O872" s="116">
        <v>624</v>
      </c>
      <c r="P872" s="116">
        <v>628</v>
      </c>
      <c r="Q872" s="116">
        <v>3146.75</v>
      </c>
      <c r="R872">
        <v>208287</v>
      </c>
    </row>
    <row r="873" spans="1:18" x14ac:dyDescent="0.25">
      <c r="A873" s="170">
        <v>45385</v>
      </c>
      <c r="B873" s="116">
        <v>635.79999999999995</v>
      </c>
      <c r="C873" s="116">
        <v>629.5</v>
      </c>
      <c r="D873" s="116">
        <v>625.6</v>
      </c>
      <c r="E873" s="116">
        <v>635.79999999999995</v>
      </c>
      <c r="F873" s="116">
        <v>3147.5</v>
      </c>
      <c r="G873">
        <v>33214</v>
      </c>
      <c r="H873" s="116"/>
      <c r="I873" s="116"/>
      <c r="L873" s="170">
        <v>45390</v>
      </c>
      <c r="M873" s="116">
        <v>613.88</v>
      </c>
      <c r="N873" s="116">
        <v>634.99</v>
      </c>
      <c r="O873" s="116">
        <v>613</v>
      </c>
      <c r="P873" s="116">
        <v>630</v>
      </c>
      <c r="Q873" s="116">
        <v>3069.4</v>
      </c>
      <c r="R873">
        <v>218457</v>
      </c>
    </row>
    <row r="874" spans="1:18" x14ac:dyDescent="0.25">
      <c r="A874" s="170">
        <v>45386</v>
      </c>
      <c r="B874" s="116">
        <v>636.77</v>
      </c>
      <c r="C874" s="116">
        <v>627.26</v>
      </c>
      <c r="D874" s="116">
        <v>624.17999999999995</v>
      </c>
      <c r="E874" s="116">
        <v>634.66999999999996</v>
      </c>
      <c r="F874" s="116">
        <v>3136.3</v>
      </c>
      <c r="G874">
        <v>9299</v>
      </c>
      <c r="H874" s="116"/>
      <c r="I874" s="116"/>
      <c r="L874" s="170">
        <v>45391</v>
      </c>
      <c r="M874" s="116">
        <v>599.48</v>
      </c>
      <c r="N874" s="116">
        <v>628.84</v>
      </c>
      <c r="O874" s="116">
        <v>597.20000000000005</v>
      </c>
      <c r="P874" s="116">
        <v>616.79999999999995</v>
      </c>
      <c r="Q874" s="116">
        <v>2997.4</v>
      </c>
      <c r="R874">
        <v>405596</v>
      </c>
    </row>
    <row r="875" spans="1:18" x14ac:dyDescent="0.25">
      <c r="A875" s="170">
        <v>45387</v>
      </c>
      <c r="B875" s="116">
        <v>635</v>
      </c>
      <c r="C875" s="116">
        <v>629.05999999999995</v>
      </c>
      <c r="D875" s="116">
        <v>624.44000000000005</v>
      </c>
      <c r="E875" s="116">
        <v>627.35</v>
      </c>
      <c r="F875" s="116">
        <v>3145.3</v>
      </c>
      <c r="G875">
        <v>7459</v>
      </c>
      <c r="H875" s="116"/>
      <c r="I875" s="116"/>
      <c r="L875" s="170">
        <v>45392</v>
      </c>
      <c r="M875" s="116">
        <v>610.03</v>
      </c>
      <c r="N875" s="116">
        <v>614</v>
      </c>
      <c r="O875" s="116">
        <v>595.07000000000005</v>
      </c>
      <c r="P875" s="116">
        <v>599.96</v>
      </c>
      <c r="Q875" s="116">
        <v>3050.15</v>
      </c>
      <c r="R875">
        <v>408503</v>
      </c>
    </row>
    <row r="876" spans="1:18" x14ac:dyDescent="0.25">
      <c r="A876" s="170">
        <v>45390</v>
      </c>
      <c r="B876" s="116">
        <v>635.08000000000004</v>
      </c>
      <c r="C876" s="116">
        <v>613.87</v>
      </c>
      <c r="D876" s="116">
        <v>612.92999999999995</v>
      </c>
      <c r="E876" s="116">
        <v>622.07000000000005</v>
      </c>
      <c r="F876" s="116">
        <v>3069.35</v>
      </c>
      <c r="G876">
        <v>5872</v>
      </c>
      <c r="H876" s="116"/>
      <c r="I876" s="116"/>
      <c r="L876" s="170">
        <v>45394</v>
      </c>
      <c r="M876" s="116">
        <v>623.09</v>
      </c>
      <c r="N876" s="116">
        <v>644.6</v>
      </c>
      <c r="O876" s="116">
        <v>618.6</v>
      </c>
      <c r="P876" s="116">
        <v>628.4</v>
      </c>
      <c r="Q876" s="116">
        <v>3115.45</v>
      </c>
      <c r="R876">
        <v>1189532</v>
      </c>
    </row>
    <row r="877" spans="1:18" x14ac:dyDescent="0.25">
      <c r="A877" s="170">
        <v>45391</v>
      </c>
      <c r="B877" s="116">
        <v>628.65</v>
      </c>
      <c r="C877" s="116">
        <v>599.35</v>
      </c>
      <c r="D877" s="116">
        <v>597.6</v>
      </c>
      <c r="E877" s="116">
        <v>616.14</v>
      </c>
      <c r="F877" s="116">
        <v>2996.75</v>
      </c>
      <c r="G877">
        <v>8703</v>
      </c>
      <c r="H877" s="116"/>
      <c r="I877" s="116"/>
      <c r="L877" s="170">
        <v>45397</v>
      </c>
      <c r="M877" s="116">
        <v>605.74</v>
      </c>
      <c r="N877" s="116">
        <v>614.72</v>
      </c>
      <c r="O877" s="116">
        <v>597.11</v>
      </c>
      <c r="P877" s="116">
        <v>603</v>
      </c>
      <c r="Q877" s="116">
        <v>3028.7</v>
      </c>
      <c r="R877">
        <v>300701</v>
      </c>
    </row>
    <row r="878" spans="1:18" x14ac:dyDescent="0.25">
      <c r="A878" s="170">
        <v>45392</v>
      </c>
      <c r="B878" s="116">
        <v>613.32000000000005</v>
      </c>
      <c r="C878" s="116">
        <v>610.5</v>
      </c>
      <c r="D878" s="116">
        <v>595.59</v>
      </c>
      <c r="E878" s="116">
        <v>601.34</v>
      </c>
      <c r="F878" s="116">
        <v>3052.5</v>
      </c>
      <c r="G878">
        <v>8520</v>
      </c>
      <c r="H878" s="116"/>
      <c r="I878" s="116"/>
      <c r="L878" s="170">
        <v>45398</v>
      </c>
      <c r="M878" s="116">
        <v>622.76</v>
      </c>
      <c r="N878" s="116">
        <v>632.07000000000005</v>
      </c>
      <c r="O878" s="116">
        <v>602.02</v>
      </c>
      <c r="P878" s="116">
        <v>605.74</v>
      </c>
      <c r="Q878" s="116">
        <v>3113.8</v>
      </c>
      <c r="R878">
        <v>411646</v>
      </c>
    </row>
    <row r="879" spans="1:18" x14ac:dyDescent="0.25">
      <c r="A879" s="170">
        <v>45394</v>
      </c>
      <c r="B879" s="116">
        <v>644</v>
      </c>
      <c r="C879" s="116">
        <v>622.14</v>
      </c>
      <c r="D879" s="116">
        <v>613.48</v>
      </c>
      <c r="E879" s="116">
        <v>627.57000000000005</v>
      </c>
      <c r="F879" s="116">
        <v>3110.7</v>
      </c>
      <c r="G879">
        <v>78573</v>
      </c>
      <c r="H879" s="116"/>
      <c r="I879" s="116"/>
      <c r="L879" s="170">
        <v>45400</v>
      </c>
      <c r="M879" s="116">
        <v>640.34</v>
      </c>
      <c r="N879" s="116">
        <v>659.99</v>
      </c>
      <c r="O879" s="116">
        <v>622.6</v>
      </c>
      <c r="P879" s="116">
        <v>623.21</v>
      </c>
      <c r="Q879" s="116">
        <v>3201.7</v>
      </c>
      <c r="R879">
        <v>1430549</v>
      </c>
    </row>
    <row r="880" spans="1:18" x14ac:dyDescent="0.25">
      <c r="A880" s="170">
        <v>45397</v>
      </c>
      <c r="B880" s="116">
        <v>614.02</v>
      </c>
      <c r="C880" s="116">
        <v>606.15</v>
      </c>
      <c r="D880" s="116">
        <v>597.04999999999995</v>
      </c>
      <c r="E880" s="116">
        <v>609.69000000000005</v>
      </c>
      <c r="F880" s="116">
        <v>3030.75</v>
      </c>
      <c r="G880">
        <v>10283</v>
      </c>
      <c r="H880" s="116"/>
      <c r="I880" s="116"/>
      <c r="L880" s="170">
        <v>45401</v>
      </c>
      <c r="M880" s="116">
        <v>630.30999999999995</v>
      </c>
      <c r="N880" s="116">
        <v>639</v>
      </c>
      <c r="O880" s="116">
        <v>622.02</v>
      </c>
      <c r="P880" s="116">
        <v>633</v>
      </c>
      <c r="Q880" s="116">
        <v>3151.55</v>
      </c>
      <c r="R880">
        <v>293276</v>
      </c>
    </row>
    <row r="881" spans="1:18" x14ac:dyDescent="0.25">
      <c r="A881" s="170">
        <v>45398</v>
      </c>
      <c r="B881" s="116">
        <v>631.97</v>
      </c>
      <c r="C881" s="116">
        <v>622.67999999999995</v>
      </c>
      <c r="D881" s="116">
        <v>601.96</v>
      </c>
      <c r="E881" s="116">
        <v>605.6</v>
      </c>
      <c r="F881" s="116">
        <v>3113.4</v>
      </c>
      <c r="G881">
        <v>30999</v>
      </c>
      <c r="H881" s="116"/>
      <c r="I881" s="116"/>
      <c r="L881" s="170">
        <v>45404</v>
      </c>
      <c r="M881" s="116">
        <v>647.71</v>
      </c>
      <c r="N881" s="116">
        <v>649.84</v>
      </c>
      <c r="O881" s="116">
        <v>635.23</v>
      </c>
      <c r="P881" s="116">
        <v>643.16</v>
      </c>
      <c r="Q881" s="116">
        <v>3238.55</v>
      </c>
      <c r="R881">
        <v>336986</v>
      </c>
    </row>
    <row r="882" spans="1:18" x14ac:dyDescent="0.25">
      <c r="A882" s="170">
        <v>45400</v>
      </c>
      <c r="B882" s="116">
        <v>659.6</v>
      </c>
      <c r="C882" s="116">
        <v>640.65</v>
      </c>
      <c r="D882" s="116">
        <v>622.47</v>
      </c>
      <c r="E882" s="116">
        <v>624.16999999999996</v>
      </c>
      <c r="F882" s="116">
        <v>3203.25</v>
      </c>
      <c r="G882">
        <v>34938</v>
      </c>
      <c r="H882" s="116"/>
      <c r="I882" s="116"/>
      <c r="L882" s="170">
        <v>45405</v>
      </c>
      <c r="M882" s="116">
        <v>651.73</v>
      </c>
      <c r="N882" s="116">
        <v>657.08</v>
      </c>
      <c r="O882" s="116">
        <v>646.08000000000004</v>
      </c>
      <c r="P882" s="116">
        <v>650.89</v>
      </c>
      <c r="Q882" s="116">
        <v>3258.65</v>
      </c>
      <c r="R882">
        <v>243631</v>
      </c>
    </row>
    <row r="883" spans="1:18" x14ac:dyDescent="0.25">
      <c r="A883" s="170">
        <v>45401</v>
      </c>
      <c r="B883" s="116">
        <v>638.88</v>
      </c>
      <c r="C883" s="116">
        <v>629.80999999999995</v>
      </c>
      <c r="D883" s="116">
        <v>621.41</v>
      </c>
      <c r="E883" s="116">
        <v>630.63</v>
      </c>
      <c r="F883" s="116">
        <v>3149.05</v>
      </c>
      <c r="G883">
        <v>32633</v>
      </c>
      <c r="H883" s="116"/>
      <c r="I883" s="116"/>
      <c r="L883" s="170">
        <v>45406</v>
      </c>
      <c r="M883" s="116">
        <v>646.02</v>
      </c>
      <c r="N883" s="116">
        <v>668</v>
      </c>
      <c r="O883" s="116">
        <v>642</v>
      </c>
      <c r="P883" s="116">
        <v>655.20000000000005</v>
      </c>
      <c r="Q883" s="116">
        <v>3230.1</v>
      </c>
      <c r="R883">
        <v>316982</v>
      </c>
    </row>
    <row r="884" spans="1:18" x14ac:dyDescent="0.25">
      <c r="A884" s="170">
        <v>45404</v>
      </c>
      <c r="B884" s="116">
        <v>650.16</v>
      </c>
      <c r="C884" s="116">
        <v>647.15</v>
      </c>
      <c r="D884" s="116">
        <v>636.01</v>
      </c>
      <c r="E884" s="116">
        <v>643.04999999999995</v>
      </c>
      <c r="F884" s="116">
        <v>3235.75</v>
      </c>
      <c r="G884">
        <v>12035</v>
      </c>
      <c r="H884" s="116"/>
      <c r="I884" s="116"/>
      <c r="L884" s="170">
        <v>45407</v>
      </c>
      <c r="M884" s="116">
        <v>650.67999999999995</v>
      </c>
      <c r="N884" s="116">
        <v>653</v>
      </c>
      <c r="O884" s="116">
        <v>636.6</v>
      </c>
      <c r="P884" s="116">
        <v>647.6</v>
      </c>
      <c r="Q884" s="116">
        <v>3253.4</v>
      </c>
      <c r="R884">
        <v>214115</v>
      </c>
    </row>
    <row r="885" spans="1:18" x14ac:dyDescent="0.25">
      <c r="A885" s="170">
        <v>45405</v>
      </c>
      <c r="B885" s="116">
        <v>657.24</v>
      </c>
      <c r="C885" s="116">
        <v>651.34</v>
      </c>
      <c r="D885" s="116">
        <v>646.91999999999996</v>
      </c>
      <c r="E885" s="116">
        <v>648.12</v>
      </c>
      <c r="F885" s="116">
        <v>3256.7</v>
      </c>
      <c r="G885">
        <v>9073</v>
      </c>
      <c r="H885" s="116"/>
      <c r="I885" s="116"/>
      <c r="L885" s="170">
        <v>45408</v>
      </c>
      <c r="M885" s="116">
        <v>641.29999999999995</v>
      </c>
      <c r="N885" s="116">
        <v>655.4</v>
      </c>
      <c r="O885" s="116">
        <v>638</v>
      </c>
      <c r="P885" s="116">
        <v>648</v>
      </c>
      <c r="Q885" s="116">
        <v>3206.5</v>
      </c>
      <c r="R885">
        <v>119989</v>
      </c>
    </row>
    <row r="886" spans="1:18" x14ac:dyDescent="0.25">
      <c r="A886" s="170">
        <v>45406</v>
      </c>
      <c r="B886" s="116">
        <v>667.8</v>
      </c>
      <c r="C886" s="116">
        <v>646.09</v>
      </c>
      <c r="D886" s="116">
        <v>642</v>
      </c>
      <c r="E886" s="116">
        <v>658.77</v>
      </c>
      <c r="F886" s="116">
        <v>3230.45</v>
      </c>
      <c r="G886">
        <v>11864</v>
      </c>
      <c r="H886" s="116"/>
      <c r="I886" s="116"/>
      <c r="L886" s="170">
        <v>45411</v>
      </c>
      <c r="M886" s="116">
        <v>658.33</v>
      </c>
      <c r="N886" s="116">
        <v>665.2</v>
      </c>
      <c r="O886" s="116">
        <v>643.94000000000005</v>
      </c>
      <c r="P886" s="116">
        <v>646</v>
      </c>
      <c r="Q886" s="116">
        <v>3291.65</v>
      </c>
      <c r="R886">
        <v>424255</v>
      </c>
    </row>
    <row r="887" spans="1:18" x14ac:dyDescent="0.25">
      <c r="A887" s="170">
        <v>45407</v>
      </c>
      <c r="B887" s="116">
        <v>652.6</v>
      </c>
      <c r="C887" s="116">
        <v>650.38</v>
      </c>
      <c r="D887" s="116">
        <v>636.23</v>
      </c>
      <c r="E887" s="116">
        <v>648</v>
      </c>
      <c r="F887" s="116">
        <v>3251.9</v>
      </c>
      <c r="G887">
        <v>15271</v>
      </c>
      <c r="H887" s="116"/>
      <c r="I887" s="116"/>
      <c r="L887" s="170">
        <v>45412</v>
      </c>
      <c r="M887" s="116">
        <v>640.54</v>
      </c>
      <c r="N887" s="116">
        <v>659.09</v>
      </c>
      <c r="O887" s="116">
        <v>639.12</v>
      </c>
      <c r="P887" s="116">
        <v>655.28</v>
      </c>
      <c r="Q887" s="116">
        <v>3202.7</v>
      </c>
      <c r="R887">
        <v>177489</v>
      </c>
    </row>
    <row r="888" spans="1:18" x14ac:dyDescent="0.25">
      <c r="A888" s="170">
        <v>45408</v>
      </c>
      <c r="B888" s="116">
        <v>655.01</v>
      </c>
      <c r="C888" s="116">
        <v>641.83000000000004</v>
      </c>
      <c r="D888" s="116">
        <v>637.74</v>
      </c>
      <c r="E888" s="116">
        <v>648</v>
      </c>
      <c r="F888" s="116">
        <v>3209.15</v>
      </c>
      <c r="G888">
        <v>5236</v>
      </c>
      <c r="H888" s="116"/>
      <c r="I888" s="116"/>
      <c r="L888" s="170">
        <v>45414</v>
      </c>
      <c r="M888" s="116">
        <v>661.91</v>
      </c>
      <c r="N888" s="116">
        <v>663.21</v>
      </c>
      <c r="O888" s="116">
        <v>642.01</v>
      </c>
      <c r="P888" s="116">
        <v>645</v>
      </c>
      <c r="Q888" s="116">
        <v>3309.55</v>
      </c>
      <c r="R888">
        <v>249943</v>
      </c>
    </row>
    <row r="889" spans="1:18" x14ac:dyDescent="0.25">
      <c r="A889" s="170">
        <v>45411</v>
      </c>
      <c r="B889" s="116">
        <v>665</v>
      </c>
      <c r="C889" s="116">
        <v>658.1</v>
      </c>
      <c r="D889" s="116">
        <v>642.33000000000004</v>
      </c>
      <c r="E889" s="116">
        <v>642.33000000000004</v>
      </c>
      <c r="F889" s="116">
        <v>3290.5</v>
      </c>
      <c r="G889">
        <v>31470</v>
      </c>
      <c r="H889" s="116"/>
      <c r="I889" s="116"/>
      <c r="L889" s="170">
        <v>45415</v>
      </c>
      <c r="M889" s="116">
        <v>659.73</v>
      </c>
      <c r="N889" s="116">
        <v>666.8</v>
      </c>
      <c r="O889" s="116">
        <v>657</v>
      </c>
      <c r="P889" s="116">
        <v>666.6</v>
      </c>
      <c r="Q889" s="116">
        <v>3298.65</v>
      </c>
      <c r="R889">
        <v>271404</v>
      </c>
    </row>
    <row r="890" spans="1:18" x14ac:dyDescent="0.25">
      <c r="A890" s="170">
        <v>45412</v>
      </c>
      <c r="B890" s="116">
        <v>659.11</v>
      </c>
      <c r="C890" s="116">
        <v>640.89</v>
      </c>
      <c r="D890" s="116">
        <v>639.01</v>
      </c>
      <c r="E890" s="116">
        <v>657</v>
      </c>
      <c r="F890" s="116">
        <v>3204.45</v>
      </c>
      <c r="G890">
        <v>5535</v>
      </c>
      <c r="H890" s="116"/>
      <c r="I890" s="116"/>
      <c r="L890" s="170">
        <v>45418</v>
      </c>
      <c r="M890" s="116">
        <v>655.39</v>
      </c>
      <c r="N890" s="116">
        <v>673.4</v>
      </c>
      <c r="O890" s="116">
        <v>652.14</v>
      </c>
      <c r="P890" s="116">
        <v>667.37</v>
      </c>
      <c r="Q890" s="116">
        <v>3276.95</v>
      </c>
      <c r="R890">
        <v>327936</v>
      </c>
    </row>
    <row r="891" spans="1:18" x14ac:dyDescent="0.25">
      <c r="A891" s="170">
        <v>45414</v>
      </c>
      <c r="B891" s="116">
        <v>662.99</v>
      </c>
      <c r="C891" s="116">
        <v>661.68</v>
      </c>
      <c r="D891" s="116">
        <v>642.62</v>
      </c>
      <c r="E891" s="116">
        <v>643.02</v>
      </c>
      <c r="F891" s="116">
        <v>3308.4</v>
      </c>
      <c r="G891">
        <v>30535</v>
      </c>
      <c r="H891" s="116"/>
      <c r="I891" s="116"/>
      <c r="L891" s="170">
        <v>45419</v>
      </c>
      <c r="M891" s="116">
        <v>636.01</v>
      </c>
      <c r="N891" s="116">
        <v>663.8</v>
      </c>
      <c r="O891" s="116">
        <v>633.20000000000005</v>
      </c>
      <c r="P891" s="116">
        <v>660.65</v>
      </c>
      <c r="Q891" s="116">
        <v>3180.05</v>
      </c>
      <c r="R891">
        <v>226415</v>
      </c>
    </row>
    <row r="892" spans="1:18" x14ac:dyDescent="0.25">
      <c r="A892" s="170">
        <v>45415</v>
      </c>
      <c r="B892" s="116">
        <v>666.64</v>
      </c>
      <c r="C892" s="116">
        <v>659.06</v>
      </c>
      <c r="D892" s="116">
        <v>656.76</v>
      </c>
      <c r="E892" s="116">
        <v>662.73</v>
      </c>
      <c r="F892" s="116">
        <v>3295.3</v>
      </c>
      <c r="G892">
        <v>8556</v>
      </c>
      <c r="H892" s="116"/>
      <c r="I892" s="116"/>
      <c r="L892" s="170">
        <v>45420</v>
      </c>
      <c r="M892" s="116">
        <v>627.51</v>
      </c>
      <c r="N892" s="116">
        <v>636</v>
      </c>
      <c r="O892" s="116">
        <v>622.80999999999995</v>
      </c>
      <c r="P892" s="116">
        <v>635.44000000000005</v>
      </c>
      <c r="Q892" s="116">
        <v>3137.55</v>
      </c>
      <c r="R892">
        <v>147818</v>
      </c>
    </row>
    <row r="893" spans="1:18" x14ac:dyDescent="0.25">
      <c r="A893" s="170">
        <v>45418</v>
      </c>
      <c r="B893" s="116">
        <v>673.2</v>
      </c>
      <c r="C893" s="116">
        <v>654.22</v>
      </c>
      <c r="D893" s="116">
        <v>653.05999999999995</v>
      </c>
      <c r="E893" s="116">
        <v>660.01</v>
      </c>
      <c r="F893" s="116">
        <v>3271.1</v>
      </c>
      <c r="G893">
        <v>10125</v>
      </c>
      <c r="H893" s="116"/>
      <c r="I893" s="116"/>
      <c r="L893" s="170">
        <v>45421</v>
      </c>
      <c r="M893" s="116">
        <v>619.07000000000005</v>
      </c>
      <c r="N893" s="116">
        <v>656.99</v>
      </c>
      <c r="O893" s="116">
        <v>616</v>
      </c>
      <c r="P893" s="116">
        <v>632.47</v>
      </c>
      <c r="Q893" s="116">
        <v>3095.35</v>
      </c>
      <c r="R893">
        <v>521639</v>
      </c>
    </row>
    <row r="894" spans="1:18" x14ac:dyDescent="0.25">
      <c r="A894" s="170">
        <v>45419</v>
      </c>
      <c r="B894" s="116">
        <v>663.74</v>
      </c>
      <c r="C894" s="116">
        <v>635.12</v>
      </c>
      <c r="D894" s="116">
        <v>632.92999999999995</v>
      </c>
      <c r="E894" s="116">
        <v>660</v>
      </c>
      <c r="F894" s="116">
        <v>3175.6</v>
      </c>
      <c r="G894">
        <v>6629</v>
      </c>
      <c r="H894" s="116"/>
      <c r="I894" s="116"/>
      <c r="L894" s="170">
        <v>45422</v>
      </c>
      <c r="M894" s="116">
        <v>641.48</v>
      </c>
      <c r="N894" s="116">
        <v>655.20000000000005</v>
      </c>
      <c r="O894" s="116">
        <v>626.63</v>
      </c>
      <c r="P894" s="116">
        <v>627.99</v>
      </c>
      <c r="Q894" s="116">
        <v>3207.4</v>
      </c>
      <c r="R894">
        <v>685888</v>
      </c>
    </row>
    <row r="895" spans="1:18" x14ac:dyDescent="0.25">
      <c r="A895" s="170">
        <v>45420</v>
      </c>
      <c r="B895" s="116">
        <v>633.4</v>
      </c>
      <c r="C895" s="116">
        <v>627.99</v>
      </c>
      <c r="D895" s="116">
        <v>623.28</v>
      </c>
      <c r="E895" s="116">
        <v>633.03</v>
      </c>
      <c r="F895" s="116">
        <v>3139.95</v>
      </c>
      <c r="G895">
        <v>7239</v>
      </c>
      <c r="H895" s="116"/>
      <c r="I895" s="116"/>
      <c r="L895" s="170">
        <v>45425</v>
      </c>
      <c r="M895" s="116">
        <v>625.29</v>
      </c>
      <c r="N895" s="116">
        <v>639.77</v>
      </c>
      <c r="O895" s="116">
        <v>606.01</v>
      </c>
      <c r="P895" s="116">
        <v>636.20000000000005</v>
      </c>
      <c r="Q895" s="116">
        <v>3126.45</v>
      </c>
      <c r="R895">
        <v>317050</v>
      </c>
    </row>
    <row r="896" spans="1:18" x14ac:dyDescent="0.25">
      <c r="A896" s="170">
        <v>45421</v>
      </c>
      <c r="B896" s="116">
        <v>656.89</v>
      </c>
      <c r="C896" s="116">
        <v>619.36</v>
      </c>
      <c r="D896" s="116">
        <v>616.05999999999995</v>
      </c>
      <c r="E896" s="116">
        <v>634.39</v>
      </c>
      <c r="F896" s="116">
        <v>3096.8</v>
      </c>
      <c r="G896">
        <v>35050</v>
      </c>
      <c r="H896" s="116"/>
      <c r="I896" s="116"/>
      <c r="L896" s="170">
        <v>45426</v>
      </c>
      <c r="M896" s="116">
        <v>640.07000000000005</v>
      </c>
      <c r="N896" s="116">
        <v>643.6</v>
      </c>
      <c r="O896" s="116">
        <v>628.12</v>
      </c>
      <c r="P896" s="116">
        <v>629.99</v>
      </c>
      <c r="Q896" s="116">
        <v>3200.35</v>
      </c>
      <c r="R896">
        <v>127313</v>
      </c>
    </row>
    <row r="897" spans="1:18" x14ac:dyDescent="0.25">
      <c r="A897" s="170">
        <v>45422</v>
      </c>
      <c r="B897" s="116">
        <v>654.79999999999995</v>
      </c>
      <c r="C897" s="116">
        <v>641.35</v>
      </c>
      <c r="D897" s="116">
        <v>626.35</v>
      </c>
      <c r="E897" s="116">
        <v>626.35</v>
      </c>
      <c r="F897" s="116">
        <v>3206.75</v>
      </c>
      <c r="G897">
        <v>45574</v>
      </c>
      <c r="H897" s="116"/>
      <c r="I897" s="116"/>
      <c r="L897" s="170">
        <v>45427</v>
      </c>
      <c r="M897" s="116">
        <v>658.96</v>
      </c>
      <c r="N897" s="116">
        <v>664.8</v>
      </c>
      <c r="O897" s="116">
        <v>641.59</v>
      </c>
      <c r="P897" s="116">
        <v>641.6</v>
      </c>
      <c r="Q897" s="116">
        <v>3294.8</v>
      </c>
      <c r="R897">
        <v>391060</v>
      </c>
    </row>
    <row r="898" spans="1:18" x14ac:dyDescent="0.25">
      <c r="A898" s="170">
        <v>45425</v>
      </c>
      <c r="B898" s="116">
        <v>637.54</v>
      </c>
      <c r="C898" s="116">
        <v>625.48</v>
      </c>
      <c r="D898" s="116">
        <v>607.23</v>
      </c>
      <c r="E898" s="116">
        <v>635.21</v>
      </c>
      <c r="F898" s="116">
        <v>3127.4</v>
      </c>
      <c r="G898">
        <v>7955</v>
      </c>
      <c r="H898" s="116"/>
      <c r="I898" s="116"/>
      <c r="L898" s="170">
        <v>45428</v>
      </c>
      <c r="M898" s="116">
        <v>657.12</v>
      </c>
      <c r="N898" s="116">
        <v>665.8</v>
      </c>
      <c r="O898" s="116">
        <v>650.79</v>
      </c>
      <c r="P898" s="116">
        <v>665.8</v>
      </c>
      <c r="Q898" s="116">
        <v>3285.6</v>
      </c>
      <c r="R898">
        <v>116565</v>
      </c>
    </row>
    <row r="899" spans="1:18" x14ac:dyDescent="0.25">
      <c r="A899" s="170">
        <v>45426</v>
      </c>
      <c r="B899" s="116">
        <v>643.4</v>
      </c>
      <c r="C899" s="116">
        <v>639.46</v>
      </c>
      <c r="D899" s="116">
        <v>626.01</v>
      </c>
      <c r="E899" s="116">
        <v>626.01</v>
      </c>
      <c r="F899" s="116">
        <v>3197.3</v>
      </c>
      <c r="G899">
        <v>12858</v>
      </c>
      <c r="H899" s="116"/>
      <c r="I899" s="116"/>
      <c r="L899" s="170">
        <v>45429</v>
      </c>
      <c r="M899" s="116">
        <v>662.74</v>
      </c>
      <c r="N899" s="116">
        <v>670.86</v>
      </c>
      <c r="O899" s="116">
        <v>654.83000000000004</v>
      </c>
      <c r="P899" s="116">
        <v>661.59</v>
      </c>
      <c r="Q899" s="116">
        <v>3313.7</v>
      </c>
      <c r="R899">
        <v>200028</v>
      </c>
    </row>
    <row r="900" spans="1:18" x14ac:dyDescent="0.25">
      <c r="A900" s="170">
        <v>45427</v>
      </c>
      <c r="B900" s="116">
        <v>664.2</v>
      </c>
      <c r="C900" s="116">
        <v>659.38</v>
      </c>
      <c r="D900" s="116">
        <v>640.80999999999995</v>
      </c>
      <c r="E900" s="116">
        <v>644.97</v>
      </c>
      <c r="F900" s="116">
        <v>3296.9</v>
      </c>
      <c r="G900">
        <v>11104</v>
      </c>
      <c r="H900" s="116"/>
      <c r="I900" s="116"/>
      <c r="L900" s="170">
        <v>45430</v>
      </c>
      <c r="M900" s="116">
        <v>663.39</v>
      </c>
      <c r="N900" s="116">
        <v>669.8</v>
      </c>
      <c r="O900" s="116">
        <v>660.2</v>
      </c>
      <c r="P900" s="116">
        <v>664</v>
      </c>
      <c r="Q900" s="116">
        <v>3316.95</v>
      </c>
      <c r="R900">
        <v>17076</v>
      </c>
    </row>
    <row r="901" spans="1:18" x14ac:dyDescent="0.25">
      <c r="A901" s="170">
        <v>45428</v>
      </c>
      <c r="B901" s="116">
        <v>666.25</v>
      </c>
      <c r="C901" s="116">
        <v>655.53</v>
      </c>
      <c r="D901" s="116">
        <v>650.78</v>
      </c>
      <c r="E901" s="116">
        <v>660.61</v>
      </c>
      <c r="F901" s="116">
        <v>3277.65</v>
      </c>
      <c r="G901">
        <v>16615</v>
      </c>
      <c r="H901" s="116"/>
      <c r="I901" s="116"/>
      <c r="L901" s="170">
        <v>45433</v>
      </c>
      <c r="M901" s="116">
        <v>679.47</v>
      </c>
      <c r="N901" s="116">
        <v>682</v>
      </c>
      <c r="O901" s="116">
        <v>661.45</v>
      </c>
      <c r="P901" s="116">
        <v>666.4</v>
      </c>
      <c r="Q901" s="116">
        <v>3397.35</v>
      </c>
      <c r="R901">
        <v>378544</v>
      </c>
    </row>
    <row r="902" spans="1:18" x14ac:dyDescent="0.25">
      <c r="A902" s="170">
        <v>45429</v>
      </c>
      <c r="B902" s="116">
        <v>670.76</v>
      </c>
      <c r="C902" s="116">
        <v>662.35</v>
      </c>
      <c r="D902" s="116">
        <v>654.65</v>
      </c>
      <c r="E902" s="116">
        <v>657.94</v>
      </c>
      <c r="F902" s="116">
        <v>3311.75</v>
      </c>
      <c r="G902">
        <v>7052</v>
      </c>
      <c r="H902" s="116"/>
      <c r="I902" s="116"/>
      <c r="L902" s="170">
        <v>45434</v>
      </c>
      <c r="M902" s="116">
        <v>696.56</v>
      </c>
      <c r="N902" s="116">
        <v>707</v>
      </c>
      <c r="O902" s="116">
        <v>678</v>
      </c>
      <c r="P902" s="116">
        <v>683</v>
      </c>
      <c r="Q902" s="116">
        <v>3482.8</v>
      </c>
      <c r="R902">
        <v>602396</v>
      </c>
    </row>
    <row r="903" spans="1:18" x14ac:dyDescent="0.25">
      <c r="A903" s="170">
        <v>45430</v>
      </c>
      <c r="B903" s="116">
        <v>668</v>
      </c>
      <c r="C903" s="116">
        <v>663.42</v>
      </c>
      <c r="D903" s="116">
        <v>649.41</v>
      </c>
      <c r="E903" s="116">
        <v>654.01</v>
      </c>
      <c r="F903" s="116">
        <v>3317.1</v>
      </c>
      <c r="G903">
        <v>1295</v>
      </c>
      <c r="H903" s="116"/>
      <c r="I903" s="116"/>
      <c r="L903" s="170">
        <v>45435</v>
      </c>
      <c r="M903" s="116">
        <v>709.61</v>
      </c>
      <c r="N903" s="116">
        <v>727.29</v>
      </c>
      <c r="O903" s="116">
        <v>695.59</v>
      </c>
      <c r="P903" s="116">
        <v>696.57</v>
      </c>
      <c r="Q903" s="116">
        <v>3548.05</v>
      </c>
      <c r="R903">
        <v>594015</v>
      </c>
    </row>
    <row r="904" spans="1:18" x14ac:dyDescent="0.25">
      <c r="A904" s="170">
        <v>45433</v>
      </c>
      <c r="B904" s="116">
        <v>682.39</v>
      </c>
      <c r="C904" s="116">
        <v>678.5</v>
      </c>
      <c r="D904" s="116">
        <v>654.01</v>
      </c>
      <c r="E904" s="116">
        <v>654.01</v>
      </c>
      <c r="F904" s="116">
        <v>3392.5</v>
      </c>
      <c r="G904">
        <v>39195</v>
      </c>
      <c r="H904" s="116"/>
      <c r="I904" s="116"/>
      <c r="L904" s="170">
        <v>45436</v>
      </c>
      <c r="M904" s="116">
        <v>683.26</v>
      </c>
      <c r="N904" s="116">
        <v>715.46</v>
      </c>
      <c r="O904" s="116">
        <v>680.8</v>
      </c>
      <c r="P904" s="116">
        <v>711</v>
      </c>
      <c r="Q904" s="116">
        <v>3416.3</v>
      </c>
      <c r="R904">
        <v>226630</v>
      </c>
    </row>
    <row r="905" spans="1:18" x14ac:dyDescent="0.25">
      <c r="A905" s="170">
        <v>45434</v>
      </c>
      <c r="B905" s="116">
        <v>706.4</v>
      </c>
      <c r="C905" s="116">
        <v>697.01</v>
      </c>
      <c r="D905" s="116">
        <v>678.4</v>
      </c>
      <c r="E905" s="116">
        <v>681.71</v>
      </c>
      <c r="F905" s="116">
        <v>3485.05</v>
      </c>
      <c r="G905">
        <v>25890</v>
      </c>
      <c r="H905" s="116"/>
      <c r="I905" s="116"/>
      <c r="L905" s="170">
        <v>45439</v>
      </c>
      <c r="M905" s="116">
        <v>705.27</v>
      </c>
      <c r="N905" s="116">
        <v>719.6</v>
      </c>
      <c r="O905" s="116">
        <v>686.46</v>
      </c>
      <c r="P905" s="116">
        <v>688</v>
      </c>
      <c r="Q905" s="116">
        <v>3526.35</v>
      </c>
      <c r="R905">
        <v>386494</v>
      </c>
    </row>
    <row r="906" spans="1:18" x14ac:dyDescent="0.25">
      <c r="A906" s="170">
        <v>45435</v>
      </c>
      <c r="B906" s="116">
        <v>727</v>
      </c>
      <c r="C906" s="116">
        <v>709.68</v>
      </c>
      <c r="D906" s="116">
        <v>697</v>
      </c>
      <c r="E906" s="116">
        <v>699.81</v>
      </c>
      <c r="F906" s="116">
        <v>3548.4</v>
      </c>
      <c r="G906">
        <v>54063</v>
      </c>
      <c r="H906" s="116"/>
      <c r="I906" s="116"/>
      <c r="L906" s="170">
        <v>45440</v>
      </c>
      <c r="M906" s="116">
        <v>691.26</v>
      </c>
      <c r="N906" s="116">
        <v>717.94</v>
      </c>
      <c r="O906" s="116">
        <v>689</v>
      </c>
      <c r="P906" s="116">
        <v>708</v>
      </c>
      <c r="Q906" s="116">
        <v>3456.3</v>
      </c>
      <c r="R906">
        <v>203102</v>
      </c>
    </row>
    <row r="907" spans="1:18" x14ac:dyDescent="0.25">
      <c r="A907" s="170">
        <v>45436</v>
      </c>
      <c r="B907" s="116">
        <v>715</v>
      </c>
      <c r="C907" s="116">
        <v>683.14</v>
      </c>
      <c r="D907" s="116">
        <v>680.52</v>
      </c>
      <c r="E907" s="116">
        <v>706.44</v>
      </c>
      <c r="F907" s="116">
        <v>3415.7</v>
      </c>
      <c r="G907">
        <v>26602</v>
      </c>
      <c r="H907" s="116"/>
      <c r="I907" s="116"/>
      <c r="L907" s="170">
        <v>45441</v>
      </c>
      <c r="M907" s="116">
        <v>689.58</v>
      </c>
      <c r="N907" s="116">
        <v>691.2</v>
      </c>
      <c r="O907" s="116">
        <v>668</v>
      </c>
      <c r="P907" s="116">
        <v>690</v>
      </c>
      <c r="Q907" s="116">
        <v>3447.9</v>
      </c>
      <c r="R907">
        <v>296368</v>
      </c>
    </row>
    <row r="908" spans="1:18" x14ac:dyDescent="0.25">
      <c r="A908" s="170">
        <v>45439</v>
      </c>
      <c r="B908" s="116">
        <v>719.4</v>
      </c>
      <c r="C908" s="116">
        <v>704.86</v>
      </c>
      <c r="D908" s="116">
        <v>689.63</v>
      </c>
      <c r="E908" s="116">
        <v>696.65</v>
      </c>
      <c r="F908" s="116">
        <v>3524.3</v>
      </c>
      <c r="G908">
        <v>14514</v>
      </c>
      <c r="H908" s="116"/>
      <c r="I908" s="116"/>
      <c r="L908" s="170">
        <v>45442</v>
      </c>
      <c r="M908" s="116">
        <v>692.27</v>
      </c>
      <c r="N908" s="116">
        <v>700</v>
      </c>
      <c r="O908" s="116">
        <v>678.33</v>
      </c>
      <c r="P908" s="116">
        <v>688.01</v>
      </c>
      <c r="Q908" s="116">
        <v>3461.35</v>
      </c>
      <c r="R908">
        <v>255640</v>
      </c>
    </row>
    <row r="909" spans="1:18" x14ac:dyDescent="0.25">
      <c r="A909" s="170">
        <v>45440</v>
      </c>
      <c r="B909" s="116">
        <v>717.19</v>
      </c>
      <c r="C909" s="116">
        <v>691.99</v>
      </c>
      <c r="D909" s="116">
        <v>689.02</v>
      </c>
      <c r="E909" s="116">
        <v>705.26</v>
      </c>
      <c r="F909" s="116">
        <v>3459.95</v>
      </c>
      <c r="G909">
        <v>6841</v>
      </c>
      <c r="H909" s="116"/>
      <c r="I909" s="116"/>
      <c r="L909" s="170">
        <v>45443</v>
      </c>
      <c r="M909" s="116">
        <v>696.02</v>
      </c>
      <c r="N909" s="116">
        <v>707.4</v>
      </c>
      <c r="O909" s="116">
        <v>691.25</v>
      </c>
      <c r="P909" s="116">
        <v>700</v>
      </c>
      <c r="Q909" s="116">
        <v>3480.1</v>
      </c>
      <c r="R909">
        <v>191144</v>
      </c>
    </row>
    <row r="910" spans="1:18" x14ac:dyDescent="0.25">
      <c r="A910" s="170">
        <v>45441</v>
      </c>
      <c r="B910" s="116">
        <v>691.48</v>
      </c>
      <c r="C910" s="116">
        <v>689.07</v>
      </c>
      <c r="D910" s="116">
        <v>667.24</v>
      </c>
      <c r="E910" s="116">
        <v>682.27</v>
      </c>
      <c r="F910" s="116">
        <v>3445.35</v>
      </c>
      <c r="G910">
        <v>25138</v>
      </c>
      <c r="H910" s="116"/>
      <c r="I910" s="116"/>
      <c r="L910" s="170">
        <v>45446</v>
      </c>
      <c r="M910" s="116">
        <v>709.93</v>
      </c>
      <c r="N910" s="116">
        <v>727.68</v>
      </c>
      <c r="O910" s="116">
        <v>704</v>
      </c>
      <c r="P910" s="116">
        <v>720</v>
      </c>
      <c r="Q910" s="116">
        <v>3549.65</v>
      </c>
      <c r="R910">
        <v>320998</v>
      </c>
    </row>
    <row r="911" spans="1:18" x14ac:dyDescent="0.25">
      <c r="A911" s="170">
        <v>45442</v>
      </c>
      <c r="B911" s="116">
        <v>699.6</v>
      </c>
      <c r="C911" s="116">
        <v>693.11</v>
      </c>
      <c r="D911" s="116">
        <v>678.25</v>
      </c>
      <c r="E911" s="116">
        <v>689.07</v>
      </c>
      <c r="F911" s="116">
        <v>3465.55</v>
      </c>
      <c r="G911">
        <v>4885</v>
      </c>
      <c r="H911" s="116"/>
      <c r="I911" s="116"/>
      <c r="L911" s="170">
        <v>45447</v>
      </c>
      <c r="M911" s="116">
        <v>660.52</v>
      </c>
      <c r="N911" s="116">
        <v>709.01</v>
      </c>
      <c r="O911" s="116">
        <v>610</v>
      </c>
      <c r="P911" s="116">
        <v>709.01</v>
      </c>
      <c r="Q911" s="116">
        <v>3302.6</v>
      </c>
      <c r="R911">
        <v>397578</v>
      </c>
    </row>
    <row r="912" spans="1:18" x14ac:dyDescent="0.25">
      <c r="A912" s="170">
        <v>45443</v>
      </c>
      <c r="B912" s="116">
        <v>707</v>
      </c>
      <c r="C912" s="116">
        <v>695.84</v>
      </c>
      <c r="D912" s="116">
        <v>691</v>
      </c>
      <c r="E912" s="116">
        <v>700</v>
      </c>
      <c r="F912" s="116">
        <v>3479.2</v>
      </c>
      <c r="G912">
        <v>22465</v>
      </c>
      <c r="H912" s="116"/>
      <c r="I912" s="116"/>
      <c r="L912" s="170">
        <v>45448</v>
      </c>
      <c r="M912" s="116">
        <v>688.41</v>
      </c>
      <c r="N912" s="116">
        <v>691.63</v>
      </c>
      <c r="O912" s="116">
        <v>630.22</v>
      </c>
      <c r="P912" s="116">
        <v>668</v>
      </c>
      <c r="Q912" s="116">
        <v>3442.05</v>
      </c>
      <c r="R912">
        <v>204913</v>
      </c>
    </row>
    <row r="913" spans="1:18" x14ac:dyDescent="0.25">
      <c r="A913" s="170">
        <v>45446</v>
      </c>
      <c r="B913" s="116">
        <v>727.2</v>
      </c>
      <c r="C913" s="116">
        <v>711.46</v>
      </c>
      <c r="D913" s="116">
        <v>705</v>
      </c>
      <c r="E913" s="116">
        <v>711.01</v>
      </c>
      <c r="F913" s="116">
        <v>3557.3</v>
      </c>
      <c r="G913">
        <v>10056</v>
      </c>
      <c r="H913" s="116"/>
      <c r="I913" s="116"/>
      <c r="L913" s="170">
        <v>45449</v>
      </c>
      <c r="M913" s="116">
        <v>675.03</v>
      </c>
      <c r="N913" s="116">
        <v>704.5</v>
      </c>
      <c r="O913" s="116">
        <v>673.01</v>
      </c>
      <c r="P913" s="116">
        <v>694</v>
      </c>
      <c r="Q913" s="116">
        <v>3375.15</v>
      </c>
      <c r="R913">
        <v>172132</v>
      </c>
    </row>
    <row r="914" spans="1:18" x14ac:dyDescent="0.25">
      <c r="A914" s="170">
        <v>45447</v>
      </c>
      <c r="B914" s="116">
        <v>719.59</v>
      </c>
      <c r="C914" s="116">
        <v>659.88</v>
      </c>
      <c r="D914" s="116">
        <v>608.67999999999995</v>
      </c>
      <c r="E914" s="116">
        <v>719.59</v>
      </c>
      <c r="F914" s="116">
        <v>3299.4</v>
      </c>
      <c r="G914">
        <v>61717</v>
      </c>
      <c r="H914" s="116"/>
      <c r="I914" s="116"/>
      <c r="L914" s="170">
        <v>45450</v>
      </c>
      <c r="M914" s="116">
        <v>681.62</v>
      </c>
      <c r="N914" s="116">
        <v>691.92</v>
      </c>
      <c r="O914" s="116">
        <v>678.02</v>
      </c>
      <c r="P914" s="116">
        <v>683.97</v>
      </c>
      <c r="Q914" s="116">
        <v>3408.1</v>
      </c>
      <c r="R914">
        <v>114975</v>
      </c>
    </row>
    <row r="915" spans="1:18" x14ac:dyDescent="0.25">
      <c r="A915" s="170">
        <v>45448</v>
      </c>
      <c r="B915" s="116">
        <v>691.59</v>
      </c>
      <c r="C915" s="116">
        <v>688.47</v>
      </c>
      <c r="D915" s="116">
        <v>629.37</v>
      </c>
      <c r="E915" s="116">
        <v>640.02</v>
      </c>
      <c r="F915" s="116">
        <v>3442.35</v>
      </c>
      <c r="G915">
        <v>9616</v>
      </c>
      <c r="H915" s="116"/>
      <c r="I915" s="116"/>
      <c r="L915" s="170">
        <v>45453</v>
      </c>
      <c r="M915" s="116">
        <v>689.54</v>
      </c>
      <c r="N915" s="116">
        <v>697.6</v>
      </c>
      <c r="O915" s="116">
        <v>681.62</v>
      </c>
      <c r="P915" s="116">
        <v>688</v>
      </c>
      <c r="Q915" s="116">
        <v>3447.7</v>
      </c>
      <c r="R915">
        <v>106471</v>
      </c>
    </row>
    <row r="916" spans="1:18" x14ac:dyDescent="0.25">
      <c r="A916" s="170">
        <v>45449</v>
      </c>
      <c r="B916" s="116">
        <v>704.3</v>
      </c>
      <c r="C916" s="116">
        <v>675.77</v>
      </c>
      <c r="D916" s="116">
        <v>673.6</v>
      </c>
      <c r="E916" s="116">
        <v>695.98</v>
      </c>
      <c r="F916" s="116">
        <v>3378.85</v>
      </c>
      <c r="G916">
        <v>21122</v>
      </c>
      <c r="H916" s="116"/>
      <c r="I916" s="116"/>
      <c r="L916" s="170">
        <v>45454</v>
      </c>
      <c r="M916" s="116">
        <v>687.74</v>
      </c>
      <c r="N916" s="116">
        <v>704</v>
      </c>
      <c r="O916" s="116">
        <v>684.6</v>
      </c>
      <c r="P916" s="116">
        <v>689.54</v>
      </c>
      <c r="Q916" s="116">
        <v>3438.7</v>
      </c>
      <c r="R916">
        <v>132604</v>
      </c>
    </row>
    <row r="917" spans="1:18" x14ac:dyDescent="0.25">
      <c r="A917" s="170">
        <v>45450</v>
      </c>
      <c r="B917" s="116">
        <v>692</v>
      </c>
      <c r="C917" s="116">
        <v>681.21</v>
      </c>
      <c r="D917" s="116">
        <v>677.49</v>
      </c>
      <c r="E917" s="116">
        <v>681.01</v>
      </c>
      <c r="F917" s="116">
        <v>3406.05</v>
      </c>
      <c r="G917">
        <v>12679</v>
      </c>
      <c r="H917" s="116"/>
      <c r="I917" s="116"/>
      <c r="L917" s="170">
        <v>45455</v>
      </c>
      <c r="M917" s="116">
        <v>725.27</v>
      </c>
      <c r="N917" s="116">
        <v>730</v>
      </c>
      <c r="O917" s="116">
        <v>690.57</v>
      </c>
      <c r="P917" s="116">
        <v>694.99</v>
      </c>
      <c r="Q917" s="116">
        <v>3626.35</v>
      </c>
      <c r="R917">
        <v>338664</v>
      </c>
    </row>
    <row r="918" spans="1:18" x14ac:dyDescent="0.25">
      <c r="A918" s="170">
        <v>45453</v>
      </c>
      <c r="B918" s="116">
        <v>696.94</v>
      </c>
      <c r="C918" s="116">
        <v>688.5</v>
      </c>
      <c r="D918" s="116">
        <v>681.77</v>
      </c>
      <c r="E918" s="116">
        <v>693.75</v>
      </c>
      <c r="F918" s="116">
        <v>3442.5</v>
      </c>
      <c r="G918">
        <v>3966</v>
      </c>
      <c r="H918" s="116"/>
      <c r="I918" s="116"/>
      <c r="L918" s="170">
        <v>45456</v>
      </c>
      <c r="M918" s="116">
        <v>733.07</v>
      </c>
      <c r="N918" s="116">
        <v>737.19</v>
      </c>
      <c r="O918" s="116">
        <v>715.27</v>
      </c>
      <c r="P918" s="116">
        <v>735</v>
      </c>
      <c r="Q918" s="116">
        <v>3665.35</v>
      </c>
      <c r="R918">
        <v>320303</v>
      </c>
    </row>
    <row r="919" spans="1:18" x14ac:dyDescent="0.25">
      <c r="A919" s="170">
        <v>45454</v>
      </c>
      <c r="B919" s="116">
        <v>704</v>
      </c>
      <c r="C919" s="116">
        <v>688.44</v>
      </c>
      <c r="D919" s="116">
        <v>685.79</v>
      </c>
      <c r="E919" s="116">
        <v>686.29</v>
      </c>
      <c r="F919" s="116">
        <v>3442.2</v>
      </c>
      <c r="G919">
        <v>4351</v>
      </c>
      <c r="H919" s="116"/>
      <c r="I919" s="116"/>
      <c r="L919" s="170">
        <v>45457</v>
      </c>
      <c r="M919" s="116">
        <v>715.52</v>
      </c>
      <c r="N919" s="116">
        <v>732.64</v>
      </c>
      <c r="O919" s="116">
        <v>712.65</v>
      </c>
      <c r="P919" s="116">
        <v>728.01</v>
      </c>
      <c r="Q919" s="116">
        <v>3577.6</v>
      </c>
      <c r="R919">
        <v>188666</v>
      </c>
    </row>
    <row r="920" spans="1:18" x14ac:dyDescent="0.25">
      <c r="A920" s="170">
        <v>45455</v>
      </c>
      <c r="B920" s="116">
        <v>729.99</v>
      </c>
      <c r="C920" s="116">
        <v>724.37</v>
      </c>
      <c r="D920" s="116">
        <v>690.11</v>
      </c>
      <c r="E920" s="116">
        <v>690.11</v>
      </c>
      <c r="F920" s="116">
        <v>3621.85</v>
      </c>
      <c r="G920">
        <v>40457</v>
      </c>
      <c r="H920" s="116"/>
      <c r="I920" s="116"/>
      <c r="L920" s="170">
        <v>45461</v>
      </c>
      <c r="M920" s="116">
        <v>729.85</v>
      </c>
      <c r="N920" s="116">
        <v>732.34</v>
      </c>
      <c r="O920" s="116">
        <v>705.52</v>
      </c>
      <c r="P920" s="116">
        <v>722</v>
      </c>
      <c r="Q920" s="116">
        <v>3649.25</v>
      </c>
      <c r="R920">
        <v>244567</v>
      </c>
    </row>
    <row r="921" spans="1:18" x14ac:dyDescent="0.25">
      <c r="A921" s="170">
        <v>45456</v>
      </c>
      <c r="B921" s="116">
        <v>736</v>
      </c>
      <c r="C921" s="116">
        <v>733.07</v>
      </c>
      <c r="D921" s="116">
        <v>715.6</v>
      </c>
      <c r="E921" s="116">
        <v>733.99</v>
      </c>
      <c r="F921" s="116">
        <v>3665.35</v>
      </c>
      <c r="G921">
        <v>12393</v>
      </c>
      <c r="H921" s="116"/>
      <c r="I921" s="116"/>
      <c r="L921" s="170">
        <v>45462</v>
      </c>
      <c r="M921" s="116">
        <v>714.29</v>
      </c>
      <c r="N921" s="116">
        <v>737</v>
      </c>
      <c r="O921" s="116">
        <v>712</v>
      </c>
      <c r="P921" s="116">
        <v>736.99</v>
      </c>
      <c r="Q921" s="116">
        <v>3571.45</v>
      </c>
      <c r="R921">
        <v>160186</v>
      </c>
    </row>
    <row r="922" spans="1:18" x14ac:dyDescent="0.25">
      <c r="A922" s="170">
        <v>45457</v>
      </c>
      <c r="B922" s="116">
        <v>735.35</v>
      </c>
      <c r="C922" s="116">
        <v>715.91</v>
      </c>
      <c r="D922" s="116">
        <v>712.63</v>
      </c>
      <c r="E922" s="116">
        <v>735.35</v>
      </c>
      <c r="F922" s="116">
        <v>3579.55</v>
      </c>
      <c r="G922">
        <v>23485</v>
      </c>
      <c r="H922" s="116"/>
      <c r="I922" s="116"/>
      <c r="L922" s="170">
        <v>45463</v>
      </c>
      <c r="M922" s="116">
        <v>703.24</v>
      </c>
      <c r="N922" s="116">
        <v>721.52</v>
      </c>
      <c r="O922" s="116">
        <v>697.6</v>
      </c>
      <c r="P922" s="116">
        <v>721.52</v>
      </c>
      <c r="Q922" s="116">
        <v>3516.2</v>
      </c>
      <c r="R922">
        <v>140675</v>
      </c>
    </row>
    <row r="923" spans="1:18" x14ac:dyDescent="0.25">
      <c r="A923" s="170">
        <v>45461</v>
      </c>
      <c r="B923" s="116">
        <v>732</v>
      </c>
      <c r="C923" s="116">
        <v>729.66</v>
      </c>
      <c r="D923" s="116">
        <v>705.23</v>
      </c>
      <c r="E923" s="116">
        <v>715.83</v>
      </c>
      <c r="F923" s="116">
        <v>3648.3</v>
      </c>
      <c r="G923">
        <v>26214</v>
      </c>
      <c r="H923" s="116"/>
      <c r="I923" s="116"/>
      <c r="L923" s="170">
        <v>45464</v>
      </c>
      <c r="M923" s="116">
        <v>709.76</v>
      </c>
      <c r="N923" s="116">
        <v>730.8</v>
      </c>
      <c r="O923" s="116">
        <v>703.23</v>
      </c>
      <c r="P923" s="116">
        <v>703.8</v>
      </c>
      <c r="Q923" s="116">
        <v>3548.8</v>
      </c>
      <c r="R923">
        <v>327647</v>
      </c>
    </row>
    <row r="924" spans="1:18" x14ac:dyDescent="0.25">
      <c r="A924" s="170">
        <v>45462</v>
      </c>
      <c r="B924" s="116">
        <v>736.01</v>
      </c>
      <c r="C924" s="116">
        <v>715.07</v>
      </c>
      <c r="D924" s="116">
        <v>712.85</v>
      </c>
      <c r="E924" s="116">
        <v>736.01</v>
      </c>
      <c r="F924" s="116">
        <v>3575.35</v>
      </c>
      <c r="G924">
        <v>4111</v>
      </c>
      <c r="H924" s="116"/>
      <c r="I924" s="116"/>
      <c r="L924" s="170">
        <v>45467</v>
      </c>
      <c r="M924" s="116">
        <v>731.27</v>
      </c>
      <c r="N924" s="116">
        <v>733</v>
      </c>
      <c r="O924" s="116">
        <v>707.2</v>
      </c>
      <c r="P924" s="116">
        <v>708</v>
      </c>
      <c r="Q924" s="116">
        <v>3656.35</v>
      </c>
      <c r="R924">
        <v>222698</v>
      </c>
    </row>
    <row r="925" spans="1:18" x14ac:dyDescent="0.25">
      <c r="A925" s="170">
        <v>45463</v>
      </c>
      <c r="B925" s="116">
        <v>721</v>
      </c>
      <c r="C925" s="116">
        <v>703</v>
      </c>
      <c r="D925" s="116">
        <v>697.05</v>
      </c>
      <c r="E925" s="116">
        <v>718</v>
      </c>
      <c r="F925" s="116">
        <v>3515</v>
      </c>
      <c r="G925">
        <v>13580</v>
      </c>
      <c r="H925" s="116"/>
      <c r="I925" s="116"/>
      <c r="L925" s="170">
        <v>45468</v>
      </c>
      <c r="M925" s="116">
        <v>736.96</v>
      </c>
      <c r="N925" s="116">
        <v>767.6</v>
      </c>
      <c r="O925" s="116">
        <v>732.65</v>
      </c>
      <c r="P925" s="116">
        <v>744</v>
      </c>
      <c r="Q925" s="116">
        <v>3684.8</v>
      </c>
      <c r="R925">
        <v>719979</v>
      </c>
    </row>
    <row r="926" spans="1:18" x14ac:dyDescent="0.25">
      <c r="A926" s="170">
        <v>45464</v>
      </c>
      <c r="B926" s="116">
        <v>730.53</v>
      </c>
      <c r="C926" s="116">
        <v>709.34</v>
      </c>
      <c r="D926" s="116">
        <v>703</v>
      </c>
      <c r="E926" s="116">
        <v>703.01</v>
      </c>
      <c r="F926" s="116">
        <v>3546.7</v>
      </c>
      <c r="G926">
        <v>7629</v>
      </c>
      <c r="H926" s="116"/>
      <c r="I926" s="116"/>
      <c r="L926" s="170">
        <v>45469</v>
      </c>
      <c r="M926" s="116">
        <v>729.83</v>
      </c>
      <c r="N926" s="116">
        <v>742.93</v>
      </c>
      <c r="O926" s="116">
        <v>727.8</v>
      </c>
      <c r="P926" s="116">
        <v>738.6</v>
      </c>
      <c r="Q926" s="116">
        <v>3649.15</v>
      </c>
      <c r="R926">
        <v>115904</v>
      </c>
    </row>
    <row r="927" spans="1:18" x14ac:dyDescent="0.25">
      <c r="A927" s="170">
        <v>45467</v>
      </c>
      <c r="B927" s="116">
        <v>734.99</v>
      </c>
      <c r="C927" s="116">
        <v>732.32</v>
      </c>
      <c r="D927" s="116">
        <v>709.18</v>
      </c>
      <c r="E927" s="116">
        <v>720</v>
      </c>
      <c r="F927" s="116">
        <v>3661.6</v>
      </c>
      <c r="G927">
        <v>5750</v>
      </c>
      <c r="H927" s="116"/>
      <c r="I927" s="116"/>
      <c r="L927" s="170">
        <v>45470</v>
      </c>
      <c r="M927" s="116">
        <v>710.22</v>
      </c>
      <c r="N927" s="116">
        <v>731.81</v>
      </c>
      <c r="O927" s="116">
        <v>705.85</v>
      </c>
      <c r="P927" s="116">
        <v>730.49</v>
      </c>
      <c r="Q927" s="116">
        <v>3551.1</v>
      </c>
      <c r="R927">
        <v>173710</v>
      </c>
    </row>
    <row r="928" spans="1:18" x14ac:dyDescent="0.25">
      <c r="A928" s="170">
        <v>45468</v>
      </c>
      <c r="B928" s="116">
        <v>767.06</v>
      </c>
      <c r="C928" s="116">
        <v>736.64</v>
      </c>
      <c r="D928" s="116">
        <v>734.04</v>
      </c>
      <c r="E928" s="116">
        <v>738</v>
      </c>
      <c r="F928" s="116">
        <v>3683.2</v>
      </c>
      <c r="G928">
        <v>56051</v>
      </c>
      <c r="H928" s="116"/>
      <c r="I928" s="116"/>
      <c r="L928" s="170">
        <v>45471</v>
      </c>
      <c r="M928" s="116">
        <v>722.55</v>
      </c>
      <c r="N928" s="116">
        <v>732.55</v>
      </c>
      <c r="O928" s="116">
        <v>712</v>
      </c>
      <c r="P928" s="116">
        <v>714.99</v>
      </c>
      <c r="Q928" s="116">
        <v>3612.75</v>
      </c>
      <c r="R928">
        <v>239019</v>
      </c>
    </row>
    <row r="929" spans="1:18" x14ac:dyDescent="0.25">
      <c r="A929" s="170">
        <v>45469</v>
      </c>
      <c r="B929" s="116">
        <v>742.96</v>
      </c>
      <c r="C929" s="116">
        <v>729.88</v>
      </c>
      <c r="D929" s="116">
        <v>728</v>
      </c>
      <c r="E929" s="116">
        <v>739.97</v>
      </c>
      <c r="F929" s="116">
        <v>3649.4</v>
      </c>
      <c r="G929">
        <v>6342</v>
      </c>
      <c r="H929" s="116"/>
      <c r="I929" s="116"/>
      <c r="L929" s="170">
        <v>45474</v>
      </c>
      <c r="M929" s="116">
        <v>730.78</v>
      </c>
      <c r="N929" s="116">
        <v>735</v>
      </c>
      <c r="O929" s="116">
        <v>720.22</v>
      </c>
      <c r="P929" s="116">
        <v>724</v>
      </c>
      <c r="Q929" s="116">
        <v>3653.9</v>
      </c>
      <c r="R929">
        <v>160678</v>
      </c>
    </row>
    <row r="930" spans="1:18" x14ac:dyDescent="0.25">
      <c r="A930" s="170">
        <v>45470</v>
      </c>
      <c r="B930" s="116">
        <v>731.62</v>
      </c>
      <c r="C930" s="116">
        <v>710.69</v>
      </c>
      <c r="D930" s="116">
        <v>706.22</v>
      </c>
      <c r="E930" s="116">
        <v>729</v>
      </c>
      <c r="F930" s="116">
        <v>3553.45</v>
      </c>
      <c r="G930">
        <v>15691</v>
      </c>
      <c r="H930" s="116"/>
      <c r="I930" s="116"/>
      <c r="L930" s="170">
        <v>45475</v>
      </c>
      <c r="M930" s="116">
        <v>752.59</v>
      </c>
      <c r="N930" s="116">
        <v>754</v>
      </c>
      <c r="O930" s="116">
        <v>741.22</v>
      </c>
      <c r="P930" s="116">
        <v>745.42</v>
      </c>
      <c r="Q930" s="116">
        <v>3762.95</v>
      </c>
      <c r="R930">
        <v>343378</v>
      </c>
    </row>
    <row r="931" spans="1:18" x14ac:dyDescent="0.25">
      <c r="A931" s="170">
        <v>45471</v>
      </c>
      <c r="B931" s="116">
        <v>731.8</v>
      </c>
      <c r="C931" s="116">
        <v>722.51</v>
      </c>
      <c r="D931" s="116">
        <v>710.13</v>
      </c>
      <c r="E931" s="116">
        <v>710.13</v>
      </c>
      <c r="F931" s="116">
        <v>3612.55</v>
      </c>
      <c r="G931">
        <v>18899</v>
      </c>
      <c r="H931" s="116"/>
      <c r="I931" s="116"/>
      <c r="L931" s="170">
        <v>45476</v>
      </c>
      <c r="M931" s="116">
        <v>759.91</v>
      </c>
      <c r="N931" s="116">
        <v>768</v>
      </c>
      <c r="O931" s="116">
        <v>752.79</v>
      </c>
      <c r="P931" s="116">
        <v>755.98</v>
      </c>
      <c r="Q931" s="116">
        <v>3799.55</v>
      </c>
      <c r="R931">
        <v>171193</v>
      </c>
    </row>
    <row r="932" spans="1:18" x14ac:dyDescent="0.25">
      <c r="A932" s="170">
        <v>45474</v>
      </c>
      <c r="B932" s="116">
        <v>735.03</v>
      </c>
      <c r="C932" s="116">
        <v>731.79</v>
      </c>
      <c r="D932" s="116">
        <v>719.89</v>
      </c>
      <c r="E932" s="116">
        <v>728.93</v>
      </c>
      <c r="F932" s="116">
        <v>3658.95</v>
      </c>
      <c r="G932">
        <v>5551</v>
      </c>
      <c r="H932" s="116"/>
      <c r="I932" s="116"/>
      <c r="L932" s="170">
        <v>45477</v>
      </c>
      <c r="M932" s="116">
        <v>744.99</v>
      </c>
      <c r="N932" s="116">
        <v>765.9</v>
      </c>
      <c r="O932" s="116">
        <v>742.59</v>
      </c>
      <c r="P932" s="116">
        <v>759.19</v>
      </c>
      <c r="Q932" s="116">
        <v>3724.95</v>
      </c>
      <c r="R932">
        <v>131275</v>
      </c>
    </row>
    <row r="933" spans="1:18" x14ac:dyDescent="0.25">
      <c r="A933" s="170">
        <v>45475</v>
      </c>
      <c r="B933" s="116">
        <v>753.8</v>
      </c>
      <c r="C933" s="116">
        <v>752.22</v>
      </c>
      <c r="D933" s="116">
        <v>741.5</v>
      </c>
      <c r="E933" s="116">
        <v>745</v>
      </c>
      <c r="F933" s="116">
        <v>3761.1</v>
      </c>
      <c r="G933">
        <v>38222</v>
      </c>
      <c r="H933" s="116"/>
      <c r="I933" s="116"/>
      <c r="L933" s="170">
        <v>45478</v>
      </c>
      <c r="M933" s="116">
        <v>753.06</v>
      </c>
      <c r="N933" s="116">
        <v>778</v>
      </c>
      <c r="O933" s="116">
        <v>744</v>
      </c>
      <c r="P933" s="116">
        <v>746</v>
      </c>
      <c r="Q933" s="116">
        <v>3765.3</v>
      </c>
      <c r="R933">
        <v>397525</v>
      </c>
    </row>
    <row r="934" spans="1:18" x14ac:dyDescent="0.25">
      <c r="A934" s="170">
        <v>45476</v>
      </c>
      <c r="B934" s="116">
        <v>768</v>
      </c>
      <c r="C934" s="116">
        <v>759.91</v>
      </c>
      <c r="D934" s="116">
        <v>752.79</v>
      </c>
      <c r="E934" s="116">
        <v>754.16</v>
      </c>
      <c r="F934" s="116">
        <v>3799.55</v>
      </c>
      <c r="G934">
        <v>7884</v>
      </c>
      <c r="H934" s="116"/>
      <c r="I934" s="116"/>
      <c r="L934" s="170">
        <v>45481</v>
      </c>
      <c r="M934" s="116">
        <v>752.5</v>
      </c>
      <c r="N934" s="116">
        <v>759.02</v>
      </c>
      <c r="O934" s="116">
        <v>746.66</v>
      </c>
      <c r="P934" s="116">
        <v>750.61</v>
      </c>
      <c r="Q934" s="116">
        <v>3762.5</v>
      </c>
      <c r="R934">
        <v>88145</v>
      </c>
    </row>
    <row r="935" spans="1:18" x14ac:dyDescent="0.25">
      <c r="A935" s="170">
        <v>45477</v>
      </c>
      <c r="B935" s="116">
        <v>766</v>
      </c>
      <c r="C935" s="116">
        <v>744.87</v>
      </c>
      <c r="D935" s="116">
        <v>742.99</v>
      </c>
      <c r="E935" s="116">
        <v>756.01</v>
      </c>
      <c r="F935" s="116">
        <v>3724.35</v>
      </c>
      <c r="G935">
        <v>19804</v>
      </c>
      <c r="H935" s="116"/>
      <c r="I935" s="116"/>
      <c r="L935" s="170">
        <v>45482</v>
      </c>
      <c r="M935" s="116">
        <v>797.57</v>
      </c>
      <c r="N935" s="116">
        <v>802.4</v>
      </c>
      <c r="O935" s="116">
        <v>754</v>
      </c>
      <c r="P935" s="116">
        <v>754.04</v>
      </c>
      <c r="Q935" s="116">
        <v>3987.85</v>
      </c>
      <c r="R935">
        <v>674785</v>
      </c>
    </row>
    <row r="936" spans="1:18" x14ac:dyDescent="0.25">
      <c r="A936" s="170">
        <v>45478</v>
      </c>
      <c r="B936" s="116">
        <v>777.6</v>
      </c>
      <c r="C936" s="116">
        <v>752.58</v>
      </c>
      <c r="D936" s="116">
        <v>744.12</v>
      </c>
      <c r="E936" s="116">
        <v>745.99</v>
      </c>
      <c r="F936" s="116">
        <v>3762.9</v>
      </c>
      <c r="G936">
        <v>12118</v>
      </c>
      <c r="H936" s="116"/>
      <c r="I936" s="116"/>
      <c r="L936" s="170">
        <v>45483</v>
      </c>
      <c r="M936" s="116">
        <v>815.13</v>
      </c>
      <c r="N936" s="116">
        <v>865.55</v>
      </c>
      <c r="O936" s="116">
        <v>800</v>
      </c>
      <c r="P936" s="116">
        <v>801</v>
      </c>
      <c r="Q936" s="116">
        <v>4075.65</v>
      </c>
      <c r="R936">
        <v>2013637</v>
      </c>
    </row>
    <row r="937" spans="1:18" x14ac:dyDescent="0.25">
      <c r="A937" s="170">
        <v>45481</v>
      </c>
      <c r="B937" s="116">
        <v>758.99</v>
      </c>
      <c r="C937" s="116">
        <v>752.36</v>
      </c>
      <c r="D937" s="116">
        <v>747.58</v>
      </c>
      <c r="E937" s="116">
        <v>750</v>
      </c>
      <c r="F937" s="116">
        <v>3761.8</v>
      </c>
      <c r="G937">
        <v>5807</v>
      </c>
      <c r="H937" s="116"/>
      <c r="I937" s="116"/>
      <c r="L937" s="170">
        <v>45484</v>
      </c>
      <c r="M937" s="116">
        <v>823.13</v>
      </c>
      <c r="N937" s="116">
        <v>834.7</v>
      </c>
      <c r="O937" s="116">
        <v>795</v>
      </c>
      <c r="P937" s="116">
        <v>830.79</v>
      </c>
      <c r="Q937" s="116">
        <v>4115.6499999999996</v>
      </c>
      <c r="R937">
        <v>477170</v>
      </c>
    </row>
    <row r="938" spans="1:18" x14ac:dyDescent="0.25">
      <c r="A938" s="170">
        <v>45482</v>
      </c>
      <c r="B938" s="116">
        <v>802</v>
      </c>
      <c r="C938" s="116">
        <v>797.58</v>
      </c>
      <c r="D938" s="116">
        <v>752.5</v>
      </c>
      <c r="E938" s="116">
        <v>752.5</v>
      </c>
      <c r="F938" s="116">
        <v>3987.9</v>
      </c>
      <c r="G938">
        <v>22571</v>
      </c>
      <c r="H938" s="116"/>
      <c r="I938" s="116"/>
      <c r="L938" s="170">
        <v>45485</v>
      </c>
      <c r="M938" s="116">
        <v>814.05</v>
      </c>
      <c r="N938" s="116">
        <v>845.8</v>
      </c>
      <c r="O938" s="116">
        <v>805.41</v>
      </c>
      <c r="P938" s="116">
        <v>827.8</v>
      </c>
      <c r="Q938" s="116">
        <v>4070.25</v>
      </c>
      <c r="R938">
        <v>354359</v>
      </c>
    </row>
    <row r="939" spans="1:18" x14ac:dyDescent="0.25">
      <c r="A939" s="170">
        <v>45483</v>
      </c>
      <c r="B939" s="116">
        <v>865.92</v>
      </c>
      <c r="C939" s="116">
        <v>814.64</v>
      </c>
      <c r="D939" s="116">
        <v>799.8</v>
      </c>
      <c r="E939" s="116">
        <v>801.87</v>
      </c>
      <c r="F939" s="116">
        <v>4073.2</v>
      </c>
      <c r="G939">
        <v>119389</v>
      </c>
      <c r="H939" s="116"/>
      <c r="I939" s="116"/>
      <c r="L939" s="170">
        <v>45488</v>
      </c>
      <c r="M939" s="116">
        <v>808.27</v>
      </c>
      <c r="N939" s="116">
        <v>819.79</v>
      </c>
      <c r="O939" s="116">
        <v>802.2</v>
      </c>
      <c r="P939" s="116">
        <v>810</v>
      </c>
      <c r="Q939" s="116">
        <v>4041.35</v>
      </c>
      <c r="R939">
        <v>145285</v>
      </c>
    </row>
    <row r="940" spans="1:18" x14ac:dyDescent="0.25">
      <c r="A940" s="170">
        <v>45484</v>
      </c>
      <c r="B940" s="116">
        <v>836.12</v>
      </c>
      <c r="C940" s="116">
        <v>823.75</v>
      </c>
      <c r="D940" s="116">
        <v>796.6</v>
      </c>
      <c r="E940" s="116">
        <v>826.01</v>
      </c>
      <c r="F940" s="116">
        <v>4118.75</v>
      </c>
      <c r="G940">
        <v>19181</v>
      </c>
      <c r="H940" s="116"/>
      <c r="I940" s="116"/>
      <c r="L940" s="170">
        <v>45489</v>
      </c>
      <c r="M940" s="116">
        <v>845.35</v>
      </c>
      <c r="N940" s="116">
        <v>851.2</v>
      </c>
      <c r="O940" s="116">
        <v>809.63</v>
      </c>
      <c r="P940" s="116">
        <v>810.99</v>
      </c>
      <c r="Q940" s="116">
        <v>4226.75</v>
      </c>
      <c r="R940">
        <v>596704</v>
      </c>
    </row>
    <row r="941" spans="1:18" x14ac:dyDescent="0.25">
      <c r="A941" s="170">
        <v>45485</v>
      </c>
      <c r="B941" s="116">
        <v>845.8</v>
      </c>
      <c r="C941" s="116">
        <v>813.93</v>
      </c>
      <c r="D941" s="116">
        <v>805.61</v>
      </c>
      <c r="E941" s="116">
        <v>828.8</v>
      </c>
      <c r="F941" s="116">
        <v>4069.65</v>
      </c>
      <c r="G941">
        <v>32339</v>
      </c>
      <c r="H941" s="116"/>
      <c r="I941" s="116"/>
      <c r="L941" s="170">
        <v>45491</v>
      </c>
      <c r="M941" s="116">
        <v>834.11</v>
      </c>
      <c r="N941" s="116">
        <v>863.96</v>
      </c>
      <c r="O941" s="116">
        <v>829.2</v>
      </c>
      <c r="P941" s="116">
        <v>851</v>
      </c>
      <c r="Q941" s="116">
        <v>4170.55</v>
      </c>
      <c r="R941">
        <v>355549</v>
      </c>
    </row>
    <row r="942" spans="1:18" x14ac:dyDescent="0.25">
      <c r="A942" s="170">
        <v>45488</v>
      </c>
      <c r="B942" s="116">
        <v>818.79</v>
      </c>
      <c r="C942" s="116">
        <v>808.17</v>
      </c>
      <c r="D942" s="116">
        <v>802.34</v>
      </c>
      <c r="E942" s="116">
        <v>812.2</v>
      </c>
      <c r="F942" s="116">
        <v>4040.85</v>
      </c>
      <c r="G942">
        <v>4565</v>
      </c>
      <c r="H942" s="116"/>
      <c r="I942" s="116"/>
      <c r="L942" s="170">
        <v>45492</v>
      </c>
      <c r="M942" s="116">
        <v>825.79</v>
      </c>
      <c r="N942" s="116">
        <v>835.28</v>
      </c>
      <c r="O942" s="116">
        <v>810.2</v>
      </c>
      <c r="P942" s="116">
        <v>833.41</v>
      </c>
      <c r="Q942" s="116">
        <v>4128.95</v>
      </c>
      <c r="R942">
        <v>179638</v>
      </c>
    </row>
    <row r="943" spans="1:18" x14ac:dyDescent="0.25">
      <c r="A943" s="170">
        <v>45489</v>
      </c>
      <c r="B943" s="116">
        <v>851.35</v>
      </c>
      <c r="C943" s="116">
        <v>847.65</v>
      </c>
      <c r="D943" s="116">
        <v>810.01</v>
      </c>
      <c r="E943" s="116">
        <v>810.01</v>
      </c>
      <c r="F943" s="116">
        <v>4238.25</v>
      </c>
      <c r="G943">
        <v>21103</v>
      </c>
      <c r="H943" s="116"/>
      <c r="I943" s="116"/>
      <c r="L943" s="170">
        <v>45495</v>
      </c>
      <c r="M943" s="116">
        <v>810.96</v>
      </c>
      <c r="N943" s="116">
        <v>831</v>
      </c>
      <c r="O943" s="116">
        <v>808.5</v>
      </c>
      <c r="P943" s="116">
        <v>820</v>
      </c>
      <c r="Q943" s="116">
        <v>4054.8</v>
      </c>
      <c r="R943">
        <v>131868</v>
      </c>
    </row>
    <row r="944" spans="1:18" x14ac:dyDescent="0.25">
      <c r="A944" s="170">
        <v>45491</v>
      </c>
      <c r="B944" s="116">
        <v>863.76</v>
      </c>
      <c r="C944" s="116">
        <v>834.19</v>
      </c>
      <c r="D944" s="116">
        <v>829.27</v>
      </c>
      <c r="E944" s="116">
        <v>844.01</v>
      </c>
      <c r="F944" s="116">
        <v>4170.95</v>
      </c>
      <c r="G944">
        <v>41350</v>
      </c>
      <c r="H944" s="116"/>
      <c r="I944" s="116"/>
      <c r="L944" s="170">
        <v>45496</v>
      </c>
      <c r="M944" s="116">
        <v>810.27</v>
      </c>
      <c r="N944" s="116">
        <v>849.72</v>
      </c>
      <c r="O944" s="116">
        <v>755.4</v>
      </c>
      <c r="P944" s="116">
        <v>812.4</v>
      </c>
      <c r="Q944" s="116">
        <v>4051.35</v>
      </c>
      <c r="R944">
        <v>772670</v>
      </c>
    </row>
    <row r="945" spans="1:18" x14ac:dyDescent="0.25">
      <c r="A945" s="170">
        <v>45492</v>
      </c>
      <c r="B945" s="116">
        <v>836.99</v>
      </c>
      <c r="C945" s="116">
        <v>825.61</v>
      </c>
      <c r="D945" s="116">
        <v>810.2</v>
      </c>
      <c r="E945" s="116">
        <v>836.99</v>
      </c>
      <c r="F945" s="116">
        <v>4128.05</v>
      </c>
      <c r="G945">
        <v>24840</v>
      </c>
      <c r="H945" s="116"/>
      <c r="I945" s="116"/>
      <c r="L945" s="170">
        <v>45497</v>
      </c>
      <c r="M945" s="116">
        <v>814.28</v>
      </c>
      <c r="N945" s="116">
        <v>825</v>
      </c>
      <c r="O945" s="116">
        <v>803.19</v>
      </c>
      <c r="P945" s="116">
        <v>808.8</v>
      </c>
      <c r="Q945" s="116">
        <v>4071.4</v>
      </c>
      <c r="R945">
        <v>136120</v>
      </c>
    </row>
    <row r="946" spans="1:18" x14ac:dyDescent="0.25">
      <c r="A946" s="170">
        <v>45495</v>
      </c>
      <c r="B946" s="116">
        <v>831.4</v>
      </c>
      <c r="C946" s="116">
        <v>811.09</v>
      </c>
      <c r="D946" s="116">
        <v>808.18</v>
      </c>
      <c r="E946" s="116">
        <v>811.15</v>
      </c>
      <c r="F946" s="116">
        <v>4055.45</v>
      </c>
      <c r="G946">
        <v>6750</v>
      </c>
      <c r="H946" s="116"/>
      <c r="I946" s="116"/>
      <c r="L946" s="170">
        <v>45498</v>
      </c>
      <c r="M946" s="116">
        <v>807.36</v>
      </c>
      <c r="N946" s="116">
        <v>814.34</v>
      </c>
      <c r="O946" s="116">
        <v>801.03</v>
      </c>
      <c r="P946" s="116">
        <v>806</v>
      </c>
      <c r="Q946" s="116">
        <v>4036.8</v>
      </c>
      <c r="R946">
        <v>126224</v>
      </c>
    </row>
    <row r="947" spans="1:18" x14ac:dyDescent="0.25">
      <c r="A947" s="170">
        <v>45496</v>
      </c>
      <c r="B947" s="116">
        <v>849.8</v>
      </c>
      <c r="C947" s="116">
        <v>810.8</v>
      </c>
      <c r="D947" s="116">
        <v>755.05</v>
      </c>
      <c r="E947" s="116">
        <v>819.99</v>
      </c>
      <c r="F947" s="116">
        <v>4054</v>
      </c>
      <c r="G947">
        <v>71408</v>
      </c>
      <c r="H947" s="116"/>
      <c r="I947" s="116"/>
      <c r="L947" s="170">
        <v>45499</v>
      </c>
      <c r="M947" s="116">
        <v>806.35</v>
      </c>
      <c r="N947" s="116">
        <v>817</v>
      </c>
      <c r="O947" s="116">
        <v>800.2</v>
      </c>
      <c r="P947" s="116">
        <v>809.6</v>
      </c>
      <c r="Q947" s="116">
        <v>4031.75</v>
      </c>
      <c r="R947">
        <v>107096</v>
      </c>
    </row>
    <row r="948" spans="1:18" x14ac:dyDescent="0.25">
      <c r="A948" s="170">
        <v>45497</v>
      </c>
      <c r="B948" s="116">
        <v>824.09</v>
      </c>
      <c r="C948" s="116">
        <v>812.47</v>
      </c>
      <c r="D948" s="116">
        <v>802.57</v>
      </c>
      <c r="E948" s="116">
        <v>810</v>
      </c>
      <c r="F948" s="116">
        <v>4062.35</v>
      </c>
      <c r="G948">
        <v>13817</v>
      </c>
      <c r="H948" s="116"/>
      <c r="I948" s="116"/>
      <c r="L948" s="170">
        <v>45502</v>
      </c>
      <c r="M948" s="116">
        <v>856.92</v>
      </c>
      <c r="N948" s="116">
        <v>864</v>
      </c>
      <c r="O948" s="116">
        <v>806.35</v>
      </c>
      <c r="P948" s="116">
        <v>806.35</v>
      </c>
      <c r="Q948" s="116">
        <v>4284.6000000000004</v>
      </c>
      <c r="R948">
        <v>493685</v>
      </c>
    </row>
    <row r="949" spans="1:18" x14ac:dyDescent="0.25">
      <c r="A949" s="170">
        <v>45498</v>
      </c>
      <c r="B949" s="116">
        <v>813.97</v>
      </c>
      <c r="C949" s="116">
        <v>807.18</v>
      </c>
      <c r="D949" s="116">
        <v>800</v>
      </c>
      <c r="E949" s="116">
        <v>800.12</v>
      </c>
      <c r="F949" s="116">
        <v>4035.9</v>
      </c>
      <c r="G949">
        <v>3975</v>
      </c>
      <c r="H949" s="116"/>
      <c r="I949" s="116"/>
      <c r="L949" s="170">
        <v>45503</v>
      </c>
      <c r="M949" s="116">
        <v>939.01</v>
      </c>
      <c r="N949" s="116">
        <v>945</v>
      </c>
      <c r="O949" s="116">
        <v>858</v>
      </c>
      <c r="P949" s="116">
        <v>858.4</v>
      </c>
      <c r="Q949" s="116">
        <v>4695.05</v>
      </c>
      <c r="R949">
        <v>2391236</v>
      </c>
    </row>
    <row r="950" spans="1:18" x14ac:dyDescent="0.25">
      <c r="A950" s="170">
        <v>45499</v>
      </c>
      <c r="B950" s="116">
        <v>816.55</v>
      </c>
      <c r="C950" s="116">
        <v>806.33</v>
      </c>
      <c r="D950" s="116">
        <v>800.09</v>
      </c>
      <c r="E950" s="116">
        <v>814.95</v>
      </c>
      <c r="F950" s="116">
        <v>4031.65</v>
      </c>
      <c r="G950">
        <v>4315</v>
      </c>
      <c r="H950" s="116"/>
      <c r="I950" s="116"/>
      <c r="L950" s="170">
        <v>45504</v>
      </c>
      <c r="M950" s="116">
        <v>906.84</v>
      </c>
      <c r="N950" s="116">
        <v>982</v>
      </c>
      <c r="O950" s="116">
        <v>896.8</v>
      </c>
      <c r="P950" s="116">
        <v>933.38</v>
      </c>
      <c r="Q950" s="116">
        <v>4534.2</v>
      </c>
      <c r="R950">
        <v>1413242</v>
      </c>
    </row>
    <row r="951" spans="1:18" x14ac:dyDescent="0.25">
      <c r="A951" s="170">
        <v>45502</v>
      </c>
      <c r="B951" s="116">
        <v>863.8</v>
      </c>
      <c r="C951" s="116">
        <v>856.48</v>
      </c>
      <c r="D951" s="116">
        <v>807</v>
      </c>
      <c r="E951" s="116">
        <v>807</v>
      </c>
      <c r="F951" s="116">
        <v>4282.3999999999996</v>
      </c>
      <c r="G951">
        <v>15966</v>
      </c>
      <c r="H951" s="116"/>
      <c r="I951" s="116"/>
      <c r="L951" s="170">
        <v>45505</v>
      </c>
      <c r="M951" s="116">
        <v>882.86</v>
      </c>
      <c r="N951" s="116">
        <v>905</v>
      </c>
      <c r="O951" s="116">
        <v>879.02</v>
      </c>
      <c r="P951" s="116">
        <v>905</v>
      </c>
      <c r="Q951" s="116">
        <v>4414.3</v>
      </c>
      <c r="R951">
        <v>417581</v>
      </c>
    </row>
    <row r="952" spans="1:18" x14ac:dyDescent="0.25">
      <c r="A952" s="170">
        <v>45503</v>
      </c>
      <c r="B952" s="116">
        <v>945.84</v>
      </c>
      <c r="C952" s="116">
        <v>938.44</v>
      </c>
      <c r="D952" s="116">
        <v>860</v>
      </c>
      <c r="E952" s="116">
        <v>863.79</v>
      </c>
      <c r="F952" s="116">
        <v>4692.2</v>
      </c>
      <c r="G952">
        <v>78521</v>
      </c>
      <c r="H952" s="116"/>
      <c r="I952" s="116"/>
      <c r="L952" s="170">
        <v>45506</v>
      </c>
      <c r="M952" s="116">
        <v>873.7</v>
      </c>
      <c r="N952" s="116">
        <v>887.13</v>
      </c>
      <c r="O952" s="116">
        <v>868.04</v>
      </c>
      <c r="P952" s="116">
        <v>873.81</v>
      </c>
      <c r="Q952" s="116">
        <v>4368.5</v>
      </c>
      <c r="R952">
        <v>458252</v>
      </c>
    </row>
    <row r="953" spans="1:18" x14ac:dyDescent="0.25">
      <c r="A953" s="170">
        <v>45504</v>
      </c>
      <c r="B953" s="116">
        <v>982.23</v>
      </c>
      <c r="C953" s="116">
        <v>907.06</v>
      </c>
      <c r="D953" s="116">
        <v>898.2</v>
      </c>
      <c r="E953" s="116">
        <v>934.67</v>
      </c>
      <c r="F953" s="116">
        <v>4535.3</v>
      </c>
      <c r="G953">
        <v>49094</v>
      </c>
      <c r="H953" s="116"/>
      <c r="I953" s="116"/>
      <c r="L953" s="170">
        <v>45509</v>
      </c>
      <c r="M953" s="116">
        <v>798.23</v>
      </c>
      <c r="N953" s="116">
        <v>862.2</v>
      </c>
      <c r="O953" s="116">
        <v>782.65</v>
      </c>
      <c r="P953" s="116">
        <v>862</v>
      </c>
      <c r="Q953" s="116">
        <v>3991.15</v>
      </c>
      <c r="R953">
        <v>958853</v>
      </c>
    </row>
    <row r="954" spans="1:18" x14ac:dyDescent="0.25">
      <c r="A954" s="170">
        <v>45505</v>
      </c>
      <c r="B954" s="116">
        <v>905.91</v>
      </c>
      <c r="C954" s="116">
        <v>882.51</v>
      </c>
      <c r="D954" s="116">
        <v>879.49</v>
      </c>
      <c r="E954" s="116">
        <v>905.91</v>
      </c>
      <c r="F954" s="116">
        <v>4412.55</v>
      </c>
      <c r="G954">
        <v>32219</v>
      </c>
      <c r="H954" s="116"/>
      <c r="I954" s="116"/>
      <c r="L954" s="170">
        <v>45510</v>
      </c>
      <c r="M954" s="116">
        <v>776.03</v>
      </c>
      <c r="N954" s="116">
        <v>816.26</v>
      </c>
      <c r="O954" s="116">
        <v>770</v>
      </c>
      <c r="P954" s="116">
        <v>800.8</v>
      </c>
      <c r="Q954" s="116">
        <v>3880.15</v>
      </c>
      <c r="R954">
        <v>856608</v>
      </c>
    </row>
    <row r="955" spans="1:18" x14ac:dyDescent="0.25">
      <c r="A955" s="170">
        <v>45506</v>
      </c>
      <c r="B955" s="116">
        <v>886.31</v>
      </c>
      <c r="C955" s="116">
        <v>873.47</v>
      </c>
      <c r="D955" s="116">
        <v>868.36</v>
      </c>
      <c r="E955" s="116">
        <v>875.95</v>
      </c>
      <c r="F955" s="116">
        <v>4367.3500000000004</v>
      </c>
      <c r="G955">
        <v>12114</v>
      </c>
      <c r="H955" s="116"/>
      <c r="I955" s="116"/>
      <c r="L955" s="170">
        <v>45511</v>
      </c>
      <c r="M955" s="116">
        <v>826.79</v>
      </c>
      <c r="N955" s="116">
        <v>842.8</v>
      </c>
      <c r="O955" s="116">
        <v>796</v>
      </c>
      <c r="P955" s="116">
        <v>807.6</v>
      </c>
      <c r="Q955" s="116">
        <v>4133.95</v>
      </c>
      <c r="R955">
        <v>1632840</v>
      </c>
    </row>
    <row r="956" spans="1:18" x14ac:dyDescent="0.25">
      <c r="A956" s="170">
        <v>45509</v>
      </c>
      <c r="B956" s="116">
        <v>862.2</v>
      </c>
      <c r="C956" s="116">
        <v>798.16</v>
      </c>
      <c r="D956" s="116">
        <v>786.38</v>
      </c>
      <c r="E956" s="116">
        <v>862.2</v>
      </c>
      <c r="F956" s="116">
        <v>3990.8</v>
      </c>
      <c r="G956">
        <v>30022</v>
      </c>
      <c r="H956" s="116"/>
      <c r="I956" s="116"/>
      <c r="L956" s="170">
        <v>45512</v>
      </c>
      <c r="M956" s="116">
        <v>850.91</v>
      </c>
      <c r="N956" s="116">
        <v>875.24</v>
      </c>
      <c r="O956" s="116">
        <v>834.17</v>
      </c>
      <c r="P956" s="116">
        <v>841.7</v>
      </c>
      <c r="Q956" s="116">
        <v>4254.55</v>
      </c>
      <c r="R956">
        <v>1061607</v>
      </c>
    </row>
    <row r="957" spans="1:18" x14ac:dyDescent="0.25">
      <c r="A957" s="170">
        <v>45510</v>
      </c>
      <c r="B957" s="116">
        <v>816</v>
      </c>
      <c r="C957" s="116">
        <v>777.36</v>
      </c>
      <c r="D957" s="116">
        <v>770.24</v>
      </c>
      <c r="E957" s="116">
        <v>804.37</v>
      </c>
      <c r="F957" s="116">
        <v>3886.8</v>
      </c>
      <c r="G957">
        <v>32226</v>
      </c>
      <c r="H957" s="116"/>
      <c r="I957" s="116"/>
      <c r="L957" s="170">
        <v>45513</v>
      </c>
      <c r="M957" s="116">
        <v>874.15</v>
      </c>
      <c r="N957" s="116">
        <v>888</v>
      </c>
      <c r="O957" s="116">
        <v>864.54</v>
      </c>
      <c r="P957" s="116">
        <v>868</v>
      </c>
      <c r="Q957" s="116">
        <v>4370.75</v>
      </c>
      <c r="R957">
        <v>600288</v>
      </c>
    </row>
    <row r="958" spans="1:18" x14ac:dyDescent="0.25">
      <c r="A958" s="170">
        <v>45511</v>
      </c>
      <c r="B958" s="116">
        <v>842.06</v>
      </c>
      <c r="C958" s="116">
        <v>827.32</v>
      </c>
      <c r="D958" s="116">
        <v>796.4</v>
      </c>
      <c r="E958" s="116">
        <v>800.69</v>
      </c>
      <c r="F958" s="116">
        <v>4136.6000000000004</v>
      </c>
      <c r="G958">
        <v>80330</v>
      </c>
      <c r="H958" s="116"/>
      <c r="I958" s="116"/>
      <c r="L958" s="170">
        <v>45516</v>
      </c>
      <c r="M958" s="116">
        <v>852.22</v>
      </c>
      <c r="N958" s="116">
        <v>880.02</v>
      </c>
      <c r="O958" s="116">
        <v>844.11</v>
      </c>
      <c r="P958" s="116">
        <v>870</v>
      </c>
      <c r="Q958" s="116">
        <v>4261.1000000000004</v>
      </c>
      <c r="R958">
        <v>411217</v>
      </c>
    </row>
    <row r="959" spans="1:18" x14ac:dyDescent="0.25">
      <c r="A959" s="170">
        <v>45512</v>
      </c>
      <c r="B959" s="116">
        <v>875</v>
      </c>
      <c r="C959" s="116">
        <v>851.03</v>
      </c>
      <c r="D959" s="116">
        <v>834.89</v>
      </c>
      <c r="E959" s="116">
        <v>840.08</v>
      </c>
      <c r="F959" s="116">
        <v>4255.1499999999996</v>
      </c>
      <c r="G959">
        <v>87498</v>
      </c>
      <c r="H959" s="116"/>
      <c r="I959" s="116"/>
      <c r="L959" s="170">
        <v>45517</v>
      </c>
      <c r="M959" s="116">
        <v>824.77</v>
      </c>
      <c r="N959" s="116">
        <v>865.8</v>
      </c>
      <c r="O959" s="116">
        <v>816</v>
      </c>
      <c r="P959" s="116">
        <v>853</v>
      </c>
      <c r="Q959" s="116">
        <v>4123.8500000000004</v>
      </c>
      <c r="R959">
        <v>329880</v>
      </c>
    </row>
    <row r="960" spans="1:18" x14ac:dyDescent="0.25">
      <c r="A960" s="170">
        <v>45513</v>
      </c>
      <c r="B960" s="116">
        <v>887.99</v>
      </c>
      <c r="C960" s="116">
        <v>873.82</v>
      </c>
      <c r="D960" s="116">
        <v>865.17</v>
      </c>
      <c r="E960" s="116">
        <v>869.93</v>
      </c>
      <c r="F960" s="116">
        <v>4369.1000000000004</v>
      </c>
      <c r="G960">
        <v>42337</v>
      </c>
      <c r="H960" s="116"/>
      <c r="I960" s="116"/>
      <c r="L960" s="170">
        <v>45518</v>
      </c>
      <c r="M960" s="116">
        <v>833.75</v>
      </c>
      <c r="N960" s="116">
        <v>850.78</v>
      </c>
      <c r="O960" s="116">
        <v>818.23</v>
      </c>
      <c r="P960" s="116">
        <v>835.77</v>
      </c>
      <c r="Q960" s="116">
        <v>4168.75</v>
      </c>
      <c r="R960">
        <v>392422</v>
      </c>
    </row>
    <row r="961" spans="1:18" x14ac:dyDescent="0.25">
      <c r="A961" s="170">
        <v>45516</v>
      </c>
      <c r="B961" s="116">
        <v>880</v>
      </c>
      <c r="C961" s="116">
        <v>852.56</v>
      </c>
      <c r="D961" s="116">
        <v>844.91</v>
      </c>
      <c r="E961" s="116">
        <v>871.96</v>
      </c>
      <c r="F961" s="116">
        <v>4262.8</v>
      </c>
      <c r="G961">
        <v>16396</v>
      </c>
      <c r="H961" s="116"/>
      <c r="I961" s="116"/>
      <c r="L961" s="170">
        <v>45520</v>
      </c>
      <c r="M961" s="116">
        <v>854.54</v>
      </c>
      <c r="N961" s="116">
        <v>865</v>
      </c>
      <c r="O961" s="116">
        <v>832.01</v>
      </c>
      <c r="P961" s="116">
        <v>833.29</v>
      </c>
      <c r="Q961" s="116">
        <v>4272.7</v>
      </c>
      <c r="R961">
        <v>434508</v>
      </c>
    </row>
    <row r="962" spans="1:18" x14ac:dyDescent="0.25">
      <c r="A962" s="170">
        <v>45517</v>
      </c>
      <c r="B962" s="116">
        <v>864.8</v>
      </c>
      <c r="C962" s="116">
        <v>824.85</v>
      </c>
      <c r="D962" s="116">
        <v>816.01</v>
      </c>
      <c r="E962" s="116">
        <v>850.51</v>
      </c>
      <c r="F962" s="116">
        <v>4124.25</v>
      </c>
      <c r="G962">
        <v>32566</v>
      </c>
      <c r="H962" s="116"/>
      <c r="I962" s="116"/>
      <c r="L962" s="170">
        <v>45523</v>
      </c>
      <c r="M962" s="116">
        <v>909.38</v>
      </c>
      <c r="N962" s="116">
        <v>927.6</v>
      </c>
      <c r="O962" s="116">
        <v>862.65</v>
      </c>
      <c r="P962" s="116">
        <v>878</v>
      </c>
      <c r="Q962" s="116">
        <v>4546.8999999999996</v>
      </c>
      <c r="R962">
        <v>1257066</v>
      </c>
    </row>
    <row r="963" spans="1:18" x14ac:dyDescent="0.25">
      <c r="A963" s="170">
        <v>45518</v>
      </c>
      <c r="B963" s="116">
        <v>850</v>
      </c>
      <c r="C963" s="116">
        <v>833.29</v>
      </c>
      <c r="D963" s="116">
        <v>818.55</v>
      </c>
      <c r="E963" s="116">
        <v>832.04</v>
      </c>
      <c r="F963" s="116">
        <v>4166.45</v>
      </c>
      <c r="G963">
        <v>32193</v>
      </c>
      <c r="H963" s="116"/>
      <c r="I963" s="116"/>
      <c r="L963" s="170">
        <v>45524</v>
      </c>
      <c r="M963" s="116">
        <v>882.01</v>
      </c>
      <c r="N963" s="116">
        <v>927.78</v>
      </c>
      <c r="O963" s="116">
        <v>880</v>
      </c>
      <c r="P963" s="116">
        <v>919.72</v>
      </c>
      <c r="Q963" s="116">
        <v>4410.05</v>
      </c>
      <c r="R963">
        <v>474648</v>
      </c>
    </row>
    <row r="964" spans="1:18" x14ac:dyDescent="0.25">
      <c r="A964" s="170">
        <v>45520</v>
      </c>
      <c r="B964" s="116">
        <v>864.2</v>
      </c>
      <c r="C964" s="116">
        <v>854.29</v>
      </c>
      <c r="D964" s="116">
        <v>828.71</v>
      </c>
      <c r="E964" s="116">
        <v>828.71</v>
      </c>
      <c r="F964" s="116">
        <v>4271.45</v>
      </c>
      <c r="G964">
        <v>17269</v>
      </c>
      <c r="H964" s="116"/>
      <c r="I964" s="116"/>
      <c r="L964" s="170">
        <v>45525</v>
      </c>
      <c r="M964" s="116">
        <v>897.78</v>
      </c>
      <c r="N964" s="116">
        <v>908</v>
      </c>
      <c r="O964" s="116">
        <v>879.07</v>
      </c>
      <c r="P964" s="116">
        <v>888.4</v>
      </c>
      <c r="Q964" s="116">
        <v>4488.8999999999996</v>
      </c>
      <c r="R964">
        <v>354671</v>
      </c>
    </row>
    <row r="965" spans="1:18" x14ac:dyDescent="0.25">
      <c r="A965" s="170">
        <v>45523</v>
      </c>
      <c r="B965" s="116">
        <v>926.92</v>
      </c>
      <c r="C965" s="116">
        <v>909.33</v>
      </c>
      <c r="D965" s="116">
        <v>864.43</v>
      </c>
      <c r="E965" s="116">
        <v>878.2</v>
      </c>
      <c r="F965" s="116">
        <v>4546.6499999999996</v>
      </c>
      <c r="G965">
        <v>42739</v>
      </c>
      <c r="H965" s="116"/>
      <c r="I965" s="116"/>
      <c r="L965" s="170">
        <v>45526</v>
      </c>
      <c r="M965" s="116">
        <v>877.58</v>
      </c>
      <c r="N965" s="116">
        <v>911.38</v>
      </c>
      <c r="O965" s="116">
        <v>870.51</v>
      </c>
      <c r="P965" s="116">
        <v>903.6</v>
      </c>
      <c r="Q965" s="116">
        <v>4387.8999999999996</v>
      </c>
      <c r="R965">
        <v>319859</v>
      </c>
    </row>
    <row r="966" spans="1:18" x14ac:dyDescent="0.25">
      <c r="A966" s="170">
        <v>45524</v>
      </c>
      <c r="B966" s="116">
        <v>927.07</v>
      </c>
      <c r="C966" s="116">
        <v>882.16</v>
      </c>
      <c r="D966" s="116">
        <v>880.02</v>
      </c>
      <c r="E966" s="116">
        <v>919.59</v>
      </c>
      <c r="F966" s="116">
        <v>4410.8</v>
      </c>
      <c r="G966">
        <v>17231</v>
      </c>
      <c r="H966" s="116"/>
      <c r="I966" s="116"/>
      <c r="L966" s="170">
        <v>45527</v>
      </c>
      <c r="M966" s="116">
        <v>889.86</v>
      </c>
      <c r="N966" s="116">
        <v>892</v>
      </c>
      <c r="O966" s="116">
        <v>876.02</v>
      </c>
      <c r="P966" s="116">
        <v>882.6</v>
      </c>
      <c r="Q966" s="116">
        <v>4449.3</v>
      </c>
      <c r="R966">
        <v>221929</v>
      </c>
    </row>
    <row r="967" spans="1:18" x14ac:dyDescent="0.25">
      <c r="A967" s="170">
        <v>45525</v>
      </c>
      <c r="B967" s="116">
        <v>908</v>
      </c>
      <c r="C967" s="116">
        <v>898</v>
      </c>
      <c r="D967" s="116">
        <v>879.64</v>
      </c>
      <c r="E967" s="116">
        <v>883.01</v>
      </c>
      <c r="F967" s="116">
        <v>4490</v>
      </c>
      <c r="G967">
        <v>22922</v>
      </c>
      <c r="H967" s="116"/>
      <c r="I967" s="116"/>
      <c r="L967" s="170">
        <v>45530</v>
      </c>
      <c r="M967" s="116">
        <v>886.84</v>
      </c>
      <c r="N967" s="116">
        <v>915.04</v>
      </c>
      <c r="O967" s="116">
        <v>879.2</v>
      </c>
      <c r="P967" s="116">
        <v>886.8</v>
      </c>
      <c r="Q967" s="116">
        <v>4434.2</v>
      </c>
      <c r="R967">
        <v>359301</v>
      </c>
    </row>
    <row r="968" spans="1:18" x14ac:dyDescent="0.25">
      <c r="A968" s="170">
        <v>45526</v>
      </c>
      <c r="B968" s="116">
        <v>910.99</v>
      </c>
      <c r="C968" s="116">
        <v>878.18</v>
      </c>
      <c r="D968" s="116">
        <v>873.17</v>
      </c>
      <c r="E968" s="116">
        <v>898.01</v>
      </c>
      <c r="F968" s="116">
        <v>4390.8999999999996</v>
      </c>
      <c r="G968">
        <v>25750</v>
      </c>
      <c r="H968" s="116"/>
      <c r="I968" s="116"/>
      <c r="L968" s="170">
        <v>45531</v>
      </c>
      <c r="M968" s="116">
        <v>875.61</v>
      </c>
      <c r="N968" s="116">
        <v>886</v>
      </c>
      <c r="O968" s="116">
        <v>873</v>
      </c>
      <c r="P968" s="116">
        <v>886</v>
      </c>
      <c r="Q968" s="116">
        <v>4378.05</v>
      </c>
      <c r="R968">
        <v>205496</v>
      </c>
    </row>
    <row r="969" spans="1:18" x14ac:dyDescent="0.25">
      <c r="A969" s="170">
        <v>45527</v>
      </c>
      <c r="B969" s="116">
        <v>891.72</v>
      </c>
      <c r="C969" s="116">
        <v>889.44</v>
      </c>
      <c r="D969" s="116">
        <v>876.41</v>
      </c>
      <c r="E969" s="116">
        <v>883.83</v>
      </c>
      <c r="F969" s="116">
        <v>4447.2</v>
      </c>
      <c r="G969">
        <v>31023</v>
      </c>
      <c r="H969" s="116"/>
      <c r="I969" s="116"/>
      <c r="L969" s="170">
        <v>45532</v>
      </c>
      <c r="M969" s="116">
        <v>867.59</v>
      </c>
      <c r="N969" s="116">
        <v>887.99</v>
      </c>
      <c r="O969" s="116">
        <v>865.16</v>
      </c>
      <c r="P969" s="116">
        <v>883.6</v>
      </c>
      <c r="Q969" s="116">
        <v>4337.95</v>
      </c>
      <c r="R969">
        <v>189642</v>
      </c>
    </row>
    <row r="970" spans="1:18" x14ac:dyDescent="0.25">
      <c r="A970" s="170">
        <v>45530</v>
      </c>
      <c r="B970" s="116">
        <v>913.92</v>
      </c>
      <c r="C970" s="116">
        <v>885.34</v>
      </c>
      <c r="D970" s="116">
        <v>880</v>
      </c>
      <c r="E970" s="116">
        <v>885.07</v>
      </c>
      <c r="F970" s="116">
        <v>4426.7</v>
      </c>
      <c r="G970">
        <v>12855</v>
      </c>
      <c r="H970" s="116"/>
      <c r="I970" s="116"/>
      <c r="L970" s="170">
        <v>45533</v>
      </c>
      <c r="M970" s="116">
        <v>867.24</v>
      </c>
      <c r="N970" s="116">
        <v>883.78</v>
      </c>
      <c r="O970" s="116">
        <v>861.8</v>
      </c>
      <c r="P970" s="116">
        <v>869.38</v>
      </c>
      <c r="Q970" s="116">
        <v>4336.2</v>
      </c>
      <c r="R970">
        <v>150538</v>
      </c>
    </row>
    <row r="971" spans="1:18" x14ac:dyDescent="0.25">
      <c r="A971" s="170">
        <v>45531</v>
      </c>
      <c r="B971" s="116">
        <v>885.58</v>
      </c>
      <c r="C971" s="116">
        <v>875.76</v>
      </c>
      <c r="D971" s="116">
        <v>873.28</v>
      </c>
      <c r="E971" s="116">
        <v>885.34</v>
      </c>
      <c r="F971" s="116">
        <v>4378.8</v>
      </c>
      <c r="G971">
        <v>6540</v>
      </c>
      <c r="H971" s="116"/>
      <c r="I971" s="116"/>
      <c r="L971" s="170">
        <v>45534</v>
      </c>
      <c r="M971" s="116">
        <v>852.25</v>
      </c>
      <c r="N971" s="116">
        <v>877.8</v>
      </c>
      <c r="O971" s="116">
        <v>843.67</v>
      </c>
      <c r="P971" s="116">
        <v>873.39</v>
      </c>
      <c r="Q971" s="116">
        <v>4261.25</v>
      </c>
      <c r="R971">
        <v>170411</v>
      </c>
    </row>
    <row r="972" spans="1:18" x14ac:dyDescent="0.25">
      <c r="A972" s="170">
        <v>45532</v>
      </c>
      <c r="B972" s="116">
        <v>887.39</v>
      </c>
      <c r="C972" s="116">
        <v>867.73</v>
      </c>
      <c r="D972" s="116">
        <v>865.62</v>
      </c>
      <c r="E972" s="116">
        <v>877.11</v>
      </c>
      <c r="F972" s="116">
        <v>4338.6499999999996</v>
      </c>
      <c r="G972">
        <v>14672</v>
      </c>
      <c r="H972" s="116"/>
      <c r="I972" s="116"/>
      <c r="L972" s="170">
        <v>45537</v>
      </c>
      <c r="M972" s="116">
        <v>883.62</v>
      </c>
      <c r="N972" s="116">
        <v>889.8</v>
      </c>
      <c r="O972" s="116">
        <v>854.77</v>
      </c>
      <c r="P972" s="116">
        <v>860</v>
      </c>
      <c r="Q972" s="116">
        <v>4418.1000000000004</v>
      </c>
      <c r="R972">
        <v>296302</v>
      </c>
    </row>
    <row r="973" spans="1:18" x14ac:dyDescent="0.25">
      <c r="A973" s="170">
        <v>45533</v>
      </c>
      <c r="B973" s="116">
        <v>883</v>
      </c>
      <c r="C973" s="116">
        <v>867.33</v>
      </c>
      <c r="D973" s="116">
        <v>861.91</v>
      </c>
      <c r="E973" s="116">
        <v>867.73</v>
      </c>
      <c r="F973" s="116">
        <v>4336.6499999999996</v>
      </c>
      <c r="G973">
        <v>15710</v>
      </c>
      <c r="H973" s="116"/>
      <c r="I973" s="116"/>
      <c r="L973" s="170">
        <v>45538</v>
      </c>
      <c r="M973" s="116">
        <v>875.78</v>
      </c>
      <c r="N973" s="116">
        <v>888.8</v>
      </c>
      <c r="O973" s="116">
        <v>872</v>
      </c>
      <c r="P973" s="116">
        <v>888.8</v>
      </c>
      <c r="Q973" s="116">
        <v>4378.8999999999996</v>
      </c>
      <c r="R973">
        <v>126821</v>
      </c>
    </row>
    <row r="974" spans="1:18" x14ac:dyDescent="0.25">
      <c r="A974" s="170">
        <v>45534</v>
      </c>
      <c r="B974" s="116">
        <v>877.99</v>
      </c>
      <c r="C974" s="116">
        <v>852.36</v>
      </c>
      <c r="D974" s="116">
        <v>844.39</v>
      </c>
      <c r="E974" s="116">
        <v>870.23</v>
      </c>
      <c r="F974" s="116">
        <v>4261.8</v>
      </c>
      <c r="G974">
        <v>19236</v>
      </c>
      <c r="H974" s="116"/>
      <c r="I974" s="116"/>
      <c r="L974" s="170">
        <v>45539</v>
      </c>
      <c r="M974" s="116">
        <v>887.27</v>
      </c>
      <c r="N974" s="116">
        <v>901.8</v>
      </c>
      <c r="O974" s="116">
        <v>862.58</v>
      </c>
      <c r="P974" s="116">
        <v>867</v>
      </c>
      <c r="Q974" s="116">
        <v>4436.3500000000004</v>
      </c>
      <c r="R974">
        <v>335076</v>
      </c>
    </row>
    <row r="975" spans="1:18" x14ac:dyDescent="0.25">
      <c r="A975" s="170">
        <v>45537</v>
      </c>
      <c r="B975" s="116">
        <v>889.8</v>
      </c>
      <c r="C975" s="116">
        <v>883.57</v>
      </c>
      <c r="D975" s="116">
        <v>853.07</v>
      </c>
      <c r="E975" s="116">
        <v>853.07</v>
      </c>
      <c r="F975" s="116">
        <v>4417.8500000000004</v>
      </c>
      <c r="G975">
        <v>32748</v>
      </c>
      <c r="H975" s="116"/>
      <c r="I975" s="116"/>
      <c r="L975" s="170">
        <v>45540</v>
      </c>
      <c r="M975" s="116">
        <v>883.55</v>
      </c>
      <c r="N975" s="116">
        <v>900.6</v>
      </c>
      <c r="O975" s="116">
        <v>880.81</v>
      </c>
      <c r="P975" s="116">
        <v>893</v>
      </c>
      <c r="Q975" s="116">
        <v>4417.75</v>
      </c>
      <c r="R975">
        <v>236734</v>
      </c>
    </row>
    <row r="976" spans="1:18" x14ac:dyDescent="0.25">
      <c r="A976" s="170">
        <v>45538</v>
      </c>
      <c r="B976" s="116">
        <v>893.9</v>
      </c>
      <c r="C976" s="116">
        <v>875.65</v>
      </c>
      <c r="D976" s="116">
        <v>872.6</v>
      </c>
      <c r="E976" s="116">
        <v>893.9</v>
      </c>
      <c r="F976" s="116">
        <v>4378.25</v>
      </c>
      <c r="G976">
        <v>5906</v>
      </c>
      <c r="H976" s="116"/>
      <c r="I976" s="116"/>
      <c r="L976" s="170">
        <v>45541</v>
      </c>
      <c r="M976" s="116">
        <v>868.15</v>
      </c>
      <c r="N976" s="116">
        <v>889.8</v>
      </c>
      <c r="O976" s="116">
        <v>865.6</v>
      </c>
      <c r="P976" s="116">
        <v>889.8</v>
      </c>
      <c r="Q976" s="116">
        <v>4340.75</v>
      </c>
      <c r="R976">
        <v>122622</v>
      </c>
    </row>
    <row r="977" spans="1:18" x14ac:dyDescent="0.25">
      <c r="A977" s="170">
        <v>45539</v>
      </c>
      <c r="B977" s="116">
        <v>901.68</v>
      </c>
      <c r="C977" s="116">
        <v>887.11</v>
      </c>
      <c r="D977" s="116">
        <v>862.39</v>
      </c>
      <c r="E977" s="116">
        <v>862.39</v>
      </c>
      <c r="F977" s="116">
        <v>4435.55</v>
      </c>
      <c r="G977">
        <v>11963</v>
      </c>
      <c r="H977" s="116"/>
      <c r="I977" s="116"/>
      <c r="L977" s="170">
        <v>45544</v>
      </c>
      <c r="M977" s="116">
        <v>849.59</v>
      </c>
      <c r="N977" s="116">
        <v>867.98</v>
      </c>
      <c r="O977" s="116">
        <v>846.92</v>
      </c>
      <c r="P977" s="116">
        <v>864.2</v>
      </c>
      <c r="Q977" s="116">
        <v>4247.95</v>
      </c>
      <c r="R977">
        <v>134259</v>
      </c>
    </row>
    <row r="978" spans="1:18" x14ac:dyDescent="0.25">
      <c r="A978" s="170">
        <v>45540</v>
      </c>
      <c r="B978" s="116">
        <v>900</v>
      </c>
      <c r="C978" s="116">
        <v>883.5</v>
      </c>
      <c r="D978" s="116">
        <v>881.33</v>
      </c>
      <c r="E978" s="116">
        <v>888.05</v>
      </c>
      <c r="F978" s="116">
        <v>4417.5</v>
      </c>
      <c r="G978">
        <v>3372</v>
      </c>
      <c r="H978" s="116"/>
      <c r="I978" s="116"/>
      <c r="L978" s="170">
        <v>45545</v>
      </c>
      <c r="M978" s="116">
        <v>850.44</v>
      </c>
      <c r="N978" s="116">
        <v>859.6</v>
      </c>
      <c r="O978" s="116">
        <v>848</v>
      </c>
      <c r="P978" s="116">
        <v>857</v>
      </c>
      <c r="Q978" s="116">
        <v>4252.2</v>
      </c>
      <c r="R978">
        <v>128634</v>
      </c>
    </row>
    <row r="979" spans="1:18" x14ac:dyDescent="0.25">
      <c r="A979" s="170">
        <v>45541</v>
      </c>
      <c r="B979" s="116">
        <v>893.82</v>
      </c>
      <c r="C979" s="116">
        <v>868.99</v>
      </c>
      <c r="D979" s="116">
        <v>866</v>
      </c>
      <c r="E979" s="116">
        <v>893.82</v>
      </c>
      <c r="F979" s="116">
        <v>4344.95</v>
      </c>
      <c r="G979">
        <v>4263</v>
      </c>
      <c r="H979" s="116"/>
      <c r="I979" s="116"/>
      <c r="L979" s="170">
        <v>45546</v>
      </c>
      <c r="M979" s="116">
        <v>874.12</v>
      </c>
      <c r="N979" s="116">
        <v>886.65</v>
      </c>
      <c r="O979" s="116">
        <v>858.58</v>
      </c>
      <c r="P979" s="116">
        <v>860</v>
      </c>
      <c r="Q979" s="116">
        <v>4370.6000000000004</v>
      </c>
      <c r="R979">
        <v>473950</v>
      </c>
    </row>
    <row r="980" spans="1:18" x14ac:dyDescent="0.25">
      <c r="A980" s="170">
        <v>45544</v>
      </c>
      <c r="B980" s="116">
        <v>867.99</v>
      </c>
      <c r="C980" s="116">
        <v>849.79</v>
      </c>
      <c r="D980" s="116">
        <v>846.81</v>
      </c>
      <c r="E980" s="116">
        <v>867.99</v>
      </c>
      <c r="F980" s="116">
        <v>4248.95</v>
      </c>
      <c r="G980">
        <v>14198</v>
      </c>
      <c r="H980" s="116"/>
      <c r="I980" s="116"/>
      <c r="L980" s="170">
        <v>45547</v>
      </c>
      <c r="M980" s="116">
        <v>882.22</v>
      </c>
      <c r="N980" s="116">
        <v>884.8</v>
      </c>
      <c r="O980" s="116">
        <v>875</v>
      </c>
      <c r="P980" s="116">
        <v>881.4</v>
      </c>
      <c r="Q980" s="116">
        <v>4411.1000000000004</v>
      </c>
      <c r="R980">
        <v>122320</v>
      </c>
    </row>
    <row r="981" spans="1:18" x14ac:dyDescent="0.25">
      <c r="A981" s="170">
        <v>45545</v>
      </c>
      <c r="B981" s="116">
        <v>859.85</v>
      </c>
      <c r="C981" s="116">
        <v>850.1</v>
      </c>
      <c r="D981" s="116">
        <v>848</v>
      </c>
      <c r="E981" s="116">
        <v>852.1</v>
      </c>
      <c r="F981" s="116">
        <v>4250.5</v>
      </c>
      <c r="G981">
        <v>12189</v>
      </c>
      <c r="H981" s="116"/>
      <c r="I981" s="116"/>
      <c r="L981" s="170">
        <v>45548</v>
      </c>
      <c r="M981" s="116">
        <v>880.25</v>
      </c>
      <c r="N981" s="116">
        <v>892.73</v>
      </c>
      <c r="O981" s="116">
        <v>875.01</v>
      </c>
      <c r="P981" s="116">
        <v>885.8</v>
      </c>
      <c r="Q981" s="116">
        <v>4401.25</v>
      </c>
      <c r="R981">
        <v>103345</v>
      </c>
    </row>
    <row r="982" spans="1:18" x14ac:dyDescent="0.25">
      <c r="A982" s="170">
        <v>45546</v>
      </c>
      <c r="B982" s="116">
        <v>886.3</v>
      </c>
      <c r="C982" s="116">
        <v>873.86</v>
      </c>
      <c r="D982" s="116">
        <v>858.11</v>
      </c>
      <c r="E982" s="116">
        <v>858.11</v>
      </c>
      <c r="F982" s="116">
        <v>4369.3</v>
      </c>
      <c r="G982">
        <v>14447</v>
      </c>
      <c r="H982" s="116"/>
      <c r="I982" s="116"/>
      <c r="L982" s="170">
        <v>45551</v>
      </c>
      <c r="M982" s="116">
        <v>904.06</v>
      </c>
      <c r="N982" s="116">
        <v>908.8</v>
      </c>
      <c r="O982" s="116">
        <v>875.43</v>
      </c>
      <c r="P982" s="116">
        <v>883.4</v>
      </c>
      <c r="Q982" s="116">
        <v>4520.3</v>
      </c>
      <c r="R982">
        <v>425294</v>
      </c>
    </row>
    <row r="983" spans="1:18" x14ac:dyDescent="0.25">
      <c r="A983" s="170">
        <v>45547</v>
      </c>
      <c r="B983" s="116">
        <v>888.13</v>
      </c>
      <c r="C983" s="116">
        <v>882.09</v>
      </c>
      <c r="D983" s="116">
        <v>875.11</v>
      </c>
      <c r="E983" s="116">
        <v>888.13</v>
      </c>
      <c r="F983" s="116">
        <v>4410.45</v>
      </c>
      <c r="G983">
        <v>3667</v>
      </c>
      <c r="H983" s="116"/>
      <c r="I983" s="116"/>
      <c r="L983" s="170">
        <v>45552</v>
      </c>
      <c r="M983" s="116">
        <v>903.42</v>
      </c>
      <c r="N983" s="116">
        <v>919</v>
      </c>
      <c r="O983" s="116">
        <v>890.98</v>
      </c>
      <c r="P983" s="116">
        <v>906.79</v>
      </c>
      <c r="Q983" s="116">
        <v>4517.1000000000004</v>
      </c>
      <c r="R983">
        <v>254620</v>
      </c>
    </row>
    <row r="984" spans="1:18" x14ac:dyDescent="0.25">
      <c r="A984" s="170">
        <v>45548</v>
      </c>
      <c r="B984" s="116">
        <v>891.91</v>
      </c>
      <c r="C984" s="116">
        <v>880.23</v>
      </c>
      <c r="D984" s="116">
        <v>876</v>
      </c>
      <c r="E984" s="116">
        <v>891.91</v>
      </c>
      <c r="F984" s="116">
        <v>4401.1499999999996</v>
      </c>
      <c r="G984">
        <v>2890</v>
      </c>
      <c r="H984" s="116"/>
      <c r="I984" s="116"/>
      <c r="L984" s="170">
        <v>45553</v>
      </c>
      <c r="M984" s="116">
        <v>905.22</v>
      </c>
      <c r="N984" s="116">
        <v>918.49</v>
      </c>
      <c r="O984" s="116">
        <v>897.69</v>
      </c>
      <c r="P984" s="116">
        <v>905</v>
      </c>
      <c r="Q984" s="116">
        <v>4526.1000000000004</v>
      </c>
      <c r="R984">
        <v>234979</v>
      </c>
    </row>
    <row r="985" spans="1:18" x14ac:dyDescent="0.25">
      <c r="A985" s="170">
        <v>45551</v>
      </c>
      <c r="B985" s="116">
        <v>909.11</v>
      </c>
      <c r="C985" s="116">
        <v>904.01</v>
      </c>
      <c r="D985" s="116">
        <v>876</v>
      </c>
      <c r="E985" s="116">
        <v>887.83</v>
      </c>
      <c r="F985" s="116">
        <v>4520.05</v>
      </c>
      <c r="G985">
        <v>11952</v>
      </c>
      <c r="H985" s="116"/>
      <c r="I985" s="116"/>
      <c r="L985" s="170">
        <v>45554</v>
      </c>
      <c r="M985" s="116">
        <v>884.93</v>
      </c>
      <c r="N985" s="116">
        <v>915.8</v>
      </c>
      <c r="O985" s="116">
        <v>872.02</v>
      </c>
      <c r="P985" s="116">
        <v>913.8</v>
      </c>
      <c r="Q985" s="116">
        <v>4424.6499999999996</v>
      </c>
      <c r="R985">
        <v>302339</v>
      </c>
    </row>
    <row r="986" spans="1:18" x14ac:dyDescent="0.25">
      <c r="A986" s="170">
        <v>45552</v>
      </c>
      <c r="B986" s="116">
        <v>918.4</v>
      </c>
      <c r="C986" s="116">
        <v>901.89</v>
      </c>
      <c r="D986" s="116">
        <v>891.13</v>
      </c>
      <c r="E986" s="116">
        <v>905.08</v>
      </c>
      <c r="F986" s="116">
        <v>4509.45</v>
      </c>
      <c r="G986">
        <v>8267</v>
      </c>
      <c r="H986" s="116"/>
      <c r="I986" s="116"/>
      <c r="L986" s="170">
        <v>45555</v>
      </c>
      <c r="M986" s="116">
        <v>891.92</v>
      </c>
      <c r="N986" s="116">
        <v>906.51</v>
      </c>
      <c r="O986" s="116">
        <v>887.2</v>
      </c>
      <c r="P986" s="116">
        <v>891</v>
      </c>
      <c r="Q986" s="116">
        <v>4459.6000000000004</v>
      </c>
      <c r="R986">
        <v>232335</v>
      </c>
    </row>
    <row r="987" spans="1:18" x14ac:dyDescent="0.25">
      <c r="A987" s="170">
        <v>45553</v>
      </c>
      <c r="B987" s="116">
        <v>918.4</v>
      </c>
      <c r="C987" s="116">
        <v>904.79</v>
      </c>
      <c r="D987" s="116">
        <v>897.63</v>
      </c>
      <c r="E987" s="116">
        <v>908.66</v>
      </c>
      <c r="F987" s="116">
        <v>4523.95</v>
      </c>
      <c r="G987">
        <v>6731</v>
      </c>
      <c r="H987" s="116"/>
      <c r="I987" s="116"/>
      <c r="L987" s="170">
        <v>45558</v>
      </c>
      <c r="M987" s="116">
        <v>922.28</v>
      </c>
      <c r="N987" s="116">
        <v>954.75</v>
      </c>
      <c r="O987" s="116">
        <v>900</v>
      </c>
      <c r="P987" s="116">
        <v>904.6</v>
      </c>
      <c r="Q987" s="116">
        <v>4611.3999999999996</v>
      </c>
      <c r="R987">
        <v>1315365</v>
      </c>
    </row>
    <row r="988" spans="1:18" x14ac:dyDescent="0.25">
      <c r="A988" s="170">
        <v>45554</v>
      </c>
      <c r="B988" s="116">
        <v>915.6</v>
      </c>
      <c r="C988" s="116">
        <v>886.01</v>
      </c>
      <c r="D988" s="116">
        <v>873.02</v>
      </c>
      <c r="E988" s="116">
        <v>913.2</v>
      </c>
      <c r="F988" s="116">
        <v>4430.05</v>
      </c>
      <c r="G988">
        <v>25490</v>
      </c>
      <c r="H988" s="116"/>
      <c r="I988" s="116"/>
      <c r="L988" s="170">
        <v>45559</v>
      </c>
      <c r="M988" s="116">
        <v>905.56</v>
      </c>
      <c r="N988" s="116">
        <v>924.99</v>
      </c>
      <c r="O988" s="116">
        <v>902.2</v>
      </c>
      <c r="P988" s="116">
        <v>922.28</v>
      </c>
      <c r="Q988" s="116">
        <v>4527.8</v>
      </c>
      <c r="R988">
        <v>234978</v>
      </c>
    </row>
    <row r="989" spans="1:18" x14ac:dyDescent="0.25">
      <c r="A989" s="170">
        <v>45555</v>
      </c>
      <c r="B989" s="116">
        <v>906.13</v>
      </c>
      <c r="C989" s="116">
        <v>891.42</v>
      </c>
      <c r="D989" s="116">
        <v>887.4</v>
      </c>
      <c r="E989" s="116">
        <v>893.99</v>
      </c>
      <c r="F989" s="116">
        <v>4457.1000000000004</v>
      </c>
      <c r="G989">
        <v>18065</v>
      </c>
      <c r="H989" s="116"/>
      <c r="I989" s="116"/>
      <c r="L989" s="170">
        <v>45560</v>
      </c>
      <c r="M989" s="116">
        <v>884.68</v>
      </c>
      <c r="N989" s="116">
        <v>907</v>
      </c>
      <c r="O989" s="116">
        <v>882.2</v>
      </c>
      <c r="P989" s="116">
        <v>906</v>
      </c>
      <c r="Q989" s="116">
        <v>4423.3999999999996</v>
      </c>
      <c r="R989">
        <v>201006</v>
      </c>
    </row>
    <row r="990" spans="1:18" x14ac:dyDescent="0.25">
      <c r="A990" s="170">
        <v>45558</v>
      </c>
      <c r="B990" s="116">
        <v>954</v>
      </c>
      <c r="C990" s="116">
        <v>921.38</v>
      </c>
      <c r="D990" s="116">
        <v>901.2</v>
      </c>
      <c r="E990" s="116">
        <v>901.21</v>
      </c>
      <c r="F990" s="116">
        <v>4606.8999999999996</v>
      </c>
      <c r="G990">
        <v>34496</v>
      </c>
      <c r="H990" s="116"/>
      <c r="I990" s="116"/>
      <c r="L990" s="170">
        <v>45561</v>
      </c>
      <c r="M990" s="116">
        <v>895.19</v>
      </c>
      <c r="N990" s="116">
        <v>911.4</v>
      </c>
      <c r="O990" s="116">
        <v>885.32</v>
      </c>
      <c r="P990" s="116">
        <v>909</v>
      </c>
      <c r="Q990" s="116">
        <v>4475.95</v>
      </c>
      <c r="R990">
        <v>660105</v>
      </c>
    </row>
    <row r="991" spans="1:18" x14ac:dyDescent="0.25">
      <c r="A991" s="170">
        <v>45559</v>
      </c>
      <c r="B991" s="116">
        <v>924.78</v>
      </c>
      <c r="C991" s="116">
        <v>906.15</v>
      </c>
      <c r="D991" s="116">
        <v>902.2</v>
      </c>
      <c r="E991" s="116">
        <v>923.95</v>
      </c>
      <c r="F991" s="116">
        <v>4530.75</v>
      </c>
      <c r="G991">
        <v>9741</v>
      </c>
      <c r="H991" s="116"/>
      <c r="I991" s="116"/>
      <c r="L991" s="170">
        <v>45562</v>
      </c>
      <c r="M991" s="116">
        <v>890.99</v>
      </c>
      <c r="N991" s="116">
        <v>913.6</v>
      </c>
      <c r="O991" s="116">
        <v>884.2</v>
      </c>
      <c r="P991" s="116">
        <v>895</v>
      </c>
      <c r="Q991" s="116">
        <v>4454.95</v>
      </c>
      <c r="R991">
        <v>284159</v>
      </c>
    </row>
    <row r="992" spans="1:18" x14ac:dyDescent="0.25">
      <c r="A992" s="170">
        <v>45560</v>
      </c>
      <c r="B992" s="116">
        <v>911.94</v>
      </c>
      <c r="C992" s="116">
        <v>884.87</v>
      </c>
      <c r="D992" s="116">
        <v>882.27</v>
      </c>
      <c r="E992" s="116">
        <v>911.94</v>
      </c>
      <c r="F992" s="116">
        <v>4424.3500000000004</v>
      </c>
      <c r="G992">
        <v>17042</v>
      </c>
      <c r="H992" s="116"/>
      <c r="I992" s="116"/>
      <c r="L992" s="170">
        <v>45565</v>
      </c>
      <c r="M992" s="116">
        <v>881.82</v>
      </c>
      <c r="N992" s="116">
        <v>895.8</v>
      </c>
      <c r="O992" s="116">
        <v>880</v>
      </c>
      <c r="P992" s="116">
        <v>891</v>
      </c>
      <c r="Q992" s="116">
        <v>4409.1000000000004</v>
      </c>
      <c r="R992">
        <v>192150</v>
      </c>
    </row>
    <row r="993" spans="1:18" x14ac:dyDescent="0.25">
      <c r="A993" s="170">
        <v>45561</v>
      </c>
      <c r="B993" s="116">
        <v>911.2</v>
      </c>
      <c r="C993" s="116">
        <v>894.73</v>
      </c>
      <c r="D993" s="116">
        <v>886</v>
      </c>
      <c r="E993" s="116">
        <v>907.21</v>
      </c>
      <c r="F993" s="116">
        <v>4473.6499999999996</v>
      </c>
      <c r="G993">
        <v>36750</v>
      </c>
      <c r="H993" s="116"/>
      <c r="I993" s="116"/>
      <c r="L993" s="170">
        <v>45566</v>
      </c>
      <c r="M993" s="116">
        <v>916.04</v>
      </c>
      <c r="N993" s="116">
        <v>919.8</v>
      </c>
      <c r="O993" s="116">
        <v>884</v>
      </c>
      <c r="P993" s="116">
        <v>884</v>
      </c>
      <c r="Q993" s="116">
        <v>4580.2</v>
      </c>
      <c r="R993">
        <v>359687</v>
      </c>
    </row>
    <row r="994" spans="1:18" x14ac:dyDescent="0.25">
      <c r="A994" s="170">
        <v>45562</v>
      </c>
      <c r="B994" s="116">
        <v>913.15</v>
      </c>
      <c r="C994" s="116">
        <v>891.03</v>
      </c>
      <c r="D994" s="116">
        <v>885</v>
      </c>
      <c r="E994" s="116">
        <v>895</v>
      </c>
      <c r="F994" s="116">
        <v>4455.1499999999996</v>
      </c>
      <c r="G994">
        <v>13490</v>
      </c>
      <c r="H994" s="116"/>
      <c r="I994" s="116"/>
      <c r="L994" s="170">
        <v>45568</v>
      </c>
      <c r="M994" s="116">
        <v>884.48</v>
      </c>
      <c r="N994" s="116">
        <v>911.6</v>
      </c>
      <c r="O994" s="116">
        <v>882.2</v>
      </c>
      <c r="P994" s="116">
        <v>895.99</v>
      </c>
      <c r="Q994" s="116">
        <v>4422.3999999999996</v>
      </c>
      <c r="R994">
        <v>270543</v>
      </c>
    </row>
    <row r="995" spans="1:18" x14ac:dyDescent="0.25">
      <c r="A995" s="170">
        <v>45565</v>
      </c>
      <c r="B995" s="116">
        <v>896.08</v>
      </c>
      <c r="C995" s="116">
        <v>881.64</v>
      </c>
      <c r="D995" s="116">
        <v>880.2</v>
      </c>
      <c r="E995" s="116">
        <v>890.05</v>
      </c>
      <c r="F995" s="116">
        <v>4408.2</v>
      </c>
      <c r="G995">
        <v>15548</v>
      </c>
      <c r="H995" s="116"/>
      <c r="I995" s="116"/>
      <c r="L995" s="170">
        <v>45569</v>
      </c>
      <c r="M995" s="116">
        <v>853.3</v>
      </c>
      <c r="N995" s="116">
        <v>887.8</v>
      </c>
      <c r="O995" s="116">
        <v>849.06</v>
      </c>
      <c r="P995" s="116">
        <v>882.59</v>
      </c>
      <c r="Q995" s="116">
        <v>4266.5</v>
      </c>
      <c r="R995">
        <v>292643</v>
      </c>
    </row>
    <row r="996" spans="1:18" x14ac:dyDescent="0.25">
      <c r="A996" s="170">
        <v>45566</v>
      </c>
      <c r="B996" s="116">
        <v>918.96</v>
      </c>
      <c r="C996" s="116">
        <v>915.15</v>
      </c>
      <c r="D996" s="116">
        <v>882</v>
      </c>
      <c r="E996" s="116">
        <v>882</v>
      </c>
      <c r="F996" s="116">
        <v>4575.75</v>
      </c>
      <c r="G996">
        <v>15793</v>
      </c>
      <c r="H996" s="116"/>
      <c r="I996" s="116"/>
      <c r="L996" s="170">
        <v>45572</v>
      </c>
      <c r="M996" s="116">
        <v>821.81</v>
      </c>
      <c r="N996" s="116">
        <v>861</v>
      </c>
      <c r="O996" s="116">
        <v>810</v>
      </c>
      <c r="P996" s="116">
        <v>853.2</v>
      </c>
      <c r="Q996" s="116">
        <v>4109.05</v>
      </c>
      <c r="R996">
        <v>315281</v>
      </c>
    </row>
    <row r="997" spans="1:18" x14ac:dyDescent="0.25">
      <c r="A997" s="170">
        <v>45568</v>
      </c>
      <c r="B997" s="116">
        <v>910.57</v>
      </c>
      <c r="C997" s="116">
        <v>884.91</v>
      </c>
      <c r="D997" s="116">
        <v>882.35</v>
      </c>
      <c r="E997" s="116">
        <v>890.01</v>
      </c>
      <c r="F997" s="116">
        <v>4424.55</v>
      </c>
      <c r="G997">
        <v>10757</v>
      </c>
      <c r="H997" s="116"/>
      <c r="I997" s="116"/>
      <c r="L997" s="170">
        <v>45573</v>
      </c>
      <c r="M997" s="116">
        <v>882.07</v>
      </c>
      <c r="N997" s="116">
        <v>889.59</v>
      </c>
      <c r="O997" s="116">
        <v>816.58</v>
      </c>
      <c r="P997" s="116">
        <v>825</v>
      </c>
      <c r="Q997" s="116">
        <v>4410.3500000000004</v>
      </c>
      <c r="R997">
        <v>454223</v>
      </c>
    </row>
    <row r="998" spans="1:18" x14ac:dyDescent="0.25">
      <c r="A998" s="170">
        <v>45569</v>
      </c>
      <c r="B998" s="116">
        <v>886.32</v>
      </c>
      <c r="C998" s="116">
        <v>853.79</v>
      </c>
      <c r="D998" s="116">
        <v>850</v>
      </c>
      <c r="E998" s="116">
        <v>880.21</v>
      </c>
      <c r="F998" s="116">
        <v>4268.95</v>
      </c>
      <c r="G998">
        <v>36237</v>
      </c>
      <c r="H998" s="116"/>
      <c r="I998" s="116"/>
      <c r="L998" s="170">
        <v>45574</v>
      </c>
      <c r="M998" s="116">
        <v>882.07</v>
      </c>
      <c r="N998" s="116">
        <v>888</v>
      </c>
      <c r="O998" s="116">
        <v>874.01</v>
      </c>
      <c r="P998" s="116">
        <v>879.99</v>
      </c>
      <c r="Q998" s="116">
        <v>4410.3500000000004</v>
      </c>
      <c r="R998">
        <v>169139</v>
      </c>
    </row>
    <row r="999" spans="1:18" x14ac:dyDescent="0.25">
      <c r="A999" s="170">
        <v>45572</v>
      </c>
      <c r="B999" s="116">
        <v>860.2</v>
      </c>
      <c r="C999" s="116">
        <v>821.52</v>
      </c>
      <c r="D999" s="116">
        <v>809.81</v>
      </c>
      <c r="E999" s="116">
        <v>853.79</v>
      </c>
      <c r="F999" s="116">
        <v>4107.6000000000004</v>
      </c>
      <c r="G999">
        <v>44133</v>
      </c>
      <c r="H999" s="116"/>
      <c r="I999" s="116"/>
      <c r="L999" s="170">
        <v>45575</v>
      </c>
      <c r="M999" s="116">
        <v>898.09</v>
      </c>
      <c r="N999" s="116">
        <v>905.79</v>
      </c>
      <c r="O999" s="116">
        <v>881.11</v>
      </c>
      <c r="P999" s="116">
        <v>888.4</v>
      </c>
      <c r="Q999" s="116">
        <v>4490.45</v>
      </c>
      <c r="R999">
        <v>205033</v>
      </c>
    </row>
    <row r="1000" spans="1:18" x14ac:dyDescent="0.25">
      <c r="A1000" s="170">
        <v>45573</v>
      </c>
      <c r="B1000" s="116">
        <v>888.8</v>
      </c>
      <c r="C1000" s="116">
        <v>883</v>
      </c>
      <c r="D1000" s="116">
        <v>817.22</v>
      </c>
      <c r="E1000" s="116">
        <v>822.01</v>
      </c>
      <c r="F1000" s="116">
        <v>4415</v>
      </c>
      <c r="G1000">
        <v>14808</v>
      </c>
      <c r="H1000" s="116"/>
      <c r="I1000" s="116"/>
      <c r="L1000" s="170">
        <v>45576</v>
      </c>
      <c r="M1000" s="116">
        <v>902.25</v>
      </c>
      <c r="N1000" s="116">
        <v>917.8</v>
      </c>
      <c r="O1000" s="116">
        <v>892.26</v>
      </c>
      <c r="P1000" s="116">
        <v>903.49</v>
      </c>
      <c r="Q1000" s="116">
        <v>4511.25</v>
      </c>
      <c r="R1000">
        <v>253809</v>
      </c>
    </row>
    <row r="1001" spans="1:18" x14ac:dyDescent="0.25">
      <c r="A1001" s="170">
        <v>45574</v>
      </c>
      <c r="B1001" s="116">
        <v>888.39</v>
      </c>
      <c r="C1001" s="116">
        <v>881.82</v>
      </c>
      <c r="D1001" s="116">
        <v>874.79</v>
      </c>
      <c r="E1001" s="116">
        <v>882</v>
      </c>
      <c r="F1001" s="116">
        <v>4409.1000000000004</v>
      </c>
      <c r="G1001">
        <v>22711</v>
      </c>
      <c r="H1001" s="116"/>
      <c r="I1001" s="116"/>
      <c r="L1001" s="170">
        <v>45579</v>
      </c>
      <c r="M1001" s="116">
        <v>920.12</v>
      </c>
      <c r="N1001" s="116">
        <v>934.8</v>
      </c>
      <c r="O1001" s="116">
        <v>880.38</v>
      </c>
      <c r="P1001" s="116">
        <v>906</v>
      </c>
      <c r="Q1001" s="116">
        <v>4600.6000000000004</v>
      </c>
      <c r="R1001">
        <v>609366</v>
      </c>
    </row>
    <row r="1002" spans="1:18" x14ac:dyDescent="0.25">
      <c r="A1002" s="170">
        <v>45575</v>
      </c>
      <c r="B1002" s="116">
        <v>905</v>
      </c>
      <c r="C1002" s="116">
        <v>897.89</v>
      </c>
      <c r="D1002" s="116">
        <v>882.4</v>
      </c>
      <c r="E1002" s="116">
        <v>884.01</v>
      </c>
      <c r="F1002" s="116">
        <v>4489.45</v>
      </c>
      <c r="G1002">
        <v>9014</v>
      </c>
      <c r="H1002" s="116"/>
      <c r="I1002" s="116"/>
      <c r="L1002" s="170">
        <v>45580</v>
      </c>
      <c r="M1002" s="116">
        <v>925.26</v>
      </c>
      <c r="N1002" s="116">
        <v>947.64</v>
      </c>
      <c r="O1002" s="116">
        <v>918.96</v>
      </c>
      <c r="P1002" s="116">
        <v>926</v>
      </c>
      <c r="Q1002" s="116">
        <v>4626.3</v>
      </c>
      <c r="R1002">
        <v>368895</v>
      </c>
    </row>
    <row r="1003" spans="1:18" x14ac:dyDescent="0.25">
      <c r="A1003" s="170">
        <v>45576</v>
      </c>
      <c r="B1003" s="116">
        <v>917.18</v>
      </c>
      <c r="C1003" s="116">
        <v>902.72</v>
      </c>
      <c r="D1003" s="116">
        <v>893</v>
      </c>
      <c r="E1003" s="116">
        <v>899.41</v>
      </c>
      <c r="F1003" s="116">
        <v>4513.6000000000004</v>
      </c>
      <c r="G1003">
        <v>7361</v>
      </c>
      <c r="H1003" s="116"/>
      <c r="I1003" s="116"/>
      <c r="L1003" s="170">
        <v>45581</v>
      </c>
      <c r="M1003" s="116">
        <v>967.31</v>
      </c>
      <c r="N1003" s="116">
        <v>982</v>
      </c>
      <c r="O1003" s="116">
        <v>918.4</v>
      </c>
      <c r="P1003" s="116">
        <v>921.21</v>
      </c>
      <c r="Q1003" s="116">
        <v>4836.55</v>
      </c>
      <c r="R1003">
        <v>1207042</v>
      </c>
    </row>
    <row r="1004" spans="1:18" x14ac:dyDescent="0.25">
      <c r="A1004" s="170">
        <v>45579</v>
      </c>
      <c r="B1004" s="116">
        <v>934.33</v>
      </c>
      <c r="C1004" s="116">
        <v>920.08</v>
      </c>
      <c r="D1004" s="116">
        <v>880.69</v>
      </c>
      <c r="E1004" s="116">
        <v>904</v>
      </c>
      <c r="F1004" s="116">
        <v>4600.3999999999996</v>
      </c>
      <c r="G1004">
        <v>40353</v>
      </c>
      <c r="H1004" s="116"/>
      <c r="I1004" s="116"/>
      <c r="L1004" s="170">
        <v>45582</v>
      </c>
      <c r="M1004" s="116">
        <v>970.33</v>
      </c>
      <c r="N1004" s="116">
        <v>993.97</v>
      </c>
      <c r="O1004" s="116">
        <v>960.27</v>
      </c>
      <c r="P1004" s="116">
        <v>978.73</v>
      </c>
      <c r="Q1004" s="116">
        <v>4851.6499999999996</v>
      </c>
      <c r="R1004">
        <v>956372</v>
      </c>
    </row>
    <row r="1005" spans="1:18" x14ac:dyDescent="0.25">
      <c r="A1005" s="170">
        <v>45580</v>
      </c>
      <c r="B1005" s="116">
        <v>947.39</v>
      </c>
      <c r="C1005" s="116">
        <v>925.38</v>
      </c>
      <c r="D1005" s="116">
        <v>919.39</v>
      </c>
      <c r="E1005" s="116">
        <v>922.01</v>
      </c>
      <c r="F1005" s="116">
        <v>4626.8999999999996</v>
      </c>
      <c r="G1005">
        <v>16567</v>
      </c>
      <c r="H1005" s="116"/>
      <c r="I1005" s="116"/>
      <c r="L1005" s="170">
        <v>45583</v>
      </c>
      <c r="M1005" s="116">
        <v>948.4</v>
      </c>
      <c r="N1005" s="116">
        <v>969.33</v>
      </c>
      <c r="O1005" s="116">
        <v>930.4</v>
      </c>
      <c r="P1005" s="116">
        <v>966</v>
      </c>
      <c r="Q1005" s="116">
        <v>4742</v>
      </c>
      <c r="R1005">
        <v>450472</v>
      </c>
    </row>
    <row r="1006" spans="1:18" x14ac:dyDescent="0.25">
      <c r="A1006" s="170">
        <v>45581</v>
      </c>
      <c r="B1006" s="116">
        <v>984</v>
      </c>
      <c r="C1006" s="116">
        <v>967.05</v>
      </c>
      <c r="D1006" s="116">
        <v>918.05</v>
      </c>
      <c r="E1006" s="116">
        <v>924.99</v>
      </c>
      <c r="F1006" s="116">
        <v>4835.25</v>
      </c>
      <c r="G1006">
        <v>91482</v>
      </c>
      <c r="H1006" s="116"/>
      <c r="I1006" s="116"/>
      <c r="L1006" s="170">
        <v>45586</v>
      </c>
      <c r="M1006" s="116">
        <v>928.94</v>
      </c>
      <c r="N1006" s="116">
        <v>959.6</v>
      </c>
      <c r="O1006" s="116">
        <v>926.29</v>
      </c>
      <c r="P1006" s="116">
        <v>948.4</v>
      </c>
      <c r="Q1006" s="116">
        <v>4644.7</v>
      </c>
      <c r="R1006">
        <v>355443</v>
      </c>
    </row>
    <row r="1007" spans="1:18" x14ac:dyDescent="0.25">
      <c r="A1007" s="170">
        <v>45582</v>
      </c>
      <c r="B1007" s="116">
        <v>993.33</v>
      </c>
      <c r="C1007" s="116">
        <v>972.16</v>
      </c>
      <c r="D1007" s="116">
        <v>963</v>
      </c>
      <c r="E1007" s="116">
        <v>974</v>
      </c>
      <c r="F1007" s="116">
        <v>4860.8</v>
      </c>
      <c r="G1007">
        <v>40563</v>
      </c>
      <c r="H1007" s="116"/>
      <c r="I1007" s="116"/>
      <c r="L1007" s="170">
        <v>45587</v>
      </c>
      <c r="M1007" s="116">
        <v>880.09</v>
      </c>
      <c r="N1007" s="116">
        <v>932</v>
      </c>
      <c r="O1007" s="116">
        <v>877.33</v>
      </c>
      <c r="P1007" s="116">
        <v>929.8</v>
      </c>
      <c r="Q1007" s="116">
        <v>4400.45</v>
      </c>
      <c r="R1007">
        <v>369810</v>
      </c>
    </row>
    <row r="1008" spans="1:18" x14ac:dyDescent="0.25">
      <c r="A1008" s="170">
        <v>45583</v>
      </c>
      <c r="B1008" s="116">
        <v>968</v>
      </c>
      <c r="C1008" s="116">
        <v>948.1</v>
      </c>
      <c r="D1008" s="116">
        <v>930.1</v>
      </c>
      <c r="E1008" s="116">
        <v>962.21</v>
      </c>
      <c r="F1008" s="116">
        <v>4740.5</v>
      </c>
      <c r="G1008">
        <v>36862</v>
      </c>
      <c r="H1008" s="116"/>
      <c r="I1008" s="116"/>
      <c r="L1008" s="170">
        <v>45588</v>
      </c>
      <c r="M1008" s="116">
        <v>912.05</v>
      </c>
      <c r="N1008" s="116">
        <v>928.32</v>
      </c>
      <c r="O1008" s="116">
        <v>866.95</v>
      </c>
      <c r="P1008" s="116">
        <v>878.6</v>
      </c>
      <c r="Q1008" s="116">
        <v>4560.25</v>
      </c>
      <c r="R1008">
        <v>475604</v>
      </c>
    </row>
    <row r="1009" spans="1:18" x14ac:dyDescent="0.25">
      <c r="A1009" s="170">
        <v>45586</v>
      </c>
      <c r="B1009" s="116">
        <v>959.37</v>
      </c>
      <c r="C1009" s="116">
        <v>929.17</v>
      </c>
      <c r="D1009" s="116">
        <v>926.93</v>
      </c>
      <c r="E1009" s="116">
        <v>948.1</v>
      </c>
      <c r="F1009" s="116">
        <v>4645.8500000000004</v>
      </c>
      <c r="G1009">
        <v>18984</v>
      </c>
      <c r="H1009" s="116"/>
      <c r="I1009" s="116"/>
      <c r="L1009" s="170">
        <v>45589</v>
      </c>
      <c r="M1009" s="116">
        <v>900.12</v>
      </c>
      <c r="N1009" s="116">
        <v>920</v>
      </c>
      <c r="O1009" s="116">
        <v>891.68</v>
      </c>
      <c r="P1009" s="116">
        <v>912.59</v>
      </c>
      <c r="Q1009" s="116">
        <v>4500.6000000000004</v>
      </c>
      <c r="R1009">
        <v>173348</v>
      </c>
    </row>
    <row r="1010" spans="1:18" x14ac:dyDescent="0.25">
      <c r="A1010" s="170">
        <v>45587</v>
      </c>
      <c r="B1010" s="116">
        <v>931.6</v>
      </c>
      <c r="C1010" s="116">
        <v>879.88</v>
      </c>
      <c r="D1010" s="116">
        <v>877.35</v>
      </c>
      <c r="E1010" s="116">
        <v>927.7</v>
      </c>
      <c r="F1010" s="116">
        <v>4399.3999999999996</v>
      </c>
      <c r="G1010">
        <v>30283</v>
      </c>
      <c r="H1010" s="116"/>
      <c r="I1010" s="116"/>
      <c r="L1010" s="170">
        <v>45590</v>
      </c>
      <c r="M1010" s="116">
        <v>863.1</v>
      </c>
      <c r="N1010" s="116">
        <v>913.44</v>
      </c>
      <c r="O1010" s="116">
        <v>858.21</v>
      </c>
      <c r="P1010" s="116">
        <v>901.96</v>
      </c>
      <c r="Q1010" s="116">
        <v>4315.5</v>
      </c>
      <c r="R1010">
        <v>233780</v>
      </c>
    </row>
    <row r="1011" spans="1:18" x14ac:dyDescent="0.25">
      <c r="A1011" s="170">
        <v>45588</v>
      </c>
      <c r="B1011" s="116">
        <v>927.38</v>
      </c>
      <c r="C1011" s="116">
        <v>911.24</v>
      </c>
      <c r="D1011" s="116">
        <v>867.78</v>
      </c>
      <c r="E1011" s="116">
        <v>879.88</v>
      </c>
      <c r="F1011" s="116">
        <v>4556.2</v>
      </c>
      <c r="G1011">
        <v>16263</v>
      </c>
      <c r="H1011" s="116"/>
      <c r="I1011" s="116"/>
      <c r="L1011" s="170">
        <v>45593</v>
      </c>
      <c r="M1011" s="116">
        <v>855.25</v>
      </c>
      <c r="N1011" s="116">
        <v>877.8</v>
      </c>
      <c r="O1011" s="116">
        <v>850.01</v>
      </c>
      <c r="P1011" s="116">
        <v>871.09</v>
      </c>
      <c r="Q1011" s="116">
        <v>4276.25</v>
      </c>
      <c r="R1011">
        <v>386326</v>
      </c>
    </row>
    <row r="1012" spans="1:18" x14ac:dyDescent="0.25">
      <c r="A1012" s="170">
        <v>45589</v>
      </c>
      <c r="B1012" s="116">
        <v>920.17</v>
      </c>
      <c r="C1012" s="116">
        <v>899.59</v>
      </c>
      <c r="D1012" s="116">
        <v>892.54</v>
      </c>
      <c r="E1012" s="116">
        <v>918.89</v>
      </c>
      <c r="F1012" s="116">
        <v>4497.95</v>
      </c>
      <c r="G1012">
        <v>7656</v>
      </c>
      <c r="H1012" s="116"/>
      <c r="I1012" s="116"/>
      <c r="L1012" s="170">
        <v>45594</v>
      </c>
      <c r="M1012" s="116">
        <v>866.23</v>
      </c>
      <c r="N1012" s="116">
        <v>875.46</v>
      </c>
      <c r="O1012" s="116">
        <v>841.2</v>
      </c>
      <c r="P1012" s="116">
        <v>861</v>
      </c>
      <c r="Q1012" s="116">
        <v>4331.1499999999996</v>
      </c>
      <c r="R1012">
        <v>215140</v>
      </c>
    </row>
    <row r="1013" spans="1:18" x14ac:dyDescent="0.25">
      <c r="A1013" s="170">
        <v>45590</v>
      </c>
      <c r="B1013" s="116">
        <v>912.16</v>
      </c>
      <c r="C1013" s="116">
        <v>863.77</v>
      </c>
      <c r="D1013" s="116">
        <v>858.2</v>
      </c>
      <c r="E1013" s="116">
        <v>907.99</v>
      </c>
      <c r="F1013" s="116">
        <v>4318.8500000000004</v>
      </c>
      <c r="G1013">
        <v>8062</v>
      </c>
      <c r="H1013" s="116"/>
      <c r="I1013" s="116"/>
      <c r="L1013" s="170">
        <v>45595</v>
      </c>
      <c r="M1013" s="116">
        <v>876.36</v>
      </c>
      <c r="N1013" s="116">
        <v>889</v>
      </c>
      <c r="O1013" s="116">
        <v>858.02</v>
      </c>
      <c r="P1013" s="116">
        <v>865.75</v>
      </c>
      <c r="Q1013" s="116">
        <v>4381.8</v>
      </c>
      <c r="R1013">
        <v>190723</v>
      </c>
    </row>
    <row r="1014" spans="1:18" x14ac:dyDescent="0.25">
      <c r="A1014" s="170">
        <v>45593</v>
      </c>
      <c r="B1014" s="116">
        <v>878.28</v>
      </c>
      <c r="C1014" s="116">
        <v>855.78</v>
      </c>
      <c r="D1014" s="116">
        <v>849.47</v>
      </c>
      <c r="E1014" s="116">
        <v>866.23</v>
      </c>
      <c r="F1014" s="116">
        <v>4278.8999999999996</v>
      </c>
      <c r="G1014">
        <v>26877</v>
      </c>
      <c r="H1014" s="116"/>
      <c r="I1014" s="116"/>
      <c r="L1014" s="170">
        <v>45596</v>
      </c>
      <c r="M1014" s="116">
        <v>888.74</v>
      </c>
      <c r="N1014" s="116">
        <v>903.4</v>
      </c>
      <c r="O1014" s="116">
        <v>865.75</v>
      </c>
      <c r="P1014" s="116">
        <v>877</v>
      </c>
      <c r="Q1014" s="116">
        <v>4443.7</v>
      </c>
      <c r="R1014">
        <v>289323</v>
      </c>
    </row>
    <row r="1015" spans="1:18" x14ac:dyDescent="0.25">
      <c r="A1015" s="170">
        <v>45594</v>
      </c>
      <c r="B1015" s="116">
        <v>875.49</v>
      </c>
      <c r="C1015" s="116">
        <v>866.51</v>
      </c>
      <c r="D1015" s="116">
        <v>841.4</v>
      </c>
      <c r="E1015" s="116">
        <v>865.79</v>
      </c>
      <c r="F1015" s="116">
        <v>4332.55</v>
      </c>
      <c r="G1015">
        <v>22016</v>
      </c>
      <c r="H1015" s="116"/>
      <c r="I1015" s="116"/>
      <c r="L1015" s="170">
        <v>45597</v>
      </c>
      <c r="M1015" s="116">
        <v>903.74</v>
      </c>
      <c r="N1015" s="116">
        <v>905.58</v>
      </c>
      <c r="O1015" s="116">
        <v>892.05</v>
      </c>
      <c r="P1015" s="116">
        <v>897.6</v>
      </c>
      <c r="Q1015" s="116">
        <v>4518.7</v>
      </c>
      <c r="R1015">
        <v>42129</v>
      </c>
    </row>
    <row r="1016" spans="1:18" x14ac:dyDescent="0.25">
      <c r="A1016" s="170">
        <v>45595</v>
      </c>
      <c r="B1016" s="116">
        <v>889.09</v>
      </c>
      <c r="C1016" s="116">
        <v>876.38</v>
      </c>
      <c r="D1016" s="116">
        <v>857.83</v>
      </c>
      <c r="E1016" s="116">
        <v>864.04</v>
      </c>
      <c r="F1016" s="116">
        <v>4381.8999999999996</v>
      </c>
      <c r="G1016">
        <v>21684</v>
      </c>
      <c r="H1016" s="116"/>
      <c r="I1016" s="116"/>
      <c r="L1016" s="170">
        <v>45600</v>
      </c>
      <c r="M1016" s="116">
        <v>908.53</v>
      </c>
      <c r="N1016" s="116">
        <v>957.45</v>
      </c>
      <c r="O1016" s="116">
        <v>901</v>
      </c>
      <c r="P1016" s="116">
        <v>906</v>
      </c>
      <c r="Q1016" s="116">
        <v>4542.6499999999996</v>
      </c>
      <c r="R1016">
        <v>1135535</v>
      </c>
    </row>
    <row r="1017" spans="1:18" x14ac:dyDescent="0.25">
      <c r="A1017" s="170">
        <v>45596</v>
      </c>
      <c r="B1017" s="116">
        <v>902.4</v>
      </c>
      <c r="C1017" s="116">
        <v>888.21</v>
      </c>
      <c r="D1017" s="116">
        <v>866.6</v>
      </c>
      <c r="E1017" s="116">
        <v>883.91</v>
      </c>
      <c r="F1017" s="116">
        <v>4441.05</v>
      </c>
      <c r="G1017">
        <v>22050</v>
      </c>
      <c r="H1017" s="116"/>
      <c r="I1017" s="116"/>
      <c r="L1017" s="170">
        <v>45601</v>
      </c>
      <c r="M1017" s="116">
        <v>912.92</v>
      </c>
      <c r="N1017" s="116">
        <v>922.2</v>
      </c>
      <c r="O1017" s="116">
        <v>901.11</v>
      </c>
      <c r="P1017" s="116">
        <v>910</v>
      </c>
      <c r="Q1017" s="116">
        <v>4564.6000000000004</v>
      </c>
      <c r="R1017">
        <v>233238</v>
      </c>
    </row>
    <row r="1018" spans="1:18" x14ac:dyDescent="0.25">
      <c r="A1018" s="170">
        <v>45597</v>
      </c>
      <c r="B1018" s="116">
        <v>905.19</v>
      </c>
      <c r="C1018" s="116">
        <v>903.6</v>
      </c>
      <c r="D1018" s="116">
        <v>895.27</v>
      </c>
      <c r="E1018" s="116">
        <v>901.79</v>
      </c>
      <c r="F1018" s="116">
        <v>4518</v>
      </c>
      <c r="G1018">
        <v>2035</v>
      </c>
      <c r="H1018" s="116"/>
      <c r="I1018" s="116"/>
      <c r="L1018" s="170">
        <v>45602</v>
      </c>
      <c r="M1018" s="116">
        <v>934.53</v>
      </c>
      <c r="N1018" s="116">
        <v>938.1</v>
      </c>
      <c r="O1018" s="116">
        <v>912.8</v>
      </c>
      <c r="P1018" s="116">
        <v>918.8</v>
      </c>
      <c r="Q1018" s="116">
        <v>4672.6499999999996</v>
      </c>
      <c r="R1018">
        <v>344135</v>
      </c>
    </row>
    <row r="1019" spans="1:18" x14ac:dyDescent="0.25">
      <c r="A1019" s="170">
        <v>45600</v>
      </c>
      <c r="B1019" s="116">
        <v>957.74</v>
      </c>
      <c r="C1019" s="116">
        <v>908.92</v>
      </c>
      <c r="D1019" s="116">
        <v>902.46</v>
      </c>
      <c r="E1019" s="116">
        <v>912.62</v>
      </c>
      <c r="F1019" s="116">
        <v>4544.6000000000004</v>
      </c>
      <c r="G1019">
        <v>30971</v>
      </c>
      <c r="H1019" s="116"/>
      <c r="I1019" s="116"/>
      <c r="L1019" s="170">
        <v>45603</v>
      </c>
      <c r="M1019" s="116">
        <v>932.5</v>
      </c>
      <c r="N1019" s="116">
        <v>951.19</v>
      </c>
      <c r="O1019" s="116">
        <v>928.41</v>
      </c>
      <c r="P1019" s="116">
        <v>939.19</v>
      </c>
      <c r="Q1019" s="116">
        <v>4662.5</v>
      </c>
      <c r="R1019">
        <v>228536</v>
      </c>
    </row>
    <row r="1020" spans="1:18" x14ac:dyDescent="0.25">
      <c r="A1020" s="170">
        <v>45601</v>
      </c>
      <c r="B1020" s="116">
        <v>921.63</v>
      </c>
      <c r="C1020" s="116">
        <v>912.87</v>
      </c>
      <c r="D1020" s="116">
        <v>902.31</v>
      </c>
      <c r="E1020" s="116">
        <v>918.64</v>
      </c>
      <c r="F1020" s="116">
        <v>4564.3500000000004</v>
      </c>
      <c r="G1020">
        <v>16312</v>
      </c>
      <c r="H1020" s="116"/>
      <c r="I1020" s="116"/>
      <c r="L1020" s="170">
        <v>45604</v>
      </c>
      <c r="M1020" s="116">
        <v>934.77</v>
      </c>
      <c r="N1020" s="116">
        <v>957</v>
      </c>
      <c r="O1020" s="116">
        <v>931</v>
      </c>
      <c r="P1020" s="116">
        <v>932.4</v>
      </c>
      <c r="Q1020" s="116">
        <v>4673.8500000000004</v>
      </c>
      <c r="R1020">
        <v>315855</v>
      </c>
    </row>
    <row r="1021" spans="1:18" x14ac:dyDescent="0.25">
      <c r="A1021" s="170">
        <v>45602</v>
      </c>
      <c r="B1021" s="116">
        <v>937.24</v>
      </c>
      <c r="C1021" s="116">
        <v>933.65</v>
      </c>
      <c r="D1021" s="116">
        <v>913.83</v>
      </c>
      <c r="E1021" s="116">
        <v>921.91</v>
      </c>
      <c r="F1021" s="116">
        <v>4668.25</v>
      </c>
      <c r="G1021">
        <v>12929</v>
      </c>
      <c r="H1021" s="116"/>
      <c r="I1021" s="116"/>
      <c r="L1021" s="170">
        <v>45607</v>
      </c>
      <c r="M1021" s="116">
        <v>944.02</v>
      </c>
      <c r="N1021" s="116">
        <v>953.98</v>
      </c>
      <c r="O1021" s="116">
        <v>924</v>
      </c>
      <c r="P1021" s="116">
        <v>935.2</v>
      </c>
      <c r="Q1021" s="116">
        <v>4720.1000000000004</v>
      </c>
      <c r="R1021">
        <v>214031</v>
      </c>
    </row>
    <row r="1022" spans="1:18" x14ac:dyDescent="0.25">
      <c r="A1022" s="170">
        <v>45603</v>
      </c>
      <c r="B1022" s="116">
        <v>950.69</v>
      </c>
      <c r="C1022" s="116">
        <v>931.99</v>
      </c>
      <c r="D1022" s="116">
        <v>929</v>
      </c>
      <c r="E1022" s="116">
        <v>942.18</v>
      </c>
      <c r="F1022" s="116">
        <v>4659.95</v>
      </c>
      <c r="G1022">
        <v>10465</v>
      </c>
      <c r="H1022" s="116"/>
      <c r="I1022" s="116"/>
      <c r="L1022" s="170">
        <v>45608</v>
      </c>
      <c r="M1022" s="116">
        <v>936.34</v>
      </c>
      <c r="N1022" s="116">
        <v>978.44</v>
      </c>
      <c r="O1022" s="116">
        <v>931.31</v>
      </c>
      <c r="P1022" s="116">
        <v>949.2</v>
      </c>
      <c r="Q1022" s="116">
        <v>4681.7</v>
      </c>
      <c r="R1022">
        <v>439487</v>
      </c>
    </row>
    <row r="1023" spans="1:18" x14ac:dyDescent="0.25">
      <c r="A1023" s="170">
        <v>45604</v>
      </c>
      <c r="B1023" s="116">
        <v>957.03</v>
      </c>
      <c r="C1023" s="116">
        <v>932.8</v>
      </c>
      <c r="D1023" s="116">
        <v>928.86</v>
      </c>
      <c r="E1023" s="116">
        <v>932.4</v>
      </c>
      <c r="F1023" s="116">
        <v>4664</v>
      </c>
      <c r="G1023">
        <v>11614</v>
      </c>
      <c r="H1023" s="116"/>
      <c r="I1023" s="116"/>
      <c r="L1023" s="170">
        <v>45609</v>
      </c>
      <c r="M1023" s="116">
        <v>898.46</v>
      </c>
      <c r="N1023" s="116">
        <v>941.25</v>
      </c>
      <c r="O1023" s="116">
        <v>894.2</v>
      </c>
      <c r="P1023" s="116">
        <v>934</v>
      </c>
      <c r="Q1023" s="116">
        <v>4492.3</v>
      </c>
      <c r="R1023">
        <v>310748</v>
      </c>
    </row>
    <row r="1024" spans="1:18" x14ac:dyDescent="0.25">
      <c r="A1024" s="170">
        <v>45607</v>
      </c>
      <c r="B1024" s="116">
        <v>953.4</v>
      </c>
      <c r="C1024" s="116">
        <v>944.09</v>
      </c>
      <c r="D1024" s="116">
        <v>924.25</v>
      </c>
      <c r="E1024" s="116">
        <v>936.88</v>
      </c>
      <c r="F1024" s="116">
        <v>4720.45</v>
      </c>
      <c r="G1024">
        <v>8035</v>
      </c>
      <c r="H1024" s="116"/>
      <c r="I1024" s="116"/>
      <c r="L1024" s="170">
        <v>45610</v>
      </c>
      <c r="M1024" s="116">
        <v>916.39</v>
      </c>
      <c r="N1024" s="116">
        <v>929.99</v>
      </c>
      <c r="O1024" s="116">
        <v>900.99</v>
      </c>
      <c r="P1024" s="116">
        <v>900.99</v>
      </c>
      <c r="Q1024" s="116">
        <v>4581.95</v>
      </c>
      <c r="R1024">
        <v>262219</v>
      </c>
    </row>
    <row r="1025" spans="1:18" x14ac:dyDescent="0.25">
      <c r="A1025" s="170">
        <v>45608</v>
      </c>
      <c r="B1025" s="116">
        <v>978</v>
      </c>
      <c r="C1025" s="116">
        <v>935.98</v>
      </c>
      <c r="D1025" s="116">
        <v>931.8</v>
      </c>
      <c r="E1025" s="116">
        <v>948.09</v>
      </c>
      <c r="F1025" s="116">
        <v>4679.8999999999996</v>
      </c>
      <c r="G1025">
        <v>33709</v>
      </c>
      <c r="H1025" s="116"/>
      <c r="I1025" s="116"/>
      <c r="L1025" s="170">
        <v>45614</v>
      </c>
      <c r="M1025" s="116">
        <v>899.05</v>
      </c>
      <c r="N1025" s="116">
        <v>923.6</v>
      </c>
      <c r="O1025" s="116">
        <v>890.2</v>
      </c>
      <c r="P1025" s="116">
        <v>923.6</v>
      </c>
      <c r="Q1025" s="116">
        <v>4495.25</v>
      </c>
      <c r="R1025">
        <v>191325</v>
      </c>
    </row>
    <row r="1026" spans="1:18" x14ac:dyDescent="0.25">
      <c r="A1026" s="170">
        <v>45609</v>
      </c>
      <c r="B1026" s="116">
        <v>940.67</v>
      </c>
      <c r="C1026" s="116">
        <v>898.09</v>
      </c>
      <c r="D1026" s="116">
        <v>894.2</v>
      </c>
      <c r="E1026" s="116">
        <v>935.98</v>
      </c>
      <c r="F1026" s="116">
        <v>4490.45</v>
      </c>
      <c r="G1026">
        <v>16055</v>
      </c>
      <c r="H1026" s="116"/>
      <c r="I1026" s="116"/>
      <c r="L1026" s="170">
        <v>45615</v>
      </c>
      <c r="M1026" s="116">
        <v>907.62</v>
      </c>
      <c r="N1026" s="116">
        <v>927</v>
      </c>
      <c r="O1026" s="116">
        <v>902.12</v>
      </c>
      <c r="P1026" s="116">
        <v>904.6</v>
      </c>
      <c r="Q1026" s="116">
        <v>4538.1000000000004</v>
      </c>
      <c r="R1026">
        <v>214155</v>
      </c>
    </row>
    <row r="1027" spans="1:18" x14ac:dyDescent="0.25">
      <c r="A1027" s="170">
        <v>45610</v>
      </c>
      <c r="B1027" s="116">
        <v>929.2</v>
      </c>
      <c r="C1027" s="116">
        <v>916.62</v>
      </c>
      <c r="D1027" s="116">
        <v>898.49</v>
      </c>
      <c r="E1027" s="116">
        <v>898.49</v>
      </c>
      <c r="F1027" s="116">
        <v>4583.1000000000004</v>
      </c>
      <c r="G1027">
        <v>8460</v>
      </c>
      <c r="H1027" s="116"/>
      <c r="I1027" s="116"/>
      <c r="L1027" s="170">
        <v>45617</v>
      </c>
      <c r="M1027" s="116">
        <v>906.57</v>
      </c>
      <c r="N1027" s="116">
        <v>913.94</v>
      </c>
      <c r="O1027" s="116">
        <v>891.2</v>
      </c>
      <c r="P1027" s="116">
        <v>902</v>
      </c>
      <c r="Q1027" s="116">
        <v>4532.8500000000004</v>
      </c>
      <c r="R1027">
        <v>169796</v>
      </c>
    </row>
    <row r="1028" spans="1:18" x14ac:dyDescent="0.25">
      <c r="A1028" s="170">
        <v>45614</v>
      </c>
      <c r="B1028" s="116">
        <v>921.37</v>
      </c>
      <c r="C1028" s="116">
        <v>899.19</v>
      </c>
      <c r="D1028" s="116">
        <v>890.4</v>
      </c>
      <c r="E1028" s="116">
        <v>918.04</v>
      </c>
      <c r="F1028" s="116">
        <v>4495.95</v>
      </c>
      <c r="G1028">
        <v>19478</v>
      </c>
      <c r="H1028" s="116"/>
      <c r="I1028" s="116"/>
      <c r="L1028" s="170">
        <v>45618</v>
      </c>
      <c r="M1028" s="116">
        <v>889.87</v>
      </c>
      <c r="N1028" s="116">
        <v>914.78</v>
      </c>
      <c r="O1028" s="116">
        <v>884</v>
      </c>
      <c r="P1028" s="116">
        <v>910</v>
      </c>
      <c r="Q1028" s="116">
        <v>4449.3500000000004</v>
      </c>
      <c r="R1028">
        <v>290935</v>
      </c>
    </row>
    <row r="1029" spans="1:18" x14ac:dyDescent="0.25">
      <c r="A1029" s="170">
        <v>45615</v>
      </c>
      <c r="B1029" s="116">
        <v>926.89</v>
      </c>
      <c r="C1029" s="116">
        <v>907.22</v>
      </c>
      <c r="D1029" s="116">
        <v>902.35</v>
      </c>
      <c r="E1029" s="116">
        <v>906.59</v>
      </c>
      <c r="F1029" s="116">
        <v>4536.1000000000004</v>
      </c>
      <c r="G1029">
        <v>17007</v>
      </c>
      <c r="H1029" s="116"/>
      <c r="I1029" s="116"/>
      <c r="L1029" s="170">
        <v>45621</v>
      </c>
      <c r="M1029" s="116">
        <v>908.99</v>
      </c>
      <c r="N1029" s="116">
        <v>915.99</v>
      </c>
      <c r="O1029" s="116">
        <v>893.03</v>
      </c>
      <c r="P1029" s="116">
        <v>902</v>
      </c>
      <c r="Q1029" s="116">
        <v>4544.95</v>
      </c>
      <c r="R1029">
        <v>214213</v>
      </c>
    </row>
    <row r="1030" spans="1:18" x14ac:dyDescent="0.25">
      <c r="A1030" s="170">
        <v>45617</v>
      </c>
      <c r="B1030" s="116">
        <v>913.08</v>
      </c>
      <c r="C1030" s="116">
        <v>906.34</v>
      </c>
      <c r="D1030" s="116">
        <v>893.12</v>
      </c>
      <c r="E1030" s="116">
        <v>910.33</v>
      </c>
      <c r="F1030" s="116">
        <v>4531.7</v>
      </c>
      <c r="G1030">
        <v>7766</v>
      </c>
      <c r="H1030" s="116"/>
      <c r="I1030" s="116"/>
      <c r="L1030" s="170">
        <v>45622</v>
      </c>
      <c r="M1030" s="116">
        <v>950.32</v>
      </c>
      <c r="N1030" s="116">
        <v>956.34</v>
      </c>
      <c r="O1030" s="116">
        <v>913.79</v>
      </c>
      <c r="P1030" s="116">
        <v>913.8</v>
      </c>
      <c r="Q1030" s="116">
        <v>4751.6000000000004</v>
      </c>
      <c r="R1030">
        <v>411779</v>
      </c>
    </row>
    <row r="1031" spans="1:18" x14ac:dyDescent="0.25">
      <c r="A1031" s="170">
        <v>45618</v>
      </c>
      <c r="B1031" s="116">
        <v>915.67</v>
      </c>
      <c r="C1031" s="116">
        <v>890.16</v>
      </c>
      <c r="D1031" s="116">
        <v>884.01</v>
      </c>
      <c r="E1031" s="116">
        <v>914</v>
      </c>
      <c r="F1031" s="116">
        <v>4450.8</v>
      </c>
      <c r="G1031">
        <v>8944</v>
      </c>
      <c r="H1031" s="116"/>
      <c r="I1031" s="116"/>
      <c r="L1031" s="170">
        <v>45623</v>
      </c>
      <c r="M1031" s="116">
        <v>970.01</v>
      </c>
      <c r="N1031" s="116">
        <v>999.75</v>
      </c>
      <c r="O1031" s="116">
        <v>945.11</v>
      </c>
      <c r="P1031" s="116">
        <v>954</v>
      </c>
      <c r="Q1031" s="116">
        <v>4850.05</v>
      </c>
      <c r="R1031">
        <v>720132</v>
      </c>
    </row>
    <row r="1032" spans="1:18" x14ac:dyDescent="0.25">
      <c r="A1032" s="170">
        <v>45621</v>
      </c>
      <c r="B1032" s="116">
        <v>915.4</v>
      </c>
      <c r="C1032" s="116">
        <v>908.68</v>
      </c>
      <c r="D1032" s="116">
        <v>894</v>
      </c>
      <c r="E1032" s="116">
        <v>907.67</v>
      </c>
      <c r="F1032" s="116">
        <v>4543.3999999999996</v>
      </c>
      <c r="G1032">
        <v>25541</v>
      </c>
      <c r="H1032" s="116"/>
      <c r="I1032" s="116"/>
      <c r="L1032" s="170">
        <v>45624</v>
      </c>
      <c r="M1032" s="116">
        <v>978.67</v>
      </c>
      <c r="N1032" s="116">
        <v>1002.56</v>
      </c>
      <c r="O1032" s="116">
        <v>970.4</v>
      </c>
      <c r="P1032" s="116">
        <v>974.19</v>
      </c>
      <c r="Q1032" s="116">
        <v>4893.3500000000004</v>
      </c>
      <c r="R1032">
        <v>499360</v>
      </c>
    </row>
    <row r="1033" spans="1:18" x14ac:dyDescent="0.25">
      <c r="A1033" s="170">
        <v>45622</v>
      </c>
      <c r="B1033" s="116">
        <v>956.19</v>
      </c>
      <c r="C1033" s="116">
        <v>949.86</v>
      </c>
      <c r="D1033" s="116">
        <v>910</v>
      </c>
      <c r="E1033" s="116">
        <v>910</v>
      </c>
      <c r="F1033" s="116">
        <v>4749.3</v>
      </c>
      <c r="G1033">
        <v>14384</v>
      </c>
      <c r="H1033" s="116"/>
      <c r="I1033" s="116"/>
      <c r="L1033" s="170">
        <v>45625</v>
      </c>
      <c r="M1033" s="116">
        <v>985.68</v>
      </c>
      <c r="N1033" s="116">
        <v>1019.76</v>
      </c>
      <c r="O1033" s="116">
        <v>981.2</v>
      </c>
      <c r="P1033" s="116">
        <v>983.18</v>
      </c>
      <c r="Q1033" s="116">
        <v>4928.3999999999996</v>
      </c>
      <c r="R1033">
        <v>820307</v>
      </c>
    </row>
    <row r="1034" spans="1:18" x14ac:dyDescent="0.25">
      <c r="A1034" s="170">
        <v>45623</v>
      </c>
      <c r="B1034" s="116">
        <v>999.39</v>
      </c>
      <c r="C1034" s="116">
        <v>971.28</v>
      </c>
      <c r="D1034" s="116">
        <v>946</v>
      </c>
      <c r="E1034" s="116">
        <v>950.52</v>
      </c>
      <c r="F1034" s="116">
        <v>4856.3999999999996</v>
      </c>
      <c r="G1034">
        <v>27359</v>
      </c>
      <c r="H1034" s="116"/>
      <c r="I1034" s="116"/>
      <c r="L1034" s="170">
        <v>45628</v>
      </c>
      <c r="M1034" s="116">
        <v>1020.46</v>
      </c>
      <c r="N1034" s="116">
        <v>1029</v>
      </c>
      <c r="O1034" s="116">
        <v>994</v>
      </c>
      <c r="P1034" s="116">
        <v>995</v>
      </c>
      <c r="Q1034" s="116">
        <v>5102.3</v>
      </c>
      <c r="R1034">
        <v>914303</v>
      </c>
    </row>
    <row r="1035" spans="1:18" x14ac:dyDescent="0.25">
      <c r="A1035" s="170">
        <v>45624</v>
      </c>
      <c r="B1035" s="116">
        <v>1001.6</v>
      </c>
      <c r="C1035" s="116">
        <v>979.29</v>
      </c>
      <c r="D1035" s="116">
        <v>970.41</v>
      </c>
      <c r="E1035" s="116">
        <v>982.36</v>
      </c>
      <c r="F1035" s="116">
        <v>4896.45</v>
      </c>
      <c r="G1035">
        <v>28748</v>
      </c>
      <c r="H1035" s="116"/>
      <c r="I1035" s="116"/>
      <c r="L1035" s="170">
        <v>45629</v>
      </c>
      <c r="M1035" s="116">
        <v>1024.04</v>
      </c>
      <c r="N1035" s="116">
        <v>1028.98</v>
      </c>
      <c r="O1035" s="116">
        <v>1001.4</v>
      </c>
      <c r="P1035" s="116">
        <v>1024</v>
      </c>
      <c r="Q1035" s="116">
        <v>5120.2</v>
      </c>
      <c r="R1035">
        <v>431127</v>
      </c>
    </row>
    <row r="1036" spans="1:18" x14ac:dyDescent="0.25">
      <c r="A1036" s="170">
        <v>45625</v>
      </c>
      <c r="B1036" s="116">
        <v>1019.13</v>
      </c>
      <c r="C1036" s="116">
        <v>985.06</v>
      </c>
      <c r="D1036" s="116">
        <v>981.21</v>
      </c>
      <c r="E1036" s="116">
        <v>987.62</v>
      </c>
      <c r="F1036" s="116">
        <v>4925.3</v>
      </c>
      <c r="G1036">
        <v>54397</v>
      </c>
      <c r="H1036" s="116"/>
      <c r="I1036" s="116"/>
      <c r="L1036" s="170">
        <v>45630</v>
      </c>
      <c r="M1036" s="116">
        <v>1036.3499999999999</v>
      </c>
      <c r="N1036" s="116">
        <v>1040.9100000000001</v>
      </c>
      <c r="O1036" s="116">
        <v>1020.82</v>
      </c>
      <c r="P1036" s="116">
        <v>1023</v>
      </c>
      <c r="Q1036" s="116">
        <v>5181.75</v>
      </c>
      <c r="R1036">
        <v>397131</v>
      </c>
    </row>
    <row r="1037" spans="1:18" x14ac:dyDescent="0.25">
      <c r="A1037" s="170">
        <v>45628</v>
      </c>
      <c r="B1037" s="116">
        <v>1028.8</v>
      </c>
      <c r="C1037" s="116">
        <v>1021.22</v>
      </c>
      <c r="D1037" s="116">
        <v>991.01</v>
      </c>
      <c r="E1037" s="116">
        <v>991.01</v>
      </c>
      <c r="F1037" s="116">
        <v>5106.1000000000004</v>
      </c>
      <c r="G1037">
        <v>26025</v>
      </c>
      <c r="H1037" s="116"/>
      <c r="I1037" s="116"/>
      <c r="L1037" s="170">
        <v>45631</v>
      </c>
      <c r="M1037" s="116">
        <v>1048.83</v>
      </c>
      <c r="N1037" s="116">
        <v>1072.0999999999999</v>
      </c>
      <c r="O1037" s="116">
        <v>1028.01</v>
      </c>
      <c r="P1037" s="116">
        <v>1039.8</v>
      </c>
      <c r="Q1037" s="116">
        <v>5244.15</v>
      </c>
      <c r="R1037">
        <v>994656</v>
      </c>
    </row>
    <row r="1038" spans="1:18" x14ac:dyDescent="0.25">
      <c r="A1038" s="170">
        <v>45629</v>
      </c>
      <c r="B1038" s="116">
        <v>1028.2</v>
      </c>
      <c r="C1038" s="116">
        <v>1024.19</v>
      </c>
      <c r="D1038" s="116">
        <v>1001.23</v>
      </c>
      <c r="E1038" s="116">
        <v>1027.99</v>
      </c>
      <c r="F1038" s="116">
        <v>5120.95</v>
      </c>
      <c r="G1038">
        <v>21163</v>
      </c>
      <c r="H1038" s="116"/>
      <c r="I1038" s="116"/>
      <c r="L1038" s="170">
        <v>45632</v>
      </c>
      <c r="M1038" s="116">
        <v>1013.92</v>
      </c>
      <c r="N1038" s="116">
        <v>1054.45</v>
      </c>
      <c r="O1038" s="116">
        <v>1011.46</v>
      </c>
      <c r="P1038" s="116">
        <v>1051.27</v>
      </c>
      <c r="Q1038" s="116">
        <v>5069.6000000000004</v>
      </c>
      <c r="R1038">
        <v>668847</v>
      </c>
    </row>
    <row r="1039" spans="1:18" x14ac:dyDescent="0.25">
      <c r="A1039" s="170">
        <v>45630</v>
      </c>
      <c r="B1039" s="116">
        <v>1040.4000000000001</v>
      </c>
      <c r="C1039" s="116">
        <v>1036.55</v>
      </c>
      <c r="D1039" s="116">
        <v>1020.36</v>
      </c>
      <c r="E1039" s="116">
        <v>1033.99</v>
      </c>
      <c r="F1039" s="116">
        <v>5182.75</v>
      </c>
      <c r="G1039">
        <v>21816</v>
      </c>
      <c r="H1039" s="116"/>
      <c r="I1039" s="116"/>
      <c r="L1039" s="170">
        <v>45635</v>
      </c>
      <c r="M1039" s="116">
        <v>1053.9000000000001</v>
      </c>
      <c r="N1039" s="116">
        <v>1063</v>
      </c>
      <c r="O1039" s="116">
        <v>1004.41</v>
      </c>
      <c r="P1039" s="116">
        <v>1013.92</v>
      </c>
      <c r="Q1039" s="116">
        <v>5269.5</v>
      </c>
      <c r="R1039">
        <v>746803</v>
      </c>
    </row>
    <row r="1040" spans="1:18" x14ac:dyDescent="0.25">
      <c r="A1040" s="170">
        <v>45631</v>
      </c>
      <c r="B1040" s="116">
        <v>1072</v>
      </c>
      <c r="C1040" s="116">
        <v>1048.08</v>
      </c>
      <c r="D1040" s="116">
        <v>1027.68</v>
      </c>
      <c r="E1040" s="116">
        <v>1040</v>
      </c>
      <c r="F1040" s="116">
        <v>5240.3999999999996</v>
      </c>
      <c r="G1040">
        <v>48383</v>
      </c>
      <c r="H1040" s="116"/>
      <c r="I1040" s="116"/>
      <c r="L1040" s="170">
        <v>45636</v>
      </c>
      <c r="M1040" s="116">
        <v>1042.23</v>
      </c>
      <c r="N1040" s="116">
        <v>1057.8</v>
      </c>
      <c r="O1040" s="116">
        <v>1032.8699999999999</v>
      </c>
      <c r="P1040" s="116">
        <v>1056.8</v>
      </c>
      <c r="Q1040" s="116">
        <v>5211.1499999999996</v>
      </c>
      <c r="R1040">
        <v>338165</v>
      </c>
    </row>
    <row r="1041" spans="1:18" x14ac:dyDescent="0.25">
      <c r="A1041" s="170">
        <v>45632</v>
      </c>
      <c r="B1041" s="116">
        <v>1055.1099999999999</v>
      </c>
      <c r="C1041" s="116">
        <v>1013.95</v>
      </c>
      <c r="D1041" s="116">
        <v>1012</v>
      </c>
      <c r="E1041" s="116">
        <v>1047.3399999999999</v>
      </c>
      <c r="F1041" s="116">
        <v>5069.75</v>
      </c>
      <c r="G1041">
        <v>17982</v>
      </c>
      <c r="H1041" s="116"/>
      <c r="I1041" s="116"/>
      <c r="L1041" s="170">
        <v>45637</v>
      </c>
      <c r="M1041" s="116">
        <v>1044.4100000000001</v>
      </c>
      <c r="N1041" s="116">
        <v>1060.2</v>
      </c>
      <c r="O1041" s="116">
        <v>1040.2</v>
      </c>
      <c r="P1041" s="116">
        <v>1041.82</v>
      </c>
      <c r="Q1041" s="116">
        <v>5222.05</v>
      </c>
      <c r="R1041">
        <v>365295</v>
      </c>
    </row>
    <row r="1042" spans="1:18" x14ac:dyDescent="0.25">
      <c r="A1042" s="170">
        <v>45635</v>
      </c>
      <c r="B1042" s="116">
        <v>1062</v>
      </c>
      <c r="C1042" s="116">
        <v>1054</v>
      </c>
      <c r="D1042" s="116">
        <v>1004.09</v>
      </c>
      <c r="E1042" s="116">
        <v>1012.02</v>
      </c>
      <c r="F1042" s="116">
        <v>5270</v>
      </c>
      <c r="G1042">
        <v>46064</v>
      </c>
      <c r="H1042" s="116"/>
      <c r="I1042" s="116"/>
      <c r="L1042" s="170">
        <v>45638</v>
      </c>
      <c r="M1042" s="116">
        <v>1055.24</v>
      </c>
      <c r="N1042" s="116">
        <v>1073.5</v>
      </c>
      <c r="O1042" s="116">
        <v>1047.74</v>
      </c>
      <c r="P1042" s="116">
        <v>1050</v>
      </c>
      <c r="Q1042" s="116">
        <v>5276.2</v>
      </c>
      <c r="R1042">
        <v>617394</v>
      </c>
    </row>
    <row r="1043" spans="1:18" x14ac:dyDescent="0.25">
      <c r="A1043" s="170">
        <v>45636</v>
      </c>
      <c r="B1043" s="116">
        <v>1057.1099999999999</v>
      </c>
      <c r="C1043" s="116">
        <v>1043.5</v>
      </c>
      <c r="D1043" s="116">
        <v>1031.98</v>
      </c>
      <c r="E1043" s="116">
        <v>1054.01</v>
      </c>
      <c r="F1043" s="116">
        <v>5217.5</v>
      </c>
      <c r="G1043">
        <v>34821</v>
      </c>
      <c r="H1043" s="116"/>
      <c r="I1043" s="116"/>
      <c r="L1043" s="170">
        <v>45639</v>
      </c>
      <c r="M1043" s="116">
        <v>1037.3699999999999</v>
      </c>
      <c r="N1043" s="116">
        <v>1057.2</v>
      </c>
      <c r="O1043" s="116">
        <v>1026.5999999999999</v>
      </c>
      <c r="P1043" s="116">
        <v>1055.24</v>
      </c>
      <c r="Q1043" s="116">
        <v>5186.8500000000004</v>
      </c>
      <c r="R1043">
        <v>369055</v>
      </c>
    </row>
    <row r="1044" spans="1:18" x14ac:dyDescent="0.25">
      <c r="A1044" s="170">
        <v>45637</v>
      </c>
      <c r="B1044" s="116">
        <v>1060</v>
      </c>
      <c r="C1044" s="116">
        <v>1044.04</v>
      </c>
      <c r="D1044" s="116">
        <v>1040.0899999999999</v>
      </c>
      <c r="E1044" s="116">
        <v>1042.28</v>
      </c>
      <c r="F1044" s="116">
        <v>5220.2</v>
      </c>
      <c r="G1044">
        <v>33361</v>
      </c>
      <c r="H1044" s="116"/>
      <c r="I1044" s="116"/>
      <c r="L1044" s="170">
        <v>45642</v>
      </c>
      <c r="M1044" s="116">
        <v>1042.99</v>
      </c>
      <c r="N1044" s="116">
        <v>1045.5999999999999</v>
      </c>
      <c r="O1044" s="116">
        <v>1028.2</v>
      </c>
      <c r="P1044" s="116">
        <v>1038.8699999999999</v>
      </c>
      <c r="Q1044" s="116">
        <v>5214.95</v>
      </c>
      <c r="R1044">
        <v>216485</v>
      </c>
    </row>
    <row r="1045" spans="1:18" x14ac:dyDescent="0.25">
      <c r="A1045" s="170">
        <v>45638</v>
      </c>
      <c r="B1045" s="116">
        <v>1073.49</v>
      </c>
      <c r="C1045" s="116">
        <v>1054.83</v>
      </c>
      <c r="D1045" s="116">
        <v>1049.57</v>
      </c>
      <c r="E1045" s="116">
        <v>1050.4000000000001</v>
      </c>
      <c r="F1045" s="116">
        <v>5274.15</v>
      </c>
      <c r="G1045">
        <v>22310</v>
      </c>
      <c r="H1045" s="116"/>
      <c r="I1045" s="116"/>
      <c r="L1045" s="170">
        <v>45643</v>
      </c>
      <c r="M1045" s="116">
        <v>1027.1300000000001</v>
      </c>
      <c r="N1045" s="116">
        <v>1049.27</v>
      </c>
      <c r="O1045" s="116">
        <v>1022</v>
      </c>
      <c r="P1045" s="116">
        <v>1038</v>
      </c>
      <c r="Q1045" s="116">
        <v>5135.6499999999996</v>
      </c>
      <c r="R1045">
        <v>317281</v>
      </c>
    </row>
    <row r="1046" spans="1:18" x14ac:dyDescent="0.25">
      <c r="A1046" s="170">
        <v>45639</v>
      </c>
      <c r="B1046" s="116">
        <v>1056.8599999999999</v>
      </c>
      <c r="C1046" s="116">
        <v>1037.6400000000001</v>
      </c>
      <c r="D1046" s="116">
        <v>1027</v>
      </c>
      <c r="E1046" s="116">
        <v>1050.81</v>
      </c>
      <c r="F1046" s="116">
        <v>5188.2</v>
      </c>
      <c r="G1046">
        <v>11775</v>
      </c>
      <c r="H1046" s="116"/>
      <c r="I1046" s="116"/>
      <c r="L1046" s="170">
        <v>45644</v>
      </c>
      <c r="M1046" s="116">
        <v>1026.24</v>
      </c>
      <c r="N1046" s="116">
        <v>1033.49</v>
      </c>
      <c r="O1046" s="116">
        <v>1014.2</v>
      </c>
      <c r="P1046" s="116">
        <v>1028.8</v>
      </c>
      <c r="Q1046" s="116">
        <v>5131.2</v>
      </c>
      <c r="R1046">
        <v>199759</v>
      </c>
    </row>
    <row r="1047" spans="1:18" x14ac:dyDescent="0.25">
      <c r="A1047" s="170">
        <v>45642</v>
      </c>
      <c r="B1047" s="116">
        <v>1045.94</v>
      </c>
      <c r="C1047" s="116">
        <v>1042.3</v>
      </c>
      <c r="D1047" s="116">
        <v>1028.18</v>
      </c>
      <c r="E1047" s="116">
        <v>1037.68</v>
      </c>
      <c r="F1047" s="116">
        <v>5211.5</v>
      </c>
      <c r="G1047">
        <v>13884</v>
      </c>
      <c r="H1047" s="116"/>
      <c r="I1047" s="116"/>
      <c r="L1047" s="170">
        <v>45645</v>
      </c>
      <c r="M1047" s="116">
        <v>1022.69</v>
      </c>
      <c r="N1047" s="116">
        <v>1029.7</v>
      </c>
      <c r="O1047" s="116">
        <v>990.2</v>
      </c>
      <c r="P1047" s="116">
        <v>994.49</v>
      </c>
      <c r="Q1047" s="116">
        <v>5113.45</v>
      </c>
      <c r="R1047">
        <v>363099</v>
      </c>
    </row>
    <row r="1048" spans="1:18" x14ac:dyDescent="0.25">
      <c r="A1048" s="170">
        <v>45643</v>
      </c>
      <c r="B1048" s="116">
        <v>1048.5</v>
      </c>
      <c r="C1048" s="116">
        <v>1027.1300000000001</v>
      </c>
      <c r="D1048" s="116">
        <v>1023.13</v>
      </c>
      <c r="E1048" s="116">
        <v>1037.6300000000001</v>
      </c>
      <c r="F1048" s="116">
        <v>5135.6499999999996</v>
      </c>
      <c r="G1048">
        <v>8338</v>
      </c>
      <c r="H1048" s="116"/>
      <c r="I1048" s="116"/>
      <c r="L1048" s="170">
        <v>45646</v>
      </c>
      <c r="M1048" s="116">
        <v>990.2</v>
      </c>
      <c r="N1048" s="116">
        <v>1037.17</v>
      </c>
      <c r="O1048" s="116">
        <v>986.8</v>
      </c>
      <c r="P1048" s="116">
        <v>1028.98</v>
      </c>
      <c r="Q1048" s="116">
        <v>4951</v>
      </c>
      <c r="R1048">
        <v>303247</v>
      </c>
    </row>
    <row r="1049" spans="1:18" x14ac:dyDescent="0.25">
      <c r="A1049" s="170">
        <v>45644</v>
      </c>
      <c r="B1049" s="116">
        <v>1033.1300000000001</v>
      </c>
      <c r="C1049" s="116">
        <v>1025.04</v>
      </c>
      <c r="D1049" s="116">
        <v>1014.21</v>
      </c>
      <c r="E1049" s="116">
        <v>1026.01</v>
      </c>
      <c r="F1049" s="116">
        <v>5125.2</v>
      </c>
      <c r="G1049">
        <v>18035</v>
      </c>
      <c r="H1049" s="116"/>
      <c r="I1049" s="116"/>
      <c r="L1049" s="170">
        <v>45649</v>
      </c>
      <c r="M1049" s="116">
        <v>980.6</v>
      </c>
      <c r="N1049" s="116">
        <v>1003.49</v>
      </c>
      <c r="O1049" s="116">
        <v>968</v>
      </c>
      <c r="P1049" s="116">
        <v>992</v>
      </c>
      <c r="Q1049" s="116">
        <v>4903</v>
      </c>
      <c r="R1049">
        <v>261277</v>
      </c>
    </row>
    <row r="1050" spans="1:18" x14ac:dyDescent="0.25">
      <c r="A1050" s="170">
        <v>45645</v>
      </c>
      <c r="B1050" s="116">
        <v>1029.5999999999999</v>
      </c>
      <c r="C1050" s="116">
        <v>1022.15</v>
      </c>
      <c r="D1050" s="116">
        <v>988.28</v>
      </c>
      <c r="E1050" s="116">
        <v>988.28</v>
      </c>
      <c r="F1050" s="116">
        <v>5110.75</v>
      </c>
      <c r="G1050">
        <v>10956</v>
      </c>
      <c r="H1050" s="116"/>
      <c r="I1050" s="116"/>
      <c r="L1050" s="170">
        <v>45650</v>
      </c>
      <c r="M1050" s="116">
        <v>985.74</v>
      </c>
      <c r="N1050" s="116">
        <v>987.45</v>
      </c>
      <c r="O1050" s="116">
        <v>969.4</v>
      </c>
      <c r="P1050" s="116">
        <v>978</v>
      </c>
      <c r="Q1050" s="116">
        <v>4928.7</v>
      </c>
      <c r="R1050">
        <v>153587</v>
      </c>
    </row>
    <row r="1051" spans="1:18" x14ac:dyDescent="0.25">
      <c r="A1051" s="170">
        <v>45646</v>
      </c>
      <c r="B1051" s="116">
        <v>1035.32</v>
      </c>
      <c r="C1051" s="116">
        <v>990.05</v>
      </c>
      <c r="D1051" s="116">
        <v>986</v>
      </c>
      <c r="E1051" s="116">
        <v>1031.51</v>
      </c>
      <c r="F1051" s="116">
        <v>4950.25</v>
      </c>
      <c r="G1051">
        <v>8444</v>
      </c>
      <c r="H1051" s="116"/>
      <c r="I1051" s="116"/>
      <c r="L1051" s="170">
        <v>45652</v>
      </c>
      <c r="M1051" s="116">
        <v>992.8</v>
      </c>
      <c r="N1051" s="116">
        <v>999.4</v>
      </c>
      <c r="O1051" s="116">
        <v>974</v>
      </c>
      <c r="P1051" s="116">
        <v>988</v>
      </c>
      <c r="Q1051" s="116">
        <v>4964</v>
      </c>
      <c r="R1051">
        <v>145046</v>
      </c>
    </row>
    <row r="1052" spans="1:18" x14ac:dyDescent="0.25">
      <c r="A1052" s="170">
        <v>45649</v>
      </c>
      <c r="B1052" s="116">
        <v>1002.86</v>
      </c>
      <c r="C1052" s="116">
        <v>980.85</v>
      </c>
      <c r="D1052" s="116">
        <v>968.34</v>
      </c>
      <c r="E1052" s="116">
        <v>994.83</v>
      </c>
      <c r="F1052" s="116">
        <v>4904.25</v>
      </c>
      <c r="G1052">
        <v>17761</v>
      </c>
      <c r="H1052" s="116"/>
      <c r="I1052" s="116"/>
      <c r="L1052" s="170">
        <v>45653</v>
      </c>
      <c r="M1052" s="116">
        <v>1008.35</v>
      </c>
      <c r="N1052" s="116">
        <v>1019.2</v>
      </c>
      <c r="O1052" s="116">
        <v>994.2</v>
      </c>
      <c r="P1052" s="116">
        <v>1001.6</v>
      </c>
      <c r="Q1052" s="116">
        <v>5041.75</v>
      </c>
      <c r="R1052">
        <v>271323</v>
      </c>
    </row>
    <row r="1053" spans="1:18" x14ac:dyDescent="0.25">
      <c r="A1053" s="170">
        <v>45650</v>
      </c>
      <c r="B1053" s="116">
        <v>986.8</v>
      </c>
      <c r="C1053" s="116">
        <v>984.94</v>
      </c>
      <c r="D1053" s="116">
        <v>969</v>
      </c>
      <c r="E1053" s="116">
        <v>979.18</v>
      </c>
      <c r="F1053" s="116">
        <v>4924.7</v>
      </c>
      <c r="G1053">
        <v>10280</v>
      </c>
      <c r="H1053" s="116"/>
      <c r="I1053" s="116"/>
      <c r="L1053" s="170">
        <v>45656</v>
      </c>
      <c r="M1053" s="116">
        <v>1014.44</v>
      </c>
      <c r="N1053" s="116">
        <v>1022.2</v>
      </c>
      <c r="O1053" s="116">
        <v>995.2</v>
      </c>
      <c r="P1053" s="116">
        <v>1003.23</v>
      </c>
      <c r="Q1053" s="116">
        <v>5072.2</v>
      </c>
      <c r="R1053">
        <v>432216</v>
      </c>
    </row>
    <row r="1054" spans="1:18" x14ac:dyDescent="0.25">
      <c r="A1054" s="170">
        <v>45652</v>
      </c>
      <c r="B1054" s="116">
        <v>998.99</v>
      </c>
      <c r="C1054" s="116">
        <v>989.86</v>
      </c>
      <c r="D1054" s="116">
        <v>974.4</v>
      </c>
      <c r="E1054" s="116">
        <v>986.01</v>
      </c>
      <c r="F1054" s="116">
        <v>4949.3</v>
      </c>
      <c r="G1054">
        <v>10089</v>
      </c>
      <c r="H1054" s="116"/>
      <c r="I1054" s="116"/>
      <c r="L1054" s="170">
        <v>45657</v>
      </c>
      <c r="M1054" s="116">
        <v>1015.08</v>
      </c>
      <c r="N1054" s="116">
        <v>1019.98</v>
      </c>
      <c r="O1054" s="116">
        <v>972.72</v>
      </c>
      <c r="P1054" s="116">
        <v>1013.39</v>
      </c>
      <c r="Q1054" s="116">
        <v>5075.3999999999996</v>
      </c>
      <c r="R1054">
        <v>391107</v>
      </c>
    </row>
    <row r="1055" spans="1:18" x14ac:dyDescent="0.25">
      <c r="A1055" s="170">
        <v>45653</v>
      </c>
      <c r="B1055" s="116">
        <v>1019.1</v>
      </c>
      <c r="C1055" s="116">
        <v>1008.17</v>
      </c>
      <c r="D1055" s="116">
        <v>994.77</v>
      </c>
      <c r="E1055" s="116">
        <v>1000.01</v>
      </c>
      <c r="F1055" s="116">
        <v>5040.8500000000004</v>
      </c>
      <c r="G1055">
        <v>5699</v>
      </c>
      <c r="H1055" s="116"/>
      <c r="I1055" s="116"/>
      <c r="L1055" s="170">
        <v>45658</v>
      </c>
      <c r="M1055" s="116">
        <v>1019.75</v>
      </c>
      <c r="N1055" s="116">
        <v>1029.93</v>
      </c>
      <c r="O1055" s="116">
        <v>994.72</v>
      </c>
      <c r="P1055" s="116">
        <v>1002.04</v>
      </c>
      <c r="Q1055" s="116">
        <v>5098.75</v>
      </c>
      <c r="R1055">
        <v>286808</v>
      </c>
    </row>
    <row r="1056" spans="1:18" x14ac:dyDescent="0.25">
      <c r="A1056" s="170">
        <v>45656</v>
      </c>
      <c r="B1056" s="116">
        <v>1021.15</v>
      </c>
      <c r="C1056" s="116">
        <v>1015.47</v>
      </c>
      <c r="D1056" s="116">
        <v>994.88</v>
      </c>
      <c r="E1056" s="116">
        <v>1007.91</v>
      </c>
      <c r="F1056" s="116">
        <v>5077.3500000000004</v>
      </c>
      <c r="G1056">
        <v>6471</v>
      </c>
      <c r="H1056" s="116"/>
      <c r="I1056" s="116"/>
      <c r="L1056" s="170">
        <v>45659</v>
      </c>
      <c r="M1056" s="116">
        <v>1040.6600000000001</v>
      </c>
      <c r="N1056" s="116">
        <v>1043</v>
      </c>
      <c r="O1056" s="116">
        <v>1014.46</v>
      </c>
      <c r="P1056" s="116">
        <v>1027.5899999999999</v>
      </c>
      <c r="Q1056" s="116">
        <v>5203.3</v>
      </c>
      <c r="R1056">
        <v>475615</v>
      </c>
    </row>
    <row r="1057" spans="1:18" x14ac:dyDescent="0.25">
      <c r="A1057" s="170">
        <v>45657</v>
      </c>
      <c r="B1057" s="116">
        <v>1019.6</v>
      </c>
      <c r="C1057" s="116">
        <v>1015.11</v>
      </c>
      <c r="D1057" s="116">
        <v>973.23</v>
      </c>
      <c r="E1057" s="116">
        <v>1010.07</v>
      </c>
      <c r="F1057" s="116">
        <v>5075.55</v>
      </c>
      <c r="G1057">
        <v>34007</v>
      </c>
      <c r="H1057" s="116"/>
      <c r="I1057" s="116"/>
      <c r="L1057" s="170">
        <v>45660</v>
      </c>
      <c r="M1057" s="116">
        <v>1019.21</v>
      </c>
      <c r="N1057" s="116">
        <v>1057.57</v>
      </c>
      <c r="O1057" s="116">
        <v>1017.05</v>
      </c>
      <c r="P1057" s="116">
        <v>1039.6099999999999</v>
      </c>
      <c r="Q1057" s="116">
        <v>5096.05</v>
      </c>
      <c r="R1057">
        <v>398747</v>
      </c>
    </row>
    <row r="1058" spans="1:18" x14ac:dyDescent="0.25">
      <c r="A1058" s="170">
        <v>45658</v>
      </c>
      <c r="B1058" s="116">
        <v>1029.5999999999999</v>
      </c>
      <c r="C1058" s="116">
        <v>1021.57</v>
      </c>
      <c r="D1058" s="116">
        <v>995.22</v>
      </c>
      <c r="E1058" s="116">
        <v>1009</v>
      </c>
      <c r="F1058" s="116">
        <v>5107.8500000000004</v>
      </c>
      <c r="G1058">
        <v>19201</v>
      </c>
      <c r="H1058" s="116"/>
      <c r="I1058" s="116"/>
      <c r="L1058" s="170">
        <v>45663</v>
      </c>
      <c r="M1058" s="116">
        <v>970.52</v>
      </c>
      <c r="N1058" s="116">
        <v>1025.3900000000001</v>
      </c>
      <c r="O1058" s="116">
        <v>967.59</v>
      </c>
      <c r="P1058" s="116">
        <v>1018.49</v>
      </c>
      <c r="Q1058" s="116">
        <v>4852.6000000000004</v>
      </c>
      <c r="R1058">
        <v>334884</v>
      </c>
    </row>
    <row r="1059" spans="1:18" x14ac:dyDescent="0.25">
      <c r="A1059" s="170">
        <v>45659</v>
      </c>
      <c r="B1059" s="116">
        <v>1042.79</v>
      </c>
      <c r="C1059" s="116">
        <v>1040.01</v>
      </c>
      <c r="D1059" s="116">
        <v>1014.34</v>
      </c>
      <c r="E1059" s="116">
        <v>1016.81</v>
      </c>
      <c r="F1059" s="116">
        <v>5200.05</v>
      </c>
      <c r="G1059">
        <v>21807</v>
      </c>
      <c r="H1059" s="116"/>
      <c r="I1059" s="116"/>
      <c r="L1059" s="170">
        <v>45664</v>
      </c>
      <c r="M1059" s="116">
        <v>975.76</v>
      </c>
      <c r="N1059" s="116">
        <v>993.8</v>
      </c>
      <c r="O1059" s="116">
        <v>968.08</v>
      </c>
      <c r="P1059" s="116">
        <v>973.6</v>
      </c>
      <c r="Q1059" s="116">
        <v>4878.8</v>
      </c>
      <c r="R1059">
        <v>244811</v>
      </c>
    </row>
    <row r="1060" spans="1:18" x14ac:dyDescent="0.25">
      <c r="A1060" s="170">
        <v>45660</v>
      </c>
      <c r="B1060" s="116">
        <v>1057.5999999999999</v>
      </c>
      <c r="C1060" s="116">
        <v>1019.3</v>
      </c>
      <c r="D1060" s="116">
        <v>1017</v>
      </c>
      <c r="E1060" s="116">
        <v>1043.97</v>
      </c>
      <c r="F1060" s="116">
        <v>5096.5</v>
      </c>
      <c r="G1060">
        <v>10487</v>
      </c>
      <c r="H1060" s="116"/>
      <c r="I1060" s="116"/>
      <c r="L1060" s="170">
        <v>45665</v>
      </c>
      <c r="M1060" s="116">
        <v>941.59</v>
      </c>
      <c r="N1060" s="116">
        <v>985.85</v>
      </c>
      <c r="O1060" s="116">
        <v>940</v>
      </c>
      <c r="P1060" s="116">
        <v>979.98</v>
      </c>
      <c r="Q1060" s="116">
        <v>4707.95</v>
      </c>
      <c r="R1060">
        <v>382806</v>
      </c>
    </row>
    <row r="1061" spans="1:18" x14ac:dyDescent="0.25">
      <c r="A1061" s="170">
        <v>45663</v>
      </c>
      <c r="B1061" s="116">
        <v>1024.68</v>
      </c>
      <c r="C1061" s="116">
        <v>970.5</v>
      </c>
      <c r="D1061" s="116">
        <v>967.3</v>
      </c>
      <c r="E1061" s="116">
        <v>1016.01</v>
      </c>
      <c r="F1061" s="116">
        <v>4852.5</v>
      </c>
      <c r="G1061">
        <v>30953</v>
      </c>
      <c r="H1061" s="116"/>
      <c r="I1061" s="116"/>
      <c r="L1061" s="170">
        <v>45666</v>
      </c>
      <c r="M1061" s="116">
        <v>932.4</v>
      </c>
      <c r="N1061" s="116">
        <v>953</v>
      </c>
      <c r="O1061" s="116">
        <v>930.24</v>
      </c>
      <c r="P1061" s="116">
        <v>941.4</v>
      </c>
      <c r="Q1061" s="116">
        <v>4662</v>
      </c>
      <c r="R1061">
        <v>233968</v>
      </c>
    </row>
    <row r="1062" spans="1:18" x14ac:dyDescent="0.25">
      <c r="A1062" s="170">
        <v>45664</v>
      </c>
      <c r="B1062" s="116">
        <v>993.6</v>
      </c>
      <c r="C1062" s="116">
        <v>976.02</v>
      </c>
      <c r="D1062" s="116">
        <v>969</v>
      </c>
      <c r="E1062" s="116">
        <v>974</v>
      </c>
      <c r="F1062" s="116">
        <v>4880.1000000000004</v>
      </c>
      <c r="G1062">
        <v>7390</v>
      </c>
      <c r="H1062" s="116"/>
      <c r="I1062" s="116"/>
      <c r="L1062" s="170">
        <v>45667</v>
      </c>
      <c r="M1062" s="116">
        <v>904.55</v>
      </c>
      <c r="N1062" s="116">
        <v>939.13</v>
      </c>
      <c r="O1062" s="116">
        <v>900.61</v>
      </c>
      <c r="P1062" s="116">
        <v>932.01</v>
      </c>
      <c r="Q1062" s="116">
        <v>4522.75</v>
      </c>
      <c r="R1062">
        <v>268747</v>
      </c>
    </row>
    <row r="1063" spans="1:18" x14ac:dyDescent="0.25">
      <c r="A1063" s="170">
        <v>45665</v>
      </c>
      <c r="B1063" s="116">
        <v>985</v>
      </c>
      <c r="C1063" s="116">
        <v>941.42</v>
      </c>
      <c r="D1063" s="116">
        <v>939.8</v>
      </c>
      <c r="E1063" s="116">
        <v>978.18</v>
      </c>
      <c r="F1063" s="116">
        <v>4707.1000000000004</v>
      </c>
      <c r="G1063">
        <v>24585</v>
      </c>
      <c r="H1063" s="116"/>
      <c r="I1063" s="116"/>
      <c r="L1063" s="170">
        <v>45670</v>
      </c>
      <c r="M1063" s="116">
        <v>856.37</v>
      </c>
      <c r="N1063" s="116">
        <v>903.89</v>
      </c>
      <c r="O1063" s="116">
        <v>848.4</v>
      </c>
      <c r="P1063" s="116">
        <v>892.8</v>
      </c>
      <c r="Q1063" s="116">
        <v>4281.8500000000004</v>
      </c>
      <c r="R1063">
        <v>452427</v>
      </c>
    </row>
    <row r="1064" spans="1:18" x14ac:dyDescent="0.25">
      <c r="A1064" s="170">
        <v>45666</v>
      </c>
      <c r="B1064" s="116">
        <v>952.98</v>
      </c>
      <c r="C1064" s="116">
        <v>932.45</v>
      </c>
      <c r="D1064" s="116">
        <v>930.09</v>
      </c>
      <c r="E1064" s="116">
        <v>935.89</v>
      </c>
      <c r="F1064" s="116">
        <v>4662.25</v>
      </c>
      <c r="G1064">
        <v>5890</v>
      </c>
      <c r="H1064" s="116"/>
      <c r="I1064" s="116"/>
      <c r="L1064" s="170">
        <v>45671</v>
      </c>
      <c r="M1064" s="116">
        <v>843.92</v>
      </c>
      <c r="N1064" s="116">
        <v>879</v>
      </c>
      <c r="O1064" s="116">
        <v>840.8</v>
      </c>
      <c r="P1064" s="116">
        <v>864</v>
      </c>
      <c r="Q1064" s="116">
        <v>4219.6000000000004</v>
      </c>
      <c r="R1064">
        <v>370586</v>
      </c>
    </row>
    <row r="1065" spans="1:18" x14ac:dyDescent="0.25">
      <c r="A1065" s="170">
        <v>45667</v>
      </c>
      <c r="B1065" s="116">
        <v>940</v>
      </c>
      <c r="C1065" s="116">
        <v>905.51</v>
      </c>
      <c r="D1065" s="116">
        <v>900.2</v>
      </c>
      <c r="E1065" s="116">
        <v>939.88</v>
      </c>
      <c r="F1065" s="116">
        <v>4527.55</v>
      </c>
      <c r="G1065">
        <v>23919</v>
      </c>
      <c r="H1065" s="116"/>
      <c r="I1065" s="116"/>
      <c r="L1065" s="170">
        <v>45672</v>
      </c>
      <c r="M1065" s="116">
        <v>861.08</v>
      </c>
      <c r="N1065" s="116">
        <v>876</v>
      </c>
      <c r="O1065" s="116">
        <v>848.4</v>
      </c>
      <c r="P1065" s="116">
        <v>855.64</v>
      </c>
      <c r="Q1065" s="116">
        <v>4305.3999999999996</v>
      </c>
      <c r="R1065">
        <v>427182</v>
      </c>
    </row>
    <row r="1066" spans="1:18" x14ac:dyDescent="0.25">
      <c r="A1066" s="170">
        <v>45670</v>
      </c>
      <c r="B1066" s="116">
        <v>903</v>
      </c>
      <c r="C1066" s="116">
        <v>855.82</v>
      </c>
      <c r="D1066" s="116">
        <v>848.81</v>
      </c>
      <c r="E1066" s="116">
        <v>890.12</v>
      </c>
      <c r="F1066" s="116">
        <v>4279.1000000000004</v>
      </c>
      <c r="G1066">
        <v>47563</v>
      </c>
      <c r="H1066" s="116"/>
      <c r="I1066" s="116"/>
      <c r="L1066" s="170">
        <v>45673</v>
      </c>
      <c r="M1066" s="116">
        <v>888.83</v>
      </c>
      <c r="N1066" s="116">
        <v>905.8</v>
      </c>
      <c r="O1066" s="116">
        <v>870</v>
      </c>
      <c r="P1066" s="116">
        <v>870</v>
      </c>
      <c r="Q1066" s="116">
        <v>4444.1499999999996</v>
      </c>
      <c r="R1066">
        <v>534221</v>
      </c>
    </row>
    <row r="1067" spans="1:18" x14ac:dyDescent="0.25">
      <c r="A1067" s="170">
        <v>45671</v>
      </c>
      <c r="B1067" s="116">
        <v>880.11</v>
      </c>
      <c r="C1067" s="116">
        <v>844.25</v>
      </c>
      <c r="D1067" s="116">
        <v>841.07</v>
      </c>
      <c r="E1067" s="116">
        <v>856.01</v>
      </c>
      <c r="F1067" s="116">
        <v>4221.25</v>
      </c>
      <c r="G1067">
        <v>13580</v>
      </c>
      <c r="H1067" s="116"/>
      <c r="I1067" s="116"/>
      <c r="L1067" s="170">
        <v>45674</v>
      </c>
      <c r="M1067" s="116">
        <v>883.62</v>
      </c>
      <c r="N1067" s="116">
        <v>902</v>
      </c>
      <c r="O1067" s="116">
        <v>862.77</v>
      </c>
      <c r="P1067" s="116">
        <v>894</v>
      </c>
      <c r="Q1067" s="116">
        <v>4418.1000000000004</v>
      </c>
      <c r="R1067">
        <v>253420</v>
      </c>
    </row>
    <row r="1068" spans="1:18" x14ac:dyDescent="0.25">
      <c r="A1068" s="170">
        <v>45672</v>
      </c>
      <c r="B1068" s="116">
        <v>876.25</v>
      </c>
      <c r="C1068" s="116">
        <v>861.16</v>
      </c>
      <c r="D1068" s="116">
        <v>849.01</v>
      </c>
      <c r="E1068" s="116">
        <v>860.99</v>
      </c>
      <c r="F1068" s="116">
        <v>4305.8</v>
      </c>
      <c r="G1068">
        <v>20847</v>
      </c>
      <c r="H1068" s="116"/>
      <c r="I1068" s="116"/>
      <c r="L1068" s="170">
        <v>45677</v>
      </c>
      <c r="M1068" s="116">
        <v>886.19</v>
      </c>
      <c r="N1068" s="116">
        <v>892</v>
      </c>
      <c r="O1068" s="116">
        <v>875.01</v>
      </c>
      <c r="P1068" s="116">
        <v>884</v>
      </c>
      <c r="Q1068" s="116">
        <v>4430.95</v>
      </c>
      <c r="R1068">
        <v>161291</v>
      </c>
    </row>
    <row r="1069" spans="1:18" x14ac:dyDescent="0.25">
      <c r="A1069" s="170">
        <v>45673</v>
      </c>
      <c r="B1069" s="116">
        <v>905.58</v>
      </c>
      <c r="C1069" s="116">
        <v>889.02</v>
      </c>
      <c r="D1069" s="116">
        <v>871.79</v>
      </c>
      <c r="E1069" s="116">
        <v>871.79</v>
      </c>
      <c r="F1069" s="116">
        <v>4445.1000000000004</v>
      </c>
      <c r="G1069">
        <v>25720</v>
      </c>
      <c r="H1069" s="116"/>
      <c r="I1069" s="116"/>
      <c r="L1069" s="170">
        <v>45678</v>
      </c>
      <c r="M1069" s="116">
        <v>849.61</v>
      </c>
      <c r="N1069" s="116">
        <v>904</v>
      </c>
      <c r="O1069" s="116">
        <v>846</v>
      </c>
      <c r="P1069" s="116">
        <v>899.88</v>
      </c>
      <c r="Q1069" s="116">
        <v>4248.05</v>
      </c>
      <c r="R1069">
        <v>392080</v>
      </c>
    </row>
    <row r="1070" spans="1:18" x14ac:dyDescent="0.25">
      <c r="A1070" s="170">
        <v>45674</v>
      </c>
      <c r="B1070" s="116">
        <v>894.59</v>
      </c>
      <c r="C1070" s="116">
        <v>882.91</v>
      </c>
      <c r="D1070" s="116">
        <v>862.68</v>
      </c>
      <c r="E1070" s="116">
        <v>893.01</v>
      </c>
      <c r="F1070" s="116">
        <v>4414.55</v>
      </c>
      <c r="G1070">
        <v>20293</v>
      </c>
      <c r="H1070" s="116"/>
      <c r="I1070" s="116"/>
      <c r="L1070" s="170">
        <v>45679</v>
      </c>
      <c r="M1070" s="116">
        <v>815.05</v>
      </c>
      <c r="N1070" s="116">
        <v>851.41</v>
      </c>
      <c r="O1070" s="116">
        <v>795.2</v>
      </c>
      <c r="P1070" s="116">
        <v>850</v>
      </c>
      <c r="Q1070" s="116">
        <v>4075.25</v>
      </c>
      <c r="R1070">
        <v>602893</v>
      </c>
    </row>
    <row r="1071" spans="1:18" x14ac:dyDescent="0.25">
      <c r="A1071" s="170">
        <v>45677</v>
      </c>
      <c r="B1071" s="116">
        <v>891.8</v>
      </c>
      <c r="C1071" s="116">
        <v>887.52</v>
      </c>
      <c r="D1071" s="116">
        <v>875.69</v>
      </c>
      <c r="E1071" s="116">
        <v>889.15</v>
      </c>
      <c r="F1071" s="116">
        <v>4437.6000000000004</v>
      </c>
      <c r="G1071">
        <v>9265</v>
      </c>
      <c r="H1071" s="116"/>
      <c r="I1071" s="116"/>
      <c r="L1071" s="170">
        <v>45680</v>
      </c>
      <c r="M1071" s="116">
        <v>831.85</v>
      </c>
      <c r="N1071" s="116">
        <v>837.53</v>
      </c>
      <c r="O1071" s="116">
        <v>806.02</v>
      </c>
      <c r="P1071" s="116">
        <v>815.05</v>
      </c>
      <c r="Q1071" s="116">
        <v>4159.25</v>
      </c>
      <c r="R1071">
        <v>525391</v>
      </c>
    </row>
    <row r="1072" spans="1:18" x14ac:dyDescent="0.25">
      <c r="A1072" s="170">
        <v>45678</v>
      </c>
      <c r="B1072" s="116">
        <v>905.01</v>
      </c>
      <c r="C1072" s="116">
        <v>849.99</v>
      </c>
      <c r="D1072" s="116">
        <v>846.4</v>
      </c>
      <c r="E1072" s="116">
        <v>896.01</v>
      </c>
      <c r="F1072" s="116">
        <v>4249.95</v>
      </c>
      <c r="G1072">
        <v>29741</v>
      </c>
      <c r="H1072" s="116"/>
      <c r="I1072" s="116"/>
      <c r="L1072" s="170">
        <v>45681</v>
      </c>
      <c r="M1072" s="116">
        <v>820.22</v>
      </c>
      <c r="N1072" s="116">
        <v>856.92</v>
      </c>
      <c r="O1072" s="116">
        <v>815.73</v>
      </c>
      <c r="P1072" s="116">
        <v>830</v>
      </c>
      <c r="Q1072" s="116">
        <v>4101.1000000000004</v>
      </c>
      <c r="R1072">
        <v>332673</v>
      </c>
    </row>
    <row r="1073" spans="1:18" x14ac:dyDescent="0.25">
      <c r="A1073" s="170">
        <v>45679</v>
      </c>
      <c r="B1073" s="116">
        <v>851.38</v>
      </c>
      <c r="C1073" s="116">
        <v>815.34</v>
      </c>
      <c r="D1073" s="116">
        <v>795.31</v>
      </c>
      <c r="E1073" s="116">
        <v>848.07</v>
      </c>
      <c r="F1073" s="116">
        <v>4076.7</v>
      </c>
      <c r="G1073">
        <v>45504</v>
      </c>
      <c r="H1073" s="116"/>
      <c r="I1073" s="116"/>
      <c r="L1073" s="170">
        <v>45684</v>
      </c>
      <c r="M1073" s="116">
        <v>761.73</v>
      </c>
      <c r="N1073" s="116">
        <v>811.8</v>
      </c>
      <c r="O1073" s="116">
        <v>755.73</v>
      </c>
      <c r="P1073" s="116">
        <v>811.8</v>
      </c>
      <c r="Q1073" s="116">
        <v>3808.65</v>
      </c>
      <c r="R1073">
        <v>837179</v>
      </c>
    </row>
    <row r="1074" spans="1:18" x14ac:dyDescent="0.25">
      <c r="A1074" s="170">
        <v>45680</v>
      </c>
      <c r="B1074" s="116">
        <v>837.49</v>
      </c>
      <c r="C1074" s="116">
        <v>832.64</v>
      </c>
      <c r="D1074" s="116">
        <v>806.22</v>
      </c>
      <c r="E1074" s="116">
        <v>817.99</v>
      </c>
      <c r="F1074" s="116">
        <v>4163.2</v>
      </c>
      <c r="G1074">
        <v>20243</v>
      </c>
      <c r="H1074" s="116"/>
      <c r="I1074" s="116"/>
      <c r="L1074" s="170">
        <v>45685</v>
      </c>
      <c r="M1074" s="116">
        <v>744.08</v>
      </c>
      <c r="N1074" s="116">
        <v>772.79</v>
      </c>
      <c r="O1074" s="116">
        <v>729.59</v>
      </c>
      <c r="P1074" s="116">
        <v>768</v>
      </c>
      <c r="Q1074" s="116">
        <v>3720.4</v>
      </c>
      <c r="R1074">
        <v>649752</v>
      </c>
    </row>
    <row r="1075" spans="1:18" x14ac:dyDescent="0.25">
      <c r="A1075" s="170">
        <v>45681</v>
      </c>
      <c r="B1075" s="116">
        <v>856.69</v>
      </c>
      <c r="C1075" s="116">
        <v>819.96</v>
      </c>
      <c r="D1075" s="116">
        <v>815.8</v>
      </c>
      <c r="E1075" s="116">
        <v>831.99</v>
      </c>
      <c r="F1075" s="116">
        <v>4099.8</v>
      </c>
      <c r="G1075">
        <v>21575</v>
      </c>
      <c r="H1075" s="116"/>
      <c r="I1075" s="116"/>
      <c r="L1075" s="170">
        <v>45686</v>
      </c>
      <c r="M1075" s="116">
        <v>788.98</v>
      </c>
      <c r="N1075" s="116">
        <v>802.58</v>
      </c>
      <c r="O1075" s="116">
        <v>742.08</v>
      </c>
      <c r="P1075" s="116">
        <v>748</v>
      </c>
      <c r="Q1075" s="116">
        <v>3944.9</v>
      </c>
      <c r="R1075">
        <v>1112274</v>
      </c>
    </row>
    <row r="1076" spans="1:18" x14ac:dyDescent="0.25">
      <c r="A1076" s="170">
        <v>45684</v>
      </c>
      <c r="B1076" s="116">
        <v>815.75</v>
      </c>
      <c r="C1076" s="116">
        <v>761.72</v>
      </c>
      <c r="D1076" s="116">
        <v>755.65</v>
      </c>
      <c r="E1076" s="116">
        <v>815.75</v>
      </c>
      <c r="F1076" s="116">
        <v>3808.6</v>
      </c>
      <c r="G1076">
        <v>27857</v>
      </c>
      <c r="H1076" s="116"/>
      <c r="I1076" s="116"/>
      <c r="L1076" s="170">
        <v>45687</v>
      </c>
      <c r="M1076" s="116">
        <v>727.44</v>
      </c>
      <c r="N1076" s="116">
        <v>797.96</v>
      </c>
      <c r="O1076" s="116">
        <v>718.1</v>
      </c>
      <c r="P1076" s="116">
        <v>796.8</v>
      </c>
      <c r="Q1076" s="116">
        <v>3637.2</v>
      </c>
      <c r="R1076">
        <v>1705426</v>
      </c>
    </row>
    <row r="1077" spans="1:18" x14ac:dyDescent="0.25">
      <c r="A1077" s="170">
        <v>45685</v>
      </c>
      <c r="B1077" s="116">
        <v>771.12</v>
      </c>
      <c r="C1077" s="116">
        <v>744.27</v>
      </c>
      <c r="D1077" s="116">
        <v>729.63</v>
      </c>
      <c r="E1077" s="116">
        <v>769.99</v>
      </c>
      <c r="F1077" s="116">
        <v>3721.35</v>
      </c>
      <c r="G1077">
        <v>17782</v>
      </c>
      <c r="H1077" s="116"/>
      <c r="I1077" s="116"/>
      <c r="L1077" s="170">
        <v>45688</v>
      </c>
      <c r="M1077" s="116">
        <v>720.7</v>
      </c>
      <c r="N1077" s="116">
        <v>733.4</v>
      </c>
      <c r="O1077" s="116">
        <v>710</v>
      </c>
      <c r="P1077" s="116">
        <v>732</v>
      </c>
      <c r="Q1077" s="116">
        <v>3603.5</v>
      </c>
      <c r="R1077">
        <v>812339</v>
      </c>
    </row>
    <row r="1078" spans="1:18" x14ac:dyDescent="0.25">
      <c r="A1078" s="170">
        <v>45686</v>
      </c>
      <c r="B1078" s="116">
        <v>803</v>
      </c>
      <c r="C1078" s="116">
        <v>790.36</v>
      </c>
      <c r="D1078" s="116">
        <v>742.71</v>
      </c>
      <c r="E1078" s="116">
        <v>748</v>
      </c>
      <c r="F1078" s="116">
        <v>3951.8</v>
      </c>
      <c r="G1078">
        <v>50442</v>
      </c>
      <c r="H1078" s="116"/>
      <c r="I1078" s="116"/>
      <c r="L1078" s="170">
        <v>45689</v>
      </c>
      <c r="M1078" s="116">
        <v>707.46</v>
      </c>
      <c r="N1078" s="116">
        <v>741.57</v>
      </c>
      <c r="O1078" s="116">
        <v>694.27</v>
      </c>
      <c r="P1078" s="116">
        <v>723.99</v>
      </c>
      <c r="Q1078" s="116">
        <v>3537.3</v>
      </c>
      <c r="R1078">
        <v>660530</v>
      </c>
    </row>
    <row r="1079" spans="1:18" x14ac:dyDescent="0.25">
      <c r="A1079" s="170">
        <v>45687</v>
      </c>
      <c r="B1079" s="116">
        <v>799.95</v>
      </c>
      <c r="C1079" s="116">
        <v>727.17</v>
      </c>
      <c r="D1079" s="116">
        <v>718.8</v>
      </c>
      <c r="E1079" s="116">
        <v>799.95</v>
      </c>
      <c r="F1079" s="116">
        <v>3635.85</v>
      </c>
      <c r="G1079">
        <v>120056</v>
      </c>
      <c r="H1079" s="116"/>
      <c r="I1079" s="116"/>
      <c r="L1079" s="170">
        <v>45691</v>
      </c>
      <c r="M1079" s="116">
        <v>679.6</v>
      </c>
      <c r="N1079" s="116">
        <v>714.79</v>
      </c>
      <c r="O1079" s="116">
        <v>676.4</v>
      </c>
      <c r="P1079" s="116">
        <v>706.04</v>
      </c>
      <c r="Q1079" s="116">
        <v>3398</v>
      </c>
      <c r="R1079">
        <v>646917</v>
      </c>
    </row>
    <row r="1080" spans="1:18" x14ac:dyDescent="0.25">
      <c r="A1080" s="170">
        <v>45688</v>
      </c>
      <c r="B1080" s="116">
        <v>734.59</v>
      </c>
      <c r="C1080" s="116">
        <v>720.99</v>
      </c>
      <c r="D1080" s="116">
        <v>710</v>
      </c>
      <c r="E1080" s="116">
        <v>733.87</v>
      </c>
      <c r="F1080" s="116">
        <v>3604.95</v>
      </c>
      <c r="G1080">
        <v>30266</v>
      </c>
      <c r="H1080" s="116"/>
      <c r="I1080" s="116"/>
      <c r="L1080" s="170">
        <v>45692</v>
      </c>
      <c r="M1080" s="116">
        <v>702.77</v>
      </c>
      <c r="N1080" s="116">
        <v>705.64</v>
      </c>
      <c r="O1080" s="116">
        <v>682.22</v>
      </c>
      <c r="P1080" s="116">
        <v>685.8</v>
      </c>
      <c r="Q1080" s="116">
        <v>3513.85</v>
      </c>
      <c r="R1080">
        <v>683646</v>
      </c>
    </row>
    <row r="1081" spans="1:18" x14ac:dyDescent="0.25">
      <c r="A1081" s="170">
        <v>45689</v>
      </c>
      <c r="B1081" s="116">
        <v>741.84</v>
      </c>
      <c r="C1081" s="116">
        <v>708.07</v>
      </c>
      <c r="D1081" s="116">
        <v>694</v>
      </c>
      <c r="E1081" s="116">
        <v>729.94</v>
      </c>
      <c r="F1081" s="116">
        <v>3540.35</v>
      </c>
      <c r="G1081">
        <v>54662</v>
      </c>
      <c r="H1081" s="116"/>
      <c r="I1081" s="116"/>
      <c r="L1081" s="170">
        <v>45693</v>
      </c>
      <c r="M1081" s="116">
        <v>749.75</v>
      </c>
      <c r="N1081" s="116">
        <v>759.6</v>
      </c>
      <c r="O1081" s="116">
        <v>706.32</v>
      </c>
      <c r="P1081" s="116">
        <v>708</v>
      </c>
      <c r="Q1081" s="116">
        <v>3748.75</v>
      </c>
      <c r="R1081">
        <v>1322982</v>
      </c>
    </row>
    <row r="1082" spans="1:18" x14ac:dyDescent="0.25">
      <c r="A1082" s="170">
        <v>45691</v>
      </c>
      <c r="B1082" s="116">
        <v>714.99</v>
      </c>
      <c r="C1082" s="116">
        <v>679.56</v>
      </c>
      <c r="D1082" s="116">
        <v>676.22</v>
      </c>
      <c r="E1082" s="116">
        <v>707.95</v>
      </c>
      <c r="F1082" s="116">
        <v>3397.8</v>
      </c>
      <c r="G1082">
        <v>50140</v>
      </c>
      <c r="H1082" s="116"/>
      <c r="I1082" s="116"/>
      <c r="L1082" s="170">
        <v>45694</v>
      </c>
      <c r="M1082" s="116">
        <v>732.5</v>
      </c>
      <c r="N1082" s="116">
        <v>754.8</v>
      </c>
      <c r="O1082" s="116">
        <v>728.69</v>
      </c>
      <c r="P1082" s="116">
        <v>754.01</v>
      </c>
      <c r="Q1082" s="116">
        <v>3662.5</v>
      </c>
      <c r="R1082">
        <v>736179</v>
      </c>
    </row>
    <row r="1083" spans="1:18" x14ac:dyDescent="0.25">
      <c r="A1083" s="170">
        <v>45692</v>
      </c>
      <c r="B1083" s="116">
        <v>705</v>
      </c>
      <c r="C1083" s="116">
        <v>702.85</v>
      </c>
      <c r="D1083" s="116">
        <v>681.23</v>
      </c>
      <c r="E1083" s="116">
        <v>681.23</v>
      </c>
      <c r="F1083" s="116">
        <v>3514.25</v>
      </c>
      <c r="G1083">
        <v>16052</v>
      </c>
      <c r="H1083" s="116"/>
      <c r="I1083" s="116"/>
      <c r="L1083" s="170">
        <v>45695</v>
      </c>
      <c r="M1083" s="116">
        <v>732.61</v>
      </c>
      <c r="N1083" s="116">
        <v>748.01</v>
      </c>
      <c r="O1083" s="116">
        <v>725.8</v>
      </c>
      <c r="P1083" s="116">
        <v>736.59</v>
      </c>
      <c r="Q1083" s="116">
        <v>3663.05</v>
      </c>
      <c r="R1083">
        <v>554924</v>
      </c>
    </row>
    <row r="1084" spans="1:18" x14ac:dyDescent="0.25">
      <c r="A1084" s="170">
        <v>45693</v>
      </c>
      <c r="B1084" s="116">
        <v>759.71</v>
      </c>
      <c r="C1084" s="116">
        <v>749.26</v>
      </c>
      <c r="D1084" s="116">
        <v>708</v>
      </c>
      <c r="E1084" s="116">
        <v>710.96</v>
      </c>
      <c r="F1084" s="116">
        <v>3746.3</v>
      </c>
      <c r="G1084">
        <v>83047</v>
      </c>
      <c r="H1084" s="116"/>
      <c r="I1084" s="116"/>
      <c r="L1084" s="170">
        <v>45698</v>
      </c>
      <c r="M1084" s="116">
        <v>705.35</v>
      </c>
      <c r="N1084" s="116">
        <v>733.98</v>
      </c>
      <c r="O1084" s="116">
        <v>700</v>
      </c>
      <c r="P1084" s="116">
        <v>732.6</v>
      </c>
      <c r="Q1084" s="116">
        <v>3526.75</v>
      </c>
      <c r="R1084">
        <v>371179</v>
      </c>
    </row>
    <row r="1085" spans="1:18" x14ac:dyDescent="0.25">
      <c r="A1085" s="170">
        <v>45694</v>
      </c>
      <c r="B1085" s="116">
        <v>764.25</v>
      </c>
      <c r="C1085" s="116">
        <v>732.52</v>
      </c>
      <c r="D1085" s="116">
        <v>729.51</v>
      </c>
      <c r="E1085" s="116">
        <v>764.25</v>
      </c>
      <c r="F1085" s="116">
        <v>3662.6</v>
      </c>
      <c r="G1085">
        <v>18048</v>
      </c>
      <c r="H1085" s="116"/>
      <c r="I1085" s="116"/>
      <c r="L1085" s="170">
        <v>45699</v>
      </c>
      <c r="M1085" s="116">
        <v>675.67</v>
      </c>
      <c r="N1085" s="116">
        <v>705.96</v>
      </c>
      <c r="O1085" s="116">
        <v>672</v>
      </c>
      <c r="P1085" s="116">
        <v>704</v>
      </c>
      <c r="Q1085" s="116">
        <v>3378.35</v>
      </c>
      <c r="R1085">
        <v>555628</v>
      </c>
    </row>
    <row r="1086" spans="1:18" x14ac:dyDescent="0.25">
      <c r="A1086" s="170">
        <v>45695</v>
      </c>
      <c r="B1086" s="116">
        <v>747.61</v>
      </c>
      <c r="C1086" s="116">
        <v>731.99</v>
      </c>
      <c r="D1086" s="116">
        <v>726</v>
      </c>
      <c r="E1086" s="116">
        <v>733.72</v>
      </c>
      <c r="F1086" s="116">
        <v>3659.95</v>
      </c>
      <c r="G1086">
        <v>36380</v>
      </c>
      <c r="H1086" s="116"/>
      <c r="I1086" s="116"/>
      <c r="L1086" s="170">
        <v>45700</v>
      </c>
      <c r="M1086" s="116">
        <v>705.6</v>
      </c>
      <c r="N1086" s="116">
        <v>710.59</v>
      </c>
      <c r="O1086" s="116">
        <v>660.21</v>
      </c>
      <c r="P1086" s="116">
        <v>675.67</v>
      </c>
      <c r="Q1086" s="116">
        <v>3528</v>
      </c>
      <c r="R1086">
        <v>859238</v>
      </c>
    </row>
    <row r="1087" spans="1:18" x14ac:dyDescent="0.25">
      <c r="A1087" s="170">
        <v>45698</v>
      </c>
      <c r="B1087" s="116">
        <v>734.8</v>
      </c>
      <c r="C1087" s="116">
        <v>705.08</v>
      </c>
      <c r="D1087" s="116">
        <v>700.2</v>
      </c>
      <c r="E1087" s="116">
        <v>734.8</v>
      </c>
      <c r="F1087" s="116">
        <v>3525.4</v>
      </c>
      <c r="G1087">
        <v>13474</v>
      </c>
      <c r="H1087" s="116"/>
      <c r="I1087" s="116"/>
      <c r="L1087" s="170">
        <v>45701</v>
      </c>
      <c r="M1087" s="116">
        <v>682.04</v>
      </c>
      <c r="N1087" s="116">
        <v>707.99</v>
      </c>
      <c r="O1087" s="116">
        <v>680.2</v>
      </c>
      <c r="P1087" s="116">
        <v>705.6</v>
      </c>
      <c r="Q1087" s="116">
        <v>3410.2</v>
      </c>
      <c r="R1087">
        <v>447275</v>
      </c>
    </row>
    <row r="1088" spans="1:18" x14ac:dyDescent="0.25">
      <c r="A1088" s="170">
        <v>45699</v>
      </c>
      <c r="B1088" s="116">
        <v>703</v>
      </c>
      <c r="C1088" s="116">
        <v>675.44</v>
      </c>
      <c r="D1088" s="116">
        <v>672.02</v>
      </c>
      <c r="E1088" s="116">
        <v>702.02</v>
      </c>
      <c r="F1088" s="116">
        <v>3377.2</v>
      </c>
      <c r="G1088">
        <v>16974</v>
      </c>
      <c r="H1088" s="116"/>
      <c r="I1088" s="116"/>
      <c r="L1088" s="170">
        <v>45702</v>
      </c>
      <c r="M1088" s="116">
        <v>675.07</v>
      </c>
      <c r="N1088" s="116">
        <v>691.24</v>
      </c>
      <c r="O1088" s="116">
        <v>662.4</v>
      </c>
      <c r="P1088" s="116">
        <v>687.76</v>
      </c>
      <c r="Q1088" s="116">
        <v>3375.35</v>
      </c>
      <c r="R1088">
        <v>345250</v>
      </c>
    </row>
    <row r="1089" spans="1:18" x14ac:dyDescent="0.25">
      <c r="A1089" s="170">
        <v>45700</v>
      </c>
      <c r="B1089" s="116">
        <v>710.75</v>
      </c>
      <c r="C1089" s="116">
        <v>705.54</v>
      </c>
      <c r="D1089" s="116">
        <v>655.45</v>
      </c>
      <c r="E1089" s="116">
        <v>677.19</v>
      </c>
      <c r="F1089" s="116">
        <v>3527.7</v>
      </c>
      <c r="G1089">
        <v>31170</v>
      </c>
      <c r="H1089" s="116"/>
      <c r="I1089" s="116"/>
      <c r="L1089" s="170">
        <v>45705</v>
      </c>
      <c r="M1089" s="116">
        <v>676.36</v>
      </c>
      <c r="N1089" s="116">
        <v>683.58</v>
      </c>
      <c r="O1089" s="116">
        <v>655</v>
      </c>
      <c r="P1089" s="116">
        <v>667.6</v>
      </c>
      <c r="Q1089" s="116">
        <v>3381.8</v>
      </c>
      <c r="R1089">
        <v>592513</v>
      </c>
    </row>
    <row r="1090" spans="1:18" x14ac:dyDescent="0.25">
      <c r="A1090" s="170">
        <v>45701</v>
      </c>
      <c r="B1090" s="116">
        <v>708.19</v>
      </c>
      <c r="C1090" s="116">
        <v>681.75</v>
      </c>
      <c r="D1090" s="116">
        <v>680</v>
      </c>
      <c r="E1090" s="116">
        <v>699.8</v>
      </c>
      <c r="F1090" s="116">
        <v>3408.75</v>
      </c>
      <c r="G1090">
        <v>11854</v>
      </c>
      <c r="H1090" s="116"/>
      <c r="I1090" s="116"/>
      <c r="L1090" s="170">
        <v>45706</v>
      </c>
      <c r="M1090" s="116">
        <v>655.6</v>
      </c>
      <c r="N1090" s="116">
        <v>678.29</v>
      </c>
      <c r="O1090" s="116">
        <v>650.45000000000005</v>
      </c>
      <c r="P1090" s="116">
        <v>676.36</v>
      </c>
      <c r="Q1090" s="116">
        <v>3278</v>
      </c>
      <c r="R1090">
        <v>439551</v>
      </c>
    </row>
    <row r="1091" spans="1:18" x14ac:dyDescent="0.25">
      <c r="A1091" s="170">
        <v>45702</v>
      </c>
      <c r="B1091" s="116">
        <v>691.02</v>
      </c>
      <c r="C1091" s="116">
        <v>674.9</v>
      </c>
      <c r="D1091" s="116">
        <v>662.32</v>
      </c>
      <c r="E1091" s="116">
        <v>687</v>
      </c>
      <c r="F1091" s="116">
        <v>3374.5</v>
      </c>
      <c r="G1091">
        <v>12550</v>
      </c>
      <c r="H1091" s="116"/>
      <c r="I1091" s="116"/>
      <c r="L1091" s="170">
        <v>45707</v>
      </c>
      <c r="M1091" s="116">
        <v>674.21</v>
      </c>
      <c r="N1091" s="116">
        <v>686.6</v>
      </c>
      <c r="O1091" s="116">
        <v>641.33000000000004</v>
      </c>
      <c r="P1091" s="116">
        <v>650</v>
      </c>
      <c r="Q1091" s="116">
        <v>3371.05</v>
      </c>
      <c r="R1091">
        <v>485674</v>
      </c>
    </row>
    <row r="1092" spans="1:18" x14ac:dyDescent="0.25">
      <c r="A1092" s="170">
        <v>45705</v>
      </c>
      <c r="B1092" s="116">
        <v>683.57</v>
      </c>
      <c r="C1092" s="116">
        <v>676.34</v>
      </c>
      <c r="D1092" s="116">
        <v>654.71</v>
      </c>
      <c r="E1092" s="116">
        <v>670.1</v>
      </c>
      <c r="F1092" s="116">
        <v>3381.7</v>
      </c>
      <c r="G1092">
        <v>14412</v>
      </c>
      <c r="H1092" s="116"/>
      <c r="I1092" s="116"/>
      <c r="L1092" s="170">
        <v>45708</v>
      </c>
      <c r="M1092" s="116">
        <v>687.83</v>
      </c>
      <c r="N1092" s="116">
        <v>697.15</v>
      </c>
      <c r="O1092" s="116">
        <v>663.31</v>
      </c>
      <c r="P1092" s="116">
        <v>670</v>
      </c>
      <c r="Q1092" s="116">
        <v>3439.15</v>
      </c>
      <c r="R1092">
        <v>511643</v>
      </c>
    </row>
    <row r="1093" spans="1:18" x14ac:dyDescent="0.25">
      <c r="A1093" s="170">
        <v>45706</v>
      </c>
      <c r="B1093" s="116">
        <v>680.99</v>
      </c>
      <c r="C1093" s="116">
        <v>655.98</v>
      </c>
      <c r="D1093" s="116">
        <v>651</v>
      </c>
      <c r="E1093" s="116">
        <v>680.99</v>
      </c>
      <c r="F1093" s="116">
        <v>3279.9</v>
      </c>
      <c r="G1093">
        <v>10369</v>
      </c>
      <c r="H1093" s="116"/>
      <c r="I1093" s="116"/>
      <c r="L1093" s="170">
        <v>45709</v>
      </c>
      <c r="M1093" s="116">
        <v>685.5</v>
      </c>
      <c r="N1093" s="116">
        <v>709</v>
      </c>
      <c r="O1093" s="116">
        <v>680.8</v>
      </c>
      <c r="P1093" s="116">
        <v>687.99</v>
      </c>
      <c r="Q1093" s="116">
        <v>3427.5</v>
      </c>
      <c r="R1093">
        <v>624064</v>
      </c>
    </row>
    <row r="1094" spans="1:18" x14ac:dyDescent="0.25">
      <c r="A1094" s="170">
        <v>45707</v>
      </c>
      <c r="B1094" s="116">
        <v>686</v>
      </c>
      <c r="C1094" s="116">
        <v>674.22</v>
      </c>
      <c r="D1094" s="116">
        <v>642.22</v>
      </c>
      <c r="E1094" s="116">
        <v>648.26</v>
      </c>
      <c r="F1094" s="116">
        <v>3371.1</v>
      </c>
      <c r="G1094">
        <v>25735</v>
      </c>
      <c r="H1094" s="116"/>
      <c r="I1094" s="116"/>
      <c r="L1094" s="170">
        <v>45712</v>
      </c>
      <c r="M1094" s="116">
        <v>683.55</v>
      </c>
      <c r="N1094" s="116">
        <v>689.54</v>
      </c>
      <c r="O1094" s="116">
        <v>668.95</v>
      </c>
      <c r="P1094" s="116">
        <v>675.74</v>
      </c>
      <c r="Q1094" s="116">
        <v>3417.75</v>
      </c>
      <c r="R1094">
        <v>364315</v>
      </c>
    </row>
    <row r="1095" spans="1:18" x14ac:dyDescent="0.25">
      <c r="A1095" s="170">
        <v>45708</v>
      </c>
      <c r="B1095" s="116">
        <v>697.19</v>
      </c>
      <c r="C1095" s="116">
        <v>687.65</v>
      </c>
      <c r="D1095" s="116">
        <v>664.01</v>
      </c>
      <c r="E1095" s="116">
        <v>674.12</v>
      </c>
      <c r="F1095" s="116">
        <v>3438.25</v>
      </c>
      <c r="G1095">
        <v>25152</v>
      </c>
      <c r="H1095" s="116"/>
      <c r="I1095" s="116"/>
      <c r="L1095" s="170">
        <v>45713</v>
      </c>
      <c r="M1095" s="116">
        <v>669.03</v>
      </c>
      <c r="N1095" s="116">
        <v>684.59</v>
      </c>
      <c r="O1095" s="116">
        <v>663.1</v>
      </c>
      <c r="P1095" s="116">
        <v>681.71</v>
      </c>
      <c r="Q1095" s="116">
        <v>3345.15</v>
      </c>
      <c r="R1095">
        <v>363358</v>
      </c>
    </row>
    <row r="1096" spans="1:18" x14ac:dyDescent="0.25">
      <c r="A1096" s="170">
        <v>45709</v>
      </c>
      <c r="B1096" s="116">
        <v>709.32</v>
      </c>
      <c r="C1096" s="116">
        <v>685.26</v>
      </c>
      <c r="D1096" s="116">
        <v>681</v>
      </c>
      <c r="E1096" s="116">
        <v>685.11</v>
      </c>
      <c r="F1096" s="116">
        <v>3426.3</v>
      </c>
      <c r="G1096">
        <v>13304</v>
      </c>
      <c r="H1096" s="116"/>
      <c r="I1096" s="116"/>
      <c r="L1096" s="170">
        <v>45715</v>
      </c>
      <c r="M1096" s="116">
        <v>651.54999999999995</v>
      </c>
      <c r="N1096" s="116">
        <v>675.8</v>
      </c>
      <c r="O1096" s="116">
        <v>649.29999999999995</v>
      </c>
      <c r="P1096" s="116">
        <v>671.6</v>
      </c>
      <c r="Q1096" s="116">
        <v>3257.75</v>
      </c>
      <c r="R1096">
        <v>352465</v>
      </c>
    </row>
    <row r="1097" spans="1:18" x14ac:dyDescent="0.25">
      <c r="A1097" s="170">
        <v>45712</v>
      </c>
      <c r="B1097" s="116">
        <v>689.58</v>
      </c>
      <c r="C1097" s="116">
        <v>683.71</v>
      </c>
      <c r="D1097" s="116">
        <v>669.13</v>
      </c>
      <c r="E1097" s="116">
        <v>679.59</v>
      </c>
      <c r="F1097" s="116">
        <v>3418.55</v>
      </c>
      <c r="G1097">
        <v>9085</v>
      </c>
      <c r="H1097" s="116"/>
      <c r="I1097" s="116"/>
      <c r="L1097" s="170">
        <v>45716</v>
      </c>
      <c r="M1097" s="116">
        <v>628.62</v>
      </c>
      <c r="N1097" s="116">
        <v>645.48</v>
      </c>
      <c r="O1097" s="116">
        <v>625.20000000000005</v>
      </c>
      <c r="P1097" s="116">
        <v>641.39</v>
      </c>
      <c r="Q1097" s="116">
        <v>3143.1</v>
      </c>
      <c r="R1097">
        <v>586964</v>
      </c>
    </row>
    <row r="1098" spans="1:18" x14ac:dyDescent="0.25">
      <c r="A1098" s="170">
        <v>45713</v>
      </c>
      <c r="B1098" s="116">
        <v>684.26</v>
      </c>
      <c r="C1098" s="116">
        <v>668.76</v>
      </c>
      <c r="D1098" s="116">
        <v>663.02</v>
      </c>
      <c r="E1098" s="116">
        <v>683.67</v>
      </c>
      <c r="F1098" s="116">
        <v>3343.8</v>
      </c>
      <c r="G1098">
        <v>23691</v>
      </c>
      <c r="H1098" s="116"/>
      <c r="I1098" s="116"/>
      <c r="L1098" s="170">
        <v>45719</v>
      </c>
      <c r="M1098" s="116">
        <v>626.79999999999995</v>
      </c>
      <c r="N1098" s="116">
        <v>639.6</v>
      </c>
      <c r="O1098" s="116">
        <v>606.21</v>
      </c>
      <c r="P1098" s="116">
        <v>632.41</v>
      </c>
      <c r="Q1098" s="116">
        <v>3134</v>
      </c>
      <c r="R1098">
        <v>527204</v>
      </c>
    </row>
    <row r="1099" spans="1:18" x14ac:dyDescent="0.25">
      <c r="A1099" s="170">
        <v>45715</v>
      </c>
      <c r="B1099" s="116">
        <v>676.53</v>
      </c>
      <c r="C1099" s="116">
        <v>651.4</v>
      </c>
      <c r="D1099" s="116">
        <v>649.79999999999995</v>
      </c>
      <c r="E1099" s="116">
        <v>674.96</v>
      </c>
      <c r="F1099" s="116">
        <v>3257</v>
      </c>
      <c r="G1099">
        <v>10948</v>
      </c>
      <c r="H1099" s="116"/>
      <c r="I1099" s="116"/>
      <c r="L1099" s="170">
        <v>45720</v>
      </c>
      <c r="M1099" s="116">
        <v>627.6</v>
      </c>
      <c r="N1099" s="116">
        <v>634.4</v>
      </c>
      <c r="O1099" s="116">
        <v>615.44000000000005</v>
      </c>
      <c r="P1099" s="116">
        <v>623</v>
      </c>
      <c r="Q1099" s="116">
        <v>3138</v>
      </c>
      <c r="R1099">
        <v>332941</v>
      </c>
    </row>
    <row r="1100" spans="1:18" x14ac:dyDescent="0.25">
      <c r="A1100" s="170">
        <v>45716</v>
      </c>
      <c r="B1100" s="116">
        <v>645.99</v>
      </c>
      <c r="C1100" s="116">
        <v>628.70000000000005</v>
      </c>
      <c r="D1100" s="116">
        <v>625.4</v>
      </c>
      <c r="E1100" s="116">
        <v>642</v>
      </c>
      <c r="F1100" s="116">
        <v>3143.5</v>
      </c>
      <c r="G1100">
        <v>13201</v>
      </c>
      <c r="H1100" s="116"/>
      <c r="I1100" s="116"/>
      <c r="L1100" s="170">
        <v>45721</v>
      </c>
      <c r="M1100" s="116">
        <v>639.05999999999995</v>
      </c>
      <c r="N1100" s="116">
        <v>640.72</v>
      </c>
      <c r="O1100" s="116">
        <v>621.44000000000005</v>
      </c>
      <c r="P1100" s="116">
        <v>626</v>
      </c>
      <c r="Q1100" s="116">
        <v>3195.3</v>
      </c>
      <c r="R1100">
        <v>429235</v>
      </c>
    </row>
    <row r="1101" spans="1:18" x14ac:dyDescent="0.25">
      <c r="A1101" s="170">
        <v>45719</v>
      </c>
      <c r="B1101" s="116">
        <v>639.79999999999995</v>
      </c>
      <c r="C1101" s="116">
        <v>626.80999999999995</v>
      </c>
      <c r="D1101" s="116">
        <v>606</v>
      </c>
      <c r="E1101" s="116">
        <v>635.95000000000005</v>
      </c>
      <c r="F1101" s="116">
        <v>3134.05</v>
      </c>
      <c r="G1101">
        <v>57709</v>
      </c>
      <c r="H1101" s="116"/>
      <c r="I1101" s="116"/>
      <c r="L1101" s="170">
        <v>45722</v>
      </c>
      <c r="M1101" s="116">
        <v>660.53</v>
      </c>
      <c r="N1101" s="116">
        <v>664.4</v>
      </c>
      <c r="O1101" s="116">
        <v>642.1</v>
      </c>
      <c r="P1101" s="116">
        <v>649.53</v>
      </c>
      <c r="Q1101" s="116">
        <v>3302.65</v>
      </c>
      <c r="R1101">
        <v>611517</v>
      </c>
    </row>
    <row r="1102" spans="1:18" x14ac:dyDescent="0.25">
      <c r="A1102" s="170">
        <v>45720</v>
      </c>
      <c r="B1102" s="116">
        <v>634.61</v>
      </c>
      <c r="C1102" s="116">
        <v>627.91999999999996</v>
      </c>
      <c r="D1102" s="116">
        <v>615.07000000000005</v>
      </c>
      <c r="E1102" s="116">
        <v>625.98</v>
      </c>
      <c r="F1102" s="116">
        <v>3139.6</v>
      </c>
      <c r="G1102">
        <v>33568</v>
      </c>
      <c r="H1102" s="116"/>
      <c r="I1102" s="116"/>
      <c r="L1102" s="170">
        <v>45723</v>
      </c>
      <c r="M1102" s="116">
        <v>673.14</v>
      </c>
      <c r="N1102" s="116">
        <v>676.6</v>
      </c>
      <c r="O1102" s="116">
        <v>657.49</v>
      </c>
      <c r="P1102" s="116">
        <v>662.2</v>
      </c>
      <c r="Q1102" s="116">
        <v>3365.7</v>
      </c>
      <c r="R1102">
        <v>639238</v>
      </c>
    </row>
    <row r="1103" spans="1:18" x14ac:dyDescent="0.25">
      <c r="A1103" s="170">
        <v>45721</v>
      </c>
      <c r="B1103" s="116">
        <v>640.79999999999995</v>
      </c>
      <c r="C1103" s="116">
        <v>638.82000000000005</v>
      </c>
      <c r="D1103" s="116">
        <v>621.57000000000005</v>
      </c>
      <c r="E1103" s="116">
        <v>627.87</v>
      </c>
      <c r="F1103" s="116">
        <v>3194.1</v>
      </c>
      <c r="G1103">
        <v>37602</v>
      </c>
      <c r="H1103" s="116"/>
      <c r="I1103" s="116"/>
      <c r="L1103" s="170">
        <v>45726</v>
      </c>
      <c r="M1103" s="116">
        <v>669.55</v>
      </c>
      <c r="N1103" s="116">
        <v>687.5</v>
      </c>
      <c r="O1103" s="116">
        <v>666.23</v>
      </c>
      <c r="P1103" s="116">
        <v>674</v>
      </c>
      <c r="Q1103" s="116">
        <v>3347.75</v>
      </c>
      <c r="R1103">
        <v>639678</v>
      </c>
    </row>
    <row r="1104" spans="1:18" x14ac:dyDescent="0.25">
      <c r="A1104" s="170">
        <v>45722</v>
      </c>
      <c r="B1104" s="116">
        <v>664.49</v>
      </c>
      <c r="C1104" s="116">
        <v>660.42</v>
      </c>
      <c r="D1104" s="116">
        <v>642.21</v>
      </c>
      <c r="E1104" s="116">
        <v>656.99</v>
      </c>
      <c r="F1104" s="116">
        <v>3302.1</v>
      </c>
      <c r="G1104">
        <v>13613</v>
      </c>
      <c r="H1104" s="116"/>
      <c r="I1104" s="116"/>
      <c r="L1104" s="170">
        <v>45727</v>
      </c>
      <c r="M1104" s="116">
        <v>672.91</v>
      </c>
      <c r="N1104" s="116">
        <v>677.7</v>
      </c>
      <c r="O1104" s="116">
        <v>652.66999999999996</v>
      </c>
      <c r="P1104" s="116">
        <v>660</v>
      </c>
      <c r="Q1104" s="116">
        <v>3364.55</v>
      </c>
      <c r="R1104">
        <v>401303</v>
      </c>
    </row>
    <row r="1105" spans="1:18" x14ac:dyDescent="0.25">
      <c r="A1105" s="170">
        <v>45723</v>
      </c>
      <c r="B1105" s="116">
        <v>676.6</v>
      </c>
      <c r="C1105" s="116">
        <v>673.17</v>
      </c>
      <c r="D1105" s="116">
        <v>657.8</v>
      </c>
      <c r="E1105" s="116">
        <v>662.99</v>
      </c>
      <c r="F1105" s="116">
        <v>3365.85</v>
      </c>
      <c r="G1105">
        <v>13243</v>
      </c>
      <c r="H1105" s="116"/>
      <c r="I1105" s="116"/>
      <c r="L1105" s="170">
        <v>45728</v>
      </c>
      <c r="M1105" s="116">
        <v>664.76</v>
      </c>
      <c r="N1105" s="116">
        <v>681.79</v>
      </c>
      <c r="O1105" s="116">
        <v>657.85</v>
      </c>
      <c r="P1105" s="116">
        <v>674.91</v>
      </c>
      <c r="Q1105" s="116">
        <v>3323.8</v>
      </c>
      <c r="R1105">
        <v>486688</v>
      </c>
    </row>
    <row r="1106" spans="1:18" x14ac:dyDescent="0.25">
      <c r="A1106" s="170">
        <v>45726</v>
      </c>
      <c r="B1106" s="116">
        <v>687.78</v>
      </c>
      <c r="C1106" s="116">
        <v>669.32</v>
      </c>
      <c r="D1106" s="116">
        <v>666.43</v>
      </c>
      <c r="E1106" s="116">
        <v>679.77</v>
      </c>
      <c r="F1106" s="116">
        <v>3346.6</v>
      </c>
      <c r="G1106">
        <v>24185</v>
      </c>
      <c r="H1106" s="116"/>
      <c r="I1106" s="116"/>
      <c r="L1106" s="170">
        <v>45729</v>
      </c>
      <c r="M1106" s="116">
        <v>682.02</v>
      </c>
      <c r="N1106" s="116">
        <v>690.55</v>
      </c>
      <c r="O1106" s="116">
        <v>657.61</v>
      </c>
      <c r="P1106" s="116">
        <v>668.8</v>
      </c>
      <c r="Q1106" s="116">
        <v>3410.1</v>
      </c>
      <c r="R1106">
        <v>715052</v>
      </c>
    </row>
    <row r="1107" spans="1:18" x14ac:dyDescent="0.25">
      <c r="A1107" s="170">
        <v>45727</v>
      </c>
      <c r="B1107" s="116">
        <v>677.73</v>
      </c>
      <c r="C1107" s="116">
        <v>673.45</v>
      </c>
      <c r="D1107" s="116">
        <v>652.65</v>
      </c>
      <c r="E1107" s="116">
        <v>660</v>
      </c>
      <c r="F1107" s="116">
        <v>3367.25</v>
      </c>
      <c r="G1107">
        <v>8637</v>
      </c>
      <c r="H1107" s="116"/>
      <c r="I1107" s="116"/>
      <c r="L1107" s="170">
        <v>45733</v>
      </c>
      <c r="M1107" s="116">
        <v>685.05</v>
      </c>
      <c r="N1107" s="116">
        <v>703.73</v>
      </c>
      <c r="O1107" s="116">
        <v>681.9</v>
      </c>
      <c r="P1107" s="116">
        <v>689.96</v>
      </c>
      <c r="Q1107" s="116">
        <v>3425.25</v>
      </c>
      <c r="R1107">
        <v>675639</v>
      </c>
    </row>
    <row r="1108" spans="1:18" x14ac:dyDescent="0.25">
      <c r="A1108" s="170">
        <v>45728</v>
      </c>
      <c r="B1108" s="116">
        <v>681.75</v>
      </c>
      <c r="C1108" s="116">
        <v>664.46</v>
      </c>
      <c r="D1108" s="116">
        <v>657.93</v>
      </c>
      <c r="E1108" s="116">
        <v>671.28</v>
      </c>
      <c r="F1108" s="116">
        <v>3322.3</v>
      </c>
      <c r="G1108">
        <v>14507</v>
      </c>
      <c r="H1108" s="116"/>
      <c r="I1108" s="116"/>
      <c r="L1108" s="170">
        <v>45734</v>
      </c>
      <c r="M1108" s="116">
        <v>720.44</v>
      </c>
      <c r="N1108" s="116">
        <v>724</v>
      </c>
      <c r="O1108" s="116">
        <v>688.6</v>
      </c>
      <c r="P1108" s="116">
        <v>690</v>
      </c>
      <c r="Q1108" s="116">
        <v>3602.2</v>
      </c>
      <c r="R1108">
        <v>689444</v>
      </c>
    </row>
    <row r="1109" spans="1:18" x14ac:dyDescent="0.25">
      <c r="A1109" s="170">
        <v>45729</v>
      </c>
      <c r="B1109" s="116">
        <v>690.6</v>
      </c>
      <c r="C1109" s="116">
        <v>681.98</v>
      </c>
      <c r="D1109" s="116">
        <v>657.51</v>
      </c>
      <c r="E1109" s="116">
        <v>664.87</v>
      </c>
      <c r="F1109" s="116">
        <v>3409.9</v>
      </c>
      <c r="G1109">
        <v>12870</v>
      </c>
      <c r="H1109" s="116"/>
      <c r="I1109" s="116"/>
      <c r="L1109" s="170">
        <v>45735</v>
      </c>
      <c r="M1109" s="116">
        <v>763.19</v>
      </c>
      <c r="N1109" s="116">
        <v>766</v>
      </c>
      <c r="O1109" s="116">
        <v>723.82</v>
      </c>
      <c r="P1109" s="116">
        <v>727.99</v>
      </c>
      <c r="Q1109" s="116">
        <v>3815.95</v>
      </c>
      <c r="R1109">
        <v>1005899</v>
      </c>
    </row>
    <row r="1110" spans="1:18" x14ac:dyDescent="0.25">
      <c r="A1110" s="170">
        <v>45733</v>
      </c>
      <c r="B1110" s="116">
        <v>703.63</v>
      </c>
      <c r="C1110" s="116">
        <v>685.28</v>
      </c>
      <c r="D1110" s="116">
        <v>682.59</v>
      </c>
      <c r="E1110" s="116">
        <v>693.94</v>
      </c>
      <c r="F1110" s="116">
        <v>3426.4</v>
      </c>
      <c r="G1110">
        <v>15537</v>
      </c>
      <c r="H1110" s="116"/>
      <c r="I1110" s="116"/>
      <c r="L1110" s="170">
        <v>45736</v>
      </c>
      <c r="M1110" s="116">
        <v>741.24</v>
      </c>
      <c r="N1110" s="116">
        <v>771.4</v>
      </c>
      <c r="O1110" s="116">
        <v>736.16</v>
      </c>
      <c r="P1110" s="116">
        <v>769.6</v>
      </c>
      <c r="Q1110" s="116">
        <v>3706.2</v>
      </c>
      <c r="R1110">
        <v>726958</v>
      </c>
    </row>
    <row r="1111" spans="1:18" x14ac:dyDescent="0.25">
      <c r="A1111" s="170">
        <v>45734</v>
      </c>
      <c r="B1111" s="116">
        <v>723.6</v>
      </c>
      <c r="C1111" s="116">
        <v>720.79</v>
      </c>
      <c r="D1111" s="116">
        <v>689</v>
      </c>
      <c r="E1111" s="116">
        <v>689.19</v>
      </c>
      <c r="F1111" s="116">
        <v>3603.95</v>
      </c>
      <c r="G1111">
        <v>41576</v>
      </c>
      <c r="H1111" s="116"/>
      <c r="I1111" s="116"/>
      <c r="L1111" s="170">
        <v>45737</v>
      </c>
      <c r="M1111" s="116">
        <v>763.14</v>
      </c>
      <c r="N1111" s="116">
        <v>769.8</v>
      </c>
      <c r="O1111" s="116">
        <v>738.32</v>
      </c>
      <c r="P1111" s="116">
        <v>743.8</v>
      </c>
      <c r="Q1111" s="116">
        <v>3815.7</v>
      </c>
      <c r="R1111">
        <v>791326</v>
      </c>
    </row>
    <row r="1112" spans="1:18" x14ac:dyDescent="0.25">
      <c r="A1112" s="170">
        <v>45735</v>
      </c>
      <c r="B1112" s="116">
        <v>765.98</v>
      </c>
      <c r="C1112" s="116">
        <v>763.04</v>
      </c>
      <c r="D1112" s="116">
        <v>723.62</v>
      </c>
      <c r="E1112" s="116">
        <v>728</v>
      </c>
      <c r="F1112" s="116">
        <v>3815.2</v>
      </c>
      <c r="G1112">
        <v>60660</v>
      </c>
      <c r="H1112" s="116"/>
      <c r="I1112" s="116"/>
      <c r="L1112" s="170">
        <v>45740</v>
      </c>
      <c r="M1112" s="116">
        <v>762.48</v>
      </c>
      <c r="N1112" s="116">
        <v>775.57</v>
      </c>
      <c r="O1112" s="116">
        <v>759</v>
      </c>
      <c r="P1112" s="116">
        <v>766.8</v>
      </c>
      <c r="Q1112" s="116">
        <v>3812.4</v>
      </c>
      <c r="R1112">
        <v>442744</v>
      </c>
    </row>
    <row r="1113" spans="1:18" x14ac:dyDescent="0.25">
      <c r="A1113" s="170">
        <v>45736</v>
      </c>
      <c r="B1113" s="116">
        <v>774.35</v>
      </c>
      <c r="C1113" s="116">
        <v>741</v>
      </c>
      <c r="D1113" s="116">
        <v>736.4</v>
      </c>
      <c r="E1113" s="116">
        <v>774.35</v>
      </c>
      <c r="F1113" s="116">
        <v>3705</v>
      </c>
      <c r="G1113">
        <v>32522</v>
      </c>
      <c r="H1113" s="116"/>
      <c r="I1113" s="116"/>
      <c r="L1113" s="170">
        <v>45741</v>
      </c>
      <c r="M1113" s="116">
        <v>731.55</v>
      </c>
      <c r="N1113" s="116">
        <v>762</v>
      </c>
      <c r="O1113" s="116">
        <v>730</v>
      </c>
      <c r="P1113" s="116">
        <v>762</v>
      </c>
      <c r="Q1113" s="116">
        <v>3657.75</v>
      </c>
      <c r="R1113">
        <v>614606</v>
      </c>
    </row>
    <row r="1114" spans="1:18" x14ac:dyDescent="0.25">
      <c r="A1114" s="170">
        <v>45737</v>
      </c>
      <c r="B1114" s="116">
        <v>769.76</v>
      </c>
      <c r="C1114" s="116">
        <v>762.86</v>
      </c>
      <c r="D1114" s="116">
        <v>738.88</v>
      </c>
      <c r="E1114" s="116">
        <v>747.98</v>
      </c>
      <c r="F1114" s="116">
        <v>3814.3</v>
      </c>
      <c r="G1114">
        <v>13965</v>
      </c>
      <c r="H1114" s="116"/>
      <c r="I1114" s="116"/>
      <c r="L1114" s="170">
        <v>45742</v>
      </c>
      <c r="M1114" s="116">
        <v>736.91</v>
      </c>
      <c r="N1114" s="116">
        <v>746.6</v>
      </c>
      <c r="O1114" s="116">
        <v>723.81</v>
      </c>
      <c r="P1114" s="116">
        <v>731.55</v>
      </c>
      <c r="Q1114" s="116">
        <v>3684.55</v>
      </c>
      <c r="R1114">
        <v>547890</v>
      </c>
    </row>
    <row r="1115" spans="1:18" x14ac:dyDescent="0.25">
      <c r="A1115" s="170">
        <v>45740</v>
      </c>
      <c r="B1115" s="116">
        <v>775.6</v>
      </c>
      <c r="C1115" s="116">
        <v>762.08</v>
      </c>
      <c r="D1115" s="116">
        <v>758.55</v>
      </c>
      <c r="E1115" s="116">
        <v>769.99</v>
      </c>
      <c r="F1115" s="116">
        <v>3810.4</v>
      </c>
      <c r="G1115">
        <v>11194</v>
      </c>
      <c r="H1115" s="116"/>
      <c r="I1115" s="116"/>
      <c r="L1115" s="170">
        <v>45743</v>
      </c>
      <c r="M1115" s="116">
        <v>737.58</v>
      </c>
      <c r="N1115" s="116">
        <v>748.38</v>
      </c>
      <c r="O1115" s="116">
        <v>730.52</v>
      </c>
      <c r="P1115" s="116">
        <v>731.8</v>
      </c>
      <c r="Q1115" s="116">
        <v>3687.9</v>
      </c>
      <c r="R1115">
        <v>537592</v>
      </c>
    </row>
    <row r="1116" spans="1:18" x14ac:dyDescent="0.25">
      <c r="A1116" s="170">
        <v>45741</v>
      </c>
      <c r="B1116" s="116">
        <v>767.99</v>
      </c>
      <c r="C1116" s="116">
        <v>731.69</v>
      </c>
      <c r="D1116" s="116">
        <v>730.01</v>
      </c>
      <c r="E1116" s="116">
        <v>767.99</v>
      </c>
      <c r="F1116" s="116">
        <v>3658.45</v>
      </c>
      <c r="G1116">
        <v>23362</v>
      </c>
      <c r="H1116" s="116"/>
      <c r="I1116" s="116"/>
      <c r="L1116" s="170">
        <v>45744</v>
      </c>
      <c r="M1116" s="116">
        <v>744.67</v>
      </c>
      <c r="N1116" s="116">
        <v>762.82</v>
      </c>
      <c r="O1116" s="116">
        <v>740.01</v>
      </c>
      <c r="P1116" s="116">
        <v>741.2</v>
      </c>
      <c r="Q1116" s="116">
        <v>3723.35</v>
      </c>
      <c r="R1116">
        <v>694228</v>
      </c>
    </row>
    <row r="1117" spans="1:18" x14ac:dyDescent="0.25">
      <c r="A1117" s="170">
        <v>45742</v>
      </c>
      <c r="B1117" s="116">
        <v>747.02</v>
      </c>
      <c r="C1117" s="116">
        <v>736.61</v>
      </c>
      <c r="D1117" s="116">
        <v>723.61</v>
      </c>
      <c r="E1117" s="116">
        <v>731.6</v>
      </c>
      <c r="F1117" s="116">
        <v>3683.05</v>
      </c>
      <c r="G1117">
        <v>38338</v>
      </c>
      <c r="H1117" s="116"/>
      <c r="I1117" s="116"/>
      <c r="L1117" s="170">
        <v>45748</v>
      </c>
      <c r="M1117" s="116">
        <v>734.25</v>
      </c>
      <c r="N1117" s="116">
        <v>754.4</v>
      </c>
      <c r="O1117" s="116">
        <v>728</v>
      </c>
      <c r="P1117" s="116">
        <v>742.4</v>
      </c>
      <c r="Q1117" s="116">
        <v>3671.25</v>
      </c>
      <c r="R1117">
        <v>321355</v>
      </c>
    </row>
    <row r="1118" spans="1:18" x14ac:dyDescent="0.25">
      <c r="A1118" s="170">
        <v>45743</v>
      </c>
      <c r="B1118" s="116">
        <v>748.57</v>
      </c>
      <c r="C1118" s="116">
        <v>736.83</v>
      </c>
      <c r="D1118" s="116">
        <v>730.29</v>
      </c>
      <c r="E1118" s="116">
        <v>735.97</v>
      </c>
      <c r="F1118" s="116">
        <v>3684.15</v>
      </c>
      <c r="G1118">
        <v>13826</v>
      </c>
      <c r="H1118" s="116"/>
      <c r="I1118" s="116"/>
      <c r="L1118" s="170">
        <v>45749</v>
      </c>
      <c r="M1118" s="116">
        <v>751.35</v>
      </c>
      <c r="N1118" s="116">
        <v>756</v>
      </c>
      <c r="O1118" s="116">
        <v>726.12</v>
      </c>
      <c r="P1118" s="116">
        <v>734.25</v>
      </c>
      <c r="Q1118" s="116">
        <v>3756.75</v>
      </c>
      <c r="R1118">
        <v>329115</v>
      </c>
    </row>
    <row r="1119" spans="1:18" x14ac:dyDescent="0.25">
      <c r="A1119" s="170">
        <v>45744</v>
      </c>
      <c r="B1119" s="116">
        <v>762.67</v>
      </c>
      <c r="C1119" s="116">
        <v>743</v>
      </c>
      <c r="D1119" s="116">
        <v>739.56</v>
      </c>
      <c r="E1119" s="116">
        <v>739.58</v>
      </c>
      <c r="F1119" s="116">
        <v>3715</v>
      </c>
      <c r="G1119">
        <v>25987</v>
      </c>
      <c r="H1119" s="116"/>
      <c r="I1119" s="116"/>
      <c r="L1119" s="170">
        <v>45750</v>
      </c>
      <c r="M1119" s="116">
        <v>764.66</v>
      </c>
      <c r="N1119" s="116">
        <v>766.8</v>
      </c>
      <c r="O1119" s="116">
        <v>736.46</v>
      </c>
      <c r="P1119" s="116">
        <v>749.8</v>
      </c>
      <c r="Q1119" s="116">
        <v>3823.3</v>
      </c>
      <c r="R1119">
        <v>377309</v>
      </c>
    </row>
    <row r="1120" spans="1:18" x14ac:dyDescent="0.25">
      <c r="A1120" s="170">
        <v>45748</v>
      </c>
      <c r="B1120" s="116">
        <v>753.87</v>
      </c>
      <c r="C1120" s="116">
        <v>734.09</v>
      </c>
      <c r="D1120" s="116">
        <v>728.42</v>
      </c>
      <c r="E1120" s="116">
        <v>743</v>
      </c>
      <c r="F1120" s="116">
        <v>3670.45</v>
      </c>
      <c r="G1120">
        <v>9867</v>
      </c>
      <c r="H1120" s="116"/>
      <c r="I1120" s="116"/>
      <c r="L1120" s="170">
        <v>45751</v>
      </c>
      <c r="M1120" s="116">
        <v>736.66</v>
      </c>
      <c r="N1120" s="116">
        <v>764.99</v>
      </c>
      <c r="O1120" s="116">
        <v>730.01</v>
      </c>
      <c r="P1120" s="116">
        <v>760.28</v>
      </c>
      <c r="Q1120" s="116">
        <v>3683.3</v>
      </c>
      <c r="R1120">
        <v>484031</v>
      </c>
    </row>
    <row r="1121" spans="1:18" x14ac:dyDescent="0.25">
      <c r="A1121" s="170">
        <v>45749</v>
      </c>
      <c r="B1121" s="116">
        <v>755</v>
      </c>
      <c r="C1121" s="116">
        <v>751.81</v>
      </c>
      <c r="D1121" s="116">
        <v>726.07</v>
      </c>
      <c r="E1121" s="116">
        <v>734.09</v>
      </c>
      <c r="F1121" s="116">
        <v>3759.05</v>
      </c>
      <c r="G1121">
        <v>8754</v>
      </c>
      <c r="H1121" s="116"/>
      <c r="I1121" s="116"/>
      <c r="L1121" s="170">
        <v>45754</v>
      </c>
      <c r="M1121" s="116">
        <v>705.77</v>
      </c>
      <c r="N1121" s="116">
        <v>716.6</v>
      </c>
      <c r="O1121" s="116">
        <v>670</v>
      </c>
      <c r="P1121" s="116">
        <v>670</v>
      </c>
      <c r="Q1121" s="116">
        <v>3528.85</v>
      </c>
      <c r="R1121">
        <v>506010</v>
      </c>
    </row>
    <row r="1122" spans="1:18" x14ac:dyDescent="0.25">
      <c r="A1122" s="170">
        <v>45750</v>
      </c>
      <c r="B1122" s="116">
        <v>766.59</v>
      </c>
      <c r="C1122" s="116">
        <v>764.26</v>
      </c>
      <c r="D1122" s="116">
        <v>736.41</v>
      </c>
      <c r="E1122" s="116">
        <v>746.08</v>
      </c>
      <c r="F1122" s="116">
        <v>3821.3</v>
      </c>
      <c r="G1122">
        <v>26346</v>
      </c>
      <c r="H1122" s="116"/>
      <c r="I1122" s="116"/>
      <c r="L1122" s="170">
        <v>45755</v>
      </c>
      <c r="M1122" s="116">
        <v>714.6</v>
      </c>
      <c r="N1122" s="116">
        <v>738.85</v>
      </c>
      <c r="O1122" s="116">
        <v>710.1</v>
      </c>
      <c r="P1122" s="116">
        <v>728</v>
      </c>
      <c r="Q1122" s="116">
        <v>3573</v>
      </c>
      <c r="R1122">
        <v>341221</v>
      </c>
    </row>
    <row r="1123" spans="1:18" x14ac:dyDescent="0.25">
      <c r="A1123" s="170">
        <v>45751</v>
      </c>
      <c r="B1123" s="116">
        <v>763.78</v>
      </c>
      <c r="C1123" s="116">
        <v>736.63</v>
      </c>
      <c r="D1123" s="116">
        <v>730.23</v>
      </c>
      <c r="E1123" s="116">
        <v>760</v>
      </c>
      <c r="F1123" s="116">
        <v>3683.15</v>
      </c>
      <c r="G1123">
        <v>17782</v>
      </c>
      <c r="H1123" s="116"/>
      <c r="I1123" s="116"/>
      <c r="L1123" s="170">
        <v>45756</v>
      </c>
      <c r="M1123" s="116">
        <v>718.04</v>
      </c>
      <c r="N1123" s="116">
        <v>725.4</v>
      </c>
      <c r="O1123" s="116">
        <v>701.42</v>
      </c>
      <c r="P1123" s="116">
        <v>714.6</v>
      </c>
      <c r="Q1123" s="116">
        <v>3590.2</v>
      </c>
      <c r="R1123">
        <v>288092</v>
      </c>
    </row>
    <row r="1124" spans="1:18" x14ac:dyDescent="0.25">
      <c r="A1124" s="170">
        <v>45754</v>
      </c>
      <c r="B1124" s="116">
        <v>712.59</v>
      </c>
      <c r="C1124" s="116">
        <v>705.86</v>
      </c>
      <c r="D1124" s="116">
        <v>663</v>
      </c>
      <c r="E1124" s="116">
        <v>663</v>
      </c>
      <c r="F1124" s="116">
        <v>3529.3</v>
      </c>
      <c r="G1124">
        <v>26487</v>
      </c>
      <c r="H1124" s="116"/>
      <c r="I1124" s="116"/>
      <c r="L1124" s="170">
        <v>45758</v>
      </c>
      <c r="M1124" s="116">
        <v>743.34</v>
      </c>
      <c r="N1124" s="116">
        <v>746.7</v>
      </c>
      <c r="O1124" s="116">
        <v>718.61</v>
      </c>
      <c r="P1124" s="116">
        <v>738.64</v>
      </c>
      <c r="Q1124" s="116">
        <v>3716.7</v>
      </c>
      <c r="R1124">
        <v>437864</v>
      </c>
    </row>
    <row r="1125" spans="1:18" x14ac:dyDescent="0.25">
      <c r="A1125" s="170">
        <v>45755</v>
      </c>
      <c r="B1125" s="116">
        <v>738</v>
      </c>
      <c r="C1125" s="116">
        <v>714.96</v>
      </c>
      <c r="D1125" s="116">
        <v>710.6</v>
      </c>
      <c r="E1125" s="116">
        <v>723.8</v>
      </c>
      <c r="F1125" s="116">
        <v>3574.8</v>
      </c>
      <c r="G1125">
        <v>20450</v>
      </c>
      <c r="H1125" s="116"/>
      <c r="I1125" s="116"/>
      <c r="L1125" s="170">
        <v>45762</v>
      </c>
      <c r="M1125" s="116">
        <v>766.58</v>
      </c>
      <c r="N1125" s="116">
        <v>769.4</v>
      </c>
      <c r="O1125" s="116">
        <v>750.5</v>
      </c>
      <c r="P1125" s="116">
        <v>758</v>
      </c>
      <c r="Q1125" s="116">
        <v>3832.9</v>
      </c>
      <c r="R1125">
        <v>418243</v>
      </c>
    </row>
    <row r="1126" spans="1:18" x14ac:dyDescent="0.25">
      <c r="A1126" s="170">
        <v>45756</v>
      </c>
      <c r="B1126" s="116">
        <v>725.6</v>
      </c>
      <c r="C1126" s="116">
        <v>718.02</v>
      </c>
      <c r="D1126" s="116">
        <v>701.71</v>
      </c>
      <c r="E1126" s="116">
        <v>714.96</v>
      </c>
      <c r="F1126" s="116">
        <v>3590.1</v>
      </c>
      <c r="G1126">
        <v>16030</v>
      </c>
      <c r="H1126" s="116"/>
      <c r="I1126" s="116"/>
      <c r="L1126" s="170">
        <v>45763</v>
      </c>
      <c r="M1126" s="116">
        <v>778.88</v>
      </c>
      <c r="N1126" s="116">
        <v>782.3</v>
      </c>
      <c r="O1126" s="116">
        <v>766.8</v>
      </c>
      <c r="P1126" s="116">
        <v>768.96</v>
      </c>
      <c r="Q1126" s="116">
        <v>3894.4</v>
      </c>
      <c r="R1126">
        <v>464822</v>
      </c>
    </row>
    <row r="1127" spans="1:18" x14ac:dyDescent="0.25">
      <c r="A1127" s="170">
        <v>45758</v>
      </c>
      <c r="B1127" s="116">
        <v>746.2</v>
      </c>
      <c r="C1127" s="116">
        <v>743.08</v>
      </c>
      <c r="D1127" s="116">
        <v>719.4</v>
      </c>
      <c r="E1127" s="116">
        <v>742.09</v>
      </c>
      <c r="F1127" s="116">
        <v>3715.4</v>
      </c>
      <c r="G1127">
        <v>16867</v>
      </c>
      <c r="H1127" s="116"/>
      <c r="I1127" s="116"/>
      <c r="L1127" s="170">
        <v>45764</v>
      </c>
      <c r="M1127" s="116">
        <v>776.5</v>
      </c>
      <c r="N1127" s="116">
        <v>788.36</v>
      </c>
      <c r="O1127" s="116">
        <v>767.54</v>
      </c>
      <c r="P1127" s="116">
        <v>780</v>
      </c>
      <c r="Q1127" s="116">
        <v>3882.5</v>
      </c>
      <c r="R1127">
        <v>427656</v>
      </c>
    </row>
    <row r="1128" spans="1:18" x14ac:dyDescent="0.25">
      <c r="A1128" s="170">
        <v>45762</v>
      </c>
      <c r="B1128" s="116">
        <v>769.6</v>
      </c>
      <c r="C1128" s="116">
        <v>766.9</v>
      </c>
      <c r="D1128" s="116">
        <v>752.17</v>
      </c>
      <c r="E1128" s="116">
        <v>757.03</v>
      </c>
      <c r="F1128" s="116">
        <v>3834.5</v>
      </c>
      <c r="G1128">
        <v>18834</v>
      </c>
      <c r="H1128" s="116"/>
      <c r="I1128" s="116"/>
      <c r="L1128" s="170">
        <v>45768</v>
      </c>
      <c r="M1128" s="116">
        <v>800.16</v>
      </c>
      <c r="N1128" s="116">
        <v>807.2</v>
      </c>
      <c r="O1128" s="116">
        <v>780</v>
      </c>
      <c r="P1128" s="116">
        <v>783.8</v>
      </c>
      <c r="Q1128" s="116">
        <v>4000.8</v>
      </c>
      <c r="R1128">
        <v>492565</v>
      </c>
    </row>
    <row r="1129" spans="1:18" x14ac:dyDescent="0.25">
      <c r="A1129" s="170">
        <v>45763</v>
      </c>
      <c r="B1129" s="116">
        <v>782.19</v>
      </c>
      <c r="C1129" s="116">
        <v>778.71</v>
      </c>
      <c r="D1129" s="116">
        <v>766.68</v>
      </c>
      <c r="E1129" s="116">
        <v>768.96</v>
      </c>
      <c r="F1129" s="116">
        <v>3893.55</v>
      </c>
      <c r="G1129">
        <v>28350</v>
      </c>
      <c r="H1129" s="116"/>
      <c r="I1129" s="116"/>
      <c r="L1129" s="170">
        <v>45769</v>
      </c>
      <c r="M1129" s="116">
        <v>801.02</v>
      </c>
      <c r="N1129" s="116">
        <v>824.84</v>
      </c>
      <c r="O1129" s="116">
        <v>798</v>
      </c>
      <c r="P1129" s="116">
        <v>803.8</v>
      </c>
      <c r="Q1129" s="116">
        <v>4005.1</v>
      </c>
      <c r="R1129">
        <v>591117</v>
      </c>
    </row>
    <row r="1130" spans="1:18" x14ac:dyDescent="0.25">
      <c r="A1130" s="170">
        <v>45764</v>
      </c>
      <c r="B1130" s="116">
        <v>788.64</v>
      </c>
      <c r="C1130" s="116">
        <v>777.56</v>
      </c>
      <c r="D1130" s="116">
        <v>768.02</v>
      </c>
      <c r="E1130" s="116">
        <v>778.91</v>
      </c>
      <c r="F1130" s="116">
        <v>3887.8</v>
      </c>
      <c r="G1130">
        <v>13895</v>
      </c>
      <c r="H1130" s="116"/>
      <c r="I1130" s="116"/>
      <c r="L1130" s="170">
        <v>45770</v>
      </c>
      <c r="M1130" s="116">
        <v>820.4</v>
      </c>
      <c r="N1130" s="116">
        <v>823</v>
      </c>
      <c r="O1130" s="116">
        <v>798.46</v>
      </c>
      <c r="P1130" s="116">
        <v>807.6</v>
      </c>
      <c r="Q1130" s="116">
        <v>4102</v>
      </c>
      <c r="R1130">
        <v>435319</v>
      </c>
    </row>
    <row r="1131" spans="1:18" x14ac:dyDescent="0.25">
      <c r="A1131" s="170">
        <v>45768</v>
      </c>
      <c r="B1131" s="116">
        <v>807</v>
      </c>
      <c r="C1131" s="116">
        <v>800.08</v>
      </c>
      <c r="D1131" s="116">
        <v>779.16</v>
      </c>
      <c r="E1131" s="116">
        <v>787.79</v>
      </c>
      <c r="F1131" s="116">
        <v>4000.4</v>
      </c>
      <c r="G1131">
        <v>44565</v>
      </c>
      <c r="H1131" s="116"/>
      <c r="I1131" s="116"/>
      <c r="L1131" s="170">
        <v>45771</v>
      </c>
      <c r="M1131" s="116">
        <v>809.18</v>
      </c>
      <c r="N1131" s="116">
        <v>825.4</v>
      </c>
      <c r="O1131" s="116">
        <v>805.68</v>
      </c>
      <c r="P1131" s="116">
        <v>822</v>
      </c>
      <c r="Q1131" s="116">
        <v>4045.9</v>
      </c>
      <c r="R1131">
        <v>444362</v>
      </c>
    </row>
    <row r="1132" spans="1:18" x14ac:dyDescent="0.25">
      <c r="A1132" s="170">
        <v>45769</v>
      </c>
      <c r="B1132" s="116">
        <v>824.47</v>
      </c>
      <c r="C1132" s="116">
        <v>800.58</v>
      </c>
      <c r="D1132" s="116">
        <v>798.26</v>
      </c>
      <c r="E1132" s="116">
        <v>805.99</v>
      </c>
      <c r="F1132" s="116">
        <v>4002.9</v>
      </c>
      <c r="G1132">
        <v>22344</v>
      </c>
      <c r="H1132" s="116"/>
      <c r="I1132" s="116"/>
      <c r="L1132" s="170">
        <v>45772</v>
      </c>
      <c r="M1132" s="116">
        <v>787.62</v>
      </c>
      <c r="N1132" s="116">
        <v>819.58</v>
      </c>
      <c r="O1132" s="116">
        <v>778</v>
      </c>
      <c r="P1132" s="116">
        <v>811.7</v>
      </c>
      <c r="Q1132" s="116">
        <v>3938.1</v>
      </c>
      <c r="R1132">
        <v>494714</v>
      </c>
    </row>
    <row r="1133" spans="1:18" x14ac:dyDescent="0.25">
      <c r="A1133" s="170">
        <v>45770</v>
      </c>
      <c r="B1133" s="116">
        <v>823.54</v>
      </c>
      <c r="C1133" s="116">
        <v>820.43</v>
      </c>
      <c r="D1133" s="116">
        <v>798.51</v>
      </c>
      <c r="E1133" s="116">
        <v>807.57</v>
      </c>
      <c r="F1133" s="116">
        <v>4102.1499999999996</v>
      </c>
      <c r="G1133">
        <v>14372</v>
      </c>
      <c r="H1133" s="116"/>
      <c r="I1133" s="116"/>
      <c r="L1133" s="170">
        <v>45775</v>
      </c>
      <c r="M1133" s="116">
        <v>788.82</v>
      </c>
      <c r="N1133" s="116">
        <v>794.96</v>
      </c>
      <c r="O1133" s="116">
        <v>780</v>
      </c>
      <c r="P1133" s="116">
        <v>786.8</v>
      </c>
      <c r="Q1133" s="116">
        <v>3944.1</v>
      </c>
      <c r="R1133">
        <v>206250</v>
      </c>
    </row>
    <row r="1134" spans="1:18" x14ac:dyDescent="0.25">
      <c r="A1134" s="170">
        <v>45771</v>
      </c>
      <c r="B1134" s="116">
        <v>824.84</v>
      </c>
      <c r="C1134" s="116">
        <v>809.07</v>
      </c>
      <c r="D1134" s="116">
        <v>806.02</v>
      </c>
      <c r="E1134" s="116">
        <v>822.22</v>
      </c>
      <c r="F1134" s="116">
        <v>4045.35</v>
      </c>
      <c r="G1134">
        <v>26021</v>
      </c>
      <c r="H1134" s="116"/>
      <c r="I1134" s="116"/>
      <c r="L1134" s="170">
        <v>45776</v>
      </c>
      <c r="M1134" s="116">
        <v>799.96</v>
      </c>
      <c r="N1134" s="116">
        <v>807.64</v>
      </c>
      <c r="O1134" s="116">
        <v>791.1</v>
      </c>
      <c r="P1134" s="116">
        <v>792.96</v>
      </c>
      <c r="Q1134" s="116">
        <v>3999.8</v>
      </c>
      <c r="R1134">
        <v>253569</v>
      </c>
    </row>
    <row r="1135" spans="1:18" x14ac:dyDescent="0.25">
      <c r="A1135" s="170">
        <v>45772</v>
      </c>
      <c r="B1135" s="116">
        <v>819.6</v>
      </c>
      <c r="C1135" s="116">
        <v>787.11</v>
      </c>
      <c r="D1135" s="116">
        <v>777.68</v>
      </c>
      <c r="E1135" s="116">
        <v>814.13</v>
      </c>
      <c r="F1135" s="116">
        <v>3935.55</v>
      </c>
      <c r="G1135">
        <v>20274</v>
      </c>
      <c r="H1135" s="116"/>
      <c r="I1135" s="116"/>
      <c r="L1135" s="170">
        <v>45777</v>
      </c>
      <c r="M1135" s="116">
        <v>781.26</v>
      </c>
      <c r="N1135" s="116">
        <v>804</v>
      </c>
      <c r="O1135" s="116">
        <v>776.66</v>
      </c>
      <c r="P1135" s="116">
        <v>800</v>
      </c>
      <c r="Q1135" s="116">
        <v>3906.3</v>
      </c>
      <c r="R1135">
        <v>250408</v>
      </c>
    </row>
    <row r="1136" spans="1:18" x14ac:dyDescent="0.25">
      <c r="A1136" s="170">
        <v>45775</v>
      </c>
      <c r="B1136" s="116">
        <v>794.91</v>
      </c>
      <c r="C1136" s="116">
        <v>789</v>
      </c>
      <c r="D1136" s="116">
        <v>780.01</v>
      </c>
      <c r="E1136" s="116">
        <v>780.01</v>
      </c>
      <c r="F1136" s="116">
        <v>3945</v>
      </c>
      <c r="G1136">
        <v>8948</v>
      </c>
      <c r="H1136" s="116"/>
      <c r="I1136" s="116"/>
      <c r="L1136" s="170">
        <v>45779</v>
      </c>
      <c r="M1136" s="116">
        <v>768.7</v>
      </c>
      <c r="N1136" s="116">
        <v>787</v>
      </c>
      <c r="O1136" s="116">
        <v>765</v>
      </c>
      <c r="P1136" s="116">
        <v>781.26</v>
      </c>
      <c r="Q1136" s="116">
        <v>3843.5</v>
      </c>
      <c r="R1136">
        <v>223499</v>
      </c>
    </row>
    <row r="1137" spans="1:18" x14ac:dyDescent="0.25">
      <c r="A1137" s="170">
        <v>45776</v>
      </c>
      <c r="B1137" s="116">
        <v>807.68</v>
      </c>
      <c r="C1137" s="116">
        <v>799.87</v>
      </c>
      <c r="D1137" s="116">
        <v>790.04</v>
      </c>
      <c r="E1137" s="116">
        <v>793</v>
      </c>
      <c r="F1137" s="116">
        <v>3999.35</v>
      </c>
      <c r="G1137">
        <v>28232</v>
      </c>
      <c r="H1137" s="116"/>
      <c r="I1137" s="116"/>
      <c r="L1137" s="170">
        <v>45782</v>
      </c>
      <c r="M1137" s="116">
        <v>761.56</v>
      </c>
      <c r="N1137" s="116">
        <v>772.16</v>
      </c>
      <c r="O1137" s="116">
        <v>755</v>
      </c>
      <c r="P1137" s="116">
        <v>772</v>
      </c>
      <c r="Q1137" s="116">
        <v>3807.8</v>
      </c>
      <c r="R1137">
        <v>405759</v>
      </c>
    </row>
    <row r="1138" spans="1:18" x14ac:dyDescent="0.25">
      <c r="A1138" s="170">
        <v>45777</v>
      </c>
      <c r="B1138" s="116">
        <v>800.6</v>
      </c>
      <c r="C1138" s="116">
        <v>780.48</v>
      </c>
      <c r="D1138" s="116">
        <v>775.62</v>
      </c>
      <c r="E1138" s="116">
        <v>800.6</v>
      </c>
      <c r="F1138" s="116">
        <v>3902.4</v>
      </c>
      <c r="G1138">
        <v>10597</v>
      </c>
      <c r="H1138" s="116"/>
      <c r="I1138" s="116"/>
      <c r="L1138" s="170">
        <v>45783</v>
      </c>
      <c r="M1138" s="116">
        <v>721.58</v>
      </c>
      <c r="N1138" s="116">
        <v>779.14</v>
      </c>
      <c r="O1138" s="116">
        <v>720</v>
      </c>
      <c r="P1138" s="116">
        <v>760.2</v>
      </c>
      <c r="Q1138" s="116">
        <v>3607.9</v>
      </c>
      <c r="R1138">
        <v>1305600</v>
      </c>
    </row>
    <row r="1139" spans="1:18" x14ac:dyDescent="0.25">
      <c r="A1139" s="170">
        <v>45779</v>
      </c>
      <c r="B1139" s="116">
        <v>789.96</v>
      </c>
      <c r="C1139" s="116">
        <v>768.58</v>
      </c>
      <c r="D1139" s="116">
        <v>765</v>
      </c>
      <c r="E1139" s="116">
        <v>789.96</v>
      </c>
      <c r="F1139" s="116">
        <v>3842.9</v>
      </c>
      <c r="G1139">
        <v>10105</v>
      </c>
      <c r="H1139" s="116"/>
      <c r="I1139" s="116"/>
      <c r="L1139" s="170">
        <v>45784</v>
      </c>
      <c r="M1139" s="116">
        <v>728.54</v>
      </c>
      <c r="N1139" s="116">
        <v>733.84</v>
      </c>
      <c r="O1139" s="116">
        <v>710</v>
      </c>
      <c r="P1139" s="116">
        <v>710</v>
      </c>
      <c r="Q1139" s="116">
        <v>3642.7</v>
      </c>
      <c r="R1139">
        <v>806007</v>
      </c>
    </row>
    <row r="1140" spans="1:18" x14ac:dyDescent="0.25">
      <c r="A1140" s="170">
        <v>45782</v>
      </c>
      <c r="B1140" s="116">
        <v>779.52</v>
      </c>
      <c r="C1140" s="116">
        <v>761.45</v>
      </c>
      <c r="D1140" s="116">
        <v>755.63</v>
      </c>
      <c r="E1140" s="116">
        <v>779.52</v>
      </c>
      <c r="F1140" s="116">
        <v>3807.25</v>
      </c>
      <c r="G1140">
        <v>14351</v>
      </c>
      <c r="H1140" s="116"/>
      <c r="I1140" s="116"/>
      <c r="L1140" s="170">
        <v>45785</v>
      </c>
      <c r="M1140" s="116">
        <v>713.84</v>
      </c>
      <c r="N1140" s="116">
        <v>758.4</v>
      </c>
      <c r="O1140" s="116">
        <v>710.4</v>
      </c>
      <c r="P1140" s="116">
        <v>729</v>
      </c>
      <c r="Q1140" s="116">
        <v>3569.2</v>
      </c>
      <c r="R1140">
        <v>981124</v>
      </c>
    </row>
    <row r="1141" spans="1:18" x14ac:dyDescent="0.25">
      <c r="A1141" s="170">
        <v>45783</v>
      </c>
      <c r="B1141" s="116">
        <v>778.66</v>
      </c>
      <c r="C1141" s="116">
        <v>721.38</v>
      </c>
      <c r="D1141" s="116">
        <v>720</v>
      </c>
      <c r="E1141" s="116">
        <v>757.96</v>
      </c>
      <c r="F1141" s="116">
        <v>3606.9</v>
      </c>
      <c r="G1141">
        <v>42521</v>
      </c>
      <c r="H1141" s="116"/>
      <c r="I1141" s="116"/>
      <c r="L1141" s="170">
        <v>45786</v>
      </c>
      <c r="M1141" s="116">
        <v>695.92</v>
      </c>
      <c r="N1141" s="116">
        <v>704</v>
      </c>
      <c r="O1141" s="116">
        <v>683</v>
      </c>
      <c r="P1141" s="116">
        <v>695</v>
      </c>
      <c r="Q1141" s="116">
        <v>3479.6</v>
      </c>
      <c r="R1141">
        <v>1022585</v>
      </c>
    </row>
    <row r="1142" spans="1:18" x14ac:dyDescent="0.25">
      <c r="A1142" s="170">
        <v>45784</v>
      </c>
      <c r="B1142" s="116">
        <v>733.66</v>
      </c>
      <c r="C1142" s="116">
        <v>728.72</v>
      </c>
      <c r="D1142" s="116">
        <v>711.4</v>
      </c>
      <c r="E1142" s="116">
        <v>714.93</v>
      </c>
      <c r="F1142" s="116">
        <v>3643.6</v>
      </c>
      <c r="G1142">
        <v>21282</v>
      </c>
      <c r="H1142" s="116"/>
      <c r="I1142" s="116"/>
      <c r="L1142" s="170">
        <v>45789</v>
      </c>
      <c r="M1142" s="116">
        <v>734.32</v>
      </c>
      <c r="N1142" s="116">
        <v>736</v>
      </c>
      <c r="O1142" s="116">
        <v>720.92</v>
      </c>
      <c r="P1142" s="116">
        <v>728.1</v>
      </c>
      <c r="Q1142" s="116">
        <v>3671.6</v>
      </c>
      <c r="R1142">
        <v>673448</v>
      </c>
    </row>
    <row r="1143" spans="1:18" x14ac:dyDescent="0.25">
      <c r="A1143" s="170">
        <v>45785</v>
      </c>
      <c r="B1143" s="116">
        <v>758.68</v>
      </c>
      <c r="C1143" s="116">
        <v>713.48</v>
      </c>
      <c r="D1143" s="116">
        <v>710.85</v>
      </c>
      <c r="E1143" s="116">
        <v>728.98</v>
      </c>
      <c r="F1143" s="116">
        <v>3567.4</v>
      </c>
      <c r="G1143">
        <v>70928</v>
      </c>
      <c r="H1143" s="116"/>
      <c r="I1143" s="116"/>
      <c r="L1143" s="170">
        <v>45790</v>
      </c>
      <c r="M1143" s="116">
        <v>725.24</v>
      </c>
      <c r="N1143" s="116">
        <v>736</v>
      </c>
      <c r="O1143" s="116">
        <v>721.28</v>
      </c>
      <c r="P1143" s="116">
        <v>735.58</v>
      </c>
      <c r="Q1143" s="116">
        <v>3626.2</v>
      </c>
      <c r="R1143">
        <v>434817</v>
      </c>
    </row>
    <row r="1144" spans="1:18" x14ac:dyDescent="0.25">
      <c r="A1144" s="170">
        <v>45786</v>
      </c>
      <c r="B1144" s="116">
        <v>704.28</v>
      </c>
      <c r="C1144" s="116">
        <v>696.12</v>
      </c>
      <c r="D1144" s="116">
        <v>683.4</v>
      </c>
      <c r="E1144" s="116">
        <v>684.04</v>
      </c>
      <c r="F1144" s="116">
        <v>3480.6</v>
      </c>
      <c r="G1144">
        <v>26054</v>
      </c>
      <c r="H1144" s="116"/>
      <c r="I1144" s="116"/>
      <c r="L1144" s="170">
        <v>45791</v>
      </c>
      <c r="M1144" s="116">
        <v>729.8</v>
      </c>
      <c r="N1144" s="116">
        <v>732</v>
      </c>
      <c r="O1144" s="116">
        <v>722.1</v>
      </c>
      <c r="P1144" s="116">
        <v>730</v>
      </c>
      <c r="Q1144" s="116">
        <v>3649</v>
      </c>
      <c r="R1144">
        <v>362580</v>
      </c>
    </row>
    <row r="1145" spans="1:18" x14ac:dyDescent="0.25">
      <c r="A1145" s="170">
        <v>45789</v>
      </c>
      <c r="B1145" s="116">
        <v>736.5</v>
      </c>
      <c r="C1145" s="116">
        <v>734.42</v>
      </c>
      <c r="D1145" s="116">
        <v>721.2</v>
      </c>
      <c r="E1145" s="116">
        <v>732.68</v>
      </c>
      <c r="F1145" s="116">
        <v>3672.1</v>
      </c>
      <c r="G1145">
        <v>43723</v>
      </c>
      <c r="H1145" s="116"/>
      <c r="I1145" s="116"/>
      <c r="L1145" s="170">
        <v>45792</v>
      </c>
      <c r="M1145" s="116">
        <v>745.28</v>
      </c>
      <c r="N1145" s="116">
        <v>747</v>
      </c>
      <c r="O1145" s="116">
        <v>728</v>
      </c>
      <c r="P1145" s="116">
        <v>732</v>
      </c>
      <c r="Q1145" s="116">
        <v>3726.4</v>
      </c>
      <c r="R1145">
        <v>491241</v>
      </c>
    </row>
    <row r="1146" spans="1:18" x14ac:dyDescent="0.25">
      <c r="A1146" s="170">
        <v>45790</v>
      </c>
      <c r="B1146" s="116">
        <v>735.58</v>
      </c>
      <c r="C1146" s="116">
        <v>725.62</v>
      </c>
      <c r="D1146" s="116">
        <v>721.51</v>
      </c>
      <c r="E1146" s="116">
        <v>734.54</v>
      </c>
      <c r="F1146" s="116">
        <v>3628.1</v>
      </c>
      <c r="G1146">
        <v>34249</v>
      </c>
      <c r="H1146" s="116"/>
      <c r="I1146" s="116"/>
      <c r="L1146" s="170">
        <v>45793</v>
      </c>
      <c r="M1146" s="116">
        <v>778.18</v>
      </c>
      <c r="N1146" s="116">
        <v>785.8</v>
      </c>
      <c r="O1146" s="116">
        <v>747.4</v>
      </c>
      <c r="P1146" s="116">
        <v>750.2</v>
      </c>
      <c r="Q1146" s="116">
        <v>3890.9</v>
      </c>
      <c r="R1146">
        <v>880991</v>
      </c>
    </row>
    <row r="1147" spans="1:18" x14ac:dyDescent="0.25">
      <c r="A1147" s="170">
        <v>45791</v>
      </c>
      <c r="B1147" s="116">
        <v>731.6</v>
      </c>
      <c r="C1147" s="116">
        <v>730.16</v>
      </c>
      <c r="D1147" s="116">
        <v>722.2</v>
      </c>
      <c r="E1147" s="116">
        <v>728.12</v>
      </c>
      <c r="F1147" s="116">
        <v>3650.8</v>
      </c>
      <c r="G1147">
        <v>29676</v>
      </c>
      <c r="H1147" s="116"/>
      <c r="I1147" s="116"/>
      <c r="L1147" s="170">
        <v>45796</v>
      </c>
      <c r="M1147" s="116">
        <v>790.32</v>
      </c>
      <c r="N1147" s="116">
        <v>797.58</v>
      </c>
      <c r="O1147" s="116">
        <v>776.5</v>
      </c>
      <c r="P1147" s="116">
        <v>780.8</v>
      </c>
      <c r="Q1147" s="116">
        <v>3951.6</v>
      </c>
      <c r="R1147">
        <v>495500</v>
      </c>
    </row>
    <row r="1148" spans="1:18" x14ac:dyDescent="0.25">
      <c r="A1148" s="170">
        <v>45792</v>
      </c>
      <c r="B1148" s="116">
        <v>746.64</v>
      </c>
      <c r="C1148" s="116">
        <v>745.25</v>
      </c>
      <c r="D1148" s="116">
        <v>727.63</v>
      </c>
      <c r="E1148" s="116">
        <v>732</v>
      </c>
      <c r="F1148" s="116">
        <v>3726.25</v>
      </c>
      <c r="G1148">
        <v>46818</v>
      </c>
      <c r="H1148" s="116"/>
      <c r="I1148" s="116"/>
      <c r="L1148" s="170">
        <v>45797</v>
      </c>
      <c r="M1148" s="116">
        <v>773.4</v>
      </c>
      <c r="N1148" s="116">
        <v>793.78</v>
      </c>
      <c r="O1148" s="116">
        <v>770.26</v>
      </c>
      <c r="P1148" s="116">
        <v>792.22</v>
      </c>
      <c r="Q1148" s="116">
        <v>3867</v>
      </c>
      <c r="R1148">
        <v>351640</v>
      </c>
    </row>
    <row r="1149" spans="1:18" x14ac:dyDescent="0.25">
      <c r="A1149" s="170">
        <v>45793</v>
      </c>
      <c r="B1149" s="116">
        <v>785.8</v>
      </c>
      <c r="C1149" s="116">
        <v>778.56</v>
      </c>
      <c r="D1149" s="116">
        <v>750.4</v>
      </c>
      <c r="E1149" s="116">
        <v>754.95</v>
      </c>
      <c r="F1149" s="116">
        <v>3892.8</v>
      </c>
      <c r="G1149">
        <v>39046</v>
      </c>
      <c r="H1149" s="116"/>
      <c r="I1149" s="116"/>
      <c r="L1149" s="170">
        <v>45798</v>
      </c>
      <c r="M1149" s="116">
        <v>777.5</v>
      </c>
      <c r="N1149" s="116">
        <v>784.8</v>
      </c>
      <c r="O1149" s="116">
        <v>767.72</v>
      </c>
      <c r="P1149" s="116">
        <v>770.82</v>
      </c>
      <c r="Q1149" s="116">
        <v>3887.5</v>
      </c>
      <c r="R1149">
        <v>241324</v>
      </c>
    </row>
    <row r="1150" spans="1:18" x14ac:dyDescent="0.25">
      <c r="A1150" s="170">
        <v>45796</v>
      </c>
      <c r="B1150" s="116">
        <v>797.24</v>
      </c>
      <c r="C1150" s="116">
        <v>789.9</v>
      </c>
      <c r="D1150" s="116">
        <v>776.2</v>
      </c>
      <c r="E1150" s="116">
        <v>786.29</v>
      </c>
      <c r="F1150" s="116">
        <v>3949.5</v>
      </c>
      <c r="G1150">
        <v>39140</v>
      </c>
      <c r="H1150" s="116"/>
      <c r="I1150" s="116"/>
      <c r="L1150" s="170">
        <v>45799</v>
      </c>
      <c r="M1150" s="116">
        <v>776.52</v>
      </c>
      <c r="N1150" s="116">
        <v>788.74</v>
      </c>
      <c r="O1150" s="116">
        <v>769.58</v>
      </c>
      <c r="P1150" s="116">
        <v>777.8</v>
      </c>
      <c r="Q1150" s="116">
        <v>3882.6</v>
      </c>
      <c r="R1150">
        <v>297645</v>
      </c>
    </row>
    <row r="1151" spans="1:18" x14ac:dyDescent="0.25">
      <c r="A1151" s="170">
        <v>45797</v>
      </c>
      <c r="B1151" s="116">
        <v>795</v>
      </c>
      <c r="C1151" s="116">
        <v>773.33</v>
      </c>
      <c r="D1151" s="116">
        <v>770.45</v>
      </c>
      <c r="E1151" s="116">
        <v>795</v>
      </c>
      <c r="F1151" s="116">
        <v>3866.65</v>
      </c>
      <c r="G1151">
        <v>16047</v>
      </c>
      <c r="H1151" s="116"/>
      <c r="I1151" s="116"/>
      <c r="L1151" s="170">
        <v>45800</v>
      </c>
      <c r="M1151" s="116">
        <v>776.9</v>
      </c>
      <c r="N1151" s="116">
        <v>781.68</v>
      </c>
      <c r="O1151" s="116">
        <v>769.92</v>
      </c>
      <c r="P1151" s="116">
        <v>781</v>
      </c>
      <c r="Q1151" s="116">
        <v>3884.5</v>
      </c>
      <c r="R1151">
        <v>392855</v>
      </c>
    </row>
    <row r="1152" spans="1:18" x14ac:dyDescent="0.25">
      <c r="A1152" s="170">
        <v>45798</v>
      </c>
      <c r="B1152" s="116">
        <v>784.93</v>
      </c>
      <c r="C1152" s="116">
        <v>777.49</v>
      </c>
      <c r="D1152" s="116">
        <v>769.61</v>
      </c>
      <c r="E1152" s="116">
        <v>773.33</v>
      </c>
      <c r="F1152" s="116">
        <v>3887.45</v>
      </c>
      <c r="G1152">
        <v>10830</v>
      </c>
      <c r="H1152" s="116"/>
      <c r="I1152" s="116"/>
      <c r="L1152" s="170">
        <v>45803</v>
      </c>
      <c r="M1152" s="116">
        <v>795.54</v>
      </c>
      <c r="N1152" s="116">
        <v>797.8</v>
      </c>
      <c r="O1152" s="116">
        <v>777.92</v>
      </c>
      <c r="P1152" s="116">
        <v>777.92</v>
      </c>
      <c r="Q1152" s="116">
        <v>3977.7</v>
      </c>
      <c r="R1152">
        <v>403184</v>
      </c>
    </row>
    <row r="1153" spans="1:18" x14ac:dyDescent="0.25">
      <c r="A1153" s="170">
        <v>45799</v>
      </c>
      <c r="B1153" s="116">
        <v>789.11</v>
      </c>
      <c r="C1153" s="116">
        <v>776.94</v>
      </c>
      <c r="D1153" s="116">
        <v>770</v>
      </c>
      <c r="E1153" s="116">
        <v>777.49</v>
      </c>
      <c r="F1153" s="116">
        <v>3884.7</v>
      </c>
      <c r="G1153">
        <v>13717</v>
      </c>
      <c r="H1153" s="116"/>
      <c r="I1153" s="116"/>
      <c r="L1153" s="170">
        <v>45804</v>
      </c>
      <c r="M1153" s="116">
        <v>795.28</v>
      </c>
      <c r="N1153" s="116">
        <v>803</v>
      </c>
      <c r="O1153" s="116">
        <v>790.6</v>
      </c>
      <c r="P1153" s="116">
        <v>802</v>
      </c>
      <c r="Q1153" s="116">
        <v>3976.4</v>
      </c>
      <c r="R1153">
        <v>355913</v>
      </c>
    </row>
    <row r="1154" spans="1:18" x14ac:dyDescent="0.25">
      <c r="A1154" s="170">
        <v>45800</v>
      </c>
      <c r="B1154" s="116">
        <v>781.24</v>
      </c>
      <c r="C1154" s="116">
        <v>776.45</v>
      </c>
      <c r="D1154" s="116">
        <v>770.2</v>
      </c>
      <c r="E1154" s="116">
        <v>777.11</v>
      </c>
      <c r="F1154" s="116">
        <v>3882.25</v>
      </c>
      <c r="G1154">
        <v>23442</v>
      </c>
      <c r="H1154" s="116"/>
      <c r="I1154" s="116"/>
      <c r="L1154" s="170">
        <v>45805</v>
      </c>
      <c r="M1154" s="116">
        <v>796.48</v>
      </c>
      <c r="N1154" s="116">
        <v>808.34</v>
      </c>
      <c r="O1154" s="116">
        <v>795</v>
      </c>
      <c r="P1154" s="116">
        <v>796</v>
      </c>
      <c r="Q1154" s="116">
        <v>3982.4</v>
      </c>
      <c r="R1154">
        <v>335592</v>
      </c>
    </row>
    <row r="1155" spans="1:18" x14ac:dyDescent="0.25">
      <c r="A1155" s="170">
        <v>45803</v>
      </c>
      <c r="B1155" s="116">
        <v>798</v>
      </c>
      <c r="C1155" s="116">
        <v>795.9</v>
      </c>
      <c r="D1155" s="116">
        <v>779</v>
      </c>
      <c r="E1155" s="116">
        <v>779</v>
      </c>
      <c r="F1155" s="116">
        <v>3979.5</v>
      </c>
      <c r="G1155">
        <v>17636</v>
      </c>
      <c r="H1155" s="116"/>
      <c r="I1155" s="116"/>
      <c r="L1155" s="170">
        <v>45806</v>
      </c>
      <c r="M1155" s="116">
        <v>794.54</v>
      </c>
      <c r="N1155" s="116">
        <v>804</v>
      </c>
      <c r="O1155" s="116">
        <v>790.66</v>
      </c>
      <c r="P1155" s="116">
        <v>801.96</v>
      </c>
      <c r="Q1155" s="116">
        <v>3972.7</v>
      </c>
      <c r="R1155">
        <v>188759</v>
      </c>
    </row>
    <row r="1156" spans="1:18" x14ac:dyDescent="0.25">
      <c r="A1156" s="170">
        <v>45804</v>
      </c>
      <c r="B1156" s="116">
        <v>803.27</v>
      </c>
      <c r="C1156" s="116">
        <v>794.62</v>
      </c>
      <c r="D1156" s="116">
        <v>790.43</v>
      </c>
      <c r="E1156" s="116">
        <v>800</v>
      </c>
      <c r="F1156" s="116">
        <v>3973.1</v>
      </c>
      <c r="G1156">
        <v>34237</v>
      </c>
      <c r="H1156" s="116"/>
      <c r="I1156" s="116"/>
      <c r="L1156" s="170">
        <v>45807</v>
      </c>
      <c r="M1156" s="116">
        <v>792.22</v>
      </c>
      <c r="N1156" s="116">
        <v>807.36</v>
      </c>
      <c r="O1156" s="116">
        <v>789.2</v>
      </c>
      <c r="P1156" s="116">
        <v>794.38</v>
      </c>
      <c r="Q1156" s="116">
        <v>3961.1</v>
      </c>
      <c r="R1156">
        <v>351803</v>
      </c>
    </row>
    <row r="1157" spans="1:18" x14ac:dyDescent="0.25">
      <c r="A1157" s="170">
        <v>45805</v>
      </c>
      <c r="B1157" s="116">
        <v>808.62</v>
      </c>
      <c r="C1157" s="116">
        <v>796.48</v>
      </c>
      <c r="D1157" s="116">
        <v>795</v>
      </c>
      <c r="E1157" s="116">
        <v>795.39</v>
      </c>
      <c r="F1157" s="116">
        <v>3982.4</v>
      </c>
      <c r="G1157">
        <v>17156</v>
      </c>
      <c r="H1157" s="116"/>
      <c r="I1157" s="116"/>
      <c r="L1157" s="170">
        <v>45810</v>
      </c>
      <c r="M1157" s="116">
        <v>827.84</v>
      </c>
      <c r="N1157" s="116">
        <v>834</v>
      </c>
      <c r="O1157" s="116">
        <v>784.2</v>
      </c>
      <c r="P1157" s="116">
        <v>792</v>
      </c>
      <c r="Q1157" s="116">
        <v>4139.2</v>
      </c>
      <c r="R1157">
        <v>1427290</v>
      </c>
    </row>
    <row r="1158" spans="1:18" x14ac:dyDescent="0.25">
      <c r="A1158" s="170">
        <v>45806</v>
      </c>
      <c r="B1158" s="116">
        <v>803.99</v>
      </c>
      <c r="C1158" s="116">
        <v>794.38</v>
      </c>
      <c r="D1158" s="116">
        <v>790.67</v>
      </c>
      <c r="E1158" s="116">
        <v>803.79</v>
      </c>
      <c r="F1158" s="116">
        <v>3971.9</v>
      </c>
      <c r="G1158">
        <v>18017</v>
      </c>
      <c r="H1158" s="116"/>
      <c r="I1158" s="116"/>
      <c r="L1158" s="170">
        <v>45811</v>
      </c>
      <c r="M1158" s="116">
        <v>838.88</v>
      </c>
      <c r="N1158" s="116">
        <v>849.4</v>
      </c>
      <c r="O1158" s="116">
        <v>828.22</v>
      </c>
      <c r="P1158" s="116">
        <v>838.6</v>
      </c>
      <c r="Q1158" s="116">
        <v>4194.3999999999996</v>
      </c>
      <c r="R1158">
        <v>1429249</v>
      </c>
    </row>
    <row r="1159" spans="1:18" x14ac:dyDescent="0.25">
      <c r="A1159" s="170">
        <v>45807</v>
      </c>
      <c r="B1159" s="116">
        <v>807.49</v>
      </c>
      <c r="C1159" s="116">
        <v>792.46</v>
      </c>
      <c r="D1159" s="116">
        <v>789.2</v>
      </c>
      <c r="E1159" s="116">
        <v>799.89</v>
      </c>
      <c r="F1159" s="116">
        <v>3962.3</v>
      </c>
      <c r="G1159">
        <v>18742</v>
      </c>
      <c r="H1159" s="116"/>
      <c r="I1159" s="116"/>
      <c r="L1159" s="170">
        <v>45812</v>
      </c>
      <c r="M1159" s="116">
        <v>834.68</v>
      </c>
      <c r="N1159" s="116">
        <v>844.4</v>
      </c>
      <c r="O1159" s="116">
        <v>821.04</v>
      </c>
      <c r="P1159" s="116">
        <v>839.8</v>
      </c>
      <c r="Q1159" s="116">
        <v>4173.3999999999996</v>
      </c>
      <c r="R1159">
        <v>511172</v>
      </c>
    </row>
    <row r="1160" spans="1:18" x14ac:dyDescent="0.25">
      <c r="A1160" s="170">
        <v>45810</v>
      </c>
      <c r="B1160" s="116">
        <v>834.17</v>
      </c>
      <c r="C1160" s="116">
        <v>828</v>
      </c>
      <c r="D1160" s="116">
        <v>784</v>
      </c>
      <c r="E1160" s="116">
        <v>791.05</v>
      </c>
      <c r="F1160" s="116">
        <v>4140</v>
      </c>
      <c r="G1160">
        <v>98702</v>
      </c>
      <c r="H1160" s="116"/>
      <c r="I1160" s="116"/>
      <c r="L1160" s="170">
        <v>45813</v>
      </c>
      <c r="M1160" s="116">
        <v>849.66</v>
      </c>
      <c r="N1160" s="116">
        <v>854</v>
      </c>
      <c r="O1160" s="116">
        <v>834.2</v>
      </c>
      <c r="P1160" s="116">
        <v>838.8</v>
      </c>
      <c r="Q1160" s="116">
        <v>4248.3</v>
      </c>
      <c r="R1160">
        <v>877563</v>
      </c>
    </row>
    <row r="1161" spans="1:18" x14ac:dyDescent="0.25">
      <c r="A1161" s="170">
        <v>45811</v>
      </c>
      <c r="B1161" s="116">
        <v>848.8</v>
      </c>
      <c r="C1161" s="116">
        <v>838.62</v>
      </c>
      <c r="D1161" s="116">
        <v>828</v>
      </c>
      <c r="E1161" s="116">
        <v>839</v>
      </c>
      <c r="F1161" s="116">
        <v>4193.1000000000004</v>
      </c>
      <c r="G1161">
        <v>96728</v>
      </c>
      <c r="H1161" s="116"/>
      <c r="I1161" s="116"/>
      <c r="L1161" s="170">
        <v>45814</v>
      </c>
      <c r="M1161" s="116">
        <v>852.42</v>
      </c>
      <c r="N1161" s="116">
        <v>863.4</v>
      </c>
      <c r="O1161" s="116">
        <v>845.66</v>
      </c>
      <c r="P1161" s="116">
        <v>855</v>
      </c>
      <c r="Q1161" s="116">
        <v>4262.1000000000004</v>
      </c>
      <c r="R1161">
        <v>797136</v>
      </c>
    </row>
    <row r="1162" spans="1:18" x14ac:dyDescent="0.25">
      <c r="A1162" s="170">
        <v>45812</v>
      </c>
      <c r="B1162" s="116">
        <v>845</v>
      </c>
      <c r="C1162" s="116">
        <v>835.19</v>
      </c>
      <c r="D1162" s="116">
        <v>821.4</v>
      </c>
      <c r="E1162" s="116">
        <v>838.88</v>
      </c>
      <c r="F1162" s="116">
        <v>4175.95</v>
      </c>
      <c r="G1162">
        <v>29864</v>
      </c>
      <c r="H1162" s="116"/>
      <c r="I1162" s="116"/>
      <c r="L1162" s="170">
        <v>45817</v>
      </c>
      <c r="M1162" s="116">
        <v>854.26</v>
      </c>
      <c r="N1162" s="116">
        <v>864.88</v>
      </c>
      <c r="O1162" s="116">
        <v>849.8</v>
      </c>
      <c r="P1162" s="116">
        <v>858.8</v>
      </c>
      <c r="Q1162" s="116">
        <v>4271.3</v>
      </c>
      <c r="R1162">
        <v>443747</v>
      </c>
    </row>
    <row r="1163" spans="1:18" x14ac:dyDescent="0.25">
      <c r="A1163" s="170">
        <v>45813</v>
      </c>
      <c r="B1163" s="116">
        <v>854</v>
      </c>
      <c r="C1163" s="116">
        <v>849.79</v>
      </c>
      <c r="D1163" s="116">
        <v>834.28</v>
      </c>
      <c r="E1163" s="116">
        <v>836.65</v>
      </c>
      <c r="F1163" s="116">
        <v>4248.95</v>
      </c>
      <c r="G1163">
        <v>55116</v>
      </c>
      <c r="H1163" s="116"/>
      <c r="I1163" s="116"/>
      <c r="L1163" s="170">
        <v>45818</v>
      </c>
      <c r="M1163" s="116">
        <v>852.22</v>
      </c>
      <c r="N1163" s="116">
        <v>866</v>
      </c>
      <c r="O1163" s="116">
        <v>850</v>
      </c>
      <c r="P1163" s="116">
        <v>857.98</v>
      </c>
      <c r="Q1163" s="116">
        <v>4261.1000000000004</v>
      </c>
      <c r="R1163">
        <v>350539</v>
      </c>
    </row>
    <row r="1164" spans="1:18" x14ac:dyDescent="0.25">
      <c r="A1164" s="170">
        <v>45814</v>
      </c>
      <c r="B1164" s="116">
        <v>863.4</v>
      </c>
      <c r="C1164" s="116">
        <v>852.28</v>
      </c>
      <c r="D1164" s="116">
        <v>846</v>
      </c>
      <c r="E1164" s="116">
        <v>855.6</v>
      </c>
      <c r="F1164" s="116">
        <v>4261.3999999999996</v>
      </c>
      <c r="G1164">
        <v>81878</v>
      </c>
      <c r="H1164" s="116"/>
      <c r="I1164" s="116"/>
      <c r="L1164" s="170">
        <v>45819</v>
      </c>
      <c r="M1164" s="116">
        <v>845.76</v>
      </c>
      <c r="N1164" s="116">
        <v>865.98</v>
      </c>
      <c r="O1164" s="116">
        <v>836.04</v>
      </c>
      <c r="P1164" s="116">
        <v>850.02</v>
      </c>
      <c r="Q1164" s="116">
        <v>4228.8</v>
      </c>
      <c r="R1164">
        <v>650139</v>
      </c>
    </row>
    <row r="1165" spans="1:18" x14ac:dyDescent="0.25">
      <c r="A1165" s="170">
        <v>45817</v>
      </c>
      <c r="B1165" s="116">
        <v>864.78</v>
      </c>
      <c r="C1165" s="116">
        <v>855.14</v>
      </c>
      <c r="D1165" s="116">
        <v>850.52</v>
      </c>
      <c r="E1165" s="116">
        <v>863.25</v>
      </c>
      <c r="F1165" s="116">
        <v>4275.7</v>
      </c>
      <c r="G1165">
        <v>16801</v>
      </c>
      <c r="H1165" s="116"/>
      <c r="I1165" s="116"/>
      <c r="L1165" s="170">
        <v>45820</v>
      </c>
      <c r="M1165" s="116">
        <v>814.54</v>
      </c>
      <c r="N1165" s="116">
        <v>850.9</v>
      </c>
      <c r="O1165" s="116">
        <v>811.7</v>
      </c>
      <c r="P1165" s="116">
        <v>847.4</v>
      </c>
      <c r="Q1165" s="116">
        <v>4072.7</v>
      </c>
      <c r="R1165">
        <v>521222</v>
      </c>
    </row>
    <row r="1166" spans="1:18" x14ac:dyDescent="0.25">
      <c r="A1166" s="170">
        <v>45818</v>
      </c>
      <c r="B1166" s="116">
        <v>865.6</v>
      </c>
      <c r="C1166" s="116">
        <v>852.13</v>
      </c>
      <c r="D1166" s="116">
        <v>850.03</v>
      </c>
      <c r="E1166" s="116">
        <v>861.97</v>
      </c>
      <c r="F1166" s="116">
        <v>4260.6499999999996</v>
      </c>
      <c r="G1166">
        <v>45751</v>
      </c>
      <c r="H1166" s="116"/>
      <c r="I1166" s="116"/>
      <c r="L1166" s="170">
        <v>45821</v>
      </c>
      <c r="M1166" s="116">
        <v>796.14</v>
      </c>
      <c r="N1166" s="116">
        <v>801.16</v>
      </c>
      <c r="O1166" s="116">
        <v>785.2</v>
      </c>
      <c r="P1166" s="116">
        <v>786</v>
      </c>
      <c r="Q1166" s="116">
        <v>3980.7</v>
      </c>
      <c r="R1166">
        <v>537298</v>
      </c>
    </row>
    <row r="1167" spans="1:18" x14ac:dyDescent="0.25">
      <c r="A1167" s="170">
        <v>45819</v>
      </c>
      <c r="B1167" s="116">
        <v>866</v>
      </c>
      <c r="C1167" s="116">
        <v>845.63</v>
      </c>
      <c r="D1167" s="116">
        <v>836.14</v>
      </c>
      <c r="E1167" s="116">
        <v>849.21</v>
      </c>
      <c r="F1167" s="116">
        <v>4228.1499999999996</v>
      </c>
      <c r="G1167">
        <v>34934</v>
      </c>
      <c r="H1167" s="116"/>
      <c r="I1167" s="116"/>
      <c r="L1167" s="170">
        <v>45824</v>
      </c>
      <c r="M1167" s="116">
        <v>823.78</v>
      </c>
      <c r="N1167" s="116">
        <v>825.56</v>
      </c>
      <c r="O1167" s="116">
        <v>780.88</v>
      </c>
      <c r="P1167" s="116">
        <v>796.14</v>
      </c>
      <c r="Q1167" s="116">
        <v>4118.8999999999996</v>
      </c>
      <c r="R1167">
        <v>508484</v>
      </c>
    </row>
    <row r="1168" spans="1:18" x14ac:dyDescent="0.25">
      <c r="A1168" s="170">
        <v>45820</v>
      </c>
      <c r="B1168" s="116">
        <v>851.7</v>
      </c>
      <c r="C1168" s="116">
        <v>815.05</v>
      </c>
      <c r="D1168" s="116">
        <v>812.03</v>
      </c>
      <c r="E1168" s="116">
        <v>845.85</v>
      </c>
      <c r="F1168" s="116">
        <v>4075.25</v>
      </c>
      <c r="G1168">
        <v>18812</v>
      </c>
      <c r="H1168" s="116"/>
      <c r="I1168" s="116"/>
      <c r="L1168" s="170">
        <v>45825</v>
      </c>
      <c r="M1168" s="116">
        <v>836.28</v>
      </c>
      <c r="N1168" s="116">
        <v>849.4</v>
      </c>
      <c r="O1168" s="116">
        <v>819.26</v>
      </c>
      <c r="P1168" s="116">
        <v>823.78</v>
      </c>
      <c r="Q1168" s="116">
        <v>4181.3999999999996</v>
      </c>
      <c r="R1168">
        <v>861312</v>
      </c>
    </row>
    <row r="1169" spans="1:18" x14ac:dyDescent="0.25">
      <c r="A1169" s="170">
        <v>45821</v>
      </c>
      <c r="B1169" s="116">
        <v>800.6</v>
      </c>
      <c r="C1169" s="116">
        <v>796.24</v>
      </c>
      <c r="D1169" s="116">
        <v>784</v>
      </c>
      <c r="E1169" s="116">
        <v>784.08</v>
      </c>
      <c r="F1169" s="116">
        <v>3981.2</v>
      </c>
      <c r="G1169">
        <v>47692</v>
      </c>
      <c r="H1169" s="116"/>
      <c r="I1169" s="116"/>
      <c r="L1169" s="170">
        <v>45826</v>
      </c>
      <c r="M1169" s="116">
        <v>829.22</v>
      </c>
      <c r="N1169" s="116">
        <v>839.6</v>
      </c>
      <c r="O1169" s="116">
        <v>824.22</v>
      </c>
      <c r="P1169" s="116">
        <v>836.2</v>
      </c>
      <c r="Q1169" s="116">
        <v>4146.1000000000004</v>
      </c>
      <c r="R1169">
        <v>321584</v>
      </c>
    </row>
    <row r="1170" spans="1:18" x14ac:dyDescent="0.25">
      <c r="A1170" s="170">
        <v>45824</v>
      </c>
      <c r="B1170" s="116">
        <v>825</v>
      </c>
      <c r="C1170" s="116">
        <v>823.35</v>
      </c>
      <c r="D1170" s="116">
        <v>780.6</v>
      </c>
      <c r="E1170" s="116">
        <v>796</v>
      </c>
      <c r="F1170" s="116">
        <v>4116.75</v>
      </c>
      <c r="G1170">
        <v>45332</v>
      </c>
      <c r="H1170" s="116"/>
      <c r="I1170" s="116"/>
      <c r="L1170" s="170">
        <v>45827</v>
      </c>
      <c r="M1170" s="116">
        <v>802.96</v>
      </c>
      <c r="N1170" s="116">
        <v>829.04</v>
      </c>
      <c r="O1170" s="116">
        <v>798.2</v>
      </c>
      <c r="P1170" s="116">
        <v>826.2</v>
      </c>
      <c r="Q1170" s="116">
        <v>4014.8</v>
      </c>
      <c r="R1170">
        <v>418951</v>
      </c>
    </row>
    <row r="1171" spans="1:18" x14ac:dyDescent="0.25">
      <c r="A1171" s="170">
        <v>45825</v>
      </c>
      <c r="B1171" s="116">
        <v>849.59</v>
      </c>
      <c r="C1171" s="116">
        <v>834.99</v>
      </c>
      <c r="D1171" s="116">
        <v>820</v>
      </c>
      <c r="E1171" s="116">
        <v>823.35</v>
      </c>
      <c r="F1171" s="116">
        <v>4174.95</v>
      </c>
      <c r="G1171">
        <v>24717</v>
      </c>
      <c r="H1171" s="116"/>
      <c r="I1171" s="116"/>
      <c r="L1171" s="170">
        <v>45828</v>
      </c>
      <c r="M1171" s="116">
        <v>833.48</v>
      </c>
      <c r="N1171" s="116">
        <v>839.8</v>
      </c>
      <c r="O1171" s="116">
        <v>804</v>
      </c>
      <c r="P1171" s="116">
        <v>804</v>
      </c>
      <c r="Q1171" s="116">
        <v>4167.3999999999996</v>
      </c>
      <c r="R1171">
        <v>630921</v>
      </c>
    </row>
    <row r="1172" spans="1:18" x14ac:dyDescent="0.25">
      <c r="A1172" s="170">
        <v>45826</v>
      </c>
      <c r="B1172" s="116">
        <v>839</v>
      </c>
      <c r="C1172" s="116">
        <v>828.42</v>
      </c>
      <c r="D1172" s="116">
        <v>824.2</v>
      </c>
      <c r="E1172" s="116">
        <v>836</v>
      </c>
      <c r="F1172" s="116">
        <v>4142.1000000000004</v>
      </c>
      <c r="G1172">
        <v>7836</v>
      </c>
      <c r="H1172" s="116"/>
      <c r="I1172" s="116"/>
      <c r="L1172" s="170">
        <v>45831</v>
      </c>
      <c r="M1172" s="116">
        <v>840.7</v>
      </c>
      <c r="N1172" s="116">
        <v>848.8</v>
      </c>
      <c r="O1172" s="116">
        <v>822.92</v>
      </c>
      <c r="P1172" s="116">
        <v>831</v>
      </c>
      <c r="Q1172" s="116">
        <v>4203.5</v>
      </c>
      <c r="R1172">
        <v>566572</v>
      </c>
    </row>
    <row r="1173" spans="1:18" x14ac:dyDescent="0.25">
      <c r="A1173" s="170">
        <v>45827</v>
      </c>
      <c r="B1173" s="116">
        <v>829.2</v>
      </c>
      <c r="C1173" s="116">
        <v>803.05</v>
      </c>
      <c r="D1173" s="116">
        <v>798.6</v>
      </c>
      <c r="E1173" s="116">
        <v>827.54</v>
      </c>
      <c r="F1173" s="116">
        <v>4015.25</v>
      </c>
      <c r="G1173">
        <v>11116</v>
      </c>
      <c r="H1173" s="116"/>
      <c r="I1173" s="116"/>
      <c r="L1173" s="170">
        <v>45832</v>
      </c>
      <c r="M1173" s="116">
        <v>845.4</v>
      </c>
      <c r="N1173" s="116">
        <v>862.8</v>
      </c>
      <c r="O1173" s="116">
        <v>843.9</v>
      </c>
      <c r="P1173" s="116">
        <v>851.8</v>
      </c>
      <c r="Q1173" s="116">
        <v>4227</v>
      </c>
      <c r="R1173">
        <v>557835</v>
      </c>
    </row>
    <row r="1174" spans="1:18" x14ac:dyDescent="0.25">
      <c r="A1174" s="170">
        <v>45828</v>
      </c>
      <c r="B1174" s="116">
        <v>839.6</v>
      </c>
      <c r="C1174" s="116">
        <v>833.67</v>
      </c>
      <c r="D1174" s="116">
        <v>802.79</v>
      </c>
      <c r="E1174" s="116">
        <v>802.8</v>
      </c>
      <c r="F1174" s="116">
        <v>4168.3500000000004</v>
      </c>
      <c r="G1174">
        <v>40004</v>
      </c>
      <c r="H1174" s="116"/>
      <c r="I1174" s="116"/>
      <c r="L1174" s="170">
        <v>45833</v>
      </c>
      <c r="M1174" s="116">
        <v>844.84</v>
      </c>
      <c r="N1174" s="116">
        <v>865</v>
      </c>
      <c r="O1174" s="116">
        <v>843.4</v>
      </c>
      <c r="P1174" s="116">
        <v>848</v>
      </c>
      <c r="Q1174" s="116">
        <v>4224.2</v>
      </c>
      <c r="R1174">
        <v>619050</v>
      </c>
    </row>
    <row r="1175" spans="1:18" x14ac:dyDescent="0.25">
      <c r="A1175" s="170">
        <v>45831</v>
      </c>
      <c r="B1175" s="116">
        <v>848.83</v>
      </c>
      <c r="C1175" s="116">
        <v>840.86</v>
      </c>
      <c r="D1175" s="116">
        <v>822.59</v>
      </c>
      <c r="E1175" s="116">
        <v>830</v>
      </c>
      <c r="F1175" s="116">
        <v>4204.3</v>
      </c>
      <c r="G1175">
        <v>51508</v>
      </c>
      <c r="H1175" s="116"/>
      <c r="I1175" s="116"/>
      <c r="L1175" s="170">
        <v>45834</v>
      </c>
      <c r="M1175" s="116">
        <v>842.56</v>
      </c>
      <c r="N1175" s="116">
        <v>851</v>
      </c>
      <c r="O1175" s="116">
        <v>830</v>
      </c>
      <c r="P1175" s="116">
        <v>848.04</v>
      </c>
      <c r="Q1175" s="116">
        <v>4212.8</v>
      </c>
      <c r="R1175">
        <v>532397</v>
      </c>
    </row>
    <row r="1176" spans="1:18" x14ac:dyDescent="0.25">
      <c r="A1176" s="170">
        <v>45832</v>
      </c>
      <c r="B1176" s="116">
        <v>862.93</v>
      </c>
      <c r="C1176" s="116">
        <v>845.07</v>
      </c>
      <c r="D1176" s="116">
        <v>844</v>
      </c>
      <c r="E1176" s="116">
        <v>852</v>
      </c>
      <c r="F1176" s="116">
        <v>4225.3500000000004</v>
      </c>
      <c r="G1176">
        <v>52233</v>
      </c>
      <c r="H1176" s="116"/>
      <c r="I1176" s="116"/>
      <c r="L1176" s="170">
        <v>45835</v>
      </c>
      <c r="M1176" s="116">
        <v>858.58</v>
      </c>
      <c r="N1176" s="116">
        <v>866.8</v>
      </c>
      <c r="O1176" s="116">
        <v>843.74</v>
      </c>
      <c r="P1176" s="116">
        <v>846.94</v>
      </c>
      <c r="Q1176" s="116">
        <v>4292.8999999999996</v>
      </c>
      <c r="R1176">
        <v>634902</v>
      </c>
    </row>
    <row r="1177" spans="1:18" x14ac:dyDescent="0.25">
      <c r="A1177" s="170">
        <v>45833</v>
      </c>
      <c r="B1177" s="116">
        <v>865.49</v>
      </c>
      <c r="C1177" s="116">
        <v>844.77</v>
      </c>
      <c r="D1177" s="116">
        <v>843.27</v>
      </c>
      <c r="E1177" s="116">
        <v>851.87</v>
      </c>
      <c r="F1177" s="116">
        <v>4223.8500000000004</v>
      </c>
      <c r="G1177">
        <v>19525</v>
      </c>
      <c r="H1177" s="116"/>
      <c r="I1177" s="116"/>
      <c r="L1177" s="170">
        <v>45838</v>
      </c>
      <c r="M1177" s="116">
        <v>858.04</v>
      </c>
      <c r="N1177" s="116">
        <v>875</v>
      </c>
      <c r="O1177" s="116">
        <v>855.6</v>
      </c>
      <c r="P1177" s="116">
        <v>862.6</v>
      </c>
      <c r="Q1177" s="116">
        <v>4290.2</v>
      </c>
      <c r="R1177">
        <v>589571</v>
      </c>
    </row>
    <row r="1178" spans="1:18" x14ac:dyDescent="0.25">
      <c r="A1178" s="170">
        <v>45834</v>
      </c>
      <c r="B1178" s="116">
        <v>849.92</v>
      </c>
      <c r="C1178" s="116">
        <v>842.97</v>
      </c>
      <c r="D1178" s="116">
        <v>830.4</v>
      </c>
      <c r="E1178" s="116">
        <v>849.92</v>
      </c>
      <c r="F1178" s="116">
        <v>4214.8500000000004</v>
      </c>
      <c r="G1178">
        <v>12773</v>
      </c>
      <c r="H1178" s="116"/>
      <c r="I1178" s="116"/>
      <c r="L1178" s="170">
        <v>45839</v>
      </c>
      <c r="M1178" s="116">
        <v>848.62</v>
      </c>
      <c r="N1178" s="116">
        <v>863.66</v>
      </c>
      <c r="O1178" s="116">
        <v>846.4</v>
      </c>
      <c r="P1178" s="116">
        <v>862.8</v>
      </c>
      <c r="Q1178" s="116">
        <v>4243.1000000000004</v>
      </c>
      <c r="R1178">
        <v>355443</v>
      </c>
    </row>
    <row r="1179" spans="1:18" x14ac:dyDescent="0.25">
      <c r="A1179" s="170">
        <v>45835</v>
      </c>
      <c r="B1179" s="116">
        <v>866.7</v>
      </c>
      <c r="C1179" s="116">
        <v>858.41</v>
      </c>
      <c r="D1179" s="116">
        <v>842.98</v>
      </c>
      <c r="E1179" s="116">
        <v>842.98</v>
      </c>
      <c r="F1179" s="116">
        <v>4292.05</v>
      </c>
      <c r="G1179">
        <v>45238</v>
      </c>
      <c r="H1179" s="116"/>
      <c r="I1179" s="116"/>
      <c r="L1179" s="170">
        <v>45840</v>
      </c>
      <c r="M1179" s="116">
        <v>846.2</v>
      </c>
      <c r="N1179" s="116">
        <v>856.8</v>
      </c>
      <c r="O1179" s="116">
        <v>843.8</v>
      </c>
      <c r="P1179" s="116">
        <v>848.62</v>
      </c>
      <c r="Q1179" s="116">
        <v>4231</v>
      </c>
      <c r="R1179">
        <v>177377</v>
      </c>
    </row>
    <row r="1180" spans="1:18" x14ac:dyDescent="0.25">
      <c r="A1180" s="170">
        <v>45838</v>
      </c>
      <c r="B1180" s="116">
        <v>875</v>
      </c>
      <c r="C1180" s="116">
        <v>859.89</v>
      </c>
      <c r="D1180" s="116">
        <v>856</v>
      </c>
      <c r="E1180" s="116">
        <v>865.99</v>
      </c>
      <c r="F1180" s="116">
        <v>4299.45</v>
      </c>
      <c r="G1180">
        <v>26190</v>
      </c>
      <c r="H1180" s="116"/>
      <c r="I1180" s="116"/>
      <c r="L1180" s="170">
        <v>45841</v>
      </c>
      <c r="M1180" s="116">
        <v>851.68</v>
      </c>
      <c r="N1180" s="116">
        <v>854.64</v>
      </c>
      <c r="O1180" s="116">
        <v>846.52</v>
      </c>
      <c r="P1180" s="116">
        <v>848</v>
      </c>
      <c r="Q1180" s="116">
        <v>4258.3999999999996</v>
      </c>
      <c r="R1180">
        <v>165606</v>
      </c>
    </row>
    <row r="1181" spans="1:18" x14ac:dyDescent="0.25">
      <c r="A1181" s="170">
        <v>45839</v>
      </c>
      <c r="B1181" s="116">
        <v>864.87</v>
      </c>
      <c r="C1181" s="116">
        <v>848.9</v>
      </c>
      <c r="D1181" s="116">
        <v>846</v>
      </c>
      <c r="E1181" s="116">
        <v>864.87</v>
      </c>
      <c r="F1181" s="116">
        <v>4244.5</v>
      </c>
      <c r="G1181">
        <v>19912</v>
      </c>
      <c r="H1181" s="116"/>
      <c r="I1181" s="116"/>
      <c r="L1181" s="170">
        <v>45842</v>
      </c>
      <c r="M1181" s="116">
        <v>846.36</v>
      </c>
      <c r="N1181" s="116">
        <v>856.42</v>
      </c>
      <c r="O1181" s="116">
        <v>834.12</v>
      </c>
      <c r="P1181" s="116">
        <v>851.6</v>
      </c>
      <c r="Q1181" s="116">
        <v>4231.8</v>
      </c>
      <c r="R1181">
        <v>269209</v>
      </c>
    </row>
    <row r="1182" spans="1:18" x14ac:dyDescent="0.25">
      <c r="A1182" s="170">
        <v>45840</v>
      </c>
      <c r="B1182" s="116">
        <v>856.79</v>
      </c>
      <c r="C1182" s="116">
        <v>845.93</v>
      </c>
      <c r="D1182" s="116">
        <v>843.44</v>
      </c>
      <c r="E1182" s="116">
        <v>846.05</v>
      </c>
      <c r="F1182" s="116">
        <v>4229.6499999999996</v>
      </c>
      <c r="G1182">
        <v>33086</v>
      </c>
      <c r="H1182" s="116"/>
      <c r="I1182" s="116"/>
      <c r="L1182" s="170">
        <v>45845</v>
      </c>
      <c r="M1182" s="116">
        <v>828.4</v>
      </c>
      <c r="N1182" s="116">
        <v>842.98</v>
      </c>
      <c r="O1182" s="116">
        <v>827</v>
      </c>
      <c r="P1182" s="116">
        <v>842.44</v>
      </c>
      <c r="Q1182" s="116">
        <v>4142</v>
      </c>
      <c r="R1182">
        <v>299909</v>
      </c>
    </row>
    <row r="1183" spans="1:18" x14ac:dyDescent="0.25">
      <c r="A1183" s="170">
        <v>45841</v>
      </c>
      <c r="B1183" s="116">
        <v>854.4</v>
      </c>
      <c r="C1183" s="116">
        <v>851.25</v>
      </c>
      <c r="D1183" s="116">
        <v>845.86</v>
      </c>
      <c r="E1183" s="116">
        <v>845.86</v>
      </c>
      <c r="F1183" s="116">
        <v>4256.25</v>
      </c>
      <c r="G1183">
        <v>6665</v>
      </c>
      <c r="H1183" s="116"/>
      <c r="I1183" s="116"/>
      <c r="L1183" s="170">
        <v>45846</v>
      </c>
      <c r="M1183" s="116">
        <v>824.36</v>
      </c>
      <c r="N1183" s="116">
        <v>833.14</v>
      </c>
      <c r="O1183" s="116">
        <v>818.1</v>
      </c>
      <c r="P1183" s="116">
        <v>828.6</v>
      </c>
      <c r="Q1183" s="116">
        <v>4121.8</v>
      </c>
      <c r="R1183">
        <v>494117</v>
      </c>
    </row>
    <row r="1184" spans="1:18" x14ac:dyDescent="0.25">
      <c r="A1184" s="170">
        <v>45842</v>
      </c>
      <c r="B1184" s="116">
        <v>856.06</v>
      </c>
      <c r="C1184" s="116">
        <v>846.14</v>
      </c>
      <c r="D1184" s="116">
        <v>834.5</v>
      </c>
      <c r="E1184" s="116">
        <v>852.91</v>
      </c>
      <c r="F1184" s="116">
        <v>4230.7</v>
      </c>
      <c r="G1184">
        <v>10243</v>
      </c>
      <c r="H1184" s="116"/>
      <c r="I1184" s="116"/>
      <c r="L1184" s="170">
        <v>45847</v>
      </c>
      <c r="M1184" s="116">
        <v>838.16</v>
      </c>
      <c r="N1184" s="116">
        <v>840.28</v>
      </c>
      <c r="O1184" s="116">
        <v>822.28</v>
      </c>
      <c r="P1184" s="116">
        <v>828.8</v>
      </c>
      <c r="Q1184" s="116">
        <v>4190.8</v>
      </c>
      <c r="R1184">
        <v>495037</v>
      </c>
    </row>
    <row r="1185" spans="1:18" x14ac:dyDescent="0.25">
      <c r="A1185" s="170">
        <v>45845</v>
      </c>
      <c r="B1185" s="116">
        <v>845.42</v>
      </c>
      <c r="C1185" s="116">
        <v>827.58</v>
      </c>
      <c r="D1185" s="116">
        <v>824.35</v>
      </c>
      <c r="E1185" s="116">
        <v>845.42</v>
      </c>
      <c r="F1185" s="116">
        <v>4137.8999999999996</v>
      </c>
      <c r="G1185">
        <v>10860</v>
      </c>
      <c r="H1185" s="116"/>
      <c r="I1185" s="116"/>
      <c r="L1185" s="170">
        <v>45848</v>
      </c>
      <c r="M1185" s="116">
        <v>837.58</v>
      </c>
      <c r="N1185" s="116">
        <v>849.8</v>
      </c>
      <c r="O1185" s="116">
        <v>834.36</v>
      </c>
      <c r="P1185" s="116">
        <v>841.4</v>
      </c>
      <c r="Q1185" s="116">
        <v>4187.8999999999996</v>
      </c>
      <c r="R1185">
        <v>254430</v>
      </c>
    </row>
    <row r="1186" spans="1:18" x14ac:dyDescent="0.25">
      <c r="A1186" s="170">
        <v>45846</v>
      </c>
      <c r="B1186" s="116">
        <v>833.34</v>
      </c>
      <c r="C1186" s="116">
        <v>824.69</v>
      </c>
      <c r="D1186" s="116">
        <v>818.1</v>
      </c>
      <c r="E1186" s="116">
        <v>824.57</v>
      </c>
      <c r="F1186" s="116">
        <v>4123.45</v>
      </c>
      <c r="G1186">
        <v>9266</v>
      </c>
      <c r="H1186" s="116"/>
      <c r="I1186" s="116"/>
      <c r="L1186" s="170">
        <v>45849</v>
      </c>
      <c r="M1186" s="116">
        <v>813.92</v>
      </c>
      <c r="N1186" s="116">
        <v>837.8</v>
      </c>
      <c r="O1186" s="116">
        <v>805</v>
      </c>
      <c r="P1186" s="116">
        <v>837.8</v>
      </c>
      <c r="Q1186" s="116">
        <v>4069.6</v>
      </c>
      <c r="R1186">
        <v>673573</v>
      </c>
    </row>
    <row r="1187" spans="1:18" x14ac:dyDescent="0.25">
      <c r="A1187" s="170">
        <v>45847</v>
      </c>
      <c r="B1187" s="116">
        <v>840.03</v>
      </c>
      <c r="C1187" s="116">
        <v>838.27</v>
      </c>
      <c r="D1187" s="116">
        <v>822.76</v>
      </c>
      <c r="E1187" s="116">
        <v>826</v>
      </c>
      <c r="F1187" s="116">
        <v>4191.3500000000004</v>
      </c>
      <c r="G1187">
        <v>18953</v>
      </c>
      <c r="H1187" s="116"/>
      <c r="I1187" s="116"/>
      <c r="L1187" s="170">
        <v>45852</v>
      </c>
      <c r="M1187" s="116">
        <v>825.5</v>
      </c>
      <c r="N1187" s="116">
        <v>833.6</v>
      </c>
      <c r="O1187" s="116">
        <v>813.04</v>
      </c>
      <c r="P1187" s="116">
        <v>816.98</v>
      </c>
      <c r="Q1187" s="116">
        <v>4127.5</v>
      </c>
      <c r="R1187">
        <v>346737</v>
      </c>
    </row>
    <row r="1188" spans="1:18" x14ac:dyDescent="0.25">
      <c r="A1188" s="170">
        <v>45848</v>
      </c>
      <c r="B1188" s="116">
        <v>849.9</v>
      </c>
      <c r="C1188" s="116">
        <v>837.58</v>
      </c>
      <c r="D1188" s="116">
        <v>834.02</v>
      </c>
      <c r="E1188" s="116">
        <v>840</v>
      </c>
      <c r="F1188" s="116">
        <v>4187.8999999999996</v>
      </c>
      <c r="G1188">
        <v>13419</v>
      </c>
      <c r="H1188" s="116"/>
      <c r="I1188" s="116"/>
      <c r="L1188" s="170">
        <v>45853</v>
      </c>
      <c r="M1188" s="116">
        <v>849.68</v>
      </c>
      <c r="N1188" s="116">
        <v>852.5</v>
      </c>
      <c r="O1188" s="116">
        <v>824.2</v>
      </c>
      <c r="P1188" s="116">
        <v>825.4</v>
      </c>
      <c r="Q1188" s="116">
        <v>4248.3999999999996</v>
      </c>
      <c r="R1188">
        <v>499170</v>
      </c>
    </row>
    <row r="1189" spans="1:18" x14ac:dyDescent="0.25">
      <c r="A1189" s="170">
        <v>45849</v>
      </c>
      <c r="B1189" s="116">
        <v>837</v>
      </c>
      <c r="C1189" s="116">
        <v>813.89</v>
      </c>
      <c r="D1189" s="116">
        <v>805.41</v>
      </c>
      <c r="E1189" s="116">
        <v>837</v>
      </c>
      <c r="F1189" s="116">
        <v>4069.45</v>
      </c>
      <c r="G1189">
        <v>47286</v>
      </c>
      <c r="H1189" s="116"/>
      <c r="I1189" s="116"/>
      <c r="L1189" s="170">
        <v>45854</v>
      </c>
      <c r="M1189" s="116">
        <v>841.44</v>
      </c>
      <c r="N1189" s="116">
        <v>857.8</v>
      </c>
      <c r="O1189" s="116">
        <v>838.18</v>
      </c>
      <c r="P1189" s="116">
        <v>850</v>
      </c>
      <c r="Q1189" s="116">
        <v>4207.2</v>
      </c>
      <c r="R1189">
        <v>254303</v>
      </c>
    </row>
    <row r="1190" spans="1:18" x14ac:dyDescent="0.25">
      <c r="A1190" s="170">
        <v>45852</v>
      </c>
      <c r="B1190" s="116">
        <v>833.56</v>
      </c>
      <c r="C1190" s="116">
        <v>825.79</v>
      </c>
      <c r="D1190" s="116">
        <v>813.6</v>
      </c>
      <c r="E1190" s="116">
        <v>821.73</v>
      </c>
      <c r="F1190" s="116">
        <v>4128.95</v>
      </c>
      <c r="G1190">
        <v>8047</v>
      </c>
      <c r="H1190" s="116"/>
      <c r="I1190" s="116"/>
      <c r="L1190" s="170">
        <v>45855</v>
      </c>
      <c r="M1190" s="116">
        <v>847.92</v>
      </c>
      <c r="N1190" s="116">
        <v>855.2</v>
      </c>
      <c r="O1190" s="116">
        <v>842.42</v>
      </c>
      <c r="P1190" s="116">
        <v>842.84</v>
      </c>
      <c r="Q1190" s="116">
        <v>4239.6000000000004</v>
      </c>
      <c r="R1190">
        <v>222467</v>
      </c>
    </row>
    <row r="1191" spans="1:18" x14ac:dyDescent="0.25">
      <c r="A1191" s="170">
        <v>45853</v>
      </c>
      <c r="B1191" s="116">
        <v>852</v>
      </c>
      <c r="C1191" s="116">
        <v>850.02</v>
      </c>
      <c r="D1191" s="116">
        <v>822.23</v>
      </c>
      <c r="E1191" s="116">
        <v>822.23</v>
      </c>
      <c r="F1191" s="116">
        <v>4250.1000000000004</v>
      </c>
      <c r="G1191">
        <v>39745</v>
      </c>
      <c r="H1191" s="116"/>
      <c r="I1191" s="116"/>
      <c r="L1191" s="170">
        <v>45856</v>
      </c>
      <c r="M1191" s="116">
        <v>842.3</v>
      </c>
      <c r="N1191" s="116">
        <v>853</v>
      </c>
      <c r="O1191" s="116">
        <v>840.5</v>
      </c>
      <c r="P1191" s="116">
        <v>847.7</v>
      </c>
      <c r="Q1191" s="116">
        <v>4211.5</v>
      </c>
      <c r="R1191">
        <v>179497</v>
      </c>
    </row>
    <row r="1192" spans="1:18" x14ac:dyDescent="0.25">
      <c r="A1192" s="170">
        <v>45854</v>
      </c>
      <c r="B1192" s="116">
        <v>857.59</v>
      </c>
      <c r="C1192" s="116">
        <v>841.24</v>
      </c>
      <c r="D1192" s="116">
        <v>838.2</v>
      </c>
      <c r="E1192" s="116">
        <v>849.41</v>
      </c>
      <c r="F1192" s="116">
        <v>4206.2</v>
      </c>
      <c r="G1192">
        <v>21984</v>
      </c>
      <c r="H1192" s="116"/>
      <c r="I1192" s="116"/>
      <c r="L1192" s="170">
        <v>45859</v>
      </c>
      <c r="M1192" s="116">
        <v>849.54</v>
      </c>
      <c r="N1192" s="116">
        <v>850.8</v>
      </c>
      <c r="O1192" s="116">
        <v>836.6</v>
      </c>
      <c r="P1192" s="116">
        <v>842.32</v>
      </c>
      <c r="Q1192" s="116">
        <v>4247.7</v>
      </c>
      <c r="R1192">
        <v>167287</v>
      </c>
    </row>
    <row r="1193" spans="1:18" x14ac:dyDescent="0.25">
      <c r="A1193" s="170">
        <v>45855</v>
      </c>
      <c r="B1193" s="116">
        <v>855</v>
      </c>
      <c r="C1193" s="116">
        <v>847.48</v>
      </c>
      <c r="D1193" s="116">
        <v>842.6</v>
      </c>
      <c r="E1193" s="116">
        <v>842.6</v>
      </c>
      <c r="F1193" s="116">
        <v>4237.3999999999996</v>
      </c>
      <c r="G1193">
        <v>9816</v>
      </c>
      <c r="H1193" s="116"/>
      <c r="I1193" s="116"/>
      <c r="L1193" s="170">
        <v>45860</v>
      </c>
      <c r="M1193" s="116">
        <v>849.5</v>
      </c>
      <c r="N1193" s="116">
        <v>852.78</v>
      </c>
      <c r="O1193" s="116">
        <v>840</v>
      </c>
      <c r="P1193" s="116">
        <v>852.78</v>
      </c>
      <c r="Q1193" s="116">
        <v>4247.5</v>
      </c>
      <c r="R1193">
        <v>230608</v>
      </c>
    </row>
    <row r="1194" spans="1:18" x14ac:dyDescent="0.25">
      <c r="A1194" s="170">
        <v>45856</v>
      </c>
      <c r="B1194" s="116">
        <v>852.98</v>
      </c>
      <c r="C1194" s="116">
        <v>842.31</v>
      </c>
      <c r="D1194" s="116">
        <v>840.84</v>
      </c>
      <c r="E1194" s="116">
        <v>847.48</v>
      </c>
      <c r="F1194" s="116">
        <v>4211.55</v>
      </c>
      <c r="G1194">
        <v>6843</v>
      </c>
      <c r="H1194" s="116"/>
      <c r="I1194" s="116"/>
      <c r="L1194" s="170">
        <v>45861</v>
      </c>
      <c r="M1194" s="116">
        <v>848.4</v>
      </c>
      <c r="N1194" s="116">
        <v>851.6</v>
      </c>
      <c r="O1194" s="116">
        <v>838.2</v>
      </c>
      <c r="P1194" s="116">
        <v>850.2</v>
      </c>
      <c r="Q1194" s="116">
        <v>4242</v>
      </c>
      <c r="R1194">
        <v>190695</v>
      </c>
    </row>
    <row r="1195" spans="1:18" x14ac:dyDescent="0.25">
      <c r="A1195" s="170">
        <v>45859</v>
      </c>
      <c r="B1195" s="116">
        <v>850.6</v>
      </c>
      <c r="C1195" s="116">
        <v>849.5</v>
      </c>
      <c r="D1195" s="116">
        <v>836</v>
      </c>
      <c r="E1195" s="116">
        <v>840.05</v>
      </c>
      <c r="F1195" s="116">
        <v>4247.5</v>
      </c>
      <c r="G1195">
        <v>18396</v>
      </c>
      <c r="H1195" s="116"/>
      <c r="I1195" s="116"/>
      <c r="L1195" s="170">
        <v>45862</v>
      </c>
      <c r="M1195" s="116">
        <v>839.34</v>
      </c>
      <c r="N1195" s="116">
        <v>848.4</v>
      </c>
      <c r="O1195" s="116">
        <v>834.22</v>
      </c>
      <c r="P1195" s="116">
        <v>848.4</v>
      </c>
      <c r="Q1195" s="116">
        <v>4196.7</v>
      </c>
      <c r="R1195">
        <v>242942</v>
      </c>
    </row>
    <row r="1196" spans="1:18" x14ac:dyDescent="0.25">
      <c r="A1196" s="170">
        <v>45860</v>
      </c>
      <c r="B1196" s="116">
        <v>852.07</v>
      </c>
      <c r="C1196" s="116">
        <v>849.11</v>
      </c>
      <c r="D1196" s="116">
        <v>840.22</v>
      </c>
      <c r="E1196" s="116">
        <v>850</v>
      </c>
      <c r="F1196" s="116">
        <v>4245.55</v>
      </c>
      <c r="G1196">
        <v>9520</v>
      </c>
      <c r="H1196" s="116"/>
      <c r="I1196" s="116"/>
      <c r="L1196" s="170">
        <v>45863</v>
      </c>
      <c r="M1196" s="116">
        <v>806.86</v>
      </c>
      <c r="N1196" s="116">
        <v>838.3</v>
      </c>
      <c r="O1196" s="116">
        <v>805.38</v>
      </c>
      <c r="P1196" s="116">
        <v>838.3</v>
      </c>
      <c r="Q1196" s="116">
        <v>4034.3</v>
      </c>
      <c r="R1196">
        <v>368790</v>
      </c>
    </row>
    <row r="1197" spans="1:18" x14ac:dyDescent="0.25">
      <c r="A1197" s="170">
        <v>45861</v>
      </c>
      <c r="B1197" s="116">
        <v>852.85</v>
      </c>
      <c r="C1197" s="116">
        <v>848.11</v>
      </c>
      <c r="D1197" s="116">
        <v>838.49</v>
      </c>
      <c r="E1197" s="116">
        <v>852.85</v>
      </c>
      <c r="F1197" s="116">
        <v>4240.55</v>
      </c>
      <c r="G1197">
        <v>6303</v>
      </c>
      <c r="H1197" s="116"/>
      <c r="I1197" s="116"/>
      <c r="L1197" s="170">
        <v>45866</v>
      </c>
      <c r="M1197" s="116">
        <v>779.22</v>
      </c>
      <c r="N1197" s="116">
        <v>805.1</v>
      </c>
      <c r="O1197" s="116">
        <v>776.4</v>
      </c>
      <c r="P1197" s="116">
        <v>799.8</v>
      </c>
      <c r="Q1197" s="116">
        <v>3896.1</v>
      </c>
      <c r="R1197">
        <v>393757</v>
      </c>
    </row>
    <row r="1198" spans="1:18" x14ac:dyDescent="0.25">
      <c r="A1198" s="170">
        <v>45862</v>
      </c>
      <c r="B1198" s="116">
        <v>848.8</v>
      </c>
      <c r="C1198" s="116">
        <v>839.72</v>
      </c>
      <c r="D1198" s="116">
        <v>834.4</v>
      </c>
      <c r="E1198" s="116">
        <v>848.8</v>
      </c>
      <c r="F1198" s="116">
        <v>4198.6000000000004</v>
      </c>
      <c r="G1198">
        <v>8276</v>
      </c>
      <c r="H1198" s="116"/>
      <c r="I1198" s="116"/>
      <c r="L1198" s="170">
        <v>45867</v>
      </c>
      <c r="M1198" s="116">
        <v>783.12</v>
      </c>
      <c r="N1198" s="116">
        <v>790.34</v>
      </c>
      <c r="O1198" s="116">
        <v>774.4</v>
      </c>
      <c r="P1198" s="116">
        <v>777.8</v>
      </c>
      <c r="Q1198" s="116">
        <v>3915.6</v>
      </c>
      <c r="R1198">
        <v>286479</v>
      </c>
    </row>
    <row r="1199" spans="1:18" x14ac:dyDescent="0.25">
      <c r="A1199" s="170">
        <v>45863</v>
      </c>
      <c r="B1199" s="116">
        <v>838.37</v>
      </c>
      <c r="C1199" s="116">
        <v>806.5</v>
      </c>
      <c r="D1199" s="116">
        <v>804.2</v>
      </c>
      <c r="E1199" s="116">
        <v>838.37</v>
      </c>
      <c r="F1199" s="116">
        <v>4032.5</v>
      </c>
      <c r="G1199">
        <v>47462</v>
      </c>
      <c r="H1199" s="116"/>
      <c r="I1199" s="116"/>
      <c r="L1199" s="170">
        <v>45868</v>
      </c>
      <c r="M1199" s="116">
        <v>778.04</v>
      </c>
      <c r="N1199" s="116">
        <v>787.7</v>
      </c>
      <c r="O1199" s="116">
        <v>776.6</v>
      </c>
      <c r="P1199" s="116">
        <v>784.98</v>
      </c>
      <c r="Q1199" s="116">
        <v>3890.2</v>
      </c>
      <c r="R1199">
        <v>275882</v>
      </c>
    </row>
    <row r="1200" spans="1:18" x14ac:dyDescent="0.25">
      <c r="A1200" s="170">
        <v>45866</v>
      </c>
      <c r="B1200" s="116">
        <v>805.56</v>
      </c>
      <c r="C1200" s="116">
        <v>779</v>
      </c>
      <c r="D1200" s="116">
        <v>776.84</v>
      </c>
      <c r="E1200" s="116">
        <v>805.56</v>
      </c>
      <c r="F1200" s="116">
        <v>3895</v>
      </c>
      <c r="G1200">
        <v>21787</v>
      </c>
      <c r="H1200" s="116"/>
      <c r="I1200" s="116"/>
      <c r="L1200" s="170">
        <v>45869</v>
      </c>
      <c r="M1200" s="116">
        <v>747.36</v>
      </c>
      <c r="N1200" s="116">
        <v>759.56</v>
      </c>
      <c r="O1200" s="116">
        <v>737.08</v>
      </c>
      <c r="P1200" s="116">
        <v>754.68</v>
      </c>
      <c r="Q1200" s="116">
        <v>3736.8</v>
      </c>
      <c r="R1200">
        <v>996782</v>
      </c>
    </row>
    <row r="1201" spans="1:18" x14ac:dyDescent="0.25">
      <c r="A1201" s="170">
        <v>45867</v>
      </c>
      <c r="B1201" s="116">
        <v>790</v>
      </c>
      <c r="C1201" s="116">
        <v>783.28</v>
      </c>
      <c r="D1201" s="116">
        <v>774.41</v>
      </c>
      <c r="E1201" s="116">
        <v>778.9</v>
      </c>
      <c r="F1201" s="116">
        <v>3916.4</v>
      </c>
      <c r="G1201">
        <v>11404</v>
      </c>
      <c r="H1201" s="116"/>
      <c r="I1201" s="116"/>
      <c r="L1201" s="170">
        <v>45870</v>
      </c>
      <c r="M1201" s="116">
        <v>728.88</v>
      </c>
      <c r="N1201" s="116">
        <v>749.76</v>
      </c>
      <c r="O1201" s="116">
        <v>727.22</v>
      </c>
      <c r="P1201" s="116">
        <v>747.4</v>
      </c>
      <c r="Q1201" s="116">
        <v>3644.4</v>
      </c>
      <c r="R1201">
        <v>557332</v>
      </c>
    </row>
    <row r="1202" spans="1:18" x14ac:dyDescent="0.25">
      <c r="A1202" s="170">
        <v>45868</v>
      </c>
      <c r="B1202" s="116">
        <v>787.62</v>
      </c>
      <c r="C1202" s="116">
        <v>777.54</v>
      </c>
      <c r="D1202" s="116">
        <v>776.35</v>
      </c>
      <c r="E1202" s="116">
        <v>784.1</v>
      </c>
      <c r="F1202" s="116">
        <v>3887.7</v>
      </c>
      <c r="G1202">
        <v>19509</v>
      </c>
      <c r="H1202" s="116"/>
      <c r="I1202" s="116"/>
      <c r="L1202" s="170">
        <v>45873</v>
      </c>
      <c r="M1202" s="116">
        <v>759.74</v>
      </c>
      <c r="N1202" s="116">
        <v>764</v>
      </c>
      <c r="O1202" s="116">
        <v>726.48</v>
      </c>
      <c r="P1202" s="116">
        <v>732</v>
      </c>
      <c r="Q1202" s="116">
        <v>3798.7</v>
      </c>
      <c r="R1202">
        <v>962269</v>
      </c>
    </row>
    <row r="1203" spans="1:18" x14ac:dyDescent="0.25">
      <c r="A1203" s="170">
        <v>45869</v>
      </c>
      <c r="B1203" s="116">
        <v>759.17</v>
      </c>
      <c r="C1203" s="116">
        <v>749.07</v>
      </c>
      <c r="D1203" s="116">
        <v>737.86</v>
      </c>
      <c r="E1203" s="116">
        <v>750.01</v>
      </c>
      <c r="F1203" s="116">
        <v>3745.35</v>
      </c>
      <c r="G1203">
        <v>89049</v>
      </c>
      <c r="H1203" s="116"/>
      <c r="I1203" s="116"/>
      <c r="L1203" s="170">
        <v>45874</v>
      </c>
      <c r="M1203" s="116">
        <v>759.32</v>
      </c>
      <c r="N1203" s="116">
        <v>764.72</v>
      </c>
      <c r="O1203" s="116">
        <v>748.4</v>
      </c>
      <c r="P1203" s="116">
        <v>758.38</v>
      </c>
      <c r="Q1203" s="116">
        <v>3796.6</v>
      </c>
      <c r="R1203">
        <v>551606</v>
      </c>
    </row>
    <row r="1204" spans="1:18" x14ac:dyDescent="0.25">
      <c r="A1204" s="170">
        <v>45870</v>
      </c>
      <c r="B1204" s="116">
        <v>748.45</v>
      </c>
      <c r="C1204" s="116">
        <v>729.05</v>
      </c>
      <c r="D1204" s="116">
        <v>727.61</v>
      </c>
      <c r="E1204" s="116">
        <v>748.45</v>
      </c>
      <c r="F1204" s="116">
        <v>3645.25</v>
      </c>
      <c r="G1204">
        <v>47043</v>
      </c>
      <c r="H1204" s="116"/>
      <c r="I1204" s="116"/>
      <c r="L1204" s="170">
        <v>45875</v>
      </c>
      <c r="M1204" s="116">
        <v>763.28</v>
      </c>
      <c r="N1204" s="116">
        <v>769.6</v>
      </c>
      <c r="O1204" s="116">
        <v>752.96</v>
      </c>
      <c r="P1204" s="116">
        <v>759.56</v>
      </c>
      <c r="Q1204" s="116">
        <v>3816.4</v>
      </c>
      <c r="R1204">
        <v>385667</v>
      </c>
    </row>
    <row r="1205" spans="1:18" x14ac:dyDescent="0.25">
      <c r="A1205" s="170">
        <v>45873</v>
      </c>
      <c r="B1205" s="116">
        <v>763.8</v>
      </c>
      <c r="C1205" s="116">
        <v>760.34</v>
      </c>
      <c r="D1205" s="116">
        <v>726.48</v>
      </c>
      <c r="E1205" s="116">
        <v>735.92</v>
      </c>
      <c r="F1205" s="116">
        <v>3801.7</v>
      </c>
      <c r="G1205">
        <v>44310</v>
      </c>
      <c r="H1205" s="116"/>
      <c r="I1205" s="116"/>
      <c r="L1205" s="170">
        <v>45876</v>
      </c>
      <c r="M1205" s="116">
        <v>763.78</v>
      </c>
      <c r="N1205" s="116">
        <v>766.88</v>
      </c>
      <c r="O1205" s="116">
        <v>747.22</v>
      </c>
      <c r="P1205" s="116">
        <v>758.8</v>
      </c>
      <c r="Q1205" s="116">
        <v>3818.9</v>
      </c>
      <c r="R1205">
        <v>313562</v>
      </c>
    </row>
    <row r="1206" spans="1:18" x14ac:dyDescent="0.25">
      <c r="A1206" s="170">
        <v>45874</v>
      </c>
      <c r="B1206" s="116">
        <v>764.32</v>
      </c>
      <c r="C1206" s="116">
        <v>758.62</v>
      </c>
      <c r="D1206" s="116">
        <v>748.6</v>
      </c>
      <c r="E1206" s="116">
        <v>759.96</v>
      </c>
      <c r="F1206" s="116">
        <v>3793.1</v>
      </c>
      <c r="G1206">
        <v>32637</v>
      </c>
      <c r="H1206" s="116"/>
      <c r="I1206" s="116"/>
      <c r="L1206" s="170">
        <v>45877</v>
      </c>
      <c r="M1206" s="116">
        <v>749</v>
      </c>
      <c r="N1206" s="116">
        <v>767</v>
      </c>
      <c r="O1206" s="116">
        <v>747.02</v>
      </c>
      <c r="P1206" s="116">
        <v>763.6</v>
      </c>
      <c r="Q1206" s="116">
        <v>3745</v>
      </c>
      <c r="R1206">
        <v>267753</v>
      </c>
    </row>
    <row r="1207" spans="1:18" x14ac:dyDescent="0.25">
      <c r="A1207" s="170">
        <v>45875</v>
      </c>
      <c r="B1207" s="116">
        <v>769.46</v>
      </c>
      <c r="C1207" s="116">
        <v>763.03</v>
      </c>
      <c r="D1207" s="116">
        <v>753.48</v>
      </c>
      <c r="E1207" s="116">
        <v>761.87</v>
      </c>
      <c r="F1207" s="116">
        <v>3815.15</v>
      </c>
      <c r="G1207">
        <v>16042</v>
      </c>
      <c r="H1207" s="116"/>
      <c r="I1207" s="116"/>
      <c r="L1207" s="170">
        <v>45880</v>
      </c>
      <c r="M1207" s="116">
        <v>759.62</v>
      </c>
      <c r="N1207" s="116">
        <v>760.92</v>
      </c>
      <c r="O1207" s="116">
        <v>741.02</v>
      </c>
      <c r="P1207" s="116">
        <v>748.62</v>
      </c>
      <c r="Q1207" s="116">
        <v>3798.1</v>
      </c>
      <c r="R1207">
        <v>273893</v>
      </c>
    </row>
    <row r="1208" spans="1:18" x14ac:dyDescent="0.25">
      <c r="A1208" s="170">
        <v>45876</v>
      </c>
      <c r="B1208" s="116">
        <v>766.84</v>
      </c>
      <c r="C1208" s="116">
        <v>762.95</v>
      </c>
      <c r="D1208" s="116">
        <v>747.51</v>
      </c>
      <c r="E1208" s="116">
        <v>757.2</v>
      </c>
      <c r="F1208" s="116">
        <v>3814.75</v>
      </c>
      <c r="G1208">
        <v>9971</v>
      </c>
      <c r="H1208" s="116"/>
      <c r="I1208" s="116"/>
      <c r="L1208" s="170">
        <v>45881</v>
      </c>
      <c r="M1208" s="116">
        <v>753.8</v>
      </c>
      <c r="N1208" s="116">
        <v>763.76</v>
      </c>
      <c r="O1208" s="116">
        <v>752</v>
      </c>
      <c r="P1208" s="116">
        <v>762.8</v>
      </c>
      <c r="Q1208" s="116">
        <v>3769</v>
      </c>
      <c r="R1208">
        <v>249739</v>
      </c>
    </row>
    <row r="1209" spans="1:18" x14ac:dyDescent="0.25">
      <c r="A1209" s="170">
        <v>45877</v>
      </c>
      <c r="B1209" s="116">
        <v>769.81</v>
      </c>
      <c r="C1209" s="116">
        <v>749.08</v>
      </c>
      <c r="D1209" s="116">
        <v>747.6</v>
      </c>
      <c r="E1209" s="116">
        <v>769.81</v>
      </c>
      <c r="F1209" s="116">
        <v>3745.4</v>
      </c>
      <c r="G1209">
        <v>10216</v>
      </c>
      <c r="H1209" s="116"/>
      <c r="I1209" s="116"/>
      <c r="L1209" s="170">
        <v>45882</v>
      </c>
      <c r="M1209" s="116">
        <v>764.28</v>
      </c>
      <c r="N1209" s="116">
        <v>777.34</v>
      </c>
      <c r="O1209" s="116">
        <v>757.94</v>
      </c>
      <c r="P1209" s="116">
        <v>760.98</v>
      </c>
      <c r="Q1209" s="116">
        <v>3821.4</v>
      </c>
      <c r="R1209">
        <v>612177</v>
      </c>
    </row>
    <row r="1210" spans="1:18" x14ac:dyDescent="0.25">
      <c r="A1210" s="170">
        <v>45880</v>
      </c>
      <c r="B1210" s="116">
        <v>761.12</v>
      </c>
      <c r="C1210" s="116">
        <v>759.64</v>
      </c>
      <c r="D1210" s="116">
        <v>741.32</v>
      </c>
      <c r="E1210" s="116">
        <v>748.99</v>
      </c>
      <c r="F1210" s="116">
        <v>3798.2</v>
      </c>
      <c r="G1210">
        <v>33530</v>
      </c>
      <c r="H1210" s="116"/>
      <c r="I1210" s="116"/>
      <c r="L1210" s="170">
        <v>45883</v>
      </c>
      <c r="M1210" s="116">
        <v>773.72</v>
      </c>
      <c r="N1210" s="116">
        <v>778.4</v>
      </c>
      <c r="O1210" s="116">
        <v>766</v>
      </c>
      <c r="P1210" s="116">
        <v>767.64</v>
      </c>
      <c r="Q1210" s="116">
        <v>3868.6</v>
      </c>
      <c r="R1210">
        <v>347043</v>
      </c>
    </row>
    <row r="1211" spans="1:18" x14ac:dyDescent="0.25">
      <c r="A1211" s="170">
        <v>45881</v>
      </c>
      <c r="B1211" s="116">
        <v>763.84</v>
      </c>
      <c r="C1211" s="116">
        <v>753.93</v>
      </c>
      <c r="D1211" s="116">
        <v>752.26</v>
      </c>
      <c r="E1211" s="116">
        <v>762</v>
      </c>
      <c r="F1211" s="116">
        <v>3769.65</v>
      </c>
      <c r="G1211">
        <v>15864</v>
      </c>
      <c r="H1211" s="116"/>
      <c r="I1211" s="116"/>
      <c r="L1211" s="170">
        <v>45887</v>
      </c>
      <c r="M1211" s="116">
        <v>779.36</v>
      </c>
      <c r="N1211" s="116">
        <v>783.6</v>
      </c>
      <c r="O1211" s="116">
        <v>766.96</v>
      </c>
      <c r="P1211" s="116">
        <v>783</v>
      </c>
      <c r="Q1211" s="116">
        <v>3896.8</v>
      </c>
      <c r="R1211">
        <v>621979</v>
      </c>
    </row>
    <row r="1212" spans="1:18" x14ac:dyDescent="0.25">
      <c r="A1212" s="170">
        <v>45882</v>
      </c>
      <c r="B1212" s="116">
        <v>777</v>
      </c>
      <c r="C1212" s="116">
        <v>764.54</v>
      </c>
      <c r="D1212" s="116">
        <v>759.23</v>
      </c>
      <c r="E1212" s="116">
        <v>759.27</v>
      </c>
      <c r="F1212" s="116">
        <v>3822.7</v>
      </c>
      <c r="G1212">
        <v>25500</v>
      </c>
      <c r="H1212" s="116"/>
      <c r="I1212" s="116"/>
      <c r="L1212" s="170">
        <v>45888</v>
      </c>
      <c r="M1212" s="116">
        <v>767.16</v>
      </c>
      <c r="N1212" s="116">
        <v>779.4</v>
      </c>
      <c r="O1212" s="116">
        <v>764</v>
      </c>
      <c r="P1212" s="116">
        <v>779.4</v>
      </c>
      <c r="Q1212" s="116">
        <v>3835.8</v>
      </c>
      <c r="R1212">
        <v>228874</v>
      </c>
    </row>
    <row r="1213" spans="1:18" x14ac:dyDescent="0.25">
      <c r="A1213" s="170">
        <v>45883</v>
      </c>
      <c r="B1213" s="116">
        <v>778.1</v>
      </c>
      <c r="C1213" s="116">
        <v>773.55</v>
      </c>
      <c r="D1213" s="116">
        <v>766.32</v>
      </c>
      <c r="E1213" s="116">
        <v>769.59</v>
      </c>
      <c r="F1213" s="116">
        <v>3867.75</v>
      </c>
      <c r="G1213">
        <v>28163</v>
      </c>
      <c r="H1213" s="116"/>
      <c r="I1213" s="116"/>
      <c r="L1213" s="170">
        <v>45889</v>
      </c>
      <c r="M1213" s="116">
        <v>768.36</v>
      </c>
      <c r="N1213" s="116">
        <v>771.94</v>
      </c>
      <c r="O1213" s="116">
        <v>763.08</v>
      </c>
      <c r="P1213" s="116">
        <v>768.18</v>
      </c>
      <c r="Q1213" s="116">
        <v>3841.8</v>
      </c>
      <c r="R1213">
        <v>180894</v>
      </c>
    </row>
    <row r="1214" spans="1:18" x14ac:dyDescent="0.25">
      <c r="A1214" s="170">
        <v>45887</v>
      </c>
      <c r="B1214" s="116">
        <v>783.42</v>
      </c>
      <c r="C1214" s="116">
        <v>779.58</v>
      </c>
      <c r="D1214" s="116">
        <v>767.06</v>
      </c>
      <c r="E1214" s="116">
        <v>776.06</v>
      </c>
      <c r="F1214" s="116">
        <v>3897.9</v>
      </c>
      <c r="G1214">
        <v>28881</v>
      </c>
      <c r="H1214" s="116"/>
      <c r="I1214" s="116"/>
      <c r="L1214" s="170">
        <v>45890</v>
      </c>
      <c r="M1214" s="116">
        <v>779.08</v>
      </c>
      <c r="N1214" s="116">
        <v>784</v>
      </c>
      <c r="O1214" s="116">
        <v>770.6</v>
      </c>
      <c r="P1214" s="116">
        <v>774</v>
      </c>
      <c r="Q1214" s="116">
        <v>3895.4</v>
      </c>
      <c r="R1214">
        <v>527787</v>
      </c>
    </row>
    <row r="1215" spans="1:18" x14ac:dyDescent="0.25">
      <c r="A1215" s="170">
        <v>45888</v>
      </c>
      <c r="B1215" s="116">
        <v>779.56</v>
      </c>
      <c r="C1215" s="116">
        <v>767.23</v>
      </c>
      <c r="D1215" s="116">
        <v>764.4</v>
      </c>
      <c r="E1215" s="116">
        <v>776.81</v>
      </c>
      <c r="F1215" s="116">
        <v>3836.15</v>
      </c>
      <c r="G1215">
        <v>17472</v>
      </c>
      <c r="H1215" s="116"/>
      <c r="I1215" s="116"/>
      <c r="L1215" s="170">
        <v>45891</v>
      </c>
      <c r="M1215" s="116">
        <v>781</v>
      </c>
      <c r="N1215" s="116">
        <v>783.4</v>
      </c>
      <c r="O1215" s="116">
        <v>776.4</v>
      </c>
      <c r="P1215" s="116">
        <v>779.6</v>
      </c>
      <c r="Q1215" s="116">
        <v>3905</v>
      </c>
      <c r="R1215">
        <v>250655</v>
      </c>
    </row>
    <row r="1216" spans="1:18" x14ac:dyDescent="0.25">
      <c r="A1216" s="170">
        <v>45889</v>
      </c>
      <c r="B1216" s="116">
        <v>771.6</v>
      </c>
      <c r="C1216" s="116">
        <v>768.36</v>
      </c>
      <c r="D1216" s="116">
        <v>763.05</v>
      </c>
      <c r="E1216" s="116">
        <v>768</v>
      </c>
      <c r="F1216" s="116">
        <v>3841.8</v>
      </c>
      <c r="G1216">
        <v>11531</v>
      </c>
      <c r="H1216" s="116"/>
      <c r="I1216" s="116"/>
      <c r="L1216" s="170">
        <v>45894</v>
      </c>
      <c r="M1216" s="116">
        <v>767.92</v>
      </c>
      <c r="N1216" s="116">
        <v>784.78</v>
      </c>
      <c r="O1216" s="116">
        <v>766.4</v>
      </c>
      <c r="P1216" s="116">
        <v>781.78</v>
      </c>
      <c r="Q1216" s="116">
        <v>3839.6</v>
      </c>
      <c r="R1216">
        <v>244820</v>
      </c>
    </row>
    <row r="1217" spans="1:18" x14ac:dyDescent="0.25">
      <c r="A1217" s="170">
        <v>45890</v>
      </c>
      <c r="B1217" s="116">
        <v>784.2</v>
      </c>
      <c r="C1217" s="116">
        <v>779.09</v>
      </c>
      <c r="D1217" s="116">
        <v>772</v>
      </c>
      <c r="E1217" s="116">
        <v>772</v>
      </c>
      <c r="F1217" s="116">
        <v>3895.45</v>
      </c>
      <c r="G1217">
        <v>34168</v>
      </c>
      <c r="H1217" s="116"/>
      <c r="I1217" s="116"/>
      <c r="L1217" s="170">
        <v>45895</v>
      </c>
      <c r="M1217" s="116">
        <v>745.24</v>
      </c>
      <c r="N1217" s="116">
        <v>768.78</v>
      </c>
      <c r="O1217" s="116">
        <v>744.2</v>
      </c>
      <c r="P1217" s="116">
        <v>766.6</v>
      </c>
      <c r="Q1217" s="116">
        <v>3726.2</v>
      </c>
      <c r="R1217">
        <v>281776</v>
      </c>
    </row>
    <row r="1218" spans="1:18" x14ac:dyDescent="0.25">
      <c r="A1218" s="170">
        <v>45891</v>
      </c>
      <c r="B1218" s="116">
        <v>783.6</v>
      </c>
      <c r="C1218" s="116">
        <v>780.72</v>
      </c>
      <c r="D1218" s="116">
        <v>776.2</v>
      </c>
      <c r="E1218" s="116">
        <v>779</v>
      </c>
      <c r="F1218" s="116">
        <v>3903.6</v>
      </c>
      <c r="G1218">
        <v>17742</v>
      </c>
      <c r="H1218" s="116"/>
      <c r="I1218" s="116"/>
      <c r="L1218" s="170">
        <v>45897</v>
      </c>
      <c r="M1218" s="116">
        <v>731.54</v>
      </c>
      <c r="N1218" s="116">
        <v>746</v>
      </c>
      <c r="O1218" s="116">
        <v>730</v>
      </c>
      <c r="P1218" s="116">
        <v>745.24</v>
      </c>
      <c r="Q1218" s="116">
        <v>3657.7</v>
      </c>
      <c r="R1218">
        <v>378392</v>
      </c>
    </row>
    <row r="1219" spans="1:18" x14ac:dyDescent="0.25">
      <c r="A1219" s="170">
        <v>45894</v>
      </c>
      <c r="B1219" s="116">
        <v>784.94</v>
      </c>
      <c r="C1219" s="116">
        <v>767.97</v>
      </c>
      <c r="D1219" s="116">
        <v>767</v>
      </c>
      <c r="E1219" s="116">
        <v>781.22</v>
      </c>
      <c r="F1219" s="116">
        <v>3839.85</v>
      </c>
      <c r="G1219">
        <v>10215</v>
      </c>
      <c r="H1219" s="116"/>
      <c r="I1219" s="116"/>
      <c r="L1219" s="170">
        <v>45898</v>
      </c>
      <c r="M1219" s="116">
        <v>741.04</v>
      </c>
      <c r="N1219" s="116">
        <v>751.78</v>
      </c>
      <c r="O1219" s="116">
        <v>729</v>
      </c>
      <c r="P1219" s="116">
        <v>730.98</v>
      </c>
      <c r="Q1219" s="116">
        <v>3705.2</v>
      </c>
      <c r="R1219">
        <v>334539</v>
      </c>
    </row>
    <row r="1220" spans="1:18" x14ac:dyDescent="0.25">
      <c r="A1220" s="170">
        <v>45895</v>
      </c>
      <c r="B1220" s="116">
        <v>769</v>
      </c>
      <c r="C1220" s="116">
        <v>745.22</v>
      </c>
      <c r="D1220" s="116">
        <v>744.04</v>
      </c>
      <c r="E1220" s="116">
        <v>767.85</v>
      </c>
      <c r="F1220" s="116">
        <v>3726.1</v>
      </c>
      <c r="G1220">
        <v>29341</v>
      </c>
      <c r="H1220" s="116"/>
      <c r="I1220" s="116"/>
      <c r="L1220" s="170">
        <v>45901</v>
      </c>
      <c r="M1220" s="116">
        <v>767.96</v>
      </c>
      <c r="N1220" s="116">
        <v>770</v>
      </c>
      <c r="O1220" s="116">
        <v>742.42</v>
      </c>
      <c r="P1220" s="116">
        <v>744.58</v>
      </c>
      <c r="Q1220" s="116">
        <v>3839.8</v>
      </c>
      <c r="R1220">
        <v>254665</v>
      </c>
    </row>
    <row r="1221" spans="1:18" x14ac:dyDescent="0.25">
      <c r="A1221" s="170">
        <v>45897</v>
      </c>
      <c r="B1221" s="116">
        <v>746.57</v>
      </c>
      <c r="C1221" s="116">
        <v>731.09</v>
      </c>
      <c r="D1221" s="116">
        <v>730</v>
      </c>
      <c r="E1221" s="116">
        <v>746.56</v>
      </c>
      <c r="F1221" s="116">
        <v>3655.45</v>
      </c>
      <c r="G1221">
        <v>9585</v>
      </c>
      <c r="H1221" s="116"/>
      <c r="I1221" s="116"/>
      <c r="L1221" s="170">
        <v>45902</v>
      </c>
      <c r="M1221" s="116">
        <v>760.4</v>
      </c>
      <c r="N1221" s="116">
        <v>773.58</v>
      </c>
      <c r="O1221" s="116">
        <v>754.42</v>
      </c>
      <c r="P1221" s="116">
        <v>773.58</v>
      </c>
      <c r="Q1221" s="116">
        <v>3802</v>
      </c>
      <c r="R1221">
        <v>248745</v>
      </c>
    </row>
    <row r="1222" spans="1:18" x14ac:dyDescent="0.25">
      <c r="A1222" s="170">
        <v>45898</v>
      </c>
      <c r="B1222" s="116">
        <v>751.68</v>
      </c>
      <c r="C1222" s="116">
        <v>741.12</v>
      </c>
      <c r="D1222" s="116">
        <v>730</v>
      </c>
      <c r="E1222" s="116">
        <v>749.99</v>
      </c>
      <c r="F1222" s="116">
        <v>3705.6</v>
      </c>
      <c r="G1222">
        <v>17395</v>
      </c>
      <c r="H1222" s="116"/>
      <c r="I1222" s="116"/>
      <c r="L1222" s="170">
        <v>45903</v>
      </c>
      <c r="M1222" s="116">
        <v>760.72</v>
      </c>
      <c r="N1222" s="116">
        <v>765</v>
      </c>
      <c r="O1222" s="116">
        <v>758.3</v>
      </c>
      <c r="P1222" s="116">
        <v>763.54</v>
      </c>
      <c r="Q1222" s="116">
        <v>3803.6</v>
      </c>
      <c r="R1222">
        <v>151092</v>
      </c>
    </row>
    <row r="1223" spans="1:18" x14ac:dyDescent="0.25">
      <c r="A1223" s="170">
        <v>45901</v>
      </c>
      <c r="B1223" s="116">
        <v>769.8</v>
      </c>
      <c r="C1223" s="116">
        <v>768</v>
      </c>
      <c r="D1223" s="116">
        <v>740.24</v>
      </c>
      <c r="E1223" s="116">
        <v>740.24</v>
      </c>
      <c r="F1223" s="116">
        <v>3840</v>
      </c>
      <c r="G1223">
        <v>23383</v>
      </c>
      <c r="H1223" s="116"/>
      <c r="I1223" s="116"/>
      <c r="L1223" s="170">
        <v>45904</v>
      </c>
      <c r="M1223" s="116">
        <v>752.94</v>
      </c>
      <c r="N1223" s="116">
        <v>770.48</v>
      </c>
      <c r="O1223" s="116">
        <v>751.4</v>
      </c>
      <c r="P1223" s="116">
        <v>770.48</v>
      </c>
      <c r="Q1223" s="116">
        <v>3764.7</v>
      </c>
      <c r="R1223">
        <v>255679</v>
      </c>
    </row>
    <row r="1224" spans="1:18" x14ac:dyDescent="0.25">
      <c r="A1224" s="170">
        <v>45902</v>
      </c>
      <c r="B1224" s="116">
        <v>771.94</v>
      </c>
      <c r="C1224" s="116">
        <v>760.56</v>
      </c>
      <c r="D1224" s="116">
        <v>754.51</v>
      </c>
      <c r="E1224" s="116">
        <v>770.01</v>
      </c>
      <c r="F1224" s="116">
        <v>3802.8</v>
      </c>
      <c r="G1224">
        <v>21771</v>
      </c>
      <c r="H1224" s="116"/>
      <c r="I1224" s="116"/>
      <c r="L1224" s="170">
        <v>45905</v>
      </c>
      <c r="M1224" s="116">
        <v>766.48</v>
      </c>
      <c r="N1224" s="116">
        <v>769.6</v>
      </c>
      <c r="O1224" s="116">
        <v>755.38</v>
      </c>
      <c r="P1224" s="116">
        <v>756</v>
      </c>
      <c r="Q1224" s="116">
        <v>3832.4</v>
      </c>
      <c r="R1224">
        <v>235542</v>
      </c>
    </row>
    <row r="1225" spans="1:18" x14ac:dyDescent="0.25">
      <c r="A1225" s="170">
        <v>45903</v>
      </c>
      <c r="B1225" s="116">
        <v>764.93</v>
      </c>
      <c r="C1225" s="116">
        <v>761</v>
      </c>
      <c r="D1225" s="116">
        <v>757.91</v>
      </c>
      <c r="E1225" s="116">
        <v>760.01</v>
      </c>
      <c r="F1225" s="116">
        <v>3805</v>
      </c>
      <c r="G1225">
        <v>11211</v>
      </c>
      <c r="H1225" s="116"/>
      <c r="I1225" s="116"/>
      <c r="L1225" s="170">
        <v>45908</v>
      </c>
      <c r="M1225" s="116">
        <v>769.06</v>
      </c>
      <c r="N1225" s="116">
        <v>775.42</v>
      </c>
      <c r="O1225" s="116">
        <v>766.04</v>
      </c>
      <c r="P1225" s="116">
        <v>770</v>
      </c>
      <c r="Q1225" s="116">
        <v>3845.3</v>
      </c>
      <c r="R1225">
        <v>108605</v>
      </c>
    </row>
    <row r="1226" spans="1:18" x14ac:dyDescent="0.25">
      <c r="A1226" s="170">
        <v>45904</v>
      </c>
      <c r="B1226" s="116">
        <v>770</v>
      </c>
      <c r="C1226" s="116">
        <v>752.9</v>
      </c>
      <c r="D1226" s="116">
        <v>751.7</v>
      </c>
      <c r="E1226" s="116">
        <v>770</v>
      </c>
      <c r="F1226" s="116">
        <v>3764.5</v>
      </c>
      <c r="G1226">
        <v>17665</v>
      </c>
      <c r="H1226" s="116"/>
      <c r="I1226" s="116"/>
      <c r="L1226" s="170">
        <v>45909</v>
      </c>
      <c r="M1226" s="116">
        <v>770.52</v>
      </c>
      <c r="N1226" s="116">
        <v>777.24</v>
      </c>
      <c r="O1226" s="116">
        <v>769.06</v>
      </c>
      <c r="P1226" s="116">
        <v>770.98</v>
      </c>
      <c r="Q1226" s="116">
        <v>3852.6</v>
      </c>
      <c r="R1226">
        <v>141774</v>
      </c>
    </row>
    <row r="1227" spans="1:18" x14ac:dyDescent="0.25">
      <c r="A1227" s="170">
        <v>45905</v>
      </c>
      <c r="B1227" s="116">
        <v>770.11</v>
      </c>
      <c r="C1227" s="116">
        <v>766.68</v>
      </c>
      <c r="D1227" s="116">
        <v>752.96</v>
      </c>
      <c r="E1227" s="116">
        <v>752.96</v>
      </c>
      <c r="F1227" s="116">
        <v>3833.4</v>
      </c>
      <c r="G1227">
        <v>12068</v>
      </c>
      <c r="H1227" s="116"/>
      <c r="I1227" s="116"/>
      <c r="L1227" s="170">
        <v>45910</v>
      </c>
      <c r="M1227" s="116">
        <v>778.22</v>
      </c>
      <c r="N1227" s="116">
        <v>781.8</v>
      </c>
      <c r="O1227" s="116">
        <v>772.2</v>
      </c>
      <c r="P1227" s="116">
        <v>772.2</v>
      </c>
      <c r="Q1227" s="116">
        <v>3891.1</v>
      </c>
      <c r="R1227">
        <v>156572</v>
      </c>
    </row>
    <row r="1228" spans="1:18" x14ac:dyDescent="0.25">
      <c r="A1228" s="170">
        <v>45908</v>
      </c>
      <c r="B1228" s="116">
        <v>775.59</v>
      </c>
      <c r="C1228" s="116">
        <v>768.74</v>
      </c>
      <c r="D1228" s="116">
        <v>765.03</v>
      </c>
      <c r="E1228" s="116">
        <v>765.03</v>
      </c>
      <c r="F1228" s="116">
        <v>3843.7</v>
      </c>
      <c r="G1228">
        <v>13715</v>
      </c>
      <c r="H1228" s="116"/>
      <c r="I1228" s="116"/>
      <c r="L1228" s="170">
        <v>45911</v>
      </c>
      <c r="M1228" s="116">
        <v>770.1</v>
      </c>
      <c r="N1228" s="116">
        <v>784.2</v>
      </c>
      <c r="O1228" s="116">
        <v>767.6</v>
      </c>
      <c r="P1228" s="116">
        <v>781.78</v>
      </c>
      <c r="Q1228" s="116">
        <v>3850.5</v>
      </c>
      <c r="R1228">
        <v>234882</v>
      </c>
    </row>
    <row r="1229" spans="1:18" x14ac:dyDescent="0.25">
      <c r="A1229" s="170">
        <v>45909</v>
      </c>
      <c r="B1229" s="116">
        <v>777</v>
      </c>
      <c r="C1229" s="116">
        <v>770.73</v>
      </c>
      <c r="D1229" s="116">
        <v>766.63</v>
      </c>
      <c r="E1229" s="116">
        <v>766.63</v>
      </c>
      <c r="F1229" s="116">
        <v>3853.65</v>
      </c>
      <c r="G1229">
        <v>6828</v>
      </c>
      <c r="H1229" s="116"/>
      <c r="I1229" s="116"/>
      <c r="L1229" s="170">
        <v>45912</v>
      </c>
      <c r="M1229" s="116">
        <v>771.76</v>
      </c>
      <c r="N1229" s="116">
        <v>777.86</v>
      </c>
      <c r="O1229" s="116">
        <v>765.3</v>
      </c>
      <c r="P1229" s="116">
        <v>773.58</v>
      </c>
      <c r="Q1229" s="116">
        <v>3858.8</v>
      </c>
      <c r="R1229">
        <v>194265</v>
      </c>
    </row>
    <row r="1230" spans="1:18" x14ac:dyDescent="0.25">
      <c r="A1230" s="170">
        <v>45910</v>
      </c>
      <c r="B1230" s="116">
        <v>781.4</v>
      </c>
      <c r="C1230" s="116">
        <v>778.31</v>
      </c>
      <c r="D1230" s="116">
        <v>770.84</v>
      </c>
      <c r="E1230" s="116">
        <v>770.84</v>
      </c>
      <c r="F1230" s="116">
        <v>3891.55</v>
      </c>
      <c r="G1230">
        <v>18431</v>
      </c>
      <c r="H1230" s="116"/>
      <c r="I1230" s="116"/>
      <c r="L1230" s="170">
        <v>45915</v>
      </c>
      <c r="M1230" s="116">
        <v>771.98</v>
      </c>
      <c r="N1230" s="116">
        <v>775.98</v>
      </c>
      <c r="O1230" s="116">
        <v>766.28</v>
      </c>
      <c r="P1230" s="116">
        <v>773</v>
      </c>
      <c r="Q1230" s="116">
        <v>3859.9</v>
      </c>
      <c r="R1230">
        <v>184303</v>
      </c>
    </row>
    <row r="1231" spans="1:18" x14ac:dyDescent="0.25">
      <c r="A1231" s="170">
        <v>45911</v>
      </c>
      <c r="B1231" s="116">
        <v>784.19</v>
      </c>
      <c r="C1231" s="116">
        <v>768.71</v>
      </c>
      <c r="D1231" s="116">
        <v>765.5</v>
      </c>
      <c r="E1231" s="116">
        <v>780</v>
      </c>
      <c r="F1231" s="116">
        <v>3843.55</v>
      </c>
      <c r="G1231">
        <v>23217</v>
      </c>
      <c r="H1231" s="116"/>
      <c r="I1231" s="116"/>
      <c r="L1231" s="170">
        <v>45916</v>
      </c>
      <c r="M1231" s="116">
        <v>778.06</v>
      </c>
      <c r="N1231" s="116">
        <v>779.82</v>
      </c>
      <c r="O1231" s="116">
        <v>770.5</v>
      </c>
      <c r="P1231" s="116">
        <v>774.4</v>
      </c>
      <c r="Q1231" s="116">
        <v>3890.3</v>
      </c>
      <c r="R1231">
        <v>189786</v>
      </c>
    </row>
    <row r="1232" spans="1:18" x14ac:dyDescent="0.25">
      <c r="A1232" s="170">
        <v>45912</v>
      </c>
      <c r="B1232" s="116">
        <v>776.72</v>
      </c>
      <c r="C1232" s="116">
        <v>771.05</v>
      </c>
      <c r="D1232" s="116">
        <v>764.88</v>
      </c>
      <c r="E1232" s="116">
        <v>770.29</v>
      </c>
      <c r="F1232" s="116">
        <v>3855.25</v>
      </c>
      <c r="G1232">
        <v>6014</v>
      </c>
      <c r="H1232" s="116"/>
      <c r="I1232" s="116"/>
      <c r="L1232" s="170">
        <v>45917</v>
      </c>
      <c r="M1232" s="116">
        <v>802.74</v>
      </c>
      <c r="N1232" s="116">
        <v>805.86</v>
      </c>
      <c r="O1232" s="116">
        <v>776.44</v>
      </c>
      <c r="P1232" s="116">
        <v>781.4</v>
      </c>
      <c r="Q1232" s="116">
        <v>4013.7</v>
      </c>
      <c r="R1232">
        <v>531586</v>
      </c>
    </row>
    <row r="1233" spans="1:18" x14ac:dyDescent="0.25">
      <c r="A1233" s="170">
        <v>45915</v>
      </c>
      <c r="B1233" s="116">
        <v>776.15</v>
      </c>
      <c r="C1233" s="116">
        <v>771.86</v>
      </c>
      <c r="D1233" s="116">
        <v>766.9</v>
      </c>
      <c r="E1233" s="116">
        <v>771.91</v>
      </c>
      <c r="F1233" s="116">
        <v>3859.3</v>
      </c>
      <c r="G1233">
        <v>8481</v>
      </c>
      <c r="H1233" s="116"/>
      <c r="I1233" s="116"/>
      <c r="L1233" s="170">
        <v>45918</v>
      </c>
      <c r="M1233" s="116">
        <v>815.04</v>
      </c>
      <c r="N1233" s="116">
        <v>816.96</v>
      </c>
      <c r="O1233" s="116">
        <v>804.02</v>
      </c>
      <c r="P1233" s="116">
        <v>808</v>
      </c>
      <c r="Q1233" s="116">
        <v>4075.2</v>
      </c>
      <c r="R1233">
        <v>699731</v>
      </c>
    </row>
    <row r="1234" spans="1:18" x14ac:dyDescent="0.25">
      <c r="A1234" s="170">
        <v>45916</v>
      </c>
      <c r="B1234" s="116">
        <v>780</v>
      </c>
      <c r="C1234" s="116">
        <v>778.04</v>
      </c>
      <c r="D1234" s="116">
        <v>770.8</v>
      </c>
      <c r="E1234" s="116">
        <v>772.47</v>
      </c>
      <c r="F1234" s="116">
        <v>3890.2</v>
      </c>
      <c r="G1234">
        <v>5468</v>
      </c>
      <c r="H1234" s="116"/>
      <c r="I1234" s="116"/>
      <c r="L1234" s="170">
        <v>45919</v>
      </c>
      <c r="M1234" s="116">
        <v>820.18</v>
      </c>
      <c r="N1234" s="116">
        <v>829.4</v>
      </c>
      <c r="O1234" s="116">
        <v>814.42</v>
      </c>
      <c r="P1234" s="116">
        <v>819</v>
      </c>
      <c r="Q1234" s="116">
        <v>4100.8999999999996</v>
      </c>
      <c r="R1234">
        <v>457702</v>
      </c>
    </row>
    <row r="1235" spans="1:18" x14ac:dyDescent="0.25">
      <c r="A1235" s="170">
        <v>45917</v>
      </c>
      <c r="B1235" s="116">
        <v>805.54</v>
      </c>
      <c r="C1235" s="116">
        <v>802.31</v>
      </c>
      <c r="D1235" s="116">
        <v>777.02</v>
      </c>
      <c r="E1235" s="116">
        <v>780.08</v>
      </c>
      <c r="F1235" s="116">
        <v>4011.55</v>
      </c>
      <c r="G1235">
        <v>20837</v>
      </c>
      <c r="H1235" s="116"/>
      <c r="I1235" s="116"/>
      <c r="L1235" s="170">
        <v>45922</v>
      </c>
      <c r="M1235" s="116">
        <v>802.8</v>
      </c>
      <c r="N1235" s="116">
        <v>823.2</v>
      </c>
      <c r="O1235" s="116">
        <v>800.4</v>
      </c>
      <c r="P1235" s="116">
        <v>820.18</v>
      </c>
      <c r="Q1235" s="116">
        <v>4014</v>
      </c>
      <c r="R1235">
        <v>294882</v>
      </c>
    </row>
    <row r="1236" spans="1:18" x14ac:dyDescent="0.25">
      <c r="A1236" s="170">
        <v>45918</v>
      </c>
      <c r="B1236" s="116">
        <v>817.03</v>
      </c>
      <c r="C1236" s="116">
        <v>814.99</v>
      </c>
      <c r="D1236" s="116">
        <v>804.01</v>
      </c>
      <c r="E1236" s="116">
        <v>811.95</v>
      </c>
      <c r="F1236" s="116">
        <v>4074.95</v>
      </c>
      <c r="G1236">
        <v>28871</v>
      </c>
      <c r="H1236" s="116"/>
      <c r="I1236" s="116"/>
      <c r="L1236" s="170">
        <v>45923</v>
      </c>
      <c r="M1236" s="116">
        <v>797.22</v>
      </c>
      <c r="N1236" s="116">
        <v>808.36</v>
      </c>
      <c r="O1236" s="116">
        <v>792.92</v>
      </c>
      <c r="P1236" s="116">
        <v>802.8</v>
      </c>
      <c r="Q1236" s="116">
        <v>3986.1</v>
      </c>
      <c r="R1236">
        <v>210754</v>
      </c>
    </row>
    <row r="1237" spans="1:18" x14ac:dyDescent="0.25">
      <c r="A1237" s="170">
        <v>45919</v>
      </c>
      <c r="B1237" s="116">
        <v>829.01</v>
      </c>
      <c r="C1237" s="116">
        <v>819.75</v>
      </c>
      <c r="D1237" s="116">
        <v>814.8</v>
      </c>
      <c r="E1237" s="116">
        <v>819.79</v>
      </c>
      <c r="F1237" s="116">
        <v>4098.75</v>
      </c>
      <c r="G1237">
        <v>18927</v>
      </c>
      <c r="H1237" s="116"/>
      <c r="I1237" s="116"/>
      <c r="L1237" s="170">
        <v>45924</v>
      </c>
      <c r="M1237" s="116">
        <v>776.62</v>
      </c>
      <c r="N1237" s="116">
        <v>797.46</v>
      </c>
      <c r="O1237" s="116">
        <v>775.18</v>
      </c>
      <c r="P1237" s="116">
        <v>796</v>
      </c>
      <c r="Q1237" s="116">
        <v>3883.1</v>
      </c>
      <c r="R1237">
        <v>242028</v>
      </c>
    </row>
    <row r="1238" spans="1:18" x14ac:dyDescent="0.25">
      <c r="A1238" s="170">
        <v>45922</v>
      </c>
      <c r="B1238" s="116">
        <v>822.42</v>
      </c>
      <c r="C1238" s="116">
        <v>802.66</v>
      </c>
      <c r="D1238" s="116">
        <v>800.4</v>
      </c>
      <c r="E1238" s="116">
        <v>819.11</v>
      </c>
      <c r="F1238" s="116">
        <v>4013.3</v>
      </c>
      <c r="G1238">
        <v>7233</v>
      </c>
      <c r="H1238" s="116"/>
      <c r="I1238" s="116"/>
      <c r="L1238" s="170">
        <v>45925</v>
      </c>
      <c r="M1238" s="116">
        <v>773.68</v>
      </c>
      <c r="N1238" s="116">
        <v>788.98</v>
      </c>
      <c r="O1238" s="116">
        <v>771.42</v>
      </c>
      <c r="P1238" s="116">
        <v>776.34</v>
      </c>
      <c r="Q1238" s="116">
        <v>3868.4</v>
      </c>
      <c r="R1238">
        <v>206346</v>
      </c>
    </row>
    <row r="1239" spans="1:18" x14ac:dyDescent="0.25">
      <c r="A1239" s="170">
        <v>45923</v>
      </c>
      <c r="B1239" s="116">
        <v>807.22</v>
      </c>
      <c r="C1239" s="116">
        <v>797.23</v>
      </c>
      <c r="D1239" s="116">
        <v>793.2</v>
      </c>
      <c r="E1239" s="116">
        <v>800.41</v>
      </c>
      <c r="F1239" s="116">
        <v>3986.15</v>
      </c>
      <c r="G1239">
        <v>4505</v>
      </c>
      <c r="H1239" s="116"/>
      <c r="I1239" s="116"/>
      <c r="L1239" s="170">
        <v>45926</v>
      </c>
      <c r="M1239" s="116">
        <v>760</v>
      </c>
      <c r="N1239" s="116">
        <v>773</v>
      </c>
      <c r="O1239" s="116">
        <v>757.2</v>
      </c>
      <c r="P1239" s="116">
        <v>771.6</v>
      </c>
      <c r="Q1239" s="116">
        <v>3800</v>
      </c>
      <c r="R1239">
        <v>195526</v>
      </c>
    </row>
    <row r="1240" spans="1:18" x14ac:dyDescent="0.25">
      <c r="A1240" s="170">
        <v>45924</v>
      </c>
      <c r="B1240" s="116">
        <v>797.23</v>
      </c>
      <c r="C1240" s="116">
        <v>776.61</v>
      </c>
      <c r="D1240" s="116">
        <v>775.39</v>
      </c>
      <c r="E1240" s="116">
        <v>795.6</v>
      </c>
      <c r="F1240" s="116">
        <v>3883.05</v>
      </c>
      <c r="G1240">
        <v>18441</v>
      </c>
      <c r="H1240" s="116"/>
      <c r="I1240" s="116"/>
      <c r="L1240" s="170">
        <v>45929</v>
      </c>
      <c r="M1240" s="116">
        <v>757.08</v>
      </c>
      <c r="N1240" s="116">
        <v>765.46</v>
      </c>
      <c r="O1240" s="116">
        <v>755</v>
      </c>
      <c r="P1240" s="116">
        <v>760</v>
      </c>
      <c r="Q1240" s="116">
        <v>3785.4</v>
      </c>
      <c r="R1240">
        <v>175990</v>
      </c>
    </row>
    <row r="1241" spans="1:18" x14ac:dyDescent="0.25">
      <c r="A1241" s="170">
        <v>45925</v>
      </c>
      <c r="B1241" s="116">
        <v>788</v>
      </c>
      <c r="C1241" s="116">
        <v>774.26</v>
      </c>
      <c r="D1241" s="116">
        <v>771.05</v>
      </c>
      <c r="E1241" s="116">
        <v>774.46</v>
      </c>
      <c r="F1241" s="116">
        <v>3871.3</v>
      </c>
      <c r="G1241">
        <v>6784</v>
      </c>
      <c r="H1241" s="116"/>
      <c r="I1241" s="116"/>
      <c r="L1241" s="170">
        <v>45930</v>
      </c>
      <c r="M1241" s="116">
        <v>751.72</v>
      </c>
      <c r="N1241" s="116">
        <v>759.8</v>
      </c>
      <c r="O1241" s="116">
        <v>743.22</v>
      </c>
      <c r="P1241" s="116">
        <v>757.08</v>
      </c>
      <c r="Q1241" s="116">
        <v>3758.6</v>
      </c>
      <c r="R1241">
        <v>237625</v>
      </c>
    </row>
    <row r="1242" spans="1:18" x14ac:dyDescent="0.25">
      <c r="A1242" s="170">
        <v>45926</v>
      </c>
      <c r="B1242" s="116">
        <v>773.37</v>
      </c>
      <c r="C1242" s="116">
        <v>760.3</v>
      </c>
      <c r="D1242" s="116">
        <v>757.8</v>
      </c>
      <c r="E1242" s="116">
        <v>772.4</v>
      </c>
      <c r="F1242" s="116">
        <v>3801.5</v>
      </c>
      <c r="G1242">
        <v>19853</v>
      </c>
      <c r="H1242" s="116"/>
      <c r="I1242" s="116"/>
      <c r="L1242" s="170">
        <v>45931</v>
      </c>
      <c r="M1242" s="116">
        <v>764.64</v>
      </c>
      <c r="N1242" s="116">
        <v>767</v>
      </c>
      <c r="O1242" s="116">
        <v>744.94</v>
      </c>
      <c r="P1242" s="116">
        <v>748</v>
      </c>
      <c r="Q1242" s="116">
        <v>3823.2</v>
      </c>
      <c r="R1242">
        <v>340944</v>
      </c>
    </row>
    <row r="1243" spans="1:18" x14ac:dyDescent="0.25">
      <c r="A1243" s="170">
        <v>45929</v>
      </c>
      <c r="B1243" s="116">
        <v>765.4</v>
      </c>
      <c r="C1243" s="116">
        <v>757.35</v>
      </c>
      <c r="D1243" s="116">
        <v>755.11</v>
      </c>
      <c r="E1243" s="116">
        <v>757.83</v>
      </c>
      <c r="F1243" s="116">
        <v>3786.75</v>
      </c>
      <c r="G1243">
        <v>13409</v>
      </c>
      <c r="H1243" s="116"/>
      <c r="I1243" s="116"/>
      <c r="L1243" s="170">
        <v>45933</v>
      </c>
      <c r="M1243" s="116">
        <v>762.26</v>
      </c>
      <c r="N1243" s="116">
        <v>773</v>
      </c>
      <c r="O1243" s="116">
        <v>757.7</v>
      </c>
      <c r="P1243" s="116">
        <v>771.6</v>
      </c>
      <c r="Q1243" s="116">
        <v>3811.3</v>
      </c>
      <c r="R1243">
        <v>242553</v>
      </c>
    </row>
    <row r="1244" spans="1:18" x14ac:dyDescent="0.25">
      <c r="A1244" s="170">
        <v>45930</v>
      </c>
      <c r="B1244" s="116">
        <v>759.97</v>
      </c>
      <c r="C1244" s="116">
        <v>751.98</v>
      </c>
      <c r="D1244" s="116">
        <v>743.19</v>
      </c>
      <c r="E1244" s="116">
        <v>757.35</v>
      </c>
      <c r="F1244" s="116">
        <v>3759.9</v>
      </c>
      <c r="G1244">
        <v>14159</v>
      </c>
      <c r="H1244" s="116"/>
      <c r="I1244" s="116"/>
      <c r="L1244" s="170">
        <v>45936</v>
      </c>
      <c r="M1244" s="116">
        <v>765.1</v>
      </c>
      <c r="N1244" s="116">
        <v>771.18</v>
      </c>
      <c r="O1244" s="116">
        <v>758.44</v>
      </c>
      <c r="P1244" s="116">
        <v>765.56</v>
      </c>
      <c r="Q1244" s="116">
        <v>3825.5</v>
      </c>
      <c r="R1244">
        <v>400368</v>
      </c>
    </row>
    <row r="1245" spans="1:18" x14ac:dyDescent="0.25">
      <c r="A1245" s="170">
        <v>45931</v>
      </c>
      <c r="B1245" s="116">
        <v>767</v>
      </c>
      <c r="C1245" s="116">
        <v>764.43</v>
      </c>
      <c r="D1245" s="116">
        <v>745</v>
      </c>
      <c r="E1245" s="116">
        <v>751.26</v>
      </c>
      <c r="F1245" s="116">
        <v>3822.15</v>
      </c>
      <c r="G1245">
        <v>17211</v>
      </c>
      <c r="H1245" s="116"/>
      <c r="I1245" s="116"/>
      <c r="L1245" s="170">
        <v>45937</v>
      </c>
      <c r="M1245" s="116">
        <v>760.12</v>
      </c>
      <c r="N1245" s="116">
        <v>781.72</v>
      </c>
      <c r="O1245" s="116">
        <v>758</v>
      </c>
      <c r="P1245" s="116">
        <v>768.84</v>
      </c>
      <c r="Q1245" s="116">
        <v>3800.6</v>
      </c>
      <c r="R1245">
        <v>645663</v>
      </c>
    </row>
    <row r="1246" spans="1:18" x14ac:dyDescent="0.25">
      <c r="A1246" s="170">
        <v>45933</v>
      </c>
      <c r="B1246" s="116">
        <v>772.45</v>
      </c>
      <c r="C1246" s="116">
        <v>762.55</v>
      </c>
      <c r="D1246" s="116">
        <v>758</v>
      </c>
      <c r="E1246" s="116">
        <v>770.01</v>
      </c>
      <c r="F1246" s="116">
        <v>3812.75</v>
      </c>
      <c r="G1246">
        <v>17589</v>
      </c>
      <c r="H1246" s="116"/>
      <c r="I1246" s="116"/>
      <c r="L1246" s="170">
        <v>45938</v>
      </c>
      <c r="M1246" s="116">
        <v>756.02</v>
      </c>
      <c r="N1246" s="116">
        <v>766.2</v>
      </c>
      <c r="O1246" s="116">
        <v>753.32</v>
      </c>
      <c r="P1246" s="116">
        <v>764</v>
      </c>
      <c r="Q1246" s="116">
        <v>3780.1</v>
      </c>
      <c r="R1246">
        <v>239314</v>
      </c>
    </row>
    <row r="1247" spans="1:18" x14ac:dyDescent="0.25">
      <c r="A1247" s="170">
        <v>45936</v>
      </c>
      <c r="B1247" s="116">
        <v>771.07</v>
      </c>
      <c r="C1247" s="116">
        <v>767.25</v>
      </c>
      <c r="D1247" s="116">
        <v>758.29</v>
      </c>
      <c r="E1247" s="116">
        <v>764.5</v>
      </c>
      <c r="F1247" s="116">
        <v>3836.25</v>
      </c>
      <c r="G1247">
        <v>17232</v>
      </c>
      <c r="H1247" s="116"/>
      <c r="I1247" s="116"/>
      <c r="L1247" s="170">
        <v>45939</v>
      </c>
      <c r="M1247" s="116">
        <v>766.22</v>
      </c>
      <c r="N1247" s="116">
        <v>768</v>
      </c>
      <c r="O1247" s="116">
        <v>754.3</v>
      </c>
      <c r="P1247" s="116">
        <v>756.4</v>
      </c>
      <c r="Q1247" s="116">
        <v>3831.1</v>
      </c>
      <c r="R1247">
        <v>197286</v>
      </c>
    </row>
    <row r="1248" spans="1:18" x14ac:dyDescent="0.25">
      <c r="A1248" s="170">
        <v>45937</v>
      </c>
      <c r="B1248" s="116">
        <v>781.55</v>
      </c>
      <c r="C1248" s="116">
        <v>760.14</v>
      </c>
      <c r="D1248" s="116">
        <v>758.4</v>
      </c>
      <c r="E1248" s="116">
        <v>767.36</v>
      </c>
      <c r="F1248" s="116">
        <v>3800.7</v>
      </c>
      <c r="G1248">
        <v>50260</v>
      </c>
      <c r="H1248" s="116"/>
      <c r="I1248" s="116"/>
      <c r="L1248" s="170">
        <v>45940</v>
      </c>
      <c r="M1248" s="116">
        <v>772.16</v>
      </c>
      <c r="N1248" s="116">
        <v>777.6</v>
      </c>
      <c r="O1248" s="116">
        <v>768.22</v>
      </c>
      <c r="P1248" s="116">
        <v>769.8</v>
      </c>
      <c r="Q1248" s="116">
        <v>3860.8</v>
      </c>
      <c r="R1248">
        <v>339052</v>
      </c>
    </row>
    <row r="1249" spans="1:18" x14ac:dyDescent="0.25">
      <c r="A1249" s="170">
        <v>45938</v>
      </c>
      <c r="B1249" s="116">
        <v>766.26</v>
      </c>
      <c r="C1249" s="116">
        <v>755.67</v>
      </c>
      <c r="D1249" s="116">
        <v>753.46</v>
      </c>
      <c r="E1249" s="116">
        <v>762.51</v>
      </c>
      <c r="F1249" s="116">
        <v>3778.35</v>
      </c>
      <c r="G1249">
        <v>21797</v>
      </c>
      <c r="H1249" s="116"/>
      <c r="I1249" s="116"/>
      <c r="L1249" s="170">
        <v>45943</v>
      </c>
      <c r="M1249" s="116">
        <v>773.66</v>
      </c>
      <c r="N1249" s="116">
        <v>777.6</v>
      </c>
      <c r="O1249" s="116">
        <v>765</v>
      </c>
      <c r="P1249" s="116">
        <v>775</v>
      </c>
      <c r="Q1249" s="116">
        <v>3868.3</v>
      </c>
      <c r="R1249">
        <v>520894</v>
      </c>
    </row>
    <row r="1250" spans="1:18" x14ac:dyDescent="0.25">
      <c r="A1250" s="170">
        <v>45939</v>
      </c>
      <c r="B1250" s="116">
        <v>768</v>
      </c>
      <c r="C1250" s="116">
        <v>766.46</v>
      </c>
      <c r="D1250" s="116">
        <v>754.5</v>
      </c>
      <c r="E1250" s="116">
        <v>758.6</v>
      </c>
      <c r="F1250" s="116">
        <v>3832.3</v>
      </c>
      <c r="G1250">
        <v>12060</v>
      </c>
      <c r="H1250" s="116"/>
      <c r="I1250" s="116"/>
      <c r="L1250" s="170">
        <v>45944</v>
      </c>
      <c r="M1250" s="116">
        <v>756</v>
      </c>
      <c r="N1250" s="116">
        <v>784.8</v>
      </c>
      <c r="O1250" s="116">
        <v>754</v>
      </c>
      <c r="P1250" s="116">
        <v>777.44</v>
      </c>
      <c r="Q1250" s="116">
        <v>3780</v>
      </c>
      <c r="R1250">
        <v>469567</v>
      </c>
    </row>
    <row r="1251" spans="1:18" x14ac:dyDescent="0.25">
      <c r="A1251" s="170">
        <v>45940</v>
      </c>
      <c r="B1251" s="116">
        <v>777.57</v>
      </c>
      <c r="C1251" s="116">
        <v>772.6</v>
      </c>
      <c r="D1251" s="116">
        <v>768.72</v>
      </c>
      <c r="E1251" s="116">
        <v>770</v>
      </c>
      <c r="F1251" s="116">
        <v>3863</v>
      </c>
      <c r="G1251">
        <v>20229</v>
      </c>
      <c r="H1251" s="116"/>
      <c r="I1251" s="116"/>
      <c r="L1251" s="170">
        <v>45945</v>
      </c>
      <c r="M1251" s="116">
        <v>767.24</v>
      </c>
      <c r="N1251" s="116">
        <v>773.4</v>
      </c>
      <c r="O1251" s="116">
        <v>758.4</v>
      </c>
      <c r="P1251" s="116">
        <v>760</v>
      </c>
      <c r="Q1251" s="116">
        <v>3836.2</v>
      </c>
      <c r="R1251">
        <v>277047</v>
      </c>
    </row>
    <row r="1252" spans="1:18" x14ac:dyDescent="0.25">
      <c r="A1252" s="170">
        <v>45943</v>
      </c>
      <c r="B1252" s="116">
        <v>777.6</v>
      </c>
      <c r="C1252" s="116">
        <v>774.24</v>
      </c>
      <c r="D1252" s="116">
        <v>764.59</v>
      </c>
      <c r="E1252" s="116">
        <v>775.99</v>
      </c>
      <c r="F1252" s="116">
        <v>3871.2</v>
      </c>
      <c r="G1252">
        <v>40270</v>
      </c>
      <c r="H1252" s="116"/>
      <c r="I1252" s="116"/>
      <c r="L1252" s="170">
        <v>45946</v>
      </c>
      <c r="M1252" s="116">
        <v>766.16</v>
      </c>
      <c r="N1252" s="116">
        <v>777</v>
      </c>
      <c r="O1252" s="116">
        <v>764.94</v>
      </c>
      <c r="P1252" s="116">
        <v>770</v>
      </c>
      <c r="Q1252" s="116">
        <v>3830.8</v>
      </c>
      <c r="R1252">
        <v>284210</v>
      </c>
    </row>
    <row r="1253" spans="1:18" x14ac:dyDescent="0.25">
      <c r="A1253" s="170">
        <v>45944</v>
      </c>
      <c r="B1253" s="116">
        <v>785</v>
      </c>
      <c r="C1253" s="116">
        <v>756.23</v>
      </c>
      <c r="D1253" s="116">
        <v>754.2</v>
      </c>
      <c r="E1253" s="116">
        <v>775.19</v>
      </c>
      <c r="F1253" s="116">
        <v>3781.15</v>
      </c>
      <c r="G1253">
        <v>33030</v>
      </c>
      <c r="H1253" s="116"/>
      <c r="I1253" s="116"/>
      <c r="L1253" s="170">
        <v>45947</v>
      </c>
      <c r="M1253" s="116">
        <v>759.14</v>
      </c>
      <c r="N1253" s="116">
        <v>772.96</v>
      </c>
      <c r="O1253" s="116">
        <v>757.4</v>
      </c>
      <c r="P1253" s="116">
        <v>767.5</v>
      </c>
      <c r="Q1253" s="116">
        <v>3795.7</v>
      </c>
      <c r="R1253">
        <v>288960</v>
      </c>
    </row>
    <row r="1254" spans="1:18" x14ac:dyDescent="0.25">
      <c r="A1254" s="170">
        <v>45945</v>
      </c>
      <c r="B1254" s="116">
        <v>773.2</v>
      </c>
      <c r="C1254" s="116">
        <v>767.6</v>
      </c>
      <c r="D1254" s="116">
        <v>758.07</v>
      </c>
      <c r="E1254" s="116">
        <v>758.07</v>
      </c>
      <c r="F1254" s="116">
        <v>3838</v>
      </c>
      <c r="G1254">
        <v>18185</v>
      </c>
      <c r="H1254" s="116"/>
      <c r="I1254" s="116"/>
      <c r="L1254" s="170">
        <v>45950</v>
      </c>
      <c r="M1254" s="116">
        <v>765.62</v>
      </c>
      <c r="N1254" s="116">
        <v>767.64</v>
      </c>
      <c r="O1254" s="116">
        <v>757.98</v>
      </c>
      <c r="P1254" s="116">
        <v>765</v>
      </c>
      <c r="Q1254" s="116">
        <v>3828.1</v>
      </c>
      <c r="R1254">
        <v>160181</v>
      </c>
    </row>
    <row r="1255" spans="1:18" x14ac:dyDescent="0.25">
      <c r="A1255" s="170">
        <v>45946</v>
      </c>
      <c r="B1255" s="116">
        <v>777</v>
      </c>
      <c r="C1255" s="116">
        <v>766.2</v>
      </c>
      <c r="D1255" s="116">
        <v>765</v>
      </c>
      <c r="E1255" s="116">
        <v>768.03</v>
      </c>
      <c r="F1255" s="116">
        <v>3831</v>
      </c>
      <c r="G1255">
        <v>37535</v>
      </c>
      <c r="H1255" s="116"/>
      <c r="I1255" s="116"/>
      <c r="L1255" s="170">
        <v>45951</v>
      </c>
      <c r="M1255" s="116">
        <v>767.6</v>
      </c>
      <c r="N1255" s="116">
        <v>771</v>
      </c>
      <c r="O1255" s="116">
        <v>765.64</v>
      </c>
      <c r="P1255" s="116">
        <v>768</v>
      </c>
      <c r="Q1255" s="116">
        <v>3838</v>
      </c>
      <c r="R1255">
        <v>61695</v>
      </c>
    </row>
    <row r="1256" spans="1:18" x14ac:dyDescent="0.25">
      <c r="A1256" s="170">
        <v>45947</v>
      </c>
      <c r="B1256" s="116">
        <v>773.44</v>
      </c>
      <c r="C1256" s="116">
        <v>758.79</v>
      </c>
      <c r="D1256" s="116">
        <v>757.6</v>
      </c>
      <c r="E1256" s="116">
        <v>766.43</v>
      </c>
      <c r="F1256" s="116">
        <v>3793.95</v>
      </c>
      <c r="G1256">
        <v>24175</v>
      </c>
      <c r="H1256" s="116"/>
      <c r="I1256" s="116"/>
      <c r="L1256" s="170">
        <v>45953</v>
      </c>
      <c r="M1256" s="116">
        <v>774.68</v>
      </c>
      <c r="N1256" s="116">
        <v>778</v>
      </c>
      <c r="O1256" s="116">
        <v>764.52</v>
      </c>
      <c r="P1256" s="116">
        <v>771</v>
      </c>
      <c r="Q1256" s="116">
        <v>3873.4</v>
      </c>
      <c r="R1256">
        <v>294023</v>
      </c>
    </row>
    <row r="1257" spans="1:18" x14ac:dyDescent="0.25">
      <c r="A1257" s="170">
        <v>45950</v>
      </c>
      <c r="B1257" s="116">
        <v>767.5</v>
      </c>
      <c r="C1257" s="116">
        <v>765.77</v>
      </c>
      <c r="D1257" s="116">
        <v>758.47</v>
      </c>
      <c r="E1257" s="116">
        <v>760.32</v>
      </c>
      <c r="F1257" s="116">
        <v>3828.85</v>
      </c>
      <c r="G1257">
        <v>8013</v>
      </c>
      <c r="H1257" s="116"/>
      <c r="I1257" s="116"/>
      <c r="L1257" s="170">
        <v>45954</v>
      </c>
      <c r="M1257" s="116">
        <v>776.04</v>
      </c>
      <c r="N1257" s="116">
        <v>782.52</v>
      </c>
      <c r="O1257" s="116">
        <v>773.24</v>
      </c>
      <c r="P1257" s="116">
        <v>776</v>
      </c>
      <c r="Q1257" s="116">
        <v>3880.2</v>
      </c>
      <c r="R1257">
        <v>412374</v>
      </c>
    </row>
    <row r="1258" spans="1:18" x14ac:dyDescent="0.25">
      <c r="A1258" s="170">
        <v>45951</v>
      </c>
      <c r="B1258" s="116">
        <v>771.23</v>
      </c>
      <c r="C1258" s="116">
        <v>767.53</v>
      </c>
      <c r="D1258" s="116">
        <v>765.4</v>
      </c>
      <c r="E1258" s="116">
        <v>766.41</v>
      </c>
      <c r="F1258" s="116">
        <v>3837.65</v>
      </c>
      <c r="G1258">
        <v>8787</v>
      </c>
      <c r="H1258" s="116"/>
      <c r="I1258" s="116"/>
      <c r="L1258" s="170">
        <v>45957</v>
      </c>
      <c r="M1258" s="116">
        <v>793.08</v>
      </c>
      <c r="N1258" s="116">
        <v>795.56</v>
      </c>
      <c r="O1258" s="116">
        <v>776.4</v>
      </c>
      <c r="P1258" s="116">
        <v>776.8</v>
      </c>
      <c r="Q1258" s="116">
        <v>3965.4</v>
      </c>
      <c r="R1258">
        <v>491553</v>
      </c>
    </row>
    <row r="1259" spans="1:18" x14ac:dyDescent="0.25">
      <c r="A1259" s="170">
        <v>45953</v>
      </c>
      <c r="B1259" s="116">
        <v>778.05</v>
      </c>
      <c r="C1259" s="116">
        <v>775.2</v>
      </c>
      <c r="D1259" s="116">
        <v>764.75</v>
      </c>
      <c r="E1259" s="116">
        <v>768.54</v>
      </c>
      <c r="F1259" s="116">
        <v>3876</v>
      </c>
      <c r="G1259">
        <v>11360</v>
      </c>
      <c r="H1259" s="116"/>
      <c r="I1259" s="116"/>
      <c r="L1259" s="170">
        <v>45958</v>
      </c>
      <c r="M1259" s="116">
        <v>797.04</v>
      </c>
      <c r="N1259" s="116">
        <v>804</v>
      </c>
      <c r="O1259" s="116">
        <v>793.2</v>
      </c>
      <c r="P1259" s="116">
        <v>796</v>
      </c>
      <c r="Q1259" s="116">
        <v>3985.2</v>
      </c>
      <c r="R1259">
        <v>388568</v>
      </c>
    </row>
    <row r="1260" spans="1:18" x14ac:dyDescent="0.25">
      <c r="A1260" s="170">
        <v>45954</v>
      </c>
      <c r="B1260" s="116">
        <v>782.42</v>
      </c>
      <c r="C1260" s="116">
        <v>776.22</v>
      </c>
      <c r="D1260" s="116">
        <v>773.8</v>
      </c>
      <c r="E1260" s="116">
        <v>777.93</v>
      </c>
      <c r="F1260" s="116">
        <v>3881.1</v>
      </c>
      <c r="G1260">
        <v>111518</v>
      </c>
      <c r="H1260" s="116"/>
      <c r="I1260" s="116"/>
      <c r="L1260" s="170">
        <v>45959</v>
      </c>
      <c r="M1260" s="116">
        <v>771.1</v>
      </c>
      <c r="N1260" s="116">
        <v>777</v>
      </c>
      <c r="O1260" s="116">
        <v>743.62</v>
      </c>
      <c r="P1260" s="116">
        <v>777</v>
      </c>
      <c r="Q1260" s="116">
        <v>3855.5</v>
      </c>
      <c r="R1260">
        <v>1373940</v>
      </c>
    </row>
    <row r="1261" spans="1:18" x14ac:dyDescent="0.25">
      <c r="A1261" s="170">
        <v>45957</v>
      </c>
      <c r="B1261" s="116">
        <v>795.47</v>
      </c>
      <c r="C1261" s="116">
        <v>793.27</v>
      </c>
      <c r="D1261" s="116">
        <v>776.22</v>
      </c>
      <c r="E1261" s="116">
        <v>776.22</v>
      </c>
      <c r="F1261" s="116">
        <v>3966.35</v>
      </c>
      <c r="G1261">
        <v>44022</v>
      </c>
      <c r="H1261" s="116"/>
      <c r="I1261" s="116"/>
      <c r="L1261" s="170">
        <v>45960</v>
      </c>
      <c r="M1261" s="116">
        <v>791.42</v>
      </c>
      <c r="N1261" s="116">
        <v>796</v>
      </c>
      <c r="O1261" s="116">
        <v>772</v>
      </c>
      <c r="P1261" s="116">
        <v>774.86</v>
      </c>
      <c r="Q1261" s="116">
        <v>3957.1</v>
      </c>
      <c r="R1261">
        <v>663840</v>
      </c>
    </row>
    <row r="1262" spans="1:18" x14ac:dyDescent="0.25">
      <c r="A1262" s="170">
        <v>45958</v>
      </c>
      <c r="B1262" s="116">
        <v>803.79</v>
      </c>
      <c r="C1262" s="116">
        <v>796.63</v>
      </c>
      <c r="D1262" s="116">
        <v>793.01</v>
      </c>
      <c r="E1262" s="116">
        <v>796.05</v>
      </c>
      <c r="F1262" s="116">
        <v>3983.15</v>
      </c>
      <c r="G1262">
        <v>34175</v>
      </c>
      <c r="H1262" s="116"/>
      <c r="I1262" s="116"/>
      <c r="L1262" s="170">
        <v>45961</v>
      </c>
      <c r="M1262" s="116">
        <v>788.26</v>
      </c>
      <c r="N1262" s="116">
        <v>795</v>
      </c>
      <c r="O1262" s="116">
        <v>782.88</v>
      </c>
      <c r="P1262" s="116">
        <v>793</v>
      </c>
      <c r="Q1262" s="116">
        <v>3941.3</v>
      </c>
      <c r="R1262">
        <v>266911</v>
      </c>
    </row>
    <row r="1263" spans="1:18" x14ac:dyDescent="0.25">
      <c r="A1263" s="170">
        <v>45959</v>
      </c>
      <c r="B1263" s="116">
        <v>776</v>
      </c>
      <c r="C1263" s="116">
        <v>771.96</v>
      </c>
      <c r="D1263" s="116">
        <v>743.68</v>
      </c>
      <c r="E1263" s="116">
        <v>774.01</v>
      </c>
      <c r="F1263" s="116">
        <v>3859.8</v>
      </c>
      <c r="G1263">
        <v>62051</v>
      </c>
      <c r="H1263" s="116"/>
      <c r="I1263" s="116"/>
      <c r="L1263" s="170">
        <v>45964</v>
      </c>
      <c r="M1263" s="116">
        <v>779.48</v>
      </c>
      <c r="N1263" s="116">
        <v>786.52</v>
      </c>
      <c r="O1263" s="116">
        <v>775.48</v>
      </c>
      <c r="P1263" s="116">
        <v>784.82</v>
      </c>
      <c r="Q1263" s="116">
        <v>3897.4</v>
      </c>
      <c r="R1263">
        <v>248008</v>
      </c>
    </row>
    <row r="1264" spans="1:18" x14ac:dyDescent="0.25">
      <c r="A1264" s="170">
        <v>45960</v>
      </c>
      <c r="B1264" s="116">
        <v>796</v>
      </c>
      <c r="C1264" s="116">
        <v>791.1</v>
      </c>
      <c r="D1264" s="116">
        <v>772.03</v>
      </c>
      <c r="E1264" s="116">
        <v>774</v>
      </c>
      <c r="F1264" s="116">
        <v>3955.5</v>
      </c>
      <c r="G1264">
        <v>49174</v>
      </c>
      <c r="H1264" s="116"/>
      <c r="I1264" s="116"/>
      <c r="L1264" s="170">
        <v>45965</v>
      </c>
      <c r="M1264" s="116">
        <v>760.22</v>
      </c>
      <c r="N1264" s="116">
        <v>779.98</v>
      </c>
      <c r="O1264" s="116">
        <v>758</v>
      </c>
      <c r="P1264" s="116">
        <v>779.48</v>
      </c>
      <c r="Q1264" s="116">
        <v>3801.1</v>
      </c>
      <c r="R1264">
        <v>281643</v>
      </c>
    </row>
    <row r="1265" spans="1:18" x14ac:dyDescent="0.25">
      <c r="A1265" s="170">
        <v>45961</v>
      </c>
      <c r="B1265" s="116">
        <v>794.96</v>
      </c>
      <c r="C1265" s="116">
        <v>787.3</v>
      </c>
      <c r="D1265" s="116">
        <v>783.36</v>
      </c>
      <c r="E1265" s="116">
        <v>792.01</v>
      </c>
      <c r="F1265" s="116">
        <v>3936.5</v>
      </c>
      <c r="G1265">
        <v>14760</v>
      </c>
      <c r="H1265" s="116"/>
      <c r="I1265" s="116"/>
      <c r="L1265" s="170">
        <v>45967</v>
      </c>
      <c r="M1265" s="116">
        <v>747.96</v>
      </c>
      <c r="N1265" s="116">
        <v>761.8</v>
      </c>
      <c r="O1265" s="116">
        <v>744.44</v>
      </c>
      <c r="P1265" s="116">
        <v>760.22</v>
      </c>
      <c r="Q1265" s="116">
        <v>3739.8</v>
      </c>
      <c r="R1265">
        <v>277136</v>
      </c>
    </row>
    <row r="1266" spans="1:18" x14ac:dyDescent="0.25">
      <c r="A1266" s="170">
        <v>45964</v>
      </c>
      <c r="B1266" s="116">
        <v>787.55</v>
      </c>
      <c r="C1266" s="116">
        <v>779.53</v>
      </c>
      <c r="D1266" s="116">
        <v>776</v>
      </c>
      <c r="E1266" s="116">
        <v>787.55</v>
      </c>
      <c r="F1266" s="116">
        <v>3897.65</v>
      </c>
      <c r="G1266">
        <v>9121</v>
      </c>
      <c r="H1266" s="116"/>
      <c r="I1266" s="116"/>
      <c r="L1266" s="170">
        <v>45968</v>
      </c>
      <c r="M1266" s="116">
        <v>759.06</v>
      </c>
      <c r="N1266" s="116">
        <v>763.8</v>
      </c>
      <c r="O1266" s="116">
        <v>733.52</v>
      </c>
      <c r="P1266" s="116">
        <v>743.96</v>
      </c>
      <c r="Q1266" s="116">
        <v>3795.3</v>
      </c>
      <c r="R1266">
        <v>336099</v>
      </c>
    </row>
    <row r="1267" spans="1:18" x14ac:dyDescent="0.25">
      <c r="A1267" s="170">
        <v>45965</v>
      </c>
      <c r="B1267" s="116">
        <v>781.28</v>
      </c>
      <c r="C1267" s="116">
        <v>760.33</v>
      </c>
      <c r="D1267" s="116">
        <v>758</v>
      </c>
      <c r="E1267" s="116">
        <v>781.28</v>
      </c>
      <c r="F1267" s="116">
        <v>3801.65</v>
      </c>
      <c r="G1267">
        <v>21221</v>
      </c>
      <c r="H1267" s="116"/>
      <c r="I1267" s="116"/>
      <c r="L1267" s="170">
        <v>45971</v>
      </c>
      <c r="M1267" s="116">
        <v>763.48</v>
      </c>
      <c r="N1267" s="116">
        <v>770.8</v>
      </c>
      <c r="O1267" s="116">
        <v>757.72</v>
      </c>
      <c r="P1267" s="116">
        <v>760.6</v>
      </c>
      <c r="Q1267" s="116">
        <v>3817.4</v>
      </c>
      <c r="R1267">
        <v>240658</v>
      </c>
    </row>
    <row r="1268" spans="1:18" x14ac:dyDescent="0.25">
      <c r="A1268" s="170">
        <v>45967</v>
      </c>
      <c r="B1268" s="116">
        <v>761.59</v>
      </c>
      <c r="C1268" s="116">
        <v>748.15</v>
      </c>
      <c r="D1268" s="116">
        <v>744.54</v>
      </c>
      <c r="E1268" s="116">
        <v>761.19</v>
      </c>
      <c r="F1268" s="116">
        <v>3740.75</v>
      </c>
      <c r="G1268">
        <v>22755</v>
      </c>
      <c r="H1268" s="116"/>
      <c r="I1268" s="116"/>
      <c r="L1268" s="170">
        <v>45972</v>
      </c>
      <c r="M1268" s="116">
        <v>767.68</v>
      </c>
      <c r="N1268" s="116">
        <v>769</v>
      </c>
      <c r="O1268" s="116">
        <v>755.8</v>
      </c>
      <c r="P1268" s="116">
        <v>763.4</v>
      </c>
      <c r="Q1268" s="116">
        <v>3838.4</v>
      </c>
      <c r="R1268">
        <v>189736</v>
      </c>
    </row>
    <row r="1269" spans="1:18" x14ac:dyDescent="0.25">
      <c r="A1269" s="170">
        <v>45968</v>
      </c>
      <c r="B1269" s="116">
        <v>763.72</v>
      </c>
      <c r="C1269" s="116">
        <v>759.6</v>
      </c>
      <c r="D1269" s="116">
        <v>733.62</v>
      </c>
      <c r="E1269" s="116">
        <v>744</v>
      </c>
      <c r="F1269" s="116">
        <v>3798</v>
      </c>
      <c r="G1269">
        <v>36925</v>
      </c>
      <c r="H1269" s="116"/>
      <c r="I1269" s="116"/>
      <c r="L1269" s="170">
        <v>45973</v>
      </c>
      <c r="M1269" s="116">
        <v>792.8</v>
      </c>
      <c r="N1269" s="116">
        <v>803.96</v>
      </c>
      <c r="O1269" s="116">
        <v>770</v>
      </c>
      <c r="P1269" s="116">
        <v>770.5</v>
      </c>
      <c r="Q1269" s="116">
        <v>3964</v>
      </c>
      <c r="R1269">
        <v>825692</v>
      </c>
    </row>
    <row r="1270" spans="1:18" x14ac:dyDescent="0.25">
      <c r="A1270" s="170">
        <v>45971</v>
      </c>
      <c r="B1270" s="116">
        <v>770.5</v>
      </c>
      <c r="C1270" s="116">
        <v>762.95</v>
      </c>
      <c r="D1270" s="116">
        <v>757.84</v>
      </c>
      <c r="E1270" s="116">
        <v>760.44</v>
      </c>
      <c r="F1270" s="116">
        <v>3814.75</v>
      </c>
      <c r="G1270">
        <v>19502</v>
      </c>
      <c r="H1270" s="116"/>
      <c r="I1270" s="116"/>
      <c r="L1270" s="170">
        <v>45974</v>
      </c>
      <c r="M1270" s="116">
        <v>788.8</v>
      </c>
      <c r="N1270" s="116">
        <v>794</v>
      </c>
      <c r="O1270" s="116">
        <v>782.98</v>
      </c>
      <c r="P1270" s="116">
        <v>790.9</v>
      </c>
      <c r="Q1270" s="116">
        <v>3944</v>
      </c>
      <c r="R1270">
        <v>214742</v>
      </c>
    </row>
    <row r="1271" spans="1:18" x14ac:dyDescent="0.25">
      <c r="A1271" s="170">
        <v>45972</v>
      </c>
      <c r="B1271" s="116">
        <v>768.6</v>
      </c>
      <c r="C1271" s="116">
        <v>767.81</v>
      </c>
      <c r="D1271" s="116">
        <v>756</v>
      </c>
      <c r="E1271" s="116">
        <v>760.03</v>
      </c>
      <c r="F1271" s="116">
        <v>3839.05</v>
      </c>
      <c r="G1271">
        <v>8489</v>
      </c>
      <c r="H1271" s="116"/>
      <c r="I1271" s="116"/>
      <c r="L1271" s="170">
        <v>45975</v>
      </c>
      <c r="M1271" s="116">
        <v>787.6</v>
      </c>
      <c r="N1271" s="116">
        <v>797.6</v>
      </c>
      <c r="O1271" s="116">
        <v>781.38</v>
      </c>
      <c r="P1271" s="116">
        <v>782.24</v>
      </c>
      <c r="Q1271" s="116">
        <v>3938</v>
      </c>
      <c r="R1271">
        <v>218668</v>
      </c>
    </row>
    <row r="1272" spans="1:18" x14ac:dyDescent="0.25">
      <c r="A1272" s="170">
        <v>45973</v>
      </c>
      <c r="B1272" s="116">
        <v>804</v>
      </c>
      <c r="C1272" s="116">
        <v>792.87</v>
      </c>
      <c r="D1272" s="116">
        <v>770.6</v>
      </c>
      <c r="E1272" s="116">
        <v>773.57</v>
      </c>
      <c r="F1272" s="116">
        <v>3964.35</v>
      </c>
      <c r="G1272">
        <v>64420</v>
      </c>
      <c r="H1272" s="116"/>
      <c r="I1272" s="116"/>
      <c r="L1272" s="170">
        <v>45978</v>
      </c>
      <c r="M1272" s="116">
        <v>792.86</v>
      </c>
      <c r="N1272" s="116">
        <v>800.78</v>
      </c>
      <c r="O1272" s="116">
        <v>785.82</v>
      </c>
      <c r="P1272" s="116">
        <v>788</v>
      </c>
      <c r="Q1272" s="116">
        <v>3964.3</v>
      </c>
      <c r="R1272">
        <v>192395</v>
      </c>
    </row>
    <row r="1273" spans="1:18" x14ac:dyDescent="0.25">
      <c r="A1273" s="170">
        <v>45974</v>
      </c>
      <c r="B1273" s="116">
        <v>794</v>
      </c>
      <c r="C1273" s="116">
        <v>788.75</v>
      </c>
      <c r="D1273" s="116">
        <v>782.95</v>
      </c>
      <c r="E1273" s="116">
        <v>792.86</v>
      </c>
      <c r="F1273" s="116">
        <v>3943.75</v>
      </c>
      <c r="G1273">
        <v>19628</v>
      </c>
      <c r="H1273" s="116"/>
      <c r="I1273" s="116"/>
      <c r="L1273" s="170">
        <v>45979</v>
      </c>
      <c r="M1273" s="116">
        <v>789.16</v>
      </c>
      <c r="N1273" s="116">
        <v>793.34</v>
      </c>
      <c r="O1273" s="116">
        <v>783.76</v>
      </c>
      <c r="P1273" s="116">
        <v>791.6</v>
      </c>
      <c r="Q1273" s="116">
        <v>3945.8</v>
      </c>
      <c r="R1273">
        <v>170901</v>
      </c>
    </row>
    <row r="1274" spans="1:18" x14ac:dyDescent="0.25">
      <c r="A1274" s="170">
        <v>45975</v>
      </c>
      <c r="B1274" s="116">
        <v>797.37</v>
      </c>
      <c r="C1274" s="116">
        <v>786.76</v>
      </c>
      <c r="D1274" s="116">
        <v>780.09</v>
      </c>
      <c r="E1274" s="116">
        <v>780.09</v>
      </c>
      <c r="F1274" s="116">
        <v>3933.8</v>
      </c>
      <c r="G1274">
        <v>14440</v>
      </c>
      <c r="H1274" s="116"/>
      <c r="I1274" s="116"/>
      <c r="L1274" s="170">
        <v>45980</v>
      </c>
      <c r="M1274" s="116">
        <v>785.8</v>
      </c>
      <c r="N1274" s="116">
        <v>793.74</v>
      </c>
      <c r="O1274" s="116">
        <v>783.12</v>
      </c>
      <c r="P1274" s="116">
        <v>791.8</v>
      </c>
      <c r="Q1274" s="116">
        <v>3929</v>
      </c>
      <c r="R1274">
        <v>159483</v>
      </c>
    </row>
    <row r="1275" spans="1:18" x14ac:dyDescent="0.25">
      <c r="A1275" s="170">
        <v>45978</v>
      </c>
      <c r="B1275" s="116">
        <v>800.4</v>
      </c>
      <c r="C1275" s="116">
        <v>792.67</v>
      </c>
      <c r="D1275" s="116">
        <v>785.41</v>
      </c>
      <c r="E1275" s="116">
        <v>789</v>
      </c>
      <c r="F1275" s="116">
        <v>3963.35</v>
      </c>
      <c r="G1275">
        <v>9475</v>
      </c>
      <c r="H1275" s="116"/>
      <c r="I1275" s="116"/>
      <c r="L1275" s="170">
        <v>45981</v>
      </c>
      <c r="M1275" s="116">
        <v>802.9</v>
      </c>
      <c r="N1275" s="116">
        <v>813</v>
      </c>
      <c r="O1275" s="116">
        <v>784.8</v>
      </c>
      <c r="P1275" s="116">
        <v>789.8</v>
      </c>
      <c r="Q1275" s="116">
        <v>4014.5</v>
      </c>
      <c r="R1275">
        <v>711449</v>
      </c>
    </row>
    <row r="1276" spans="1:18" x14ac:dyDescent="0.25">
      <c r="A1276" s="170">
        <v>45979</v>
      </c>
      <c r="B1276" s="116">
        <v>791.07</v>
      </c>
      <c r="C1276" s="116">
        <v>789.25</v>
      </c>
      <c r="D1276" s="116">
        <v>784</v>
      </c>
      <c r="E1276" s="116">
        <v>788.43</v>
      </c>
      <c r="F1276" s="116">
        <v>3946.25</v>
      </c>
      <c r="G1276">
        <v>7210</v>
      </c>
      <c r="H1276" s="116"/>
      <c r="I1276" s="116"/>
      <c r="L1276" s="170">
        <v>45982</v>
      </c>
      <c r="M1276" s="116">
        <v>789.62</v>
      </c>
      <c r="N1276" s="116">
        <v>802.92</v>
      </c>
      <c r="O1276" s="116">
        <v>787.64</v>
      </c>
      <c r="P1276" s="116">
        <v>802.9</v>
      </c>
      <c r="Q1276" s="116">
        <v>3948.1</v>
      </c>
      <c r="R1276">
        <v>338051</v>
      </c>
    </row>
    <row r="1277" spans="1:18" x14ac:dyDescent="0.25">
      <c r="A1277" s="170">
        <v>45980</v>
      </c>
      <c r="B1277" s="116">
        <v>793.79</v>
      </c>
      <c r="C1277" s="116">
        <v>785.61</v>
      </c>
      <c r="D1277" s="116">
        <v>783.08</v>
      </c>
      <c r="E1277" s="116">
        <v>789.6</v>
      </c>
      <c r="F1277" s="116">
        <v>3928.05</v>
      </c>
      <c r="G1277">
        <v>13592</v>
      </c>
      <c r="H1277" s="116"/>
      <c r="I1277" s="116"/>
      <c r="L1277" s="170">
        <v>45985</v>
      </c>
      <c r="M1277" s="116">
        <v>781.36</v>
      </c>
      <c r="N1277" s="116">
        <v>793.68</v>
      </c>
      <c r="O1277" s="116">
        <v>778.2</v>
      </c>
      <c r="P1277" s="116">
        <v>792</v>
      </c>
      <c r="Q1277" s="116">
        <v>3906.8</v>
      </c>
      <c r="R1277">
        <v>328873</v>
      </c>
    </row>
    <row r="1278" spans="1:18" x14ac:dyDescent="0.25">
      <c r="A1278" s="170">
        <v>45981</v>
      </c>
      <c r="B1278" s="116">
        <v>813</v>
      </c>
      <c r="C1278" s="116">
        <v>802.92</v>
      </c>
      <c r="D1278" s="116">
        <v>785</v>
      </c>
      <c r="E1278" s="116">
        <v>790</v>
      </c>
      <c r="F1278" s="116">
        <v>4014.6</v>
      </c>
      <c r="G1278">
        <v>31864</v>
      </c>
      <c r="H1278" s="116"/>
      <c r="I1278" s="116"/>
      <c r="L1278" s="170">
        <v>45986</v>
      </c>
      <c r="M1278" s="116">
        <v>778.88</v>
      </c>
      <c r="N1278" s="116">
        <v>789.6</v>
      </c>
      <c r="O1278" s="116">
        <v>769.52</v>
      </c>
      <c r="P1278" s="116">
        <v>780</v>
      </c>
      <c r="Q1278" s="116">
        <v>3894.4</v>
      </c>
      <c r="R1278">
        <v>297282</v>
      </c>
    </row>
    <row r="1279" spans="1:18" x14ac:dyDescent="0.25">
      <c r="A1279" s="170">
        <v>45982</v>
      </c>
      <c r="B1279" s="116">
        <v>803.65</v>
      </c>
      <c r="C1279" s="116">
        <v>789.3</v>
      </c>
      <c r="D1279" s="116">
        <v>787.35</v>
      </c>
      <c r="E1279" s="116">
        <v>802.92</v>
      </c>
      <c r="F1279" s="116">
        <v>3946.5</v>
      </c>
      <c r="G1279">
        <v>36022</v>
      </c>
      <c r="H1279" s="116"/>
      <c r="I1279" s="116"/>
      <c r="L1279" s="170">
        <v>45987</v>
      </c>
      <c r="M1279" s="116">
        <v>786.76</v>
      </c>
      <c r="N1279" s="116">
        <v>794</v>
      </c>
      <c r="O1279" s="116">
        <v>780.5</v>
      </c>
      <c r="P1279" s="116">
        <v>782.2</v>
      </c>
      <c r="Q1279" s="116">
        <v>3933.8</v>
      </c>
      <c r="R1279">
        <v>312422</v>
      </c>
    </row>
    <row r="1280" spans="1:18" x14ac:dyDescent="0.25">
      <c r="A1280" s="170">
        <v>45985</v>
      </c>
      <c r="B1280" s="116">
        <v>795.85</v>
      </c>
      <c r="C1280" s="116">
        <v>781.09</v>
      </c>
      <c r="D1280" s="116">
        <v>779.27</v>
      </c>
      <c r="E1280" s="116">
        <v>795.85</v>
      </c>
      <c r="F1280" s="116">
        <v>3905.45</v>
      </c>
      <c r="G1280">
        <v>13846</v>
      </c>
      <c r="H1280" s="116"/>
      <c r="I1280" s="116"/>
      <c r="L1280" s="170">
        <v>45988</v>
      </c>
      <c r="M1280" s="116">
        <v>778.88</v>
      </c>
      <c r="N1280" s="116">
        <v>792.6</v>
      </c>
      <c r="O1280" s="116">
        <v>776</v>
      </c>
      <c r="P1280" s="116">
        <v>791.56</v>
      </c>
      <c r="Q1280" s="116">
        <v>3894.4</v>
      </c>
      <c r="R1280">
        <v>183418</v>
      </c>
    </row>
    <row r="1281" spans="1:18" x14ac:dyDescent="0.25">
      <c r="A1281" s="170">
        <v>45986</v>
      </c>
      <c r="B1281" s="116">
        <v>789</v>
      </c>
      <c r="C1281" s="116">
        <v>778.68</v>
      </c>
      <c r="D1281" s="116">
        <v>770</v>
      </c>
      <c r="E1281" s="116">
        <v>781.09</v>
      </c>
      <c r="F1281" s="116">
        <v>3893.4</v>
      </c>
      <c r="G1281">
        <v>9058</v>
      </c>
      <c r="H1281" s="116"/>
      <c r="I1281" s="116"/>
      <c r="L1281" s="170">
        <v>45989</v>
      </c>
      <c r="M1281" s="116">
        <v>774.06</v>
      </c>
      <c r="N1281" s="116">
        <v>782.98</v>
      </c>
      <c r="O1281" s="116">
        <v>772.46</v>
      </c>
      <c r="P1281" s="116">
        <v>781.18</v>
      </c>
      <c r="Q1281" s="116">
        <v>3870.3</v>
      </c>
      <c r="R1281">
        <v>282178</v>
      </c>
    </row>
    <row r="1282" spans="1:18" x14ac:dyDescent="0.25">
      <c r="A1282" s="170">
        <v>45987</v>
      </c>
      <c r="B1282" s="116">
        <v>794.39</v>
      </c>
      <c r="C1282" s="116">
        <v>786.73</v>
      </c>
      <c r="D1282" s="116">
        <v>780.05</v>
      </c>
      <c r="E1282" s="116">
        <v>780.05</v>
      </c>
      <c r="F1282" s="116">
        <v>3933.65</v>
      </c>
      <c r="G1282">
        <v>7177</v>
      </c>
      <c r="H1282" s="116"/>
      <c r="I1282" s="116"/>
      <c r="L1282" s="170">
        <v>45992</v>
      </c>
      <c r="M1282" s="116">
        <v>781.62</v>
      </c>
      <c r="N1282" s="116">
        <v>795.6</v>
      </c>
      <c r="O1282" s="116">
        <v>775.2</v>
      </c>
      <c r="P1282" s="116">
        <v>778.66</v>
      </c>
      <c r="Q1282" s="116">
        <v>3908.1</v>
      </c>
      <c r="R1282">
        <v>495134</v>
      </c>
    </row>
    <row r="1283" spans="1:18" x14ac:dyDescent="0.25">
      <c r="A1283" s="170">
        <v>45988</v>
      </c>
      <c r="B1283" s="116">
        <v>791.98</v>
      </c>
      <c r="C1283" s="116">
        <v>778.77</v>
      </c>
      <c r="D1283" s="116">
        <v>777</v>
      </c>
      <c r="E1283" s="116">
        <v>787.57</v>
      </c>
      <c r="F1283" s="116">
        <v>3893.85</v>
      </c>
      <c r="G1283">
        <v>7229</v>
      </c>
      <c r="H1283" s="116"/>
      <c r="I1283" s="116"/>
      <c r="L1283" s="170">
        <v>45993</v>
      </c>
      <c r="M1283" s="116">
        <v>770.16</v>
      </c>
      <c r="N1283" s="116">
        <v>782.28</v>
      </c>
      <c r="O1283" s="116">
        <v>765</v>
      </c>
      <c r="P1283" s="116">
        <v>781.62</v>
      </c>
      <c r="Q1283" s="116">
        <v>3850.8</v>
      </c>
      <c r="R1283">
        <v>329233</v>
      </c>
    </row>
    <row r="1284" spans="1:18" x14ac:dyDescent="0.25">
      <c r="A1284" s="170">
        <v>45989</v>
      </c>
      <c r="B1284" s="116">
        <v>780.02</v>
      </c>
      <c r="C1284" s="116">
        <v>774.78</v>
      </c>
      <c r="D1284" s="116">
        <v>771.69</v>
      </c>
      <c r="E1284" s="116">
        <v>780</v>
      </c>
      <c r="F1284" s="116">
        <v>3873.9</v>
      </c>
      <c r="G1284">
        <v>10125</v>
      </c>
      <c r="H1284" s="116"/>
      <c r="I1284" s="116"/>
      <c r="L1284" s="170">
        <v>45994</v>
      </c>
      <c r="M1284" s="116">
        <v>771.92</v>
      </c>
      <c r="N1284" s="116">
        <v>779.8</v>
      </c>
      <c r="O1284" s="116">
        <v>762</v>
      </c>
      <c r="P1284" s="116">
        <v>771</v>
      </c>
      <c r="Q1284" s="116">
        <v>3859.6</v>
      </c>
      <c r="R1284">
        <v>276151</v>
      </c>
    </row>
    <row r="1285" spans="1:18" x14ac:dyDescent="0.25">
      <c r="A1285" s="170">
        <v>45992</v>
      </c>
      <c r="B1285" s="116">
        <v>795.4</v>
      </c>
      <c r="C1285" s="116">
        <v>781.42</v>
      </c>
      <c r="D1285" s="116">
        <v>776.74</v>
      </c>
      <c r="E1285" s="116">
        <v>777.04</v>
      </c>
      <c r="F1285" s="116">
        <v>3907.1</v>
      </c>
      <c r="G1285">
        <v>102337</v>
      </c>
      <c r="H1285" s="116"/>
      <c r="I1285" s="116"/>
      <c r="L1285" s="170">
        <v>45995</v>
      </c>
      <c r="M1285" s="116">
        <v>791.34</v>
      </c>
      <c r="N1285" s="116">
        <v>793.8</v>
      </c>
      <c r="O1285" s="116">
        <v>771.92</v>
      </c>
      <c r="P1285" s="116">
        <v>771.92</v>
      </c>
      <c r="Q1285" s="116">
        <v>3956.7</v>
      </c>
      <c r="R1285">
        <v>643528</v>
      </c>
    </row>
    <row r="1286" spans="1:18" x14ac:dyDescent="0.25">
      <c r="A1286" s="170">
        <v>45993</v>
      </c>
      <c r="B1286" s="116">
        <v>784</v>
      </c>
      <c r="C1286" s="116">
        <v>769.28</v>
      </c>
      <c r="D1286" s="116">
        <v>765.6</v>
      </c>
      <c r="E1286" s="116">
        <v>781.8</v>
      </c>
      <c r="F1286" s="116">
        <v>3846.4</v>
      </c>
      <c r="G1286">
        <v>15512</v>
      </c>
      <c r="H1286" s="116"/>
      <c r="I1286" s="116"/>
      <c r="L1286" s="170">
        <v>45996</v>
      </c>
      <c r="M1286" s="116">
        <v>775.7</v>
      </c>
      <c r="N1286" s="116">
        <v>795</v>
      </c>
      <c r="O1286" s="116">
        <v>758.7</v>
      </c>
      <c r="P1286" s="116">
        <v>791.4</v>
      </c>
      <c r="Q1286" s="116">
        <v>775.7</v>
      </c>
      <c r="R1286">
        <v>3467783</v>
      </c>
    </row>
    <row r="1287" spans="1:18" x14ac:dyDescent="0.25">
      <c r="A1287" s="170">
        <v>45994</v>
      </c>
      <c r="B1287" s="116">
        <v>780.09</v>
      </c>
      <c r="C1287" s="116">
        <v>772.26</v>
      </c>
      <c r="D1287" s="116">
        <v>762.45</v>
      </c>
      <c r="E1287" s="116">
        <v>770.17</v>
      </c>
      <c r="F1287" s="116">
        <v>3861.3</v>
      </c>
      <c r="G1287">
        <v>13135</v>
      </c>
      <c r="H1287" s="116"/>
      <c r="I1287" s="116"/>
      <c r="L1287" s="170">
        <v>45999</v>
      </c>
      <c r="M1287" s="116">
        <v>753.4</v>
      </c>
      <c r="N1287" s="116">
        <v>776.1</v>
      </c>
      <c r="O1287" s="116">
        <v>746.3</v>
      </c>
      <c r="P1287" s="116">
        <v>770</v>
      </c>
      <c r="Q1287" s="116">
        <v>753.4</v>
      </c>
      <c r="R1287">
        <v>1513063</v>
      </c>
    </row>
    <row r="1288" spans="1:18" x14ac:dyDescent="0.25">
      <c r="A1288" s="170">
        <v>45995</v>
      </c>
      <c r="B1288" s="116">
        <v>793.9</v>
      </c>
      <c r="C1288" s="116">
        <v>791.28</v>
      </c>
      <c r="D1288" s="116">
        <v>772.88</v>
      </c>
      <c r="E1288" s="116">
        <v>775.49</v>
      </c>
      <c r="F1288" s="116">
        <v>3956.4</v>
      </c>
      <c r="G1288">
        <v>47378</v>
      </c>
      <c r="H1288" s="116"/>
      <c r="I1288" s="116"/>
      <c r="L1288" s="170">
        <v>46000</v>
      </c>
      <c r="M1288" s="116">
        <v>749.5</v>
      </c>
      <c r="N1288" s="116">
        <v>754.5</v>
      </c>
      <c r="O1288" s="116">
        <v>733</v>
      </c>
      <c r="P1288" s="116">
        <v>745.9</v>
      </c>
      <c r="Q1288" s="116">
        <v>749.5</v>
      </c>
      <c r="R1288">
        <v>1307977</v>
      </c>
    </row>
    <row r="1289" spans="1:18" x14ac:dyDescent="0.25">
      <c r="A1289" s="170">
        <v>45996</v>
      </c>
      <c r="B1289" s="116">
        <v>796.6</v>
      </c>
      <c r="C1289" s="116">
        <v>775.8</v>
      </c>
      <c r="D1289" s="116">
        <v>759.5</v>
      </c>
      <c r="E1289" s="116">
        <v>792.6</v>
      </c>
      <c r="F1289" s="116">
        <v>775.8</v>
      </c>
      <c r="G1289">
        <v>104424</v>
      </c>
      <c r="H1289" s="116"/>
      <c r="I1289" s="116"/>
      <c r="L1289" s="170">
        <v>46001</v>
      </c>
      <c r="M1289" s="116">
        <v>737.2</v>
      </c>
      <c r="N1289" s="116">
        <v>753.4</v>
      </c>
      <c r="O1289" s="116">
        <v>733</v>
      </c>
      <c r="P1289" s="116">
        <v>750.9</v>
      </c>
      <c r="Q1289" s="116">
        <v>737.2</v>
      </c>
      <c r="R1289">
        <v>811193</v>
      </c>
    </row>
    <row r="1290" spans="1:18" x14ac:dyDescent="0.25">
      <c r="A1290" s="170">
        <v>45999</v>
      </c>
      <c r="B1290" s="116">
        <v>777.75</v>
      </c>
      <c r="C1290" s="116">
        <v>753.9</v>
      </c>
      <c r="D1290" s="116">
        <v>746.75</v>
      </c>
      <c r="E1290" s="116">
        <v>770</v>
      </c>
      <c r="F1290" s="116">
        <v>753.9</v>
      </c>
      <c r="G1290">
        <v>84010</v>
      </c>
      <c r="H1290" s="116"/>
      <c r="I1290" s="116"/>
      <c r="L1290" s="170">
        <v>46002</v>
      </c>
      <c r="M1290" s="116">
        <v>756.7</v>
      </c>
      <c r="N1290" s="116">
        <v>758.5</v>
      </c>
      <c r="O1290" s="116">
        <v>722</v>
      </c>
      <c r="P1290" s="116">
        <v>722</v>
      </c>
      <c r="Q1290" s="116">
        <v>756.7</v>
      </c>
      <c r="R1290">
        <v>956959</v>
      </c>
    </row>
    <row r="1291" spans="1:18" x14ac:dyDescent="0.25">
      <c r="A1291" s="170">
        <v>46000</v>
      </c>
      <c r="B1291" s="116">
        <v>754.75</v>
      </c>
      <c r="C1291" s="116">
        <v>749.75</v>
      </c>
      <c r="D1291" s="116">
        <v>733.3</v>
      </c>
      <c r="E1291" s="116">
        <v>740.25</v>
      </c>
      <c r="F1291" s="116">
        <v>749.75</v>
      </c>
      <c r="G1291">
        <v>173020</v>
      </c>
      <c r="H1291" s="116"/>
      <c r="I1291" s="116"/>
      <c r="L1291" s="170">
        <v>46003</v>
      </c>
      <c r="M1291" s="116">
        <v>755.2</v>
      </c>
      <c r="N1291" s="116">
        <v>764.8</v>
      </c>
      <c r="O1291" s="116">
        <v>750.7</v>
      </c>
      <c r="P1291" s="116">
        <v>762.4</v>
      </c>
      <c r="Q1291" s="116">
        <v>755.2</v>
      </c>
      <c r="R1291">
        <v>632623</v>
      </c>
    </row>
    <row r="1292" spans="1:18" x14ac:dyDescent="0.25">
      <c r="A1292" s="170">
        <v>46001</v>
      </c>
      <c r="B1292" s="116">
        <v>753.45</v>
      </c>
      <c r="C1292" s="116">
        <v>736.8</v>
      </c>
      <c r="D1292" s="116">
        <v>734</v>
      </c>
      <c r="E1292" s="116">
        <v>749.95</v>
      </c>
      <c r="F1292" s="116">
        <v>736.8</v>
      </c>
      <c r="G1292">
        <v>91743</v>
      </c>
      <c r="H1292" s="116"/>
      <c r="I1292" s="116"/>
      <c r="L1292" s="170">
        <v>46006</v>
      </c>
      <c r="M1292" s="116">
        <v>755.2</v>
      </c>
      <c r="N1292" s="116">
        <v>758</v>
      </c>
      <c r="O1292" s="116">
        <v>747.3</v>
      </c>
      <c r="P1292" s="116">
        <v>755.2</v>
      </c>
      <c r="Q1292" s="116">
        <v>755.2</v>
      </c>
      <c r="R1292">
        <v>395222</v>
      </c>
    </row>
    <row r="1293" spans="1:18" x14ac:dyDescent="0.25">
      <c r="A1293" s="170">
        <v>46002</v>
      </c>
      <c r="B1293" s="116">
        <v>758.5</v>
      </c>
      <c r="C1293" s="116">
        <v>756.95</v>
      </c>
      <c r="D1293" s="116">
        <v>728.25</v>
      </c>
      <c r="E1293" s="116">
        <v>728.35</v>
      </c>
      <c r="F1293" s="116">
        <v>756.95</v>
      </c>
      <c r="G1293">
        <v>41365</v>
      </c>
      <c r="H1293" s="116"/>
      <c r="I1293" s="116"/>
      <c r="L1293" s="170">
        <v>46007</v>
      </c>
      <c r="M1293" s="116">
        <v>753.8</v>
      </c>
      <c r="N1293" s="116">
        <v>756.8</v>
      </c>
      <c r="O1293" s="116">
        <v>747.1</v>
      </c>
      <c r="P1293" s="116">
        <v>750</v>
      </c>
      <c r="Q1293" s="116">
        <v>753.8</v>
      </c>
      <c r="R1293">
        <v>539086</v>
      </c>
    </row>
    <row r="1294" spans="1:18" x14ac:dyDescent="0.25">
      <c r="A1294" s="170">
        <v>46003</v>
      </c>
      <c r="B1294" s="116">
        <v>764.7</v>
      </c>
      <c r="C1294" s="116">
        <v>754.9</v>
      </c>
      <c r="D1294" s="116">
        <v>750.8</v>
      </c>
      <c r="E1294" s="116">
        <v>764.45</v>
      </c>
      <c r="F1294" s="116">
        <v>754.9</v>
      </c>
      <c r="G1294">
        <v>49427</v>
      </c>
      <c r="H1294" s="116"/>
      <c r="I1294" s="116"/>
      <c r="L1294" s="170">
        <v>46008</v>
      </c>
      <c r="M1294" s="116">
        <v>733.8</v>
      </c>
      <c r="N1294" s="116">
        <v>756.5</v>
      </c>
      <c r="O1294" s="116">
        <v>730.1</v>
      </c>
      <c r="P1294" s="116">
        <v>754.1</v>
      </c>
      <c r="Q1294" s="116">
        <v>733.8</v>
      </c>
      <c r="R1294">
        <v>712907</v>
      </c>
    </row>
    <row r="1295" spans="1:18" x14ac:dyDescent="0.25">
      <c r="A1295" s="170">
        <v>46006</v>
      </c>
      <c r="B1295" s="116">
        <v>757.4</v>
      </c>
      <c r="C1295" s="116">
        <v>755.25</v>
      </c>
      <c r="D1295" s="116">
        <v>747.5</v>
      </c>
      <c r="E1295" s="116">
        <v>756.85</v>
      </c>
      <c r="F1295" s="116">
        <v>755.25</v>
      </c>
      <c r="G1295">
        <v>26489</v>
      </c>
      <c r="H1295" s="116"/>
      <c r="I1295" s="116"/>
      <c r="L1295" s="170">
        <v>46009</v>
      </c>
      <c r="M1295" s="116">
        <v>752.3</v>
      </c>
      <c r="N1295" s="116">
        <v>758</v>
      </c>
      <c r="O1295" s="116">
        <v>732.6</v>
      </c>
      <c r="P1295" s="116">
        <v>742.3</v>
      </c>
      <c r="Q1295" s="116">
        <v>752.3</v>
      </c>
      <c r="R1295">
        <v>2495229</v>
      </c>
    </row>
    <row r="1296" spans="1:18" x14ac:dyDescent="0.25">
      <c r="A1296" s="170">
        <v>46007</v>
      </c>
      <c r="B1296" s="116">
        <v>756.6</v>
      </c>
      <c r="C1296" s="116">
        <v>754</v>
      </c>
      <c r="D1296" s="116">
        <v>747.5</v>
      </c>
      <c r="E1296" s="116">
        <v>754.45</v>
      </c>
      <c r="F1296" s="116">
        <v>754</v>
      </c>
      <c r="G1296">
        <v>51716</v>
      </c>
      <c r="H1296" s="116"/>
      <c r="I1296" s="116"/>
      <c r="L1296" s="170">
        <v>46010</v>
      </c>
      <c r="M1296" s="116">
        <v>758.1</v>
      </c>
      <c r="N1296" s="116">
        <v>759.9</v>
      </c>
      <c r="O1296" s="116">
        <v>745.1</v>
      </c>
      <c r="P1296" s="116">
        <v>755.1</v>
      </c>
      <c r="Q1296" s="116">
        <v>758.1</v>
      </c>
      <c r="R1296">
        <v>787312</v>
      </c>
    </row>
    <row r="1297" spans="1:18" x14ac:dyDescent="0.25">
      <c r="A1297" s="170">
        <v>46008</v>
      </c>
      <c r="B1297" s="116">
        <v>756.9</v>
      </c>
      <c r="C1297" s="116">
        <v>733.85</v>
      </c>
      <c r="D1297" s="116">
        <v>731</v>
      </c>
      <c r="E1297" s="116">
        <v>748.15</v>
      </c>
      <c r="F1297" s="116">
        <v>733.85</v>
      </c>
      <c r="G1297">
        <v>71514</v>
      </c>
      <c r="H1297" s="116"/>
      <c r="I1297" s="116"/>
      <c r="L1297" s="170">
        <v>46013</v>
      </c>
      <c r="M1297" s="116">
        <v>762.2</v>
      </c>
      <c r="N1297" s="116">
        <v>769</v>
      </c>
      <c r="O1297" s="116">
        <v>756.1</v>
      </c>
      <c r="P1297" s="116">
        <v>759.7</v>
      </c>
      <c r="Q1297" s="116">
        <v>762.2</v>
      </c>
      <c r="R1297">
        <v>623956</v>
      </c>
    </row>
    <row r="1298" spans="1:18" x14ac:dyDescent="0.25">
      <c r="A1298" s="170">
        <v>46009</v>
      </c>
      <c r="B1298" s="116">
        <v>758.3</v>
      </c>
      <c r="C1298" s="116">
        <v>752.2</v>
      </c>
      <c r="D1298" s="116">
        <v>732.9</v>
      </c>
      <c r="E1298" s="116">
        <v>735.1</v>
      </c>
      <c r="F1298" s="116">
        <v>752.2</v>
      </c>
      <c r="G1298">
        <v>146921</v>
      </c>
      <c r="H1298" s="116"/>
      <c r="I1298" s="116"/>
      <c r="L1298" s="170">
        <v>46014</v>
      </c>
      <c r="M1298" s="116">
        <v>760.2</v>
      </c>
      <c r="N1298" s="116">
        <v>767</v>
      </c>
      <c r="O1298" s="116">
        <v>755</v>
      </c>
      <c r="P1298" s="116">
        <v>766</v>
      </c>
      <c r="Q1298" s="116">
        <v>760.2</v>
      </c>
      <c r="R1298">
        <v>573531</v>
      </c>
    </row>
    <row r="1299" spans="1:18" x14ac:dyDescent="0.25">
      <c r="A1299" s="170">
        <v>46010</v>
      </c>
      <c r="B1299" s="116">
        <v>759.85</v>
      </c>
      <c r="C1299" s="116">
        <v>757.95</v>
      </c>
      <c r="D1299" s="116">
        <v>745.9</v>
      </c>
      <c r="E1299" s="116">
        <v>750.35</v>
      </c>
      <c r="F1299" s="116">
        <v>757.95</v>
      </c>
      <c r="G1299">
        <v>35073</v>
      </c>
      <c r="H1299" s="116"/>
      <c r="I1299" s="116"/>
      <c r="L1299" s="170">
        <v>46015</v>
      </c>
      <c r="M1299" s="116">
        <v>760.1</v>
      </c>
      <c r="N1299" s="116">
        <v>774.9</v>
      </c>
      <c r="O1299" s="116">
        <v>755.1</v>
      </c>
      <c r="P1299" s="116">
        <v>759</v>
      </c>
      <c r="Q1299" s="116">
        <v>760.1</v>
      </c>
      <c r="R1299">
        <v>1018580</v>
      </c>
    </row>
    <row r="1300" spans="1:18" x14ac:dyDescent="0.25">
      <c r="A1300" s="170">
        <v>46013</v>
      </c>
      <c r="B1300" s="116">
        <v>769.05</v>
      </c>
      <c r="C1300" s="116">
        <v>762.3</v>
      </c>
      <c r="D1300" s="116">
        <v>756.55</v>
      </c>
      <c r="E1300" s="116">
        <v>756.55</v>
      </c>
      <c r="F1300" s="116">
        <v>762.3</v>
      </c>
      <c r="G1300">
        <v>27698</v>
      </c>
      <c r="H1300" s="116"/>
      <c r="I1300" s="116"/>
      <c r="L1300" s="170">
        <v>46017</v>
      </c>
      <c r="M1300" s="116">
        <v>748.8</v>
      </c>
      <c r="N1300" s="116">
        <v>762</v>
      </c>
      <c r="O1300" s="116">
        <v>746.7</v>
      </c>
      <c r="P1300" s="116">
        <v>758</v>
      </c>
      <c r="Q1300" s="116">
        <v>748.8</v>
      </c>
      <c r="R1300">
        <v>725045</v>
      </c>
    </row>
    <row r="1301" spans="1:18" x14ac:dyDescent="0.25">
      <c r="A1301" s="170">
        <v>46014</v>
      </c>
      <c r="B1301" s="116">
        <v>767.8</v>
      </c>
      <c r="C1301" s="116">
        <v>760.05</v>
      </c>
      <c r="D1301" s="116">
        <v>755</v>
      </c>
      <c r="E1301" s="116">
        <v>767</v>
      </c>
      <c r="F1301" s="116">
        <v>760.05</v>
      </c>
      <c r="G1301">
        <v>62715</v>
      </c>
      <c r="H1301" s="116"/>
      <c r="I1301" s="116"/>
      <c r="L1301" s="170">
        <v>46020</v>
      </c>
      <c r="M1301" s="116">
        <v>737.7</v>
      </c>
      <c r="N1301" s="116">
        <v>749</v>
      </c>
      <c r="O1301" s="116">
        <v>735.8</v>
      </c>
      <c r="P1301" s="116">
        <v>748.8</v>
      </c>
      <c r="Q1301" s="116">
        <v>737.7</v>
      </c>
      <c r="R1301">
        <v>534717</v>
      </c>
    </row>
    <row r="1302" spans="1:18" x14ac:dyDescent="0.25">
      <c r="A1302" s="170">
        <v>46015</v>
      </c>
      <c r="B1302" s="116">
        <v>774.95</v>
      </c>
      <c r="C1302" s="116">
        <v>759.6</v>
      </c>
      <c r="D1302" s="116">
        <v>755.15</v>
      </c>
      <c r="E1302" s="116">
        <v>755.15</v>
      </c>
      <c r="F1302" s="116">
        <v>759.6</v>
      </c>
      <c r="G1302">
        <v>41620</v>
      </c>
      <c r="H1302" s="116"/>
      <c r="I1302" s="116"/>
      <c r="L1302" s="170">
        <v>46021</v>
      </c>
      <c r="M1302" s="116">
        <v>731.8</v>
      </c>
      <c r="N1302" s="116">
        <v>740.1</v>
      </c>
      <c r="O1302" s="116">
        <v>729.7</v>
      </c>
      <c r="P1302" s="116">
        <v>738.7</v>
      </c>
      <c r="Q1302" s="116">
        <v>731.8</v>
      </c>
      <c r="R1302">
        <v>792833</v>
      </c>
    </row>
    <row r="1303" spans="1:18" x14ac:dyDescent="0.25">
      <c r="A1303" s="170">
        <v>46017</v>
      </c>
      <c r="B1303" s="116">
        <v>762.15</v>
      </c>
      <c r="C1303" s="116">
        <v>748.85</v>
      </c>
      <c r="D1303" s="116">
        <v>746.5</v>
      </c>
      <c r="E1303" s="116">
        <v>756</v>
      </c>
      <c r="F1303" s="116">
        <v>748.85</v>
      </c>
      <c r="G1303">
        <v>35767</v>
      </c>
      <c r="H1303" s="116"/>
      <c r="I1303" s="116"/>
      <c r="L1303" s="170">
        <v>46022</v>
      </c>
      <c r="M1303" s="116">
        <v>740.9</v>
      </c>
      <c r="N1303" s="116">
        <v>745</v>
      </c>
      <c r="O1303" s="116">
        <v>735.5</v>
      </c>
      <c r="P1303" s="116">
        <v>737.2</v>
      </c>
      <c r="Q1303" s="116">
        <v>740.9</v>
      </c>
      <c r="R1303">
        <v>592158</v>
      </c>
    </row>
    <row r="1304" spans="1:18" x14ac:dyDescent="0.25">
      <c r="A1304" s="170">
        <v>46020</v>
      </c>
      <c r="B1304" s="116">
        <v>749.1</v>
      </c>
      <c r="C1304" s="116">
        <v>738.3</v>
      </c>
      <c r="D1304" s="116">
        <v>736.35</v>
      </c>
      <c r="E1304" s="116">
        <v>746.6</v>
      </c>
      <c r="F1304" s="116">
        <v>738.3</v>
      </c>
      <c r="G1304">
        <v>67900</v>
      </c>
      <c r="H1304" s="116"/>
      <c r="I1304" s="116"/>
      <c r="L1304" s="170">
        <v>46023</v>
      </c>
      <c r="M1304" s="116">
        <v>735.1</v>
      </c>
      <c r="N1304" s="116">
        <v>744.1</v>
      </c>
      <c r="O1304" s="116">
        <v>734</v>
      </c>
      <c r="P1304" s="116">
        <v>743.15</v>
      </c>
      <c r="Q1304" s="116">
        <v>735.1</v>
      </c>
      <c r="R1304">
        <v>335302</v>
      </c>
    </row>
    <row r="1305" spans="1:18" x14ac:dyDescent="0.25">
      <c r="A1305" s="170">
        <v>46021</v>
      </c>
      <c r="B1305" s="116">
        <v>739.6</v>
      </c>
      <c r="C1305" s="116">
        <v>732.15</v>
      </c>
      <c r="D1305" s="116">
        <v>730.35</v>
      </c>
      <c r="E1305" s="116">
        <v>738.1</v>
      </c>
      <c r="F1305" s="116">
        <v>732.15</v>
      </c>
      <c r="G1305">
        <v>79361</v>
      </c>
      <c r="H1305" s="116"/>
      <c r="I1305" s="116"/>
      <c r="L1305" s="170">
        <v>46024</v>
      </c>
      <c r="M1305" s="116">
        <v>756.55</v>
      </c>
      <c r="N1305" s="116">
        <v>758</v>
      </c>
      <c r="O1305" s="116">
        <v>735.7</v>
      </c>
      <c r="P1305" s="116">
        <v>737</v>
      </c>
      <c r="Q1305" s="116">
        <v>756.55</v>
      </c>
      <c r="R1305">
        <v>773532</v>
      </c>
    </row>
    <row r="1306" spans="1:18" x14ac:dyDescent="0.25">
      <c r="A1306" s="170">
        <v>46022</v>
      </c>
      <c r="B1306" s="116">
        <v>744.9</v>
      </c>
      <c r="C1306" s="116">
        <v>740.95</v>
      </c>
      <c r="D1306" s="116">
        <v>735.2</v>
      </c>
      <c r="E1306" s="116">
        <v>736.1</v>
      </c>
      <c r="F1306" s="116">
        <v>740.95</v>
      </c>
      <c r="G1306">
        <v>177279</v>
      </c>
      <c r="H1306" s="116"/>
      <c r="I1306" s="116"/>
      <c r="L1306" s="170">
        <v>46027</v>
      </c>
      <c r="M1306" s="116">
        <v>752.05</v>
      </c>
      <c r="N1306" s="116">
        <v>757.1</v>
      </c>
      <c r="O1306" s="116">
        <v>745.9</v>
      </c>
      <c r="P1306" s="116">
        <v>756.95</v>
      </c>
      <c r="Q1306" s="116">
        <v>752.05</v>
      </c>
      <c r="R1306">
        <v>549379</v>
      </c>
    </row>
    <row r="1307" spans="1:18" x14ac:dyDescent="0.25">
      <c r="A1307" s="170">
        <v>46023</v>
      </c>
      <c r="B1307" s="116">
        <v>744.5</v>
      </c>
      <c r="C1307" s="116">
        <v>735.45</v>
      </c>
      <c r="D1307" s="116">
        <v>734.05</v>
      </c>
      <c r="E1307" s="116">
        <v>744.25</v>
      </c>
      <c r="F1307" s="116">
        <v>735.45</v>
      </c>
      <c r="G1307">
        <v>55032</v>
      </c>
      <c r="H1307" s="116"/>
      <c r="I1307" s="116"/>
      <c r="L1307" s="170">
        <v>46028</v>
      </c>
      <c r="M1307" s="116">
        <v>749.75</v>
      </c>
      <c r="N1307" s="116">
        <v>755</v>
      </c>
      <c r="O1307" s="116">
        <v>742.9</v>
      </c>
      <c r="P1307" s="116">
        <v>755</v>
      </c>
      <c r="Q1307" s="116">
        <v>749.75</v>
      </c>
      <c r="R1307">
        <v>638355</v>
      </c>
    </row>
    <row r="1308" spans="1:18" x14ac:dyDescent="0.25">
      <c r="A1308" s="170">
        <v>46024</v>
      </c>
      <c r="B1308" s="116">
        <v>757.75</v>
      </c>
      <c r="C1308" s="116">
        <v>756.4</v>
      </c>
      <c r="D1308" s="116">
        <v>735.55</v>
      </c>
      <c r="E1308" s="116">
        <v>736.2</v>
      </c>
      <c r="F1308" s="116">
        <v>756.4</v>
      </c>
      <c r="G1308">
        <v>84921</v>
      </c>
      <c r="H1308" s="116"/>
      <c r="I1308" s="116"/>
      <c r="L1308" s="170">
        <v>46029</v>
      </c>
      <c r="M1308" s="116">
        <v>756.8</v>
      </c>
      <c r="N1308" s="116">
        <v>765.9</v>
      </c>
      <c r="O1308" s="116">
        <v>746.8</v>
      </c>
      <c r="P1308" s="116">
        <v>749.75</v>
      </c>
      <c r="Q1308" s="116">
        <v>756.8</v>
      </c>
      <c r="R1308">
        <v>767439</v>
      </c>
    </row>
    <row r="1309" spans="1:18" x14ac:dyDescent="0.25">
      <c r="A1309" s="170">
        <v>46027</v>
      </c>
      <c r="B1309" s="116">
        <v>756.75</v>
      </c>
      <c r="C1309" s="116">
        <v>751.9</v>
      </c>
      <c r="D1309" s="116">
        <v>746</v>
      </c>
      <c r="E1309" s="116">
        <v>755.8</v>
      </c>
      <c r="F1309" s="116">
        <v>751.9</v>
      </c>
      <c r="G1309">
        <v>26874</v>
      </c>
      <c r="H1309" s="116"/>
      <c r="I1309" s="116"/>
      <c r="L1309" s="170">
        <v>46030</v>
      </c>
      <c r="M1309" s="116">
        <v>745.9</v>
      </c>
      <c r="N1309" s="116">
        <v>761.9</v>
      </c>
      <c r="O1309" s="116">
        <v>742.5</v>
      </c>
      <c r="P1309" s="116">
        <v>756.8</v>
      </c>
      <c r="Q1309" s="116">
        <v>745.9</v>
      </c>
      <c r="R1309">
        <v>844354</v>
      </c>
    </row>
    <row r="1310" spans="1:18" x14ac:dyDescent="0.25">
      <c r="A1310" s="170">
        <v>46028</v>
      </c>
      <c r="B1310" s="116">
        <v>754.25</v>
      </c>
      <c r="C1310" s="116">
        <v>749.7</v>
      </c>
      <c r="D1310" s="116">
        <v>742.8</v>
      </c>
      <c r="E1310" s="116">
        <v>752.3</v>
      </c>
      <c r="F1310" s="116">
        <v>749.7</v>
      </c>
      <c r="G1310">
        <v>23364</v>
      </c>
      <c r="H1310" s="116"/>
      <c r="I1310" s="116"/>
      <c r="L1310" s="170">
        <v>46031</v>
      </c>
      <c r="M1310" s="116">
        <v>727.3</v>
      </c>
      <c r="N1310" s="116">
        <v>747.55</v>
      </c>
      <c r="O1310" s="116">
        <v>721.05</v>
      </c>
      <c r="P1310" s="116">
        <v>744.7</v>
      </c>
      <c r="Q1310" s="116">
        <v>727.3</v>
      </c>
      <c r="R1310">
        <v>1229863</v>
      </c>
    </row>
    <row r="1311" spans="1:18" x14ac:dyDescent="0.25">
      <c r="A1311" s="170">
        <v>46029</v>
      </c>
      <c r="B1311" s="116">
        <v>765.8</v>
      </c>
      <c r="C1311" s="116">
        <v>756.45</v>
      </c>
      <c r="D1311" s="116">
        <v>743.65</v>
      </c>
      <c r="E1311" s="116">
        <v>743.65</v>
      </c>
      <c r="F1311" s="116">
        <v>756.45</v>
      </c>
      <c r="G1311">
        <v>36798</v>
      </c>
      <c r="H1311" s="116"/>
      <c r="I1311" s="116"/>
      <c r="L1311" s="170">
        <v>46034</v>
      </c>
      <c r="M1311" s="116">
        <v>710.5</v>
      </c>
      <c r="N1311" s="116">
        <v>728</v>
      </c>
      <c r="O1311" s="116">
        <v>703.75</v>
      </c>
      <c r="P1311" s="116">
        <v>727.3</v>
      </c>
      <c r="Q1311" s="116">
        <v>710.5</v>
      </c>
      <c r="R1311">
        <v>1662637</v>
      </c>
    </row>
    <row r="1312" spans="1:18" x14ac:dyDescent="0.25">
      <c r="A1312" s="170">
        <v>46030</v>
      </c>
      <c r="B1312" s="116">
        <v>761.15</v>
      </c>
      <c r="C1312" s="116">
        <v>746.25</v>
      </c>
      <c r="D1312" s="116">
        <v>742.8</v>
      </c>
      <c r="E1312" s="116">
        <v>756.9</v>
      </c>
      <c r="F1312" s="116">
        <v>746.25</v>
      </c>
      <c r="G1312">
        <v>40045</v>
      </c>
      <c r="H1312" s="116"/>
      <c r="I1312" s="116"/>
      <c r="L1312" s="170">
        <v>46035</v>
      </c>
      <c r="M1312" s="116">
        <v>711</v>
      </c>
      <c r="N1312" s="116">
        <v>715.9</v>
      </c>
      <c r="O1312" s="116">
        <v>699</v>
      </c>
      <c r="P1312" s="116">
        <v>715</v>
      </c>
      <c r="Q1312" s="116">
        <v>711</v>
      </c>
      <c r="R1312">
        <v>1503619</v>
      </c>
    </row>
    <row r="1313" spans="1:18" x14ac:dyDescent="0.25">
      <c r="A1313" s="170">
        <v>46031</v>
      </c>
      <c r="B1313" s="116">
        <v>747.7</v>
      </c>
      <c r="C1313" s="116">
        <v>727.4</v>
      </c>
      <c r="D1313" s="116">
        <v>721.1</v>
      </c>
      <c r="E1313" s="116">
        <v>740.1</v>
      </c>
      <c r="F1313" s="116">
        <v>727.4</v>
      </c>
      <c r="G1313">
        <v>106591</v>
      </c>
      <c r="H1313" s="116"/>
      <c r="I1313" s="116"/>
      <c r="L1313" s="170">
        <v>46036</v>
      </c>
      <c r="M1313" s="116">
        <v>721.15</v>
      </c>
      <c r="N1313" s="116">
        <v>734</v>
      </c>
      <c r="O1313" s="116">
        <v>711</v>
      </c>
      <c r="P1313" s="116">
        <v>712</v>
      </c>
      <c r="Q1313" s="116">
        <v>721.15</v>
      </c>
      <c r="R1313">
        <v>1114112</v>
      </c>
    </row>
    <row r="1314" spans="1:18" x14ac:dyDescent="0.25">
      <c r="A1314" s="170">
        <v>46034</v>
      </c>
      <c r="B1314" s="116">
        <v>728.4</v>
      </c>
      <c r="C1314" s="116">
        <v>710.75</v>
      </c>
      <c r="D1314" s="116">
        <v>704</v>
      </c>
      <c r="E1314" s="116">
        <v>725.3</v>
      </c>
      <c r="F1314" s="116">
        <v>710.75</v>
      </c>
      <c r="G1314">
        <v>165592</v>
      </c>
      <c r="H1314" s="116"/>
      <c r="I1314" s="116"/>
      <c r="L1314" s="170">
        <v>46038</v>
      </c>
      <c r="M1314" s="116">
        <v>727.8</v>
      </c>
      <c r="N1314" s="116">
        <v>735.5</v>
      </c>
      <c r="O1314" s="116">
        <v>715.1</v>
      </c>
      <c r="P1314" s="116">
        <v>721.15</v>
      </c>
      <c r="Q1314" s="116">
        <v>727.8</v>
      </c>
      <c r="R1314">
        <v>1312452</v>
      </c>
    </row>
    <row r="1315" spans="1:18" x14ac:dyDescent="0.25">
      <c r="A1315" s="170">
        <v>46035</v>
      </c>
      <c r="B1315" s="116">
        <v>715.9</v>
      </c>
      <c r="C1315" s="116">
        <v>710.7</v>
      </c>
      <c r="D1315" s="116">
        <v>699</v>
      </c>
      <c r="E1315" s="116">
        <v>712.2</v>
      </c>
      <c r="F1315" s="116">
        <v>710.7</v>
      </c>
      <c r="G1315">
        <v>102219</v>
      </c>
      <c r="H1315" s="116"/>
      <c r="I1315" s="116"/>
      <c r="L1315" s="170">
        <v>46041</v>
      </c>
      <c r="M1315" s="116">
        <v>724.2</v>
      </c>
      <c r="N1315" s="116">
        <v>728.7</v>
      </c>
      <c r="O1315" s="116">
        <v>715.1</v>
      </c>
      <c r="P1315" s="116">
        <v>722.25</v>
      </c>
      <c r="Q1315" s="116">
        <v>724.2</v>
      </c>
      <c r="R1315">
        <v>1269201</v>
      </c>
    </row>
    <row r="1316" spans="1:18" x14ac:dyDescent="0.25">
      <c r="A1316" s="170">
        <v>46036</v>
      </c>
      <c r="B1316" s="116">
        <v>734.35</v>
      </c>
      <c r="C1316" s="116">
        <v>720.95</v>
      </c>
      <c r="D1316" s="116">
        <v>710.7</v>
      </c>
      <c r="E1316" s="116">
        <v>711.2</v>
      </c>
      <c r="F1316" s="116">
        <v>720.95</v>
      </c>
      <c r="G1316">
        <v>57979</v>
      </c>
      <c r="H1316" s="116"/>
      <c r="I1316" s="116"/>
      <c r="L1316" s="170">
        <v>46042</v>
      </c>
      <c r="M1316" s="116">
        <v>710.1</v>
      </c>
      <c r="N1316" s="116">
        <v>728.8</v>
      </c>
      <c r="O1316" s="116">
        <v>706.3</v>
      </c>
      <c r="P1316" s="116">
        <v>724</v>
      </c>
      <c r="Q1316" s="116">
        <v>710.1</v>
      </c>
      <c r="R1316">
        <v>1130050</v>
      </c>
    </row>
    <row r="1317" spans="1:18" x14ac:dyDescent="0.25">
      <c r="A1317" s="170">
        <v>46038</v>
      </c>
      <c r="B1317" s="116">
        <v>735.5</v>
      </c>
      <c r="C1317" s="116">
        <v>727</v>
      </c>
      <c r="D1317" s="116">
        <v>715.05</v>
      </c>
      <c r="E1317" s="116">
        <v>722.35</v>
      </c>
      <c r="F1317" s="116">
        <v>727</v>
      </c>
      <c r="G1317">
        <v>53495</v>
      </c>
      <c r="H1317" s="116"/>
      <c r="I1317" s="116"/>
      <c r="L1317" s="170">
        <v>46043</v>
      </c>
      <c r="M1317" s="116">
        <v>700.6</v>
      </c>
      <c r="N1317" s="116">
        <v>714</v>
      </c>
      <c r="O1317" s="116">
        <v>686.55</v>
      </c>
      <c r="P1317" s="116">
        <v>706.5</v>
      </c>
      <c r="Q1317" s="116">
        <v>700.6</v>
      </c>
      <c r="R1317">
        <v>1280105</v>
      </c>
    </row>
    <row r="1318" spans="1:18" x14ac:dyDescent="0.25">
      <c r="A1318" s="170">
        <v>46041</v>
      </c>
      <c r="B1318" s="116">
        <v>728</v>
      </c>
      <c r="C1318" s="116">
        <v>724.9</v>
      </c>
      <c r="D1318" s="116">
        <v>715.2</v>
      </c>
      <c r="E1318" s="116">
        <v>726</v>
      </c>
      <c r="F1318" s="116">
        <v>724.9</v>
      </c>
      <c r="G1318">
        <v>31023</v>
      </c>
      <c r="H1318" s="116"/>
      <c r="I1318" s="116"/>
      <c r="L1318" s="170">
        <v>46044</v>
      </c>
      <c r="M1318" s="116">
        <v>707.75</v>
      </c>
      <c r="N1318" s="116">
        <v>743</v>
      </c>
      <c r="O1318" s="116">
        <v>703</v>
      </c>
      <c r="P1318" s="116">
        <v>710.95</v>
      </c>
      <c r="Q1318" s="116">
        <v>707.75</v>
      </c>
      <c r="R1318">
        <v>3818736</v>
      </c>
    </row>
    <row r="1319" spans="1:18" x14ac:dyDescent="0.25">
      <c r="A1319" s="170">
        <v>46042</v>
      </c>
      <c r="B1319" s="116">
        <v>728.3</v>
      </c>
      <c r="C1319" s="116">
        <v>710.15</v>
      </c>
      <c r="D1319" s="116">
        <v>706.65</v>
      </c>
      <c r="E1319" s="116">
        <v>722.8</v>
      </c>
      <c r="F1319" s="116">
        <v>710.15</v>
      </c>
      <c r="G1319">
        <v>131927</v>
      </c>
      <c r="H1319" s="116"/>
      <c r="I1319" s="116"/>
      <c r="L1319" s="170">
        <v>46045</v>
      </c>
      <c r="M1319" s="116">
        <v>679.4</v>
      </c>
      <c r="N1319" s="116">
        <v>717.95</v>
      </c>
      <c r="O1319" s="116">
        <v>675.1</v>
      </c>
      <c r="P1319" s="116">
        <v>709.2</v>
      </c>
      <c r="Q1319" s="116">
        <v>679.4</v>
      </c>
      <c r="R1319">
        <v>2007665</v>
      </c>
    </row>
    <row r="1320" spans="1:18" x14ac:dyDescent="0.25">
      <c r="A1320" s="170">
        <v>46043</v>
      </c>
      <c r="B1320" s="116">
        <v>713.75</v>
      </c>
      <c r="C1320" s="116">
        <v>700.75</v>
      </c>
      <c r="D1320" s="116">
        <v>687</v>
      </c>
      <c r="E1320" s="116">
        <v>702.45</v>
      </c>
      <c r="F1320" s="116">
        <v>700.75</v>
      </c>
      <c r="G1320">
        <v>140957</v>
      </c>
      <c r="H1320" s="116"/>
      <c r="I1320" s="116"/>
      <c r="L1320" s="170">
        <v>46049</v>
      </c>
      <c r="M1320" s="116">
        <v>697.7</v>
      </c>
      <c r="N1320" s="116">
        <v>711.4</v>
      </c>
      <c r="O1320" s="116">
        <v>683.15</v>
      </c>
      <c r="P1320" s="116">
        <v>685</v>
      </c>
      <c r="Q1320" s="116">
        <v>697.7</v>
      </c>
      <c r="R1320">
        <v>1676044</v>
      </c>
    </row>
    <row r="1321" spans="1:18" x14ac:dyDescent="0.25">
      <c r="A1321" s="170">
        <v>46044</v>
      </c>
      <c r="B1321" s="116">
        <v>742.25</v>
      </c>
      <c r="C1321" s="116">
        <v>707.7</v>
      </c>
      <c r="D1321" s="116">
        <v>703.1</v>
      </c>
      <c r="E1321" s="116">
        <v>704.1</v>
      </c>
      <c r="F1321" s="116">
        <v>707.7</v>
      </c>
      <c r="G1321">
        <v>271449</v>
      </c>
      <c r="H1321" s="116"/>
      <c r="I1321" s="116"/>
      <c r="L1321" s="170">
        <v>46050</v>
      </c>
      <c r="M1321" s="116">
        <v>709.4</v>
      </c>
      <c r="N1321" s="116">
        <v>712.95</v>
      </c>
      <c r="O1321" s="116">
        <v>698.05</v>
      </c>
      <c r="P1321" s="116">
        <v>698.05</v>
      </c>
      <c r="Q1321" s="116">
        <v>709.4</v>
      </c>
      <c r="R1321">
        <v>853242</v>
      </c>
    </row>
    <row r="1322" spans="1:18" x14ac:dyDescent="0.25">
      <c r="A1322" s="170">
        <v>46045</v>
      </c>
      <c r="B1322" s="116">
        <v>717.6</v>
      </c>
      <c r="C1322" s="116">
        <v>679.7</v>
      </c>
      <c r="D1322" s="116">
        <v>676.05</v>
      </c>
      <c r="E1322" s="116">
        <v>709</v>
      </c>
      <c r="F1322" s="116">
        <v>679.7</v>
      </c>
      <c r="G1322">
        <v>652109</v>
      </c>
      <c r="H1322" s="116"/>
      <c r="I1322" s="116"/>
      <c r="L1322" s="170">
        <v>46051</v>
      </c>
      <c r="M1322" s="116">
        <v>708</v>
      </c>
      <c r="N1322" s="116">
        <v>714</v>
      </c>
      <c r="O1322" s="116">
        <v>698.1</v>
      </c>
      <c r="P1322" s="116">
        <v>711.9</v>
      </c>
      <c r="Q1322" s="116">
        <v>708</v>
      </c>
      <c r="R1322">
        <v>848267</v>
      </c>
    </row>
    <row r="1323" spans="1:18" x14ac:dyDescent="0.25">
      <c r="A1323" s="170">
        <v>46049</v>
      </c>
      <c r="B1323" s="116">
        <v>711.3</v>
      </c>
      <c r="C1323" s="116">
        <v>699</v>
      </c>
      <c r="D1323" s="116">
        <v>681.55</v>
      </c>
      <c r="E1323" s="116">
        <v>681.55</v>
      </c>
      <c r="F1323" s="116">
        <v>699</v>
      </c>
      <c r="G1323">
        <v>242131</v>
      </c>
      <c r="H1323" s="116"/>
      <c r="I1323" s="116"/>
      <c r="L1323" s="170">
        <v>46052</v>
      </c>
      <c r="M1323" s="116">
        <v>695.05</v>
      </c>
      <c r="N1323" s="116">
        <v>706.8</v>
      </c>
      <c r="O1323" s="116">
        <v>693</v>
      </c>
      <c r="P1323" s="116">
        <v>706.75</v>
      </c>
      <c r="Q1323" s="116">
        <v>695.05</v>
      </c>
      <c r="R1323">
        <v>774625</v>
      </c>
    </row>
    <row r="1324" spans="1:18" x14ac:dyDescent="0.25">
      <c r="A1324" s="170">
        <v>46050</v>
      </c>
      <c r="B1324" s="116">
        <v>712.7</v>
      </c>
      <c r="C1324" s="116">
        <v>709.45</v>
      </c>
      <c r="D1324" s="116">
        <v>698.4</v>
      </c>
      <c r="E1324" s="116">
        <v>698.95</v>
      </c>
      <c r="F1324" s="116">
        <v>709.45</v>
      </c>
      <c r="G1324">
        <v>89208</v>
      </c>
      <c r="H1324" s="116"/>
      <c r="I1324" s="116"/>
      <c r="L1324" s="170">
        <v>46054</v>
      </c>
      <c r="M1324" s="116">
        <v>676.1</v>
      </c>
      <c r="N1324" s="116">
        <v>703</v>
      </c>
      <c r="O1324" s="116">
        <v>652.04999999999995</v>
      </c>
      <c r="P1324" s="116">
        <v>695.1</v>
      </c>
      <c r="Q1324" s="116">
        <v>676.1</v>
      </c>
      <c r="R1324">
        <v>896900</v>
      </c>
    </row>
    <row r="1325" spans="1:18" x14ac:dyDescent="0.25">
      <c r="A1325" s="170">
        <v>46051</v>
      </c>
      <c r="B1325" s="116">
        <v>713.95</v>
      </c>
      <c r="C1325" s="116">
        <v>707.7</v>
      </c>
      <c r="D1325" s="116">
        <v>698</v>
      </c>
      <c r="E1325" s="116">
        <v>711.2</v>
      </c>
      <c r="F1325" s="116">
        <v>707.7</v>
      </c>
      <c r="G1325">
        <v>83017</v>
      </c>
      <c r="H1325" s="116"/>
      <c r="I1325" s="116"/>
      <c r="L1325" s="170">
        <v>46055</v>
      </c>
      <c r="M1325" s="116">
        <v>693.9</v>
      </c>
      <c r="N1325" s="116">
        <v>696.95</v>
      </c>
      <c r="O1325" s="116">
        <v>662</v>
      </c>
      <c r="P1325" s="116">
        <v>669</v>
      </c>
      <c r="Q1325" s="116">
        <v>693.9</v>
      </c>
      <c r="R1325">
        <v>976799</v>
      </c>
    </row>
    <row r="1326" spans="1:18" x14ac:dyDescent="0.25">
      <c r="A1326" s="170">
        <v>46052</v>
      </c>
      <c r="B1326" s="116">
        <v>707.55</v>
      </c>
      <c r="C1326" s="116">
        <v>694.8</v>
      </c>
      <c r="D1326" s="116">
        <v>693</v>
      </c>
      <c r="E1326" s="116">
        <v>707.55</v>
      </c>
      <c r="F1326" s="116">
        <v>694.8</v>
      </c>
      <c r="G1326">
        <v>33326</v>
      </c>
      <c r="H1326" s="116"/>
      <c r="I1326" s="116"/>
      <c r="L1326" s="170">
        <v>46056</v>
      </c>
      <c r="M1326" s="116">
        <v>728.45</v>
      </c>
      <c r="N1326" s="116">
        <v>740</v>
      </c>
      <c r="O1326" s="116">
        <v>718.7</v>
      </c>
      <c r="P1326" s="116">
        <v>727</v>
      </c>
      <c r="Q1326" s="116">
        <v>728.45</v>
      </c>
      <c r="R1326">
        <v>1800342</v>
      </c>
    </row>
    <row r="1327" spans="1:18" x14ac:dyDescent="0.25">
      <c r="A1327" s="170">
        <v>46054</v>
      </c>
      <c r="B1327" s="116">
        <v>702.4</v>
      </c>
      <c r="C1327" s="116">
        <v>676.25</v>
      </c>
      <c r="D1327" s="116">
        <v>652.25</v>
      </c>
      <c r="E1327" s="116">
        <v>695.05</v>
      </c>
      <c r="F1327" s="116">
        <v>676.25</v>
      </c>
      <c r="G1327">
        <v>46193</v>
      </c>
      <c r="H1327" s="116"/>
      <c r="I1327" s="116"/>
      <c r="L1327" s="170">
        <v>46057</v>
      </c>
      <c r="M1327" s="116">
        <v>735.7</v>
      </c>
      <c r="N1327" s="116">
        <v>738.6</v>
      </c>
      <c r="O1327" s="116">
        <v>721.15</v>
      </c>
      <c r="P1327" s="116">
        <v>728.45</v>
      </c>
      <c r="Q1327" s="116">
        <v>735.7</v>
      </c>
      <c r="R1327">
        <v>946621</v>
      </c>
    </row>
    <row r="1328" spans="1:18" x14ac:dyDescent="0.25">
      <c r="A1328" s="170">
        <v>46055</v>
      </c>
      <c r="B1328" s="116">
        <v>695.95</v>
      </c>
      <c r="C1328" s="116">
        <v>693.65</v>
      </c>
      <c r="D1328" s="116">
        <v>661.1</v>
      </c>
      <c r="E1328" s="116">
        <v>670</v>
      </c>
      <c r="F1328" s="116">
        <v>693.65</v>
      </c>
      <c r="G1328">
        <v>98399</v>
      </c>
      <c r="H1328" s="116"/>
      <c r="I1328" s="116"/>
      <c r="L1328" s="170">
        <v>46058</v>
      </c>
      <c r="M1328" s="116">
        <v>731.4</v>
      </c>
      <c r="N1328" s="116">
        <v>733</v>
      </c>
      <c r="O1328" s="116">
        <v>721</v>
      </c>
      <c r="P1328" s="116">
        <v>732.05</v>
      </c>
      <c r="Q1328" s="116">
        <v>731.4</v>
      </c>
      <c r="R1328">
        <v>518026</v>
      </c>
    </row>
    <row r="1329" spans="1:18" x14ac:dyDescent="0.25">
      <c r="A1329" s="170">
        <v>46056</v>
      </c>
      <c r="B1329" s="116">
        <v>741.75</v>
      </c>
      <c r="C1329" s="116">
        <v>728.7</v>
      </c>
      <c r="D1329" s="116">
        <v>719.3</v>
      </c>
      <c r="E1329" s="116">
        <v>728.85</v>
      </c>
      <c r="F1329" s="116">
        <v>728.7</v>
      </c>
      <c r="G1329">
        <v>64921</v>
      </c>
      <c r="H1329" s="116"/>
      <c r="I1329" s="116"/>
      <c r="L1329" s="170">
        <v>46059</v>
      </c>
      <c r="M1329" s="116">
        <v>722.4</v>
      </c>
      <c r="N1329" s="116">
        <v>728.5</v>
      </c>
      <c r="O1329" s="116">
        <v>710</v>
      </c>
      <c r="P1329" s="116">
        <v>727.25</v>
      </c>
      <c r="Q1329" s="116">
        <v>722.4</v>
      </c>
      <c r="R1329">
        <v>997082</v>
      </c>
    </row>
    <row r="1330" spans="1:18" x14ac:dyDescent="0.25">
      <c r="A1330" s="170">
        <v>46057</v>
      </c>
      <c r="B1330" s="116">
        <v>738.6</v>
      </c>
      <c r="C1330" s="116">
        <v>735.45</v>
      </c>
      <c r="D1330" s="116">
        <v>721.2</v>
      </c>
      <c r="E1330" s="116">
        <v>727.6</v>
      </c>
      <c r="F1330" s="116">
        <v>735.45</v>
      </c>
      <c r="G1330">
        <v>97007</v>
      </c>
      <c r="H1330" s="116"/>
      <c r="I1330" s="116"/>
      <c r="L1330" s="170">
        <v>46062</v>
      </c>
      <c r="M1330" s="116">
        <v>736.4</v>
      </c>
      <c r="N1330" s="116">
        <v>741.65</v>
      </c>
      <c r="O1330" s="116">
        <v>725.05</v>
      </c>
      <c r="P1330" s="116">
        <v>732.55</v>
      </c>
      <c r="Q1330" s="116">
        <v>736.4</v>
      </c>
      <c r="R1330">
        <v>1253751</v>
      </c>
    </row>
    <row r="1331" spans="1:18" x14ac:dyDescent="0.25">
      <c r="A1331" s="170">
        <v>46058</v>
      </c>
      <c r="B1331" s="116">
        <v>741.15</v>
      </c>
      <c r="C1331" s="116">
        <v>731.05</v>
      </c>
      <c r="D1331" s="116">
        <v>720.8</v>
      </c>
      <c r="E1331" s="116">
        <v>741.15</v>
      </c>
      <c r="F1331" s="116">
        <v>731.05</v>
      </c>
      <c r="G1331">
        <v>20083</v>
      </c>
      <c r="H1331" s="116"/>
      <c r="I1331" s="116"/>
      <c r="L1331" s="170">
        <v>46063</v>
      </c>
      <c r="M1331" s="116">
        <v>742.6</v>
      </c>
      <c r="N1331" s="116">
        <v>746.9</v>
      </c>
      <c r="O1331" s="116">
        <v>736.45</v>
      </c>
      <c r="P1331" s="116">
        <v>739.85</v>
      </c>
      <c r="Q1331" s="116">
        <v>742.6</v>
      </c>
      <c r="R1331">
        <v>794626</v>
      </c>
    </row>
    <row r="1332" spans="1:18" x14ac:dyDescent="0.25">
      <c r="A1332" s="170">
        <v>46059</v>
      </c>
      <c r="B1332" s="116">
        <v>729.65</v>
      </c>
      <c r="C1332" s="116">
        <v>722.8</v>
      </c>
      <c r="D1332" s="116">
        <v>710.1</v>
      </c>
      <c r="E1332" s="116">
        <v>729.65</v>
      </c>
      <c r="F1332" s="116">
        <v>722.8</v>
      </c>
      <c r="G1332">
        <v>44999</v>
      </c>
      <c r="H1332" s="116"/>
      <c r="I1332" s="116"/>
      <c r="L1332" s="170">
        <v>46064</v>
      </c>
      <c r="M1332" s="116">
        <v>747.1</v>
      </c>
      <c r="N1332" s="116">
        <v>748.5</v>
      </c>
      <c r="O1332" s="116">
        <v>738.8</v>
      </c>
      <c r="P1332" s="116">
        <v>744.75</v>
      </c>
      <c r="Q1332" s="116">
        <v>747.1</v>
      </c>
      <c r="R1332">
        <v>560346</v>
      </c>
    </row>
    <row r="1333" spans="1:18" x14ac:dyDescent="0.25">
      <c r="A1333" s="170">
        <v>46062</v>
      </c>
      <c r="B1333" s="116">
        <v>741.65</v>
      </c>
      <c r="C1333" s="116">
        <v>736.5</v>
      </c>
      <c r="D1333" s="116">
        <v>725.2</v>
      </c>
      <c r="E1333" s="116">
        <v>728.8</v>
      </c>
      <c r="F1333" s="116">
        <v>736.5</v>
      </c>
      <c r="G1333">
        <v>109611</v>
      </c>
      <c r="H1333" s="116"/>
      <c r="I1333" s="116"/>
      <c r="L1333" s="170">
        <v>46065</v>
      </c>
      <c r="M1333" s="116">
        <v>730.4</v>
      </c>
      <c r="N1333" s="116">
        <v>744.75</v>
      </c>
      <c r="O1333" s="116">
        <v>727</v>
      </c>
      <c r="P1333" s="116">
        <v>743.3</v>
      </c>
      <c r="Q1333" s="116">
        <v>730.4</v>
      </c>
      <c r="R1333">
        <v>822033</v>
      </c>
    </row>
    <row r="1334" spans="1:18" x14ac:dyDescent="0.25">
      <c r="A1334" s="170">
        <v>46063</v>
      </c>
      <c r="B1334" s="116">
        <v>746.5</v>
      </c>
      <c r="C1334" s="116">
        <v>742.65</v>
      </c>
      <c r="D1334" s="116">
        <v>735.85</v>
      </c>
      <c r="E1334" s="116">
        <v>738.05</v>
      </c>
      <c r="F1334" s="116">
        <v>742.65</v>
      </c>
      <c r="G1334">
        <v>78033</v>
      </c>
      <c r="H1334" s="116"/>
      <c r="I1334" s="116"/>
      <c r="L1334" s="170">
        <v>46066</v>
      </c>
      <c r="M1334" s="116">
        <v>721.05</v>
      </c>
      <c r="N1334" s="116">
        <v>728.8</v>
      </c>
      <c r="O1334" s="116">
        <v>715</v>
      </c>
      <c r="P1334" s="116">
        <v>726</v>
      </c>
      <c r="Q1334" s="116">
        <v>721.05</v>
      </c>
      <c r="R1334">
        <v>487002</v>
      </c>
    </row>
    <row r="1335" spans="1:18" x14ac:dyDescent="0.25">
      <c r="A1335" s="170">
        <v>46064</v>
      </c>
      <c r="B1335" s="116">
        <v>748.3</v>
      </c>
      <c r="C1335" s="116">
        <v>747.1</v>
      </c>
      <c r="D1335" s="116">
        <v>738.95</v>
      </c>
      <c r="E1335" s="116">
        <v>742.85</v>
      </c>
      <c r="F1335" s="116">
        <v>747.1</v>
      </c>
      <c r="G1335">
        <v>77536</v>
      </c>
      <c r="H1335" s="116"/>
      <c r="I1335" s="116"/>
      <c r="L1335" s="170">
        <v>46069</v>
      </c>
      <c r="M1335" s="116">
        <v>737.15</v>
      </c>
      <c r="N1335" s="116">
        <v>738.8</v>
      </c>
      <c r="O1335" s="116">
        <v>710.5</v>
      </c>
      <c r="P1335" s="116">
        <v>713.95</v>
      </c>
      <c r="Q1335" s="116">
        <v>737.15</v>
      </c>
      <c r="R1335">
        <v>884300</v>
      </c>
    </row>
    <row r="1336" spans="1:18" x14ac:dyDescent="0.25">
      <c r="A1336" s="170">
        <v>46065</v>
      </c>
      <c r="B1336" s="116">
        <v>744</v>
      </c>
      <c r="C1336" s="116">
        <v>730.4</v>
      </c>
      <c r="D1336" s="116">
        <v>727.5</v>
      </c>
      <c r="E1336" s="116">
        <v>737.8</v>
      </c>
      <c r="F1336" s="116">
        <v>730.4</v>
      </c>
      <c r="G1336">
        <v>72250</v>
      </c>
      <c r="H1336" s="116"/>
      <c r="I1336" s="116"/>
      <c r="L1336" s="170">
        <v>46070</v>
      </c>
      <c r="M1336" s="116">
        <v>734.6</v>
      </c>
      <c r="N1336" s="116">
        <v>744.55</v>
      </c>
      <c r="O1336" s="116">
        <v>725.8</v>
      </c>
      <c r="P1336" s="116">
        <v>738</v>
      </c>
      <c r="Q1336" s="116">
        <v>734.6</v>
      </c>
      <c r="R1336">
        <v>545311</v>
      </c>
    </row>
    <row r="1337" spans="1:18" x14ac:dyDescent="0.25">
      <c r="A1337" s="170">
        <v>46066</v>
      </c>
      <c r="B1337" s="116">
        <v>730.3</v>
      </c>
      <c r="C1337" s="116">
        <v>721.25</v>
      </c>
      <c r="D1337" s="116">
        <v>715</v>
      </c>
      <c r="E1337" s="116">
        <v>730.3</v>
      </c>
      <c r="F1337" s="116">
        <v>721.25</v>
      </c>
      <c r="G1337">
        <v>94630</v>
      </c>
      <c r="H1337" s="116"/>
      <c r="I1337" s="116"/>
      <c r="L1337" s="170">
        <v>46071</v>
      </c>
      <c r="M1337" s="116">
        <v>736.95</v>
      </c>
      <c r="N1337" s="116">
        <v>741.05</v>
      </c>
      <c r="O1337" s="116">
        <v>730.1</v>
      </c>
      <c r="P1337" s="116">
        <v>735.05</v>
      </c>
      <c r="Q1337" s="116">
        <v>736.95</v>
      </c>
      <c r="R1337">
        <v>545305</v>
      </c>
    </row>
    <row r="1338" spans="1:18" x14ac:dyDescent="0.25">
      <c r="A1338" s="170">
        <v>46069</v>
      </c>
      <c r="B1338" s="116">
        <v>738.5</v>
      </c>
      <c r="C1338" s="116">
        <v>737.15</v>
      </c>
      <c r="D1338" s="116">
        <v>710.2</v>
      </c>
      <c r="E1338" s="116">
        <v>717.45</v>
      </c>
      <c r="F1338" s="116">
        <v>737.15</v>
      </c>
      <c r="G1338">
        <v>83751</v>
      </c>
      <c r="H1338" s="116"/>
      <c r="I1338" s="116"/>
      <c r="L1338" s="170">
        <v>46072</v>
      </c>
      <c r="M1338" s="116">
        <v>721.3</v>
      </c>
      <c r="N1338" s="116">
        <v>737.15</v>
      </c>
      <c r="O1338" s="116">
        <v>718</v>
      </c>
      <c r="P1338" s="116">
        <v>736</v>
      </c>
      <c r="Q1338" s="116">
        <v>721.3</v>
      </c>
      <c r="R1338">
        <v>471815</v>
      </c>
    </row>
    <row r="1339" spans="1:18" x14ac:dyDescent="0.25">
      <c r="A1339" s="170">
        <v>46070</v>
      </c>
      <c r="B1339" s="116">
        <v>744.1</v>
      </c>
      <c r="C1339" s="116">
        <v>734.85</v>
      </c>
      <c r="D1339" s="116">
        <v>727.3</v>
      </c>
      <c r="E1339" s="116">
        <v>737.2</v>
      </c>
      <c r="F1339" s="116">
        <v>734.85</v>
      </c>
      <c r="G1339">
        <v>50736</v>
      </c>
      <c r="H1339" s="116"/>
      <c r="I1339" s="116"/>
      <c r="L1339" s="170">
        <v>46073</v>
      </c>
      <c r="M1339" s="116">
        <v>720.25</v>
      </c>
      <c r="N1339" s="116">
        <v>725.4</v>
      </c>
      <c r="O1339" s="116">
        <v>715.9</v>
      </c>
      <c r="P1339" s="116">
        <v>719.45</v>
      </c>
      <c r="Q1339" s="116">
        <v>720.25</v>
      </c>
      <c r="R1339">
        <v>407454</v>
      </c>
    </row>
    <row r="1340" spans="1:18" x14ac:dyDescent="0.25">
      <c r="A1340" s="170">
        <v>46071</v>
      </c>
      <c r="B1340" s="116">
        <v>741</v>
      </c>
      <c r="C1340" s="116">
        <v>736.35</v>
      </c>
      <c r="D1340" s="116">
        <v>729.85</v>
      </c>
      <c r="E1340" s="116">
        <v>735.95</v>
      </c>
      <c r="F1340" s="116">
        <v>736.35</v>
      </c>
      <c r="G1340">
        <v>54032</v>
      </c>
      <c r="H1340" s="116"/>
      <c r="I1340" s="116"/>
      <c r="L1340" s="170">
        <v>46076</v>
      </c>
      <c r="M1340" s="116">
        <v>718</v>
      </c>
      <c r="N1340" s="116">
        <v>729.8</v>
      </c>
      <c r="O1340" s="116">
        <v>711.2</v>
      </c>
      <c r="P1340" s="116">
        <v>724.8</v>
      </c>
      <c r="Q1340" s="116">
        <v>718</v>
      </c>
      <c r="R1340">
        <v>621904</v>
      </c>
    </row>
    <row r="1341" spans="1:18" x14ac:dyDescent="0.25">
      <c r="A1341" s="170">
        <v>46072</v>
      </c>
      <c r="B1341" s="116">
        <v>737.7</v>
      </c>
      <c r="C1341" s="116">
        <v>722.45</v>
      </c>
      <c r="D1341" s="116">
        <v>717.75</v>
      </c>
      <c r="E1341" s="116">
        <v>737.7</v>
      </c>
      <c r="F1341" s="116">
        <v>722.45</v>
      </c>
      <c r="G1341">
        <v>28183</v>
      </c>
      <c r="H1341" s="116"/>
      <c r="I1341" s="116"/>
      <c r="L1341" s="170">
        <v>46077</v>
      </c>
      <c r="M1341" s="116">
        <v>709.2</v>
      </c>
      <c r="N1341" s="116">
        <v>717.15</v>
      </c>
      <c r="O1341" s="116">
        <v>703</v>
      </c>
      <c r="P1341" s="116">
        <v>714</v>
      </c>
      <c r="Q1341" s="116">
        <v>709.2</v>
      </c>
      <c r="R1341">
        <v>624360</v>
      </c>
    </row>
    <row r="1342" spans="1:18" x14ac:dyDescent="0.25">
      <c r="A1342" s="170">
        <v>46073</v>
      </c>
      <c r="B1342" s="116">
        <v>725.05</v>
      </c>
      <c r="C1342" s="116">
        <v>719.85</v>
      </c>
      <c r="D1342" s="116">
        <v>715.5</v>
      </c>
      <c r="E1342" s="116">
        <v>718.45</v>
      </c>
      <c r="F1342" s="116">
        <v>719.85</v>
      </c>
      <c r="G1342">
        <v>58147</v>
      </c>
      <c r="H1342" s="116"/>
      <c r="I1342" s="116"/>
      <c r="L1342" s="170">
        <v>46078</v>
      </c>
      <c r="M1342" s="116">
        <v>713.75</v>
      </c>
      <c r="N1342" s="116">
        <v>718.85</v>
      </c>
      <c r="O1342" s="116">
        <v>707</v>
      </c>
      <c r="P1342" s="116">
        <v>709.35</v>
      </c>
      <c r="Q1342" s="116">
        <v>713.75</v>
      </c>
      <c r="R1342">
        <v>669618</v>
      </c>
    </row>
    <row r="1343" spans="1:18" x14ac:dyDescent="0.25">
      <c r="A1343" s="170">
        <v>46076</v>
      </c>
      <c r="B1343" s="116">
        <v>729.7</v>
      </c>
      <c r="C1343" s="116">
        <v>717.85</v>
      </c>
      <c r="D1343" s="116">
        <v>711</v>
      </c>
      <c r="E1343" s="116">
        <v>724.65</v>
      </c>
      <c r="F1343" s="116">
        <v>717.85</v>
      </c>
      <c r="G1343">
        <v>46160</v>
      </c>
      <c r="H1343" s="116"/>
      <c r="I1343" s="116"/>
      <c r="L1343" s="170">
        <v>46079</v>
      </c>
      <c r="M1343" s="116">
        <v>708.6</v>
      </c>
      <c r="N1343" s="116">
        <v>717</v>
      </c>
      <c r="O1343" s="116">
        <v>702.1</v>
      </c>
      <c r="P1343" s="116">
        <v>717</v>
      </c>
      <c r="Q1343" s="116">
        <v>708.6</v>
      </c>
      <c r="R1343">
        <v>539943</v>
      </c>
    </row>
    <row r="1344" spans="1:18" x14ac:dyDescent="0.25">
      <c r="A1344" s="170">
        <v>46077</v>
      </c>
      <c r="B1344" s="116">
        <v>717</v>
      </c>
      <c r="C1344" s="116">
        <v>708.7</v>
      </c>
      <c r="D1344" s="116">
        <v>703.5</v>
      </c>
      <c r="E1344" s="116">
        <v>711.25</v>
      </c>
      <c r="F1344" s="116">
        <v>708.7</v>
      </c>
      <c r="G1344">
        <v>46109</v>
      </c>
      <c r="H1344" s="116"/>
      <c r="I1344" s="116"/>
      <c r="L1344" s="170">
        <v>46080</v>
      </c>
      <c r="M1344" s="116">
        <v>677.6</v>
      </c>
      <c r="N1344" s="116">
        <v>710</v>
      </c>
      <c r="O1344" s="116">
        <v>673.6</v>
      </c>
      <c r="P1344" s="116">
        <v>710</v>
      </c>
      <c r="Q1344" s="116">
        <v>677.6</v>
      </c>
      <c r="R1344">
        <v>2005279</v>
      </c>
    </row>
    <row r="1345" spans="1:18" x14ac:dyDescent="0.25">
      <c r="A1345" s="170">
        <v>46078</v>
      </c>
      <c r="B1345" s="116">
        <v>718.65</v>
      </c>
      <c r="C1345" s="116">
        <v>713.5</v>
      </c>
      <c r="D1345" s="116">
        <v>707.55</v>
      </c>
      <c r="E1345" s="116">
        <v>708.75</v>
      </c>
      <c r="F1345" s="116">
        <v>713.5</v>
      </c>
      <c r="G1345">
        <v>28604</v>
      </c>
      <c r="H1345" s="116"/>
      <c r="I1345" s="116"/>
      <c r="L1345" s="170">
        <v>46083</v>
      </c>
      <c r="M1345" s="116">
        <v>651.29999999999995</v>
      </c>
      <c r="N1345" s="116">
        <v>673.65</v>
      </c>
      <c r="O1345" s="116">
        <v>641.1</v>
      </c>
      <c r="P1345" s="116">
        <v>653.6</v>
      </c>
      <c r="Q1345" s="116">
        <v>651.29999999999995</v>
      </c>
      <c r="R1345">
        <v>2715604</v>
      </c>
    </row>
    <row r="1346" spans="1:18" x14ac:dyDescent="0.25">
      <c r="A1346" s="170">
        <v>46079</v>
      </c>
      <c r="B1346" s="116">
        <v>715.8</v>
      </c>
      <c r="C1346" s="116">
        <v>708.45</v>
      </c>
      <c r="D1346" s="116">
        <v>702.2</v>
      </c>
      <c r="E1346" s="116">
        <v>713.7</v>
      </c>
      <c r="F1346" s="116">
        <v>708.45</v>
      </c>
      <c r="G1346">
        <v>27196</v>
      </c>
      <c r="H1346" s="116"/>
      <c r="I1346" s="116"/>
      <c r="L1346" s="170">
        <v>46085</v>
      </c>
      <c r="M1346" s="116">
        <v>629.9</v>
      </c>
      <c r="N1346" s="116">
        <v>642</v>
      </c>
      <c r="O1346" s="116">
        <v>624.15</v>
      </c>
      <c r="P1346" s="116">
        <v>640.29999999999995</v>
      </c>
      <c r="Q1346" s="116">
        <v>629.9</v>
      </c>
      <c r="R1346">
        <v>3113387</v>
      </c>
    </row>
    <row r="1347" spans="1:18" x14ac:dyDescent="0.25">
      <c r="A1347" s="170">
        <v>46080</v>
      </c>
      <c r="B1347" s="116">
        <v>708.7</v>
      </c>
      <c r="C1347" s="116">
        <v>678</v>
      </c>
      <c r="D1347" s="116">
        <v>673.9</v>
      </c>
      <c r="E1347" s="116">
        <v>708.7</v>
      </c>
      <c r="F1347" s="116">
        <v>678</v>
      </c>
      <c r="G1347">
        <v>495601</v>
      </c>
      <c r="H1347" s="116"/>
      <c r="I1347" s="116"/>
      <c r="L1347" s="170">
        <v>46086</v>
      </c>
      <c r="M1347" s="116">
        <v>652.35</v>
      </c>
      <c r="N1347" s="116">
        <v>655.35</v>
      </c>
      <c r="O1347" s="116">
        <v>635.45000000000005</v>
      </c>
      <c r="P1347" s="116">
        <v>639.4</v>
      </c>
      <c r="Q1347" s="116">
        <v>652.35</v>
      </c>
      <c r="R1347">
        <v>4749237</v>
      </c>
    </row>
    <row r="1348" spans="1:18" x14ac:dyDescent="0.25">
      <c r="A1348" s="170">
        <v>46083</v>
      </c>
      <c r="B1348" s="116">
        <v>673.7</v>
      </c>
      <c r="C1348" s="116">
        <v>650.75</v>
      </c>
      <c r="D1348" s="116">
        <v>631</v>
      </c>
      <c r="E1348" s="116">
        <v>631</v>
      </c>
      <c r="F1348" s="116">
        <v>650.75</v>
      </c>
      <c r="G1348">
        <v>251196</v>
      </c>
      <c r="H1348" s="116"/>
      <c r="I1348" s="116"/>
      <c r="L1348" s="170">
        <v>46087</v>
      </c>
      <c r="M1348" s="116">
        <v>648.85</v>
      </c>
      <c r="N1348" s="116">
        <v>661.8</v>
      </c>
      <c r="O1348" s="116">
        <v>642.5</v>
      </c>
      <c r="P1348" s="116">
        <v>646.15</v>
      </c>
      <c r="Q1348" s="116">
        <v>648.85</v>
      </c>
      <c r="R1348">
        <v>1623932</v>
      </c>
    </row>
    <row r="1349" spans="1:18" x14ac:dyDescent="0.25">
      <c r="A1349" s="170">
        <v>46085</v>
      </c>
      <c r="B1349" s="116">
        <v>642</v>
      </c>
      <c r="C1349" s="116">
        <v>630.35</v>
      </c>
      <c r="D1349" s="116">
        <v>624.1</v>
      </c>
      <c r="E1349" s="116">
        <v>639.04999999999995</v>
      </c>
      <c r="F1349" s="116">
        <v>630.35</v>
      </c>
      <c r="G1349">
        <v>251454</v>
      </c>
      <c r="H1349" s="116"/>
      <c r="I1349" s="116"/>
      <c r="L1349" s="170">
        <v>46090</v>
      </c>
      <c r="M1349" s="116">
        <v>649.1</v>
      </c>
      <c r="N1349" s="116">
        <v>654.95000000000005</v>
      </c>
      <c r="O1349" s="116">
        <v>625.75</v>
      </c>
      <c r="P1349" s="116">
        <v>633.5</v>
      </c>
      <c r="Q1349" s="116">
        <v>649.1</v>
      </c>
      <c r="R1349">
        <v>2730624</v>
      </c>
    </row>
    <row r="1350" spans="1:18" x14ac:dyDescent="0.25">
      <c r="A1350" s="170">
        <v>46086</v>
      </c>
      <c r="B1350" s="116">
        <v>655</v>
      </c>
      <c r="C1350" s="116">
        <v>652</v>
      </c>
      <c r="D1350" s="116">
        <v>634.9</v>
      </c>
      <c r="E1350" s="116">
        <v>641.95000000000005</v>
      </c>
      <c r="F1350" s="116">
        <v>652</v>
      </c>
      <c r="G1350">
        <v>179862</v>
      </c>
      <c r="H1350" s="116"/>
      <c r="I1350" s="116"/>
      <c r="L1350" s="170">
        <v>46091</v>
      </c>
      <c r="M1350" s="116">
        <v>671.1</v>
      </c>
      <c r="N1350" s="116">
        <v>673.95</v>
      </c>
      <c r="O1350" s="116">
        <v>656.95</v>
      </c>
      <c r="P1350" s="116">
        <v>663.3</v>
      </c>
      <c r="Q1350" s="116">
        <v>671.1</v>
      </c>
      <c r="R1350">
        <v>2489071</v>
      </c>
    </row>
    <row r="1351" spans="1:18" x14ac:dyDescent="0.25">
      <c r="A1351" s="170">
        <v>46087</v>
      </c>
      <c r="B1351" s="116">
        <v>661.5</v>
      </c>
      <c r="C1351" s="116">
        <v>649</v>
      </c>
      <c r="D1351" s="116">
        <v>642.85</v>
      </c>
      <c r="E1351" s="116">
        <v>646.1</v>
      </c>
      <c r="F1351" s="116">
        <v>649</v>
      </c>
      <c r="G1351">
        <v>74646</v>
      </c>
      <c r="H1351" s="116"/>
      <c r="I1351" s="116"/>
      <c r="L1351" s="170">
        <v>46092</v>
      </c>
      <c r="M1351" s="116">
        <v>676.2</v>
      </c>
      <c r="N1351" s="116">
        <v>682</v>
      </c>
      <c r="O1351" s="116">
        <v>671.9</v>
      </c>
      <c r="P1351" s="116">
        <v>674</v>
      </c>
      <c r="Q1351" s="116">
        <v>676.2</v>
      </c>
      <c r="R1351">
        <v>1921511</v>
      </c>
    </row>
    <row r="1352" spans="1:18" x14ac:dyDescent="0.25">
      <c r="A1352" s="170">
        <v>46090</v>
      </c>
      <c r="B1352" s="116">
        <v>654.85</v>
      </c>
      <c r="C1352" s="116">
        <v>648.95000000000005</v>
      </c>
      <c r="D1352" s="116">
        <v>625.20000000000005</v>
      </c>
      <c r="E1352" s="116">
        <v>630.45000000000005</v>
      </c>
      <c r="F1352" s="116">
        <v>648.95000000000005</v>
      </c>
      <c r="G1352">
        <v>201909</v>
      </c>
      <c r="H1352" s="116"/>
      <c r="I1352" s="116"/>
      <c r="L1352" s="170">
        <v>46093</v>
      </c>
      <c r="M1352" s="116">
        <v>663.75</v>
      </c>
      <c r="N1352" s="116">
        <v>670.8</v>
      </c>
      <c r="O1352" s="116">
        <v>655.25</v>
      </c>
      <c r="P1352" s="116">
        <v>670</v>
      </c>
      <c r="Q1352" s="116">
        <v>663.75</v>
      </c>
      <c r="R1352">
        <v>1585361</v>
      </c>
    </row>
    <row r="1353" spans="1:18" x14ac:dyDescent="0.25">
      <c r="A1353" s="170">
        <v>46091</v>
      </c>
      <c r="B1353" s="116">
        <v>673.85</v>
      </c>
      <c r="C1353" s="116">
        <v>670.3</v>
      </c>
      <c r="D1353" s="116">
        <v>657</v>
      </c>
      <c r="E1353" s="116">
        <v>660.6</v>
      </c>
      <c r="F1353" s="116">
        <v>670.3</v>
      </c>
      <c r="G1353">
        <v>94034</v>
      </c>
      <c r="H1353" s="116"/>
      <c r="I1353" s="116"/>
      <c r="L1353" s="170">
        <v>46094</v>
      </c>
      <c r="M1353" s="116">
        <v>644.5</v>
      </c>
      <c r="N1353" s="116">
        <v>662.15</v>
      </c>
      <c r="O1353" s="116">
        <v>641.70000000000005</v>
      </c>
      <c r="P1353" s="116">
        <v>657.2</v>
      </c>
      <c r="Q1353" s="116">
        <v>644.5</v>
      </c>
      <c r="R1353">
        <v>878478</v>
      </c>
    </row>
    <row r="1354" spans="1:18" x14ac:dyDescent="0.25">
      <c r="A1354" s="170">
        <v>46092</v>
      </c>
      <c r="B1354" s="116">
        <v>681.95</v>
      </c>
      <c r="C1354" s="116">
        <v>676.9</v>
      </c>
      <c r="D1354" s="116">
        <v>670.6</v>
      </c>
      <c r="E1354" s="116">
        <v>670.6</v>
      </c>
      <c r="F1354" s="116">
        <v>676.9</v>
      </c>
      <c r="G1354">
        <v>439597</v>
      </c>
      <c r="H1354" s="116"/>
      <c r="I1354" s="116"/>
      <c r="L1354" s="170">
        <v>46097</v>
      </c>
      <c r="M1354" s="116">
        <v>639.5</v>
      </c>
      <c r="N1354" s="116">
        <v>647.95000000000005</v>
      </c>
      <c r="O1354" s="116">
        <v>623.25</v>
      </c>
      <c r="P1354" s="116">
        <v>644.5</v>
      </c>
      <c r="Q1354" s="116">
        <v>639.5</v>
      </c>
      <c r="R1354">
        <v>1631304</v>
      </c>
    </row>
    <row r="1355" spans="1:18" x14ac:dyDescent="0.25">
      <c r="A1355" s="170">
        <v>46093</v>
      </c>
      <c r="B1355" s="116">
        <v>670.15</v>
      </c>
      <c r="C1355" s="116">
        <v>663.9</v>
      </c>
      <c r="D1355" s="116">
        <v>655.45</v>
      </c>
      <c r="E1355" s="116">
        <v>667.6</v>
      </c>
      <c r="F1355" s="116">
        <v>663.9</v>
      </c>
      <c r="G1355">
        <v>135838</v>
      </c>
      <c r="H1355" s="116"/>
      <c r="I1355" s="116"/>
      <c r="L1355" s="170">
        <v>46098</v>
      </c>
      <c r="M1355" s="116">
        <v>632.79999999999995</v>
      </c>
      <c r="N1355" s="116">
        <v>645.5</v>
      </c>
      <c r="O1355" s="116">
        <v>630.1</v>
      </c>
      <c r="P1355" s="116">
        <v>645.5</v>
      </c>
      <c r="Q1355" s="116">
        <v>632.79999999999995</v>
      </c>
      <c r="R1355">
        <v>1424250</v>
      </c>
    </row>
    <row r="1356" spans="1:18" x14ac:dyDescent="0.25">
      <c r="A1356" s="170">
        <v>46094</v>
      </c>
      <c r="B1356" s="116">
        <v>662.3</v>
      </c>
      <c r="C1356" s="116">
        <v>644.6</v>
      </c>
      <c r="D1356" s="116">
        <v>642.85</v>
      </c>
      <c r="E1356" s="116">
        <v>653.15</v>
      </c>
      <c r="F1356" s="116">
        <v>644.6</v>
      </c>
      <c r="G1356">
        <v>149088</v>
      </c>
      <c r="H1356" s="116"/>
      <c r="I1356" s="116"/>
      <c r="L1356" s="170">
        <v>46099</v>
      </c>
      <c r="M1356" s="116">
        <v>658.15</v>
      </c>
      <c r="N1356" s="116">
        <v>660.8</v>
      </c>
      <c r="O1356" s="116">
        <v>632.5</v>
      </c>
      <c r="P1356" s="116">
        <v>633.9</v>
      </c>
      <c r="Q1356" s="116">
        <v>658.15</v>
      </c>
      <c r="R1356">
        <v>1505706</v>
      </c>
    </row>
    <row r="1357" spans="1:18" x14ac:dyDescent="0.25">
      <c r="A1357" s="170">
        <v>46097</v>
      </c>
      <c r="B1357" s="116">
        <v>647.75</v>
      </c>
      <c r="C1357" s="116">
        <v>639.6</v>
      </c>
      <c r="D1357" s="116">
        <v>623.04999999999995</v>
      </c>
      <c r="E1357" s="116">
        <v>641.70000000000005</v>
      </c>
      <c r="F1357" s="116">
        <v>639.6</v>
      </c>
      <c r="G1357">
        <v>246729</v>
      </c>
      <c r="H1357" s="116"/>
      <c r="I1357" s="116"/>
      <c r="L1357" s="170">
        <v>46100</v>
      </c>
      <c r="M1357" s="116">
        <v>639.9</v>
      </c>
      <c r="N1357" s="116">
        <v>649</v>
      </c>
      <c r="O1357" s="116">
        <v>635.1</v>
      </c>
      <c r="P1357" s="116">
        <v>648.20000000000005</v>
      </c>
      <c r="Q1357" s="116">
        <v>639.9</v>
      </c>
      <c r="R1357">
        <v>981137</v>
      </c>
    </row>
    <row r="1358" spans="1:18" x14ac:dyDescent="0.25">
      <c r="A1358" s="170">
        <v>46098</v>
      </c>
      <c r="B1358" s="116">
        <v>645.04999999999995</v>
      </c>
      <c r="C1358" s="116">
        <v>633.4</v>
      </c>
      <c r="D1358" s="116">
        <v>630</v>
      </c>
      <c r="E1358" s="116">
        <v>645.04999999999995</v>
      </c>
      <c r="F1358" s="116">
        <v>633.4</v>
      </c>
      <c r="G1358">
        <v>592212</v>
      </c>
      <c r="H1358" s="116"/>
      <c r="I1358" s="116"/>
      <c r="L1358" s="170">
        <v>46101</v>
      </c>
      <c r="M1358" s="116">
        <v>640.70000000000005</v>
      </c>
      <c r="N1358" s="116">
        <v>652.29999999999995</v>
      </c>
      <c r="O1358" s="116">
        <v>635.1</v>
      </c>
      <c r="P1358" s="116">
        <v>645</v>
      </c>
      <c r="Q1358" s="116">
        <v>640.70000000000005</v>
      </c>
      <c r="R1358">
        <v>830229</v>
      </c>
    </row>
    <row r="1359" spans="1:18" x14ac:dyDescent="0.25">
      <c r="A1359" s="170">
        <v>46099</v>
      </c>
      <c r="B1359" s="116">
        <v>660.5</v>
      </c>
      <c r="C1359" s="116">
        <v>658.1</v>
      </c>
      <c r="D1359" s="116">
        <v>632.5</v>
      </c>
      <c r="E1359" s="116">
        <v>635.20000000000005</v>
      </c>
      <c r="F1359" s="116">
        <v>658.1</v>
      </c>
      <c r="G1359">
        <v>212189</v>
      </c>
      <c r="H1359" s="116"/>
      <c r="I1359" s="116"/>
      <c r="L1359" s="170">
        <v>46104</v>
      </c>
      <c r="M1359" s="116">
        <v>622.45000000000005</v>
      </c>
      <c r="N1359" s="116">
        <v>638.04999999999995</v>
      </c>
      <c r="O1359" s="116">
        <v>611.4</v>
      </c>
      <c r="P1359" s="116">
        <v>636</v>
      </c>
      <c r="Q1359" s="116">
        <v>622.45000000000005</v>
      </c>
      <c r="R1359">
        <v>1805078</v>
      </c>
    </row>
    <row r="1360" spans="1:18" x14ac:dyDescent="0.25">
      <c r="A1360" s="170">
        <v>46100</v>
      </c>
      <c r="B1360" s="116">
        <v>651.35</v>
      </c>
      <c r="C1360" s="116">
        <v>639.54999999999995</v>
      </c>
      <c r="D1360" s="116">
        <v>635</v>
      </c>
      <c r="E1360" s="116">
        <v>646.35</v>
      </c>
      <c r="F1360" s="116">
        <v>639.54999999999995</v>
      </c>
      <c r="G1360">
        <v>365060</v>
      </c>
      <c r="H1360" s="116"/>
      <c r="I1360" s="116"/>
      <c r="L1360" s="170">
        <v>46105</v>
      </c>
      <c r="M1360" s="116">
        <v>638.65</v>
      </c>
      <c r="N1360" s="116">
        <v>645</v>
      </c>
      <c r="O1360" s="116">
        <v>622.5</v>
      </c>
      <c r="P1360" s="116">
        <v>641.6</v>
      </c>
      <c r="Q1360" s="116">
        <v>638.65</v>
      </c>
      <c r="R1360">
        <v>985794</v>
      </c>
    </row>
    <row r="1361" spans="1:18" x14ac:dyDescent="0.25">
      <c r="A1361" s="170">
        <v>46101</v>
      </c>
      <c r="B1361" s="116">
        <v>652</v>
      </c>
      <c r="C1361" s="116">
        <v>640.4</v>
      </c>
      <c r="D1361" s="116">
        <v>635.25</v>
      </c>
      <c r="E1361" s="116">
        <v>645.4</v>
      </c>
      <c r="F1361" s="116">
        <v>640.4</v>
      </c>
      <c r="G1361">
        <v>54085</v>
      </c>
      <c r="H1361" s="116"/>
      <c r="I1361" s="116"/>
      <c r="L1361" s="170">
        <v>46106</v>
      </c>
      <c r="M1361" s="116">
        <v>643.9</v>
      </c>
      <c r="N1361" s="116">
        <v>656.9</v>
      </c>
      <c r="O1361" s="116">
        <v>640.20000000000005</v>
      </c>
      <c r="P1361" s="116">
        <v>648.1</v>
      </c>
      <c r="Q1361" s="116">
        <v>643.9</v>
      </c>
      <c r="R1361">
        <v>1218177</v>
      </c>
    </row>
    <row r="1362" spans="1:18" x14ac:dyDescent="0.25">
      <c r="A1362" s="170">
        <v>46104</v>
      </c>
      <c r="B1362" s="116">
        <v>638.95000000000005</v>
      </c>
      <c r="C1362" s="116">
        <v>622.35</v>
      </c>
      <c r="D1362" s="116">
        <v>611.70000000000005</v>
      </c>
      <c r="E1362" s="116">
        <v>635.04999999999995</v>
      </c>
      <c r="F1362" s="116">
        <v>622.35</v>
      </c>
      <c r="G1362">
        <v>127040</v>
      </c>
      <c r="H1362" s="116"/>
      <c r="I1362" s="116"/>
      <c r="L1362" s="170">
        <v>46108</v>
      </c>
      <c r="M1362" s="116">
        <v>637.5</v>
      </c>
      <c r="N1362" s="116">
        <v>651</v>
      </c>
      <c r="O1362" s="116">
        <v>635.35</v>
      </c>
      <c r="P1362" s="116">
        <v>640.9</v>
      </c>
      <c r="Q1362" s="116">
        <v>637.5</v>
      </c>
      <c r="R1362">
        <v>2013843</v>
      </c>
    </row>
    <row r="1363" spans="1:18" x14ac:dyDescent="0.25">
      <c r="A1363" s="170">
        <v>46105</v>
      </c>
      <c r="B1363" s="116">
        <v>647.79999999999995</v>
      </c>
      <c r="C1363" s="116">
        <v>638.5</v>
      </c>
      <c r="D1363" s="116">
        <v>622.85</v>
      </c>
      <c r="E1363" s="116">
        <v>647.79999999999995</v>
      </c>
      <c r="F1363" s="116">
        <v>638.5</v>
      </c>
      <c r="G1363">
        <v>84650</v>
      </c>
      <c r="H1363" s="116"/>
      <c r="I1363" s="116"/>
      <c r="L1363" s="170">
        <v>46111</v>
      </c>
      <c r="M1363" s="116">
        <v>625.79999999999995</v>
      </c>
      <c r="N1363" s="116">
        <v>633.35</v>
      </c>
      <c r="O1363" s="116">
        <v>620</v>
      </c>
      <c r="P1363" s="116">
        <v>625.54999999999995</v>
      </c>
      <c r="Q1363" s="116">
        <v>625.79999999999995</v>
      </c>
      <c r="R1363">
        <v>2569464</v>
      </c>
    </row>
    <row r="1364" spans="1:18" x14ac:dyDescent="0.25">
      <c r="A1364" s="170">
        <v>46106</v>
      </c>
      <c r="B1364" s="116">
        <v>657</v>
      </c>
      <c r="C1364" s="116">
        <v>644.20000000000005</v>
      </c>
      <c r="D1364" s="116">
        <v>640.29999999999995</v>
      </c>
      <c r="E1364" s="116">
        <v>646.1</v>
      </c>
      <c r="F1364" s="116">
        <v>644.20000000000005</v>
      </c>
      <c r="G1364">
        <v>55443</v>
      </c>
      <c r="H1364" s="116"/>
      <c r="I1364" s="116"/>
      <c r="L1364" s="170">
        <v>46113</v>
      </c>
      <c r="M1364" s="116">
        <v>655.35</v>
      </c>
      <c r="N1364" s="116">
        <v>669.3</v>
      </c>
      <c r="O1364" s="116">
        <v>640</v>
      </c>
      <c r="P1364" s="116">
        <v>642</v>
      </c>
      <c r="Q1364" s="116">
        <v>655.35</v>
      </c>
      <c r="R1364">
        <v>1705026</v>
      </c>
    </row>
    <row r="1365" spans="1:18" x14ac:dyDescent="0.25">
      <c r="A1365" s="170">
        <v>46108</v>
      </c>
      <c r="B1365" s="116">
        <v>650.79999999999995</v>
      </c>
      <c r="C1365" s="116">
        <v>637.04999999999995</v>
      </c>
      <c r="D1365" s="116">
        <v>635.1</v>
      </c>
      <c r="E1365" s="116">
        <v>638.4</v>
      </c>
      <c r="F1365" s="116">
        <v>637.04999999999995</v>
      </c>
      <c r="G1365">
        <v>257572</v>
      </c>
      <c r="H1365" s="116"/>
      <c r="I1365" s="116"/>
      <c r="L1365" s="170">
        <v>46114</v>
      </c>
      <c r="M1365" s="116">
        <v>660.9</v>
      </c>
      <c r="N1365" s="116">
        <v>664.1</v>
      </c>
      <c r="O1365" s="116">
        <v>630.45000000000005</v>
      </c>
      <c r="P1365" s="116">
        <v>650</v>
      </c>
      <c r="Q1365" s="116">
        <v>660.9</v>
      </c>
      <c r="R1365">
        <v>1687195</v>
      </c>
    </row>
    <row r="1366" spans="1:18" x14ac:dyDescent="0.25">
      <c r="A1366" s="170">
        <v>46111</v>
      </c>
      <c r="B1366" s="116">
        <v>633</v>
      </c>
      <c r="C1366" s="116">
        <v>625.9</v>
      </c>
      <c r="D1366" s="116">
        <v>620.04999999999995</v>
      </c>
      <c r="E1366" s="116">
        <v>629.6</v>
      </c>
      <c r="F1366" s="116">
        <v>625.9</v>
      </c>
      <c r="G1366">
        <v>95436</v>
      </c>
      <c r="H1366" s="116"/>
      <c r="I1366" s="116"/>
      <c r="L1366" s="170">
        <v>46118</v>
      </c>
      <c r="M1366" s="116">
        <v>668.1</v>
      </c>
      <c r="N1366" s="116">
        <v>672.8</v>
      </c>
      <c r="O1366" s="116">
        <v>646.6</v>
      </c>
      <c r="P1366" s="116">
        <v>663</v>
      </c>
      <c r="Q1366" s="116">
        <v>668.1</v>
      </c>
      <c r="R1366">
        <v>876484</v>
      </c>
    </row>
    <row r="1367" spans="1:18" x14ac:dyDescent="0.25">
      <c r="A1367" s="170">
        <v>46113</v>
      </c>
      <c r="B1367" s="116">
        <v>669</v>
      </c>
      <c r="C1367" s="116">
        <v>655.75</v>
      </c>
      <c r="D1367" s="116">
        <v>634.20000000000005</v>
      </c>
      <c r="E1367" s="116">
        <v>634.20000000000005</v>
      </c>
      <c r="F1367" s="116">
        <v>655.75</v>
      </c>
      <c r="G1367">
        <v>170031</v>
      </c>
      <c r="H1367" s="116"/>
      <c r="I1367" s="116"/>
      <c r="L1367" s="170">
        <v>46119</v>
      </c>
      <c r="M1367" s="116">
        <v>672.7</v>
      </c>
      <c r="N1367" s="116">
        <v>674.25</v>
      </c>
      <c r="O1367" s="116">
        <v>654.70000000000005</v>
      </c>
      <c r="P1367" s="116">
        <v>666</v>
      </c>
      <c r="Q1367" s="116">
        <v>672.7</v>
      </c>
      <c r="R1367">
        <v>645796</v>
      </c>
    </row>
    <row r="1368" spans="1:18" x14ac:dyDescent="0.25">
      <c r="A1368" s="170">
        <v>46114</v>
      </c>
      <c r="B1368" s="116">
        <v>664.5</v>
      </c>
      <c r="C1368" s="116">
        <v>661.4</v>
      </c>
      <c r="D1368" s="116">
        <v>630.70000000000005</v>
      </c>
      <c r="E1368" s="116">
        <v>648</v>
      </c>
      <c r="F1368" s="116">
        <v>661.4</v>
      </c>
      <c r="G1368">
        <v>133088</v>
      </c>
      <c r="H1368" s="116"/>
      <c r="I1368" s="116"/>
      <c r="L1368" s="170">
        <v>46120</v>
      </c>
      <c r="M1368" s="116">
        <v>704.85</v>
      </c>
      <c r="N1368" s="116">
        <v>708.6</v>
      </c>
      <c r="O1368" s="116">
        <v>690</v>
      </c>
      <c r="P1368" s="116">
        <v>700</v>
      </c>
      <c r="Q1368" s="116">
        <v>704.85</v>
      </c>
      <c r="R1368">
        <v>1392636</v>
      </c>
    </row>
    <row r="1369" spans="1:18" x14ac:dyDescent="0.25">
      <c r="A1369" s="170">
        <v>46118</v>
      </c>
      <c r="B1369" s="116">
        <v>672.75</v>
      </c>
      <c r="C1369" s="116">
        <v>668</v>
      </c>
      <c r="D1369" s="116">
        <v>646.54999999999995</v>
      </c>
      <c r="E1369" s="116">
        <v>663</v>
      </c>
      <c r="F1369" s="116">
        <v>668</v>
      </c>
      <c r="G1369">
        <v>97882</v>
      </c>
      <c r="H1369" s="116"/>
      <c r="I1369" s="116"/>
      <c r="L1369" s="170">
        <v>46121</v>
      </c>
      <c r="M1369" s="116">
        <v>699.05</v>
      </c>
      <c r="N1369" s="116">
        <v>720</v>
      </c>
      <c r="O1369" s="116">
        <v>695</v>
      </c>
      <c r="P1369" s="116">
        <v>710</v>
      </c>
      <c r="Q1369" s="116">
        <v>699.05</v>
      </c>
      <c r="R1369">
        <v>1473424</v>
      </c>
    </row>
    <row r="1370" spans="1:18" x14ac:dyDescent="0.25">
      <c r="A1370" s="170">
        <v>46119</v>
      </c>
      <c r="B1370" s="116">
        <v>674.7</v>
      </c>
      <c r="C1370" s="116">
        <v>672.5</v>
      </c>
      <c r="D1370" s="116">
        <v>655.5</v>
      </c>
      <c r="E1370" s="116">
        <v>667.45</v>
      </c>
      <c r="F1370" s="116">
        <v>672.5</v>
      </c>
      <c r="G1370">
        <v>28167</v>
      </c>
      <c r="H1370" s="116"/>
      <c r="I1370" s="116"/>
      <c r="L1370" s="170">
        <v>46122</v>
      </c>
      <c r="M1370" s="116">
        <v>715.8</v>
      </c>
      <c r="N1370" s="116">
        <v>719.75</v>
      </c>
      <c r="O1370" s="116">
        <v>704.6</v>
      </c>
      <c r="P1370" s="116">
        <v>708</v>
      </c>
      <c r="Q1370" s="116">
        <v>715.8</v>
      </c>
      <c r="R1370">
        <v>778688</v>
      </c>
    </row>
    <row r="1371" spans="1:18" x14ac:dyDescent="0.25">
      <c r="A1371" s="170">
        <v>46120</v>
      </c>
      <c r="B1371" s="116">
        <v>708.15</v>
      </c>
      <c r="C1371" s="116">
        <v>705.15</v>
      </c>
      <c r="D1371" s="116">
        <v>689</v>
      </c>
      <c r="E1371" s="116">
        <v>699.95</v>
      </c>
      <c r="F1371" s="116">
        <v>705.15</v>
      </c>
      <c r="G1371">
        <v>65070</v>
      </c>
      <c r="H1371" s="116"/>
      <c r="I1371" s="116"/>
      <c r="L1371" s="170">
        <v>46125</v>
      </c>
      <c r="M1371" s="116">
        <v>705.3</v>
      </c>
      <c r="N1371" s="116">
        <v>711.95</v>
      </c>
      <c r="O1371" s="116">
        <v>691.65</v>
      </c>
      <c r="P1371" s="116">
        <v>700.05</v>
      </c>
      <c r="Q1371" s="116">
        <v>705.3</v>
      </c>
      <c r="R1371">
        <v>890516</v>
      </c>
    </row>
    <row r="1372" spans="1:18" x14ac:dyDescent="0.25">
      <c r="A1372" s="170">
        <v>46121</v>
      </c>
      <c r="B1372" s="116">
        <v>720.15</v>
      </c>
      <c r="C1372" s="116">
        <v>699.05</v>
      </c>
      <c r="D1372" s="116">
        <v>695</v>
      </c>
      <c r="E1372" s="116">
        <v>707.1</v>
      </c>
      <c r="F1372" s="116">
        <v>699.05</v>
      </c>
      <c r="G1372">
        <v>97500</v>
      </c>
      <c r="H1372" s="116"/>
      <c r="I1372" s="116"/>
      <c r="L1372" s="170">
        <v>46127</v>
      </c>
      <c r="M1372" s="116">
        <v>728.05</v>
      </c>
      <c r="N1372" s="116">
        <v>729.5</v>
      </c>
      <c r="O1372" s="116">
        <v>712.3</v>
      </c>
      <c r="P1372" s="116">
        <v>717.15</v>
      </c>
      <c r="Q1372" s="116">
        <v>728.05</v>
      </c>
      <c r="R1372">
        <v>1918073</v>
      </c>
    </row>
    <row r="1373" spans="1:18" x14ac:dyDescent="0.25">
      <c r="A1373" s="170">
        <v>46122</v>
      </c>
      <c r="B1373" s="116">
        <v>719.2</v>
      </c>
      <c r="C1373" s="116">
        <v>715.9</v>
      </c>
      <c r="D1373" s="116">
        <v>704.65</v>
      </c>
      <c r="E1373" s="116">
        <v>709.95</v>
      </c>
      <c r="F1373" s="116">
        <v>715.9</v>
      </c>
      <c r="G1373">
        <v>80975</v>
      </c>
      <c r="H1373" s="116"/>
      <c r="I1373" s="116"/>
      <c r="L1373" s="170">
        <v>46128</v>
      </c>
      <c r="M1373" s="116">
        <v>738.4</v>
      </c>
      <c r="N1373" s="116">
        <v>741.7</v>
      </c>
      <c r="O1373" s="116">
        <v>726.6</v>
      </c>
      <c r="P1373" s="116">
        <v>735</v>
      </c>
      <c r="Q1373" s="116">
        <v>738.4</v>
      </c>
      <c r="R1373">
        <v>1395926</v>
      </c>
    </row>
    <row r="1374" spans="1:18" x14ac:dyDescent="0.25">
      <c r="A1374" s="170">
        <v>46125</v>
      </c>
      <c r="B1374" s="116">
        <v>711.15</v>
      </c>
      <c r="C1374" s="116">
        <v>704.65</v>
      </c>
      <c r="D1374" s="116">
        <v>691.75</v>
      </c>
      <c r="E1374" s="116">
        <v>696.1</v>
      </c>
      <c r="F1374" s="116">
        <v>704.65</v>
      </c>
      <c r="G1374">
        <v>96843</v>
      </c>
      <c r="H1374" s="116"/>
      <c r="I1374" s="116"/>
      <c r="L1374" s="170">
        <v>46129</v>
      </c>
      <c r="M1374" s="116">
        <v>750.15</v>
      </c>
      <c r="N1374" s="116">
        <v>758</v>
      </c>
      <c r="O1374" s="116">
        <v>731.05</v>
      </c>
      <c r="P1374" s="116">
        <v>741</v>
      </c>
      <c r="Q1374" s="116">
        <v>750.15</v>
      </c>
      <c r="R1374">
        <v>2273576</v>
      </c>
    </row>
    <row r="1375" spans="1:18" x14ac:dyDescent="0.25">
      <c r="A1375" s="170">
        <v>46127</v>
      </c>
      <c r="B1375" s="116">
        <v>729.95</v>
      </c>
      <c r="C1375" s="116">
        <v>728.3</v>
      </c>
      <c r="D1375" s="116">
        <v>712.45</v>
      </c>
      <c r="E1375" s="116">
        <v>716.1</v>
      </c>
      <c r="F1375" s="116">
        <v>728.3</v>
      </c>
      <c r="G1375">
        <v>73801</v>
      </c>
      <c r="H1375" s="116"/>
      <c r="I1375" s="116"/>
      <c r="L1375" s="170">
        <v>46132</v>
      </c>
      <c r="M1375" s="116">
        <v>749.25</v>
      </c>
      <c r="N1375" s="116">
        <v>752</v>
      </c>
      <c r="O1375" s="116">
        <v>735.25</v>
      </c>
      <c r="P1375" s="116">
        <v>751</v>
      </c>
      <c r="Q1375" s="116">
        <v>749.25</v>
      </c>
      <c r="R1375">
        <v>1023700</v>
      </c>
    </row>
    <row r="1376" spans="1:18" x14ac:dyDescent="0.25">
      <c r="A1376" s="170">
        <v>46128</v>
      </c>
      <c r="B1376" s="116">
        <v>741.7</v>
      </c>
      <c r="C1376" s="116">
        <v>738.1</v>
      </c>
      <c r="D1376" s="116">
        <v>726.45</v>
      </c>
      <c r="E1376" s="116">
        <v>730.6</v>
      </c>
      <c r="F1376" s="116">
        <v>738.1</v>
      </c>
      <c r="G1376">
        <v>134650</v>
      </c>
      <c r="H1376" s="116"/>
      <c r="I1376" s="116"/>
      <c r="L1376" s="170">
        <v>46133</v>
      </c>
      <c r="M1376" s="116">
        <v>748.65</v>
      </c>
      <c r="N1376" s="116">
        <v>759.9</v>
      </c>
      <c r="O1376" s="116">
        <v>745.85</v>
      </c>
      <c r="P1376" s="116">
        <v>749.25</v>
      </c>
      <c r="Q1376" s="116">
        <v>748.65</v>
      </c>
      <c r="R1376">
        <v>1164463</v>
      </c>
    </row>
    <row r="1377" spans="1:18" x14ac:dyDescent="0.25">
      <c r="A1377" s="170">
        <v>46129</v>
      </c>
      <c r="B1377" s="116">
        <v>757.7</v>
      </c>
      <c r="C1377" s="116">
        <v>749.9</v>
      </c>
      <c r="D1377" s="116">
        <v>730.95</v>
      </c>
      <c r="E1377" s="116">
        <v>741.75</v>
      </c>
      <c r="F1377" s="116">
        <v>749.9</v>
      </c>
      <c r="G1377">
        <v>97529</v>
      </c>
      <c r="H1377" s="116"/>
      <c r="I1377" s="116"/>
      <c r="L1377" s="170">
        <v>46134</v>
      </c>
      <c r="M1377" s="116">
        <v>755.6</v>
      </c>
      <c r="N1377" s="116">
        <v>758.2</v>
      </c>
      <c r="O1377" s="116">
        <v>742.95</v>
      </c>
      <c r="P1377" s="116">
        <v>744.95</v>
      </c>
      <c r="Q1377" s="116">
        <v>755.6</v>
      </c>
      <c r="R1377">
        <v>833621</v>
      </c>
    </row>
    <row r="1378" spans="1:18" x14ac:dyDescent="0.25">
      <c r="A1378" s="170">
        <v>46132</v>
      </c>
      <c r="B1378" s="116">
        <v>754.8</v>
      </c>
      <c r="C1378" s="116">
        <v>749.2</v>
      </c>
      <c r="D1378" s="116">
        <v>735.9</v>
      </c>
      <c r="E1378" s="116">
        <v>754.8</v>
      </c>
      <c r="F1378" s="116">
        <v>749.2</v>
      </c>
      <c r="G1378">
        <v>79269</v>
      </c>
      <c r="H1378" s="116"/>
      <c r="I1378" s="116"/>
      <c r="L1378" s="170">
        <v>46135</v>
      </c>
      <c r="M1378" s="116">
        <v>770.4</v>
      </c>
      <c r="N1378" s="116">
        <v>778.05</v>
      </c>
      <c r="O1378" s="116">
        <v>745.8</v>
      </c>
      <c r="P1378" s="116">
        <v>750</v>
      </c>
      <c r="Q1378" s="116">
        <v>770.4</v>
      </c>
      <c r="R1378">
        <v>2996865</v>
      </c>
    </row>
    <row r="1379" spans="1:18" x14ac:dyDescent="0.25">
      <c r="A1379" s="170">
        <v>46133</v>
      </c>
      <c r="B1379" s="116">
        <v>759.9</v>
      </c>
      <c r="C1379" s="116">
        <v>748.6</v>
      </c>
      <c r="D1379" s="116">
        <v>743.95</v>
      </c>
      <c r="E1379" s="116">
        <v>754.95</v>
      </c>
      <c r="F1379" s="116">
        <v>748.6</v>
      </c>
      <c r="G1379">
        <v>42402</v>
      </c>
      <c r="H1379" s="116"/>
      <c r="I1379" s="116"/>
      <c r="L1379" s="170">
        <v>46136</v>
      </c>
      <c r="M1379" s="116">
        <v>760.8</v>
      </c>
      <c r="N1379" s="116">
        <v>775.85</v>
      </c>
      <c r="O1379" s="116">
        <v>755</v>
      </c>
      <c r="P1379" s="116">
        <v>773</v>
      </c>
      <c r="Q1379" s="116">
        <v>760.8</v>
      </c>
      <c r="R1379">
        <v>1458679</v>
      </c>
    </row>
    <row r="1380" spans="1:18" x14ac:dyDescent="0.25">
      <c r="A1380" s="170">
        <v>46134</v>
      </c>
      <c r="B1380" s="116">
        <v>758</v>
      </c>
      <c r="C1380" s="116">
        <v>755.8</v>
      </c>
      <c r="D1380" s="116">
        <v>743.6</v>
      </c>
      <c r="E1380" s="116">
        <v>748.1</v>
      </c>
      <c r="F1380" s="116">
        <v>755.8</v>
      </c>
      <c r="G1380">
        <v>177562</v>
      </c>
      <c r="H1380" s="116"/>
      <c r="I1380" s="116"/>
      <c r="L1380" s="170">
        <v>46139</v>
      </c>
      <c r="M1380" s="116">
        <v>759.85</v>
      </c>
      <c r="N1380" s="116">
        <v>774.7</v>
      </c>
      <c r="O1380" s="116">
        <v>757.4</v>
      </c>
      <c r="P1380" s="116">
        <v>762.95</v>
      </c>
      <c r="Q1380" s="116">
        <v>759.85</v>
      </c>
      <c r="R1380">
        <v>1158441</v>
      </c>
    </row>
    <row r="1381" spans="1:18" x14ac:dyDescent="0.25">
      <c r="A1381" s="170">
        <v>46135</v>
      </c>
      <c r="B1381" s="116">
        <v>777.6</v>
      </c>
      <c r="C1381" s="116">
        <v>770.6</v>
      </c>
      <c r="D1381" s="116">
        <v>747</v>
      </c>
      <c r="E1381" s="116">
        <v>748.55</v>
      </c>
      <c r="F1381" s="116">
        <v>770.6</v>
      </c>
      <c r="G1381">
        <v>237272</v>
      </c>
      <c r="H1381" s="116"/>
      <c r="I1381" s="116"/>
      <c r="L1381" s="170">
        <v>46140</v>
      </c>
      <c r="M1381" s="116">
        <v>760.45</v>
      </c>
      <c r="N1381" s="116">
        <v>769</v>
      </c>
      <c r="O1381" s="116">
        <v>750.75</v>
      </c>
      <c r="P1381" s="116">
        <v>760</v>
      </c>
      <c r="Q1381" s="116">
        <v>760.45</v>
      </c>
      <c r="R1381">
        <v>1507102</v>
      </c>
    </row>
    <row r="1382" spans="1:18" x14ac:dyDescent="0.25">
      <c r="A1382" s="170">
        <v>46136</v>
      </c>
      <c r="B1382" s="116">
        <v>773.25</v>
      </c>
      <c r="C1382" s="116">
        <v>760.2</v>
      </c>
      <c r="D1382" s="116">
        <v>755</v>
      </c>
      <c r="E1382" s="116">
        <v>771.8</v>
      </c>
      <c r="F1382" s="116">
        <v>760.2</v>
      </c>
      <c r="G1382">
        <v>116813</v>
      </c>
      <c r="H1382" s="116"/>
      <c r="I1382" s="116"/>
      <c r="L1382" s="170">
        <v>46141</v>
      </c>
      <c r="M1382" s="116">
        <v>760.6</v>
      </c>
      <c r="N1382" s="116">
        <v>771.95</v>
      </c>
      <c r="O1382" s="116">
        <v>758</v>
      </c>
      <c r="P1382" s="116">
        <v>765</v>
      </c>
      <c r="Q1382" s="116">
        <v>760.6</v>
      </c>
      <c r="R1382">
        <v>780465</v>
      </c>
    </row>
    <row r="1383" spans="1:18" x14ac:dyDescent="0.25">
      <c r="A1383" s="170">
        <v>46139</v>
      </c>
      <c r="B1383" s="116">
        <v>775</v>
      </c>
      <c r="C1383" s="116">
        <v>760.4</v>
      </c>
      <c r="D1383" s="116">
        <v>758</v>
      </c>
      <c r="E1383" s="116">
        <v>761.25</v>
      </c>
      <c r="F1383" s="116">
        <v>760.4</v>
      </c>
      <c r="G1383">
        <v>1101641</v>
      </c>
      <c r="H1383" s="116"/>
      <c r="I1383" s="116"/>
      <c r="L1383" s="170">
        <v>46142</v>
      </c>
      <c r="M1383" s="116">
        <v>738.6</v>
      </c>
      <c r="N1383" s="116">
        <v>761.75</v>
      </c>
      <c r="O1383" s="116">
        <v>725</v>
      </c>
      <c r="P1383" s="116">
        <v>756</v>
      </c>
      <c r="Q1383" s="116">
        <v>738.6</v>
      </c>
      <c r="R1383">
        <v>2717763</v>
      </c>
    </row>
    <row r="1384" spans="1:18" x14ac:dyDescent="0.25">
      <c r="A1384" s="170">
        <v>46140</v>
      </c>
      <c r="B1384" s="116">
        <v>768</v>
      </c>
      <c r="C1384" s="116">
        <v>760.9</v>
      </c>
      <c r="D1384" s="116">
        <v>750.7</v>
      </c>
      <c r="E1384" s="116">
        <v>759.1</v>
      </c>
      <c r="F1384" s="116">
        <v>760.9</v>
      </c>
      <c r="G1384">
        <v>85733</v>
      </c>
      <c r="H1384" s="116"/>
      <c r="I1384" s="116"/>
      <c r="L1384" s="170">
        <v>46146</v>
      </c>
      <c r="M1384" s="116">
        <v>730.85</v>
      </c>
      <c r="N1384" s="116">
        <v>750.6</v>
      </c>
      <c r="O1384" s="116">
        <v>715.5</v>
      </c>
      <c r="P1384" s="116">
        <v>750</v>
      </c>
      <c r="Q1384" s="116">
        <v>730.85</v>
      </c>
      <c r="R1384">
        <v>1152415</v>
      </c>
    </row>
    <row r="1385" spans="1:18" x14ac:dyDescent="0.25">
      <c r="A1385" s="170">
        <v>46141</v>
      </c>
      <c r="B1385" s="116">
        <v>771.95</v>
      </c>
      <c r="C1385" s="116">
        <v>760.8</v>
      </c>
      <c r="D1385" s="116">
        <v>759.15</v>
      </c>
      <c r="E1385" s="116">
        <v>762.1</v>
      </c>
      <c r="F1385" s="116">
        <v>760.8</v>
      </c>
      <c r="G1385">
        <v>58483</v>
      </c>
      <c r="H1385" s="116"/>
      <c r="I1385" s="116"/>
      <c r="L1385" s="170">
        <v>46147</v>
      </c>
      <c r="M1385" s="116">
        <v>797.4</v>
      </c>
      <c r="N1385" s="116">
        <v>801</v>
      </c>
      <c r="O1385" s="116">
        <v>738</v>
      </c>
      <c r="P1385" s="116">
        <v>738</v>
      </c>
      <c r="Q1385" s="116">
        <v>797.4</v>
      </c>
      <c r="R1385">
        <v>15618973</v>
      </c>
    </row>
    <row r="1386" spans="1:18" x14ac:dyDescent="0.25">
      <c r="A1386" s="170">
        <v>46142</v>
      </c>
      <c r="B1386" s="116">
        <v>761</v>
      </c>
      <c r="C1386" s="116">
        <v>738.4</v>
      </c>
      <c r="D1386" s="116">
        <v>725.05</v>
      </c>
      <c r="E1386" s="116">
        <v>756</v>
      </c>
      <c r="F1386" s="116">
        <v>738.4</v>
      </c>
      <c r="G1386">
        <v>133234</v>
      </c>
      <c r="H1386" s="116"/>
      <c r="I1386" s="116"/>
      <c r="L1386" s="170">
        <v>46148</v>
      </c>
      <c r="M1386" s="116">
        <v>815.85</v>
      </c>
      <c r="N1386" s="116">
        <v>821.5</v>
      </c>
      <c r="O1386" s="116">
        <v>792.45</v>
      </c>
      <c r="P1386" s="116">
        <v>808.15</v>
      </c>
      <c r="Q1386" s="116">
        <v>815.85</v>
      </c>
      <c r="R1386">
        <v>3759370</v>
      </c>
    </row>
    <row r="1387" spans="1:18" x14ac:dyDescent="0.25">
      <c r="A1387" s="170">
        <v>46146</v>
      </c>
      <c r="B1387" s="116">
        <v>753.2</v>
      </c>
      <c r="C1387" s="116">
        <v>731.2</v>
      </c>
      <c r="D1387" s="116">
        <v>715.8</v>
      </c>
      <c r="E1387" s="116">
        <v>753.2</v>
      </c>
      <c r="F1387" s="116">
        <v>731.2</v>
      </c>
      <c r="G1387">
        <v>56212</v>
      </c>
      <c r="H1387" s="116"/>
      <c r="I1387" s="116"/>
      <c r="L1387" s="170">
        <v>46149</v>
      </c>
      <c r="M1387" s="116">
        <v>835.9</v>
      </c>
      <c r="N1387" s="116">
        <v>838</v>
      </c>
      <c r="O1387" s="116">
        <v>813.05</v>
      </c>
      <c r="P1387" s="116">
        <v>817.95</v>
      </c>
      <c r="Q1387" s="116">
        <v>835.9</v>
      </c>
      <c r="R1387">
        <v>2148085</v>
      </c>
    </row>
    <row r="1388" spans="1:18" x14ac:dyDescent="0.25">
      <c r="A1388" s="170">
        <v>46147</v>
      </c>
      <c r="B1388" s="116">
        <v>799.95</v>
      </c>
      <c r="C1388" s="116">
        <v>797.35</v>
      </c>
      <c r="D1388" s="116">
        <v>732.6</v>
      </c>
      <c r="E1388" s="116">
        <v>732.6</v>
      </c>
      <c r="F1388" s="116">
        <v>797.35</v>
      </c>
      <c r="G1388">
        <v>1371440</v>
      </c>
      <c r="H1388" s="116"/>
      <c r="I1388" s="116"/>
      <c r="L1388" s="170">
        <v>46150</v>
      </c>
      <c r="M1388" s="116">
        <v>836.3</v>
      </c>
      <c r="N1388" s="116">
        <v>844.9</v>
      </c>
      <c r="O1388" s="116">
        <v>830.45</v>
      </c>
      <c r="P1388" s="116">
        <v>835.9</v>
      </c>
      <c r="Q1388" s="116">
        <v>836.3</v>
      </c>
      <c r="R1388">
        <v>1801484</v>
      </c>
    </row>
    <row r="1389" spans="1:18" x14ac:dyDescent="0.25">
      <c r="A1389" s="170">
        <v>46148</v>
      </c>
      <c r="B1389" s="116">
        <v>821.9</v>
      </c>
      <c r="C1389" s="116">
        <v>816.3</v>
      </c>
      <c r="D1389" s="116">
        <v>792.35</v>
      </c>
      <c r="E1389" s="116">
        <v>810.75</v>
      </c>
      <c r="F1389" s="116">
        <v>816.3</v>
      </c>
      <c r="G1389">
        <v>157382</v>
      </c>
      <c r="H1389" s="116"/>
      <c r="I1389" s="116"/>
      <c r="L1389" s="170">
        <v>46153</v>
      </c>
      <c r="M1389" s="116">
        <v>815.7</v>
      </c>
      <c r="N1389" s="116">
        <v>833.4</v>
      </c>
      <c r="O1389" s="116">
        <v>812.95</v>
      </c>
      <c r="P1389" s="116">
        <v>820.5</v>
      </c>
      <c r="Q1389" s="116">
        <v>815.7</v>
      </c>
      <c r="R1389">
        <v>1608063</v>
      </c>
    </row>
    <row r="1390" spans="1:18" x14ac:dyDescent="0.25">
      <c r="A1390" s="170">
        <v>46149</v>
      </c>
      <c r="B1390" s="116">
        <v>837.8</v>
      </c>
      <c r="C1390" s="116">
        <v>835.5</v>
      </c>
      <c r="D1390" s="116">
        <v>812.85</v>
      </c>
      <c r="E1390" s="116">
        <v>816</v>
      </c>
      <c r="F1390" s="116">
        <v>835.5</v>
      </c>
      <c r="G1390">
        <v>267105</v>
      </c>
      <c r="H1390" s="116"/>
      <c r="I1390" s="116"/>
      <c r="L1390" s="170">
        <v>46154</v>
      </c>
      <c r="M1390" s="116">
        <v>784.65</v>
      </c>
      <c r="N1390" s="116">
        <v>818.45</v>
      </c>
      <c r="O1390" s="116">
        <v>781.9</v>
      </c>
      <c r="P1390" s="116">
        <v>809</v>
      </c>
      <c r="Q1390" s="116">
        <v>784.65</v>
      </c>
      <c r="R1390">
        <v>1712105</v>
      </c>
    </row>
    <row r="1391" spans="1:18" x14ac:dyDescent="0.25">
      <c r="A1391" s="170">
        <v>46150</v>
      </c>
      <c r="B1391" s="116">
        <v>844.8</v>
      </c>
      <c r="C1391" s="116">
        <v>836.1</v>
      </c>
      <c r="D1391" s="116">
        <v>830.2</v>
      </c>
      <c r="E1391" s="116">
        <v>838.05</v>
      </c>
      <c r="F1391" s="116">
        <v>836.1</v>
      </c>
      <c r="G1391">
        <v>285791</v>
      </c>
      <c r="H1391" s="116"/>
      <c r="I1391" s="116"/>
      <c r="L1391" s="170">
        <v>46155</v>
      </c>
      <c r="M1391" s="116">
        <v>784.95</v>
      </c>
      <c r="N1391" s="116">
        <v>797</v>
      </c>
      <c r="O1391" s="116">
        <v>776.8</v>
      </c>
      <c r="P1391" s="116">
        <v>780</v>
      </c>
      <c r="Q1391" s="116">
        <v>784.95</v>
      </c>
      <c r="R1391">
        <v>1167967</v>
      </c>
    </row>
    <row r="1392" spans="1:18" x14ac:dyDescent="0.25">
      <c r="A1392" s="170">
        <v>46153</v>
      </c>
      <c r="B1392" s="116">
        <v>833.05</v>
      </c>
      <c r="C1392" s="116">
        <v>815.5</v>
      </c>
      <c r="D1392" s="116">
        <v>812.55</v>
      </c>
      <c r="E1392" s="116">
        <v>822.3</v>
      </c>
      <c r="F1392" s="116">
        <v>815.5</v>
      </c>
      <c r="G1392">
        <v>98956</v>
      </c>
      <c r="H1392" s="116"/>
      <c r="I1392" s="116"/>
      <c r="L1392" s="170">
        <v>46156</v>
      </c>
      <c r="M1392" s="116">
        <v>785.85</v>
      </c>
      <c r="N1392" s="116">
        <v>797.25</v>
      </c>
      <c r="O1392" s="116">
        <v>777.7</v>
      </c>
      <c r="P1392" s="116">
        <v>785.1</v>
      </c>
      <c r="Q1392" s="116">
        <v>785.85</v>
      </c>
      <c r="R1392">
        <v>1051728</v>
      </c>
    </row>
    <row r="1393" spans="1:18" x14ac:dyDescent="0.25">
      <c r="A1393" s="170">
        <v>46154</v>
      </c>
      <c r="B1393" s="116">
        <v>818.6</v>
      </c>
      <c r="C1393" s="116">
        <v>783.75</v>
      </c>
      <c r="D1393" s="116">
        <v>781.6</v>
      </c>
      <c r="E1393" s="116">
        <v>807.45</v>
      </c>
      <c r="F1393" s="116">
        <v>783.75</v>
      </c>
      <c r="G1393">
        <v>84518</v>
      </c>
      <c r="H1393" s="116"/>
      <c r="I1393" s="116"/>
      <c r="L1393" s="170">
        <v>46157</v>
      </c>
      <c r="M1393" s="116">
        <v>784</v>
      </c>
      <c r="N1393" s="116">
        <v>800</v>
      </c>
      <c r="O1393" s="116">
        <v>782</v>
      </c>
      <c r="P1393" s="116">
        <v>787</v>
      </c>
      <c r="Q1393" s="116">
        <v>784</v>
      </c>
      <c r="R1393">
        <v>1120488</v>
      </c>
    </row>
    <row r="1394" spans="1:18" x14ac:dyDescent="0.25">
      <c r="A1394" s="170">
        <v>46155</v>
      </c>
      <c r="B1394" s="116">
        <v>796.95</v>
      </c>
      <c r="C1394" s="116">
        <v>784.65</v>
      </c>
      <c r="D1394" s="116">
        <v>775.15</v>
      </c>
      <c r="E1394" s="116">
        <v>775.15</v>
      </c>
      <c r="F1394" s="116">
        <v>784.65</v>
      </c>
      <c r="G1394">
        <v>60535</v>
      </c>
      <c r="H1394" s="116"/>
      <c r="I1394" s="116"/>
      <c r="L1394" s="170">
        <v>46160</v>
      </c>
      <c r="M1394" s="116">
        <v>772.75</v>
      </c>
      <c r="N1394" s="116">
        <v>778.4</v>
      </c>
      <c r="O1394" s="116">
        <v>760.35</v>
      </c>
      <c r="P1394" s="116">
        <v>777</v>
      </c>
      <c r="Q1394" s="116">
        <v>772.75</v>
      </c>
      <c r="R1394">
        <v>827599</v>
      </c>
    </row>
    <row r="1395" spans="1:18" x14ac:dyDescent="0.25">
      <c r="A1395" s="170">
        <v>46156</v>
      </c>
      <c r="B1395" s="116">
        <v>797.1</v>
      </c>
      <c r="C1395" s="116">
        <v>785.15</v>
      </c>
      <c r="D1395" s="116">
        <v>778.5</v>
      </c>
      <c r="E1395" s="116">
        <v>786</v>
      </c>
      <c r="F1395" s="116">
        <v>785.15</v>
      </c>
      <c r="G1395">
        <v>261395</v>
      </c>
      <c r="H1395" s="116"/>
      <c r="I1395" s="116"/>
      <c r="L1395" s="170">
        <v>46161</v>
      </c>
      <c r="M1395" s="116">
        <v>779.35</v>
      </c>
      <c r="N1395" s="116">
        <v>786.7</v>
      </c>
      <c r="O1395" s="116">
        <v>770.15</v>
      </c>
      <c r="P1395" s="116">
        <v>771.95</v>
      </c>
      <c r="Q1395" s="116">
        <v>779.35</v>
      </c>
      <c r="R1395">
        <v>1002227</v>
      </c>
    </row>
    <row r="1396" spans="1:18" x14ac:dyDescent="0.25">
      <c r="A1396" s="170">
        <v>46157</v>
      </c>
      <c r="B1396" s="116">
        <v>799.75</v>
      </c>
      <c r="C1396" s="116">
        <v>783.7</v>
      </c>
      <c r="D1396" s="116">
        <v>780.05</v>
      </c>
      <c r="E1396" s="116">
        <v>780.05</v>
      </c>
      <c r="F1396" s="116">
        <v>783.7</v>
      </c>
      <c r="G1396">
        <v>43865</v>
      </c>
      <c r="H1396" s="116"/>
      <c r="I1396" s="116"/>
      <c r="L1396" s="170">
        <v>46162</v>
      </c>
      <c r="M1396" s="116">
        <v>780.4</v>
      </c>
      <c r="N1396" s="116">
        <v>784.95</v>
      </c>
      <c r="O1396" s="116">
        <v>762.4</v>
      </c>
      <c r="P1396" s="116">
        <v>771.4</v>
      </c>
      <c r="Q1396" s="116">
        <v>780.4</v>
      </c>
      <c r="R1396">
        <v>943447</v>
      </c>
    </row>
    <row r="1397" spans="1:18" x14ac:dyDescent="0.25">
      <c r="A1397" s="170">
        <v>46160</v>
      </c>
      <c r="B1397" s="116">
        <v>778.4</v>
      </c>
      <c r="C1397" s="116">
        <v>771.95</v>
      </c>
      <c r="D1397" s="116">
        <v>760.6</v>
      </c>
      <c r="E1397" s="116">
        <v>775</v>
      </c>
      <c r="F1397" s="116">
        <v>771.95</v>
      </c>
      <c r="G1397">
        <v>49498</v>
      </c>
      <c r="H1397" s="116"/>
      <c r="I1397" s="116"/>
      <c r="L1397" s="170">
        <v>46163</v>
      </c>
      <c r="M1397" s="116">
        <v>769.1</v>
      </c>
      <c r="N1397" s="116">
        <v>792.5</v>
      </c>
      <c r="O1397" s="116">
        <v>765.35</v>
      </c>
      <c r="P1397" s="116">
        <v>785</v>
      </c>
      <c r="Q1397" s="116">
        <v>769.1</v>
      </c>
      <c r="R1397">
        <v>1090490</v>
      </c>
    </row>
    <row r="1398" spans="1:18" x14ac:dyDescent="0.25">
      <c r="A1398" s="170">
        <v>46161</v>
      </c>
      <c r="B1398" s="116">
        <v>785</v>
      </c>
      <c r="C1398" s="116">
        <v>779.3</v>
      </c>
      <c r="D1398" s="116">
        <v>770.25</v>
      </c>
      <c r="E1398" s="116">
        <v>781.05</v>
      </c>
      <c r="F1398" s="116">
        <v>779.3</v>
      </c>
      <c r="G1398">
        <v>22069</v>
      </c>
      <c r="H1398" s="116"/>
      <c r="I1398" s="116"/>
      <c r="L1398" s="170">
        <v>46164</v>
      </c>
      <c r="M1398" s="116">
        <v>757.2</v>
      </c>
      <c r="N1398" s="116">
        <v>771.1</v>
      </c>
      <c r="O1398" s="116">
        <v>755.1</v>
      </c>
      <c r="P1398" s="116">
        <v>769.1</v>
      </c>
      <c r="Q1398" s="116">
        <v>757.2</v>
      </c>
      <c r="R1398">
        <v>1906544</v>
      </c>
    </row>
    <row r="1399" spans="1:18" x14ac:dyDescent="0.25">
      <c r="A1399" s="170">
        <v>46162</v>
      </c>
      <c r="B1399" s="116">
        <v>784.4</v>
      </c>
      <c r="C1399" s="116">
        <v>780.8</v>
      </c>
      <c r="D1399" s="116">
        <v>762.5</v>
      </c>
      <c r="E1399" s="116">
        <v>773.85</v>
      </c>
      <c r="F1399" s="116">
        <v>780.8</v>
      </c>
      <c r="G1399">
        <v>38456</v>
      </c>
      <c r="H1399" s="116"/>
      <c r="I1399" s="116"/>
      <c r="L1399" s="170">
        <v>46167</v>
      </c>
      <c r="M1399" s="116">
        <v>769.65</v>
      </c>
      <c r="N1399" s="116">
        <v>781.95</v>
      </c>
      <c r="O1399" s="116">
        <v>765.15</v>
      </c>
      <c r="P1399" s="116">
        <v>765.15</v>
      </c>
      <c r="Q1399" s="116">
        <v>769.65</v>
      </c>
      <c r="R1399">
        <v>1904876</v>
      </c>
    </row>
    <row r="1400" spans="1:18" x14ac:dyDescent="0.25">
      <c r="A1400" s="170">
        <v>46163</v>
      </c>
      <c r="B1400" s="116">
        <v>793.05</v>
      </c>
      <c r="C1400" s="116">
        <v>769.25</v>
      </c>
      <c r="D1400" s="116">
        <v>765.05</v>
      </c>
      <c r="E1400" s="116">
        <v>782.3</v>
      </c>
      <c r="F1400" s="116">
        <v>769.25</v>
      </c>
      <c r="G1400">
        <v>62929</v>
      </c>
      <c r="H1400" s="116"/>
      <c r="I1400" s="116"/>
      <c r="L1400" s="170">
        <v>46168</v>
      </c>
      <c r="M1400" s="116">
        <v>773.15</v>
      </c>
      <c r="N1400" s="116">
        <v>780</v>
      </c>
      <c r="O1400" s="116">
        <v>760</v>
      </c>
      <c r="P1400" s="116">
        <v>769.65</v>
      </c>
      <c r="Q1400" s="116">
        <v>773.15</v>
      </c>
      <c r="R1400">
        <v>995179</v>
      </c>
    </row>
    <row r="1401" spans="1:18" x14ac:dyDescent="0.25">
      <c r="A1401" s="170">
        <v>46164</v>
      </c>
      <c r="B1401" s="116">
        <v>769.85</v>
      </c>
      <c r="C1401" s="116">
        <v>757.1</v>
      </c>
      <c r="D1401" s="116">
        <v>755</v>
      </c>
      <c r="E1401" s="116">
        <v>767.7</v>
      </c>
      <c r="F1401" s="116">
        <v>757.1</v>
      </c>
      <c r="G1401">
        <v>65771</v>
      </c>
      <c r="H1401" s="116"/>
      <c r="I1401" s="116"/>
      <c r="L1401" s="170">
        <v>46169</v>
      </c>
      <c r="M1401" s="116">
        <v>787</v>
      </c>
      <c r="N1401" s="116">
        <v>797.8</v>
      </c>
      <c r="O1401" s="116">
        <v>773</v>
      </c>
      <c r="P1401" s="116">
        <v>773</v>
      </c>
      <c r="Q1401" s="116">
        <v>787</v>
      </c>
      <c r="R1401">
        <v>1557316</v>
      </c>
    </row>
    <row r="1402" spans="1:18" x14ac:dyDescent="0.25">
      <c r="A1402" s="170">
        <v>46167</v>
      </c>
      <c r="B1402" s="116">
        <v>781.6</v>
      </c>
      <c r="C1402" s="116">
        <v>769.65</v>
      </c>
      <c r="D1402" s="116">
        <v>765.85</v>
      </c>
      <c r="E1402" s="116">
        <v>769.2</v>
      </c>
      <c r="F1402" s="116">
        <v>769.65</v>
      </c>
      <c r="G1402">
        <v>49856</v>
      </c>
      <c r="H1402" s="116"/>
      <c r="I1402" s="116"/>
      <c r="L1402" s="170">
        <v>46171</v>
      </c>
      <c r="M1402" s="116">
        <v>791.5</v>
      </c>
      <c r="N1402" s="116">
        <v>807.45</v>
      </c>
      <c r="O1402" s="116">
        <v>780.1</v>
      </c>
      <c r="P1402" s="116">
        <v>787.95</v>
      </c>
      <c r="Q1402" s="116">
        <v>791.5</v>
      </c>
      <c r="R1402">
        <v>1797386</v>
      </c>
    </row>
    <row r="1403" spans="1:18" x14ac:dyDescent="0.25">
      <c r="A1403" s="170">
        <v>46168</v>
      </c>
      <c r="B1403" s="116">
        <v>777.7</v>
      </c>
      <c r="C1403" s="116">
        <v>772.7</v>
      </c>
      <c r="D1403" s="116">
        <v>760</v>
      </c>
      <c r="E1403" s="116">
        <v>771.9</v>
      </c>
      <c r="F1403" s="116">
        <v>772.7</v>
      </c>
      <c r="G1403">
        <v>51139</v>
      </c>
      <c r="H1403" s="116"/>
      <c r="I1403" s="116"/>
      <c r="L1403" s="170">
        <v>46174</v>
      </c>
      <c r="M1403" s="116">
        <v>769.5</v>
      </c>
      <c r="N1403" s="116">
        <v>793.95</v>
      </c>
      <c r="O1403" s="116">
        <v>765</v>
      </c>
      <c r="P1403" s="116">
        <v>791.5</v>
      </c>
      <c r="Q1403" s="116">
        <v>769.5</v>
      </c>
      <c r="R1403">
        <v>1069571</v>
      </c>
    </row>
    <row r="1404" spans="1:18" x14ac:dyDescent="0.25">
      <c r="A1404" s="170">
        <v>46169</v>
      </c>
      <c r="B1404" s="116">
        <v>797.35</v>
      </c>
      <c r="C1404" s="116">
        <v>787</v>
      </c>
      <c r="D1404" s="116">
        <v>772.75</v>
      </c>
      <c r="E1404" s="116">
        <v>772.75</v>
      </c>
      <c r="F1404" s="116">
        <v>787</v>
      </c>
      <c r="G1404">
        <v>91366</v>
      </c>
      <c r="H1404" s="116"/>
      <c r="I1404" s="116"/>
      <c r="L1404" s="170">
        <v>46175</v>
      </c>
      <c r="M1404" s="116">
        <v>772.65</v>
      </c>
      <c r="N1404" s="116">
        <v>776</v>
      </c>
      <c r="O1404" s="116">
        <v>752.5</v>
      </c>
      <c r="P1404" s="116">
        <v>758.2</v>
      </c>
      <c r="Q1404" s="116">
        <v>772.65</v>
      </c>
      <c r="R1404">
        <v>993468</v>
      </c>
    </row>
    <row r="1405" spans="1:18" x14ac:dyDescent="0.25">
      <c r="A1405" s="170">
        <v>46171</v>
      </c>
      <c r="B1405" s="116">
        <v>807.05</v>
      </c>
      <c r="C1405" s="116">
        <v>791.1</v>
      </c>
      <c r="D1405" s="116">
        <v>780.6</v>
      </c>
      <c r="E1405" s="116">
        <v>787.15</v>
      </c>
      <c r="F1405" s="116">
        <v>791.1</v>
      </c>
      <c r="G1405">
        <v>130058</v>
      </c>
      <c r="H1405" s="116"/>
      <c r="I1405" s="116"/>
      <c r="L1405" s="170">
        <v>46176</v>
      </c>
      <c r="M1405" s="116">
        <v>752.4</v>
      </c>
      <c r="N1405" s="116">
        <v>774.45</v>
      </c>
      <c r="O1405" s="116">
        <v>745</v>
      </c>
      <c r="P1405" s="116">
        <v>769.15</v>
      </c>
      <c r="Q1405" s="116">
        <v>752.4</v>
      </c>
      <c r="R1405">
        <v>1152395</v>
      </c>
    </row>
    <row r="1406" spans="1:18" x14ac:dyDescent="0.25">
      <c r="A1406" s="170">
        <v>46174</v>
      </c>
      <c r="B1406" s="116">
        <v>810.3</v>
      </c>
      <c r="C1406" s="116">
        <v>769.7</v>
      </c>
      <c r="D1406" s="116">
        <v>765.25</v>
      </c>
      <c r="E1406" s="116">
        <v>810.3</v>
      </c>
      <c r="F1406" s="116">
        <v>769.7</v>
      </c>
      <c r="G1406">
        <v>42558</v>
      </c>
      <c r="H1406" s="116"/>
      <c r="I1406" s="116"/>
      <c r="L1406" s="170">
        <v>46177</v>
      </c>
      <c r="M1406" s="116">
        <v>759.15</v>
      </c>
      <c r="N1406" s="116">
        <v>767.9</v>
      </c>
      <c r="O1406" s="116">
        <v>748</v>
      </c>
      <c r="P1406" s="116">
        <v>748.65</v>
      </c>
      <c r="Q1406" s="116">
        <v>759.15</v>
      </c>
      <c r="R1406">
        <v>1038844</v>
      </c>
    </row>
    <row r="1407" spans="1:18" x14ac:dyDescent="0.25">
      <c r="A1407" s="170">
        <v>46175</v>
      </c>
      <c r="B1407" s="116">
        <v>776.9</v>
      </c>
      <c r="C1407" s="116">
        <v>773.45</v>
      </c>
      <c r="D1407" s="116">
        <v>752.1</v>
      </c>
      <c r="E1407" s="116">
        <v>762.45</v>
      </c>
      <c r="F1407" s="116">
        <v>773.45</v>
      </c>
      <c r="G1407">
        <v>74045</v>
      </c>
      <c r="H1407" s="116"/>
      <c r="I1407" s="116"/>
      <c r="L1407" s="170">
        <v>46178</v>
      </c>
      <c r="M1407" s="116">
        <v>761</v>
      </c>
      <c r="N1407" s="116">
        <v>778</v>
      </c>
      <c r="O1407" s="116">
        <v>760</v>
      </c>
      <c r="P1407" s="116">
        <v>760</v>
      </c>
      <c r="Q1407" s="116">
        <v>761</v>
      </c>
      <c r="R1407">
        <v>993994</v>
      </c>
    </row>
    <row r="1408" spans="1:18" x14ac:dyDescent="0.25">
      <c r="A1408" s="170">
        <v>46176</v>
      </c>
      <c r="B1408" s="116">
        <v>774</v>
      </c>
      <c r="C1408" s="116">
        <v>752.25</v>
      </c>
      <c r="D1408" s="116">
        <v>745</v>
      </c>
      <c r="E1408" s="116">
        <v>762.1</v>
      </c>
      <c r="F1408" s="116">
        <v>752.25</v>
      </c>
      <c r="G1408">
        <v>82249</v>
      </c>
      <c r="H1408" s="116"/>
      <c r="I1408" s="116"/>
      <c r="L1408" s="170">
        <v>46181</v>
      </c>
      <c r="M1408" s="116">
        <v>740.15</v>
      </c>
      <c r="N1408" s="116">
        <v>751.95</v>
      </c>
      <c r="O1408" s="116">
        <v>737</v>
      </c>
      <c r="P1408" s="116">
        <v>750.05</v>
      </c>
      <c r="Q1408" s="116">
        <v>740.15</v>
      </c>
      <c r="R1408">
        <v>571017</v>
      </c>
    </row>
    <row r="1409" spans="1:18" x14ac:dyDescent="0.25">
      <c r="A1409" s="170">
        <v>46177</v>
      </c>
      <c r="B1409" s="116">
        <v>768.1</v>
      </c>
      <c r="C1409" s="116">
        <v>758.85</v>
      </c>
      <c r="D1409" s="116">
        <v>746.6</v>
      </c>
      <c r="E1409" s="116">
        <v>746.6</v>
      </c>
      <c r="F1409" s="116">
        <v>758.85</v>
      </c>
      <c r="G1409">
        <v>34145</v>
      </c>
      <c r="H1409" s="116"/>
      <c r="I1409" s="116"/>
      <c r="L1409" s="170">
        <v>46182</v>
      </c>
      <c r="M1409" s="116">
        <v>749.7</v>
      </c>
      <c r="N1409" s="116">
        <v>754.15</v>
      </c>
      <c r="O1409" s="116">
        <v>739.25</v>
      </c>
      <c r="P1409" s="116">
        <v>741.2</v>
      </c>
      <c r="Q1409" s="116">
        <v>749.7</v>
      </c>
      <c r="R1409">
        <v>717276</v>
      </c>
    </row>
    <row r="1410" spans="1:18" x14ac:dyDescent="0.25">
      <c r="A1410" s="170">
        <v>46178</v>
      </c>
      <c r="B1410" s="116">
        <v>777.25</v>
      </c>
      <c r="C1410" s="116">
        <v>761.25</v>
      </c>
      <c r="D1410" s="116">
        <v>760.05</v>
      </c>
      <c r="E1410" s="116">
        <v>762.6</v>
      </c>
      <c r="F1410" s="116">
        <v>761.25</v>
      </c>
      <c r="G1410">
        <v>29715</v>
      </c>
      <c r="H1410" s="116"/>
      <c r="I1410" s="116"/>
      <c r="L1410" s="170">
        <v>46183</v>
      </c>
      <c r="M1410" s="116">
        <v>741.1</v>
      </c>
      <c r="N1410" s="116">
        <v>754.05</v>
      </c>
      <c r="O1410" s="116">
        <v>736.35</v>
      </c>
      <c r="P1410" s="116">
        <v>751.05</v>
      </c>
      <c r="Q1410" s="116">
        <v>741.1</v>
      </c>
      <c r="R1410">
        <v>732480</v>
      </c>
    </row>
    <row r="1411" spans="1:18" x14ac:dyDescent="0.25">
      <c r="A1411" s="170">
        <v>46181</v>
      </c>
      <c r="B1411" s="116">
        <v>751.75</v>
      </c>
      <c r="C1411" s="116">
        <v>740.15</v>
      </c>
      <c r="D1411" s="116">
        <v>736.5</v>
      </c>
      <c r="E1411" s="116">
        <v>747.8</v>
      </c>
      <c r="F1411" s="116">
        <v>740.15</v>
      </c>
      <c r="G1411">
        <v>66134</v>
      </c>
      <c r="H1411" s="116"/>
      <c r="I1411" s="116"/>
      <c r="L1411" s="170">
        <v>46184</v>
      </c>
      <c r="M1411" s="116">
        <v>722.65</v>
      </c>
      <c r="N1411" s="116">
        <v>738.1</v>
      </c>
      <c r="O1411" s="116">
        <v>720</v>
      </c>
      <c r="P1411" s="116">
        <v>727</v>
      </c>
      <c r="Q1411" s="116">
        <v>722.65</v>
      </c>
      <c r="R1411">
        <v>671414</v>
      </c>
    </row>
    <row r="1412" spans="1:18" x14ac:dyDescent="0.25">
      <c r="A1412" s="170">
        <v>46182</v>
      </c>
      <c r="B1412" s="116">
        <v>753.75</v>
      </c>
      <c r="C1412" s="116">
        <v>749.95</v>
      </c>
      <c r="D1412" s="116">
        <v>739.9</v>
      </c>
      <c r="E1412" s="116">
        <v>740.15</v>
      </c>
      <c r="F1412" s="116">
        <v>749.95</v>
      </c>
      <c r="G1412">
        <v>48914</v>
      </c>
      <c r="H1412" s="116"/>
      <c r="I1412" s="116"/>
      <c r="L1412" s="170">
        <v>46185</v>
      </c>
      <c r="M1412" s="116">
        <v>757.55</v>
      </c>
      <c r="N1412" s="116">
        <v>760</v>
      </c>
      <c r="O1412" s="116">
        <v>732.7</v>
      </c>
      <c r="P1412" s="116">
        <v>734</v>
      </c>
      <c r="Q1412" s="116">
        <v>757.55</v>
      </c>
      <c r="R1412">
        <v>910431</v>
      </c>
    </row>
    <row r="1413" spans="1:18" x14ac:dyDescent="0.25">
      <c r="A1413" s="170">
        <v>46183</v>
      </c>
      <c r="B1413" s="116">
        <v>753.4</v>
      </c>
      <c r="C1413" s="116">
        <v>740.05</v>
      </c>
      <c r="D1413" s="116">
        <v>736</v>
      </c>
      <c r="E1413" s="116">
        <v>750.3</v>
      </c>
      <c r="F1413" s="116">
        <v>740.05</v>
      </c>
      <c r="G1413">
        <v>45924</v>
      </c>
      <c r="H1413" s="116"/>
      <c r="I1413" s="116"/>
      <c r="L1413" s="170">
        <v>46188</v>
      </c>
      <c r="M1413" s="116">
        <v>777.35</v>
      </c>
      <c r="N1413" s="116">
        <v>786</v>
      </c>
      <c r="O1413" s="116">
        <v>768</v>
      </c>
      <c r="P1413" s="116">
        <v>768</v>
      </c>
      <c r="Q1413" s="116">
        <v>777.35</v>
      </c>
      <c r="R1413">
        <v>1322586</v>
      </c>
    </row>
    <row r="1414" spans="1:18" x14ac:dyDescent="0.25">
      <c r="A1414" s="170">
        <v>46184</v>
      </c>
      <c r="B1414" s="116">
        <v>737.4</v>
      </c>
      <c r="C1414" s="116">
        <v>723</v>
      </c>
      <c r="D1414" s="116">
        <v>720.25</v>
      </c>
      <c r="E1414" s="116">
        <v>731.05</v>
      </c>
      <c r="F1414" s="116">
        <v>723</v>
      </c>
      <c r="G1414">
        <v>29670</v>
      </c>
      <c r="H1414" s="116"/>
      <c r="I1414" s="116"/>
      <c r="L1414" s="170">
        <v>46189</v>
      </c>
      <c r="M1414" s="116">
        <v>792.2</v>
      </c>
      <c r="N1414" s="116">
        <v>794.25</v>
      </c>
      <c r="O1414" s="116">
        <v>775.05</v>
      </c>
      <c r="P1414" s="116">
        <v>780.35</v>
      </c>
      <c r="Q1414" s="116">
        <v>792.2</v>
      </c>
      <c r="R1414">
        <v>938403</v>
      </c>
    </row>
    <row r="1415" spans="1:18" x14ac:dyDescent="0.25">
      <c r="A1415" s="170">
        <v>46185</v>
      </c>
      <c r="B1415" s="116">
        <v>760</v>
      </c>
      <c r="C1415" s="116">
        <v>757.45</v>
      </c>
      <c r="D1415" s="116">
        <v>732.75</v>
      </c>
      <c r="E1415" s="116">
        <v>732.8</v>
      </c>
      <c r="F1415" s="116">
        <v>757.45</v>
      </c>
      <c r="G1415">
        <v>91421</v>
      </c>
      <c r="H1415" s="116"/>
      <c r="I1415" s="116"/>
      <c r="L1415" s="170">
        <v>46190</v>
      </c>
      <c r="M1415" s="116">
        <v>807.25</v>
      </c>
      <c r="N1415" s="116">
        <v>813.5</v>
      </c>
      <c r="O1415" s="116">
        <v>790.5</v>
      </c>
      <c r="P1415" s="116">
        <v>795</v>
      </c>
      <c r="Q1415" s="116">
        <v>807.25</v>
      </c>
      <c r="R1415">
        <v>2002246</v>
      </c>
    </row>
    <row r="1416" spans="1:18" x14ac:dyDescent="0.25">
      <c r="A1416" s="170">
        <v>46188</v>
      </c>
      <c r="B1416" s="116">
        <v>786.2</v>
      </c>
      <c r="C1416" s="116">
        <v>777.4</v>
      </c>
      <c r="D1416" s="116">
        <v>766.9</v>
      </c>
      <c r="E1416" s="116">
        <v>772.3</v>
      </c>
      <c r="F1416" s="116">
        <v>777.4</v>
      </c>
      <c r="G1416">
        <v>57859</v>
      </c>
      <c r="H1416" s="116"/>
      <c r="I1416" s="116"/>
      <c r="L1416" s="170"/>
    </row>
    <row r="1417" spans="1:18" x14ac:dyDescent="0.25">
      <c r="A1417" s="170">
        <v>46189</v>
      </c>
      <c r="B1417" s="116">
        <v>794</v>
      </c>
      <c r="C1417" s="116">
        <v>790.95</v>
      </c>
      <c r="D1417" s="116">
        <v>775</v>
      </c>
      <c r="E1417" s="116">
        <v>777.55</v>
      </c>
      <c r="F1417" s="116">
        <v>790.95</v>
      </c>
      <c r="G1417">
        <v>129139</v>
      </c>
      <c r="H1417" s="116"/>
      <c r="I1417" s="116"/>
      <c r="L1417" s="170"/>
    </row>
    <row r="1418" spans="1:18" x14ac:dyDescent="0.25">
      <c r="A1418" s="170">
        <v>46190</v>
      </c>
      <c r="B1418" s="116">
        <v>813.45</v>
      </c>
      <c r="C1418" s="116">
        <v>807.15</v>
      </c>
      <c r="D1418" s="116">
        <v>790.95</v>
      </c>
      <c r="E1418" s="116">
        <v>799.2</v>
      </c>
      <c r="F1418" s="116">
        <v>807.15</v>
      </c>
      <c r="G1418">
        <v>130146</v>
      </c>
      <c r="H1418" s="116"/>
      <c r="I1418" s="116"/>
      <c r="L1418" s="170"/>
    </row>
    <row r="1419" spans="1:18" x14ac:dyDescent="0.25">
      <c r="A1419" s="170"/>
      <c r="B1419" s="116"/>
      <c r="C1419" s="116"/>
      <c r="D1419" s="116"/>
      <c r="E1419" s="116"/>
      <c r="F1419" s="116"/>
      <c r="H1419" s="116"/>
      <c r="I1419" s="116"/>
      <c r="L1419" s="170"/>
    </row>
    <row r="1420" spans="1:18" x14ac:dyDescent="0.25">
      <c r="A1420" s="170"/>
      <c r="B1420" s="116"/>
      <c r="C1420" s="116"/>
      <c r="D1420" s="116"/>
      <c r="E1420" s="116"/>
      <c r="F1420" s="116"/>
      <c r="H1420" s="116"/>
      <c r="I1420" s="116"/>
      <c r="L1420" s="170"/>
    </row>
    <row r="1421" spans="1:18" x14ac:dyDescent="0.25">
      <c r="A1421" s="170"/>
      <c r="B1421" s="116"/>
      <c r="C1421" s="116"/>
      <c r="D1421" s="116"/>
      <c r="E1421" s="116"/>
      <c r="F1421" s="116"/>
      <c r="H1421" s="116"/>
      <c r="I1421" s="116"/>
      <c r="L1421" s="170"/>
    </row>
    <row r="1422" spans="1:18" x14ac:dyDescent="0.25">
      <c r="A1422" s="170"/>
      <c r="B1422" s="116"/>
      <c r="C1422" s="116"/>
      <c r="D1422" s="116"/>
      <c r="E1422" s="116"/>
      <c r="F1422" s="116"/>
      <c r="H1422" s="116"/>
      <c r="I1422" s="116"/>
      <c r="L1422" s="170"/>
    </row>
    <row r="1423" spans="1:18" x14ac:dyDescent="0.25">
      <c r="A1423" s="170"/>
      <c r="B1423" s="116"/>
      <c r="C1423" s="116"/>
      <c r="D1423" s="116"/>
      <c r="E1423" s="116"/>
      <c r="F1423" s="116"/>
      <c r="H1423" s="116"/>
      <c r="I1423" s="116"/>
      <c r="L1423" s="170"/>
    </row>
    <row r="1424" spans="1:18" x14ac:dyDescent="0.25">
      <c r="A1424" s="170"/>
      <c r="B1424" s="116"/>
      <c r="C1424" s="116"/>
      <c r="D1424" s="116"/>
      <c r="E1424" s="116"/>
      <c r="F1424" s="116"/>
      <c r="H1424" s="116"/>
      <c r="I1424" s="116"/>
      <c r="L1424" s="170"/>
    </row>
    <row r="1425" spans="1:12" x14ac:dyDescent="0.25">
      <c r="A1425" s="170"/>
      <c r="B1425" s="116"/>
      <c r="C1425" s="116"/>
      <c r="D1425" s="116"/>
      <c r="E1425" s="116"/>
      <c r="F1425" s="116"/>
      <c r="H1425" s="116"/>
      <c r="I1425" s="116"/>
      <c r="L1425" s="170"/>
    </row>
    <row r="1426" spans="1:12" x14ac:dyDescent="0.25">
      <c r="A1426" s="170"/>
      <c r="B1426" s="116"/>
      <c r="C1426" s="116"/>
      <c r="D1426" s="116"/>
      <c r="E1426" s="116"/>
      <c r="F1426" s="116"/>
      <c r="H1426" s="116"/>
      <c r="I1426" s="116"/>
      <c r="L1426" s="170"/>
    </row>
    <row r="1427" spans="1:12" x14ac:dyDescent="0.25">
      <c r="A1427" s="170"/>
      <c r="B1427" s="116"/>
      <c r="C1427" s="116"/>
      <c r="D1427" s="116"/>
      <c r="E1427" s="116"/>
      <c r="F1427" s="116"/>
      <c r="H1427" s="116"/>
      <c r="I1427" s="116"/>
      <c r="L1427" s="170"/>
    </row>
    <row r="1428" spans="1:12" x14ac:dyDescent="0.25">
      <c r="A1428" s="170"/>
      <c r="B1428" s="116"/>
      <c r="C1428" s="116"/>
      <c r="D1428" s="116"/>
      <c r="E1428" s="116"/>
      <c r="F1428" s="116"/>
      <c r="H1428" s="116"/>
      <c r="I1428" s="116"/>
      <c r="L1428" s="170"/>
    </row>
    <row r="1429" spans="1:12" x14ac:dyDescent="0.25">
      <c r="A1429" s="170"/>
      <c r="B1429" s="116"/>
      <c r="C1429" s="116"/>
      <c r="D1429" s="116"/>
      <c r="E1429" s="116"/>
      <c r="F1429" s="116"/>
      <c r="H1429" s="116"/>
      <c r="I1429" s="116"/>
      <c r="L1429" s="170"/>
    </row>
    <row r="1430" spans="1:12" x14ac:dyDescent="0.25">
      <c r="A1430" s="170"/>
      <c r="B1430" s="116"/>
      <c r="C1430" s="116"/>
      <c r="D1430" s="116"/>
      <c r="E1430" s="116"/>
      <c r="F1430" s="116"/>
      <c r="H1430" s="116"/>
      <c r="I1430" s="116"/>
      <c r="L1430" s="170"/>
    </row>
    <row r="1431" spans="1:12" x14ac:dyDescent="0.25">
      <c r="A1431" s="170"/>
      <c r="B1431" s="116"/>
      <c r="C1431" s="116"/>
      <c r="D1431" s="116"/>
      <c r="E1431" s="116"/>
      <c r="F1431" s="116"/>
      <c r="H1431" s="116"/>
      <c r="I1431" s="116"/>
      <c r="L1431" s="170"/>
    </row>
    <row r="1432" spans="1:12" x14ac:dyDescent="0.25">
      <c r="A1432" s="170"/>
      <c r="B1432" s="116"/>
      <c r="C1432" s="116"/>
      <c r="D1432" s="116"/>
      <c r="E1432" s="116"/>
      <c r="F1432" s="116"/>
      <c r="H1432" s="116"/>
      <c r="I1432" s="116"/>
      <c r="L1432" s="170"/>
    </row>
    <row r="1433" spans="1:12" x14ac:dyDescent="0.25">
      <c r="A1433" s="170"/>
      <c r="B1433" s="116"/>
      <c r="C1433" s="116"/>
      <c r="D1433" s="116"/>
      <c r="E1433" s="116"/>
      <c r="F1433" s="116"/>
      <c r="H1433" s="116"/>
      <c r="I1433" s="116"/>
      <c r="L1433" s="170"/>
    </row>
    <row r="1434" spans="1:12" x14ac:dyDescent="0.25">
      <c r="A1434" s="170"/>
      <c r="B1434" s="116"/>
      <c r="C1434" s="116"/>
      <c r="D1434" s="116"/>
      <c r="E1434" s="116"/>
      <c r="F1434" s="116"/>
      <c r="H1434" s="116"/>
      <c r="I1434" s="116"/>
      <c r="L1434" s="170"/>
    </row>
    <row r="1435" spans="1:12" x14ac:dyDescent="0.25">
      <c r="A1435" s="170"/>
      <c r="B1435" s="116"/>
      <c r="C1435" s="116"/>
      <c r="D1435" s="116"/>
      <c r="E1435" s="116"/>
      <c r="F1435" s="116"/>
      <c r="H1435" s="116"/>
      <c r="I1435" s="116"/>
      <c r="L1435" s="170"/>
    </row>
    <row r="1436" spans="1:12" x14ac:dyDescent="0.25">
      <c r="A1436" s="170"/>
      <c r="B1436" s="116"/>
      <c r="C1436" s="116"/>
      <c r="D1436" s="116"/>
      <c r="E1436" s="116"/>
      <c r="F1436" s="116"/>
      <c r="H1436" s="116"/>
      <c r="I1436" s="116"/>
      <c r="L1436" s="170"/>
    </row>
    <row r="1437" spans="1:12" x14ac:dyDescent="0.25">
      <c r="A1437" s="170"/>
      <c r="B1437" s="116"/>
      <c r="C1437" s="116"/>
      <c r="D1437" s="116"/>
      <c r="E1437" s="116"/>
      <c r="F1437" s="116"/>
      <c r="H1437" s="116"/>
      <c r="I1437" s="116"/>
      <c r="L1437" s="170"/>
    </row>
    <row r="1438" spans="1:12" x14ac:dyDescent="0.25">
      <c r="A1438" s="170"/>
      <c r="B1438" s="116"/>
      <c r="C1438" s="116"/>
      <c r="D1438" s="116"/>
      <c r="E1438" s="116"/>
      <c r="F1438" s="116"/>
      <c r="H1438" s="116"/>
      <c r="I1438" s="116"/>
      <c r="L1438" s="170"/>
    </row>
    <row r="1439" spans="1:12" x14ac:dyDescent="0.25">
      <c r="A1439" s="170"/>
      <c r="B1439" s="116"/>
      <c r="C1439" s="116"/>
      <c r="D1439" s="116"/>
      <c r="E1439" s="116"/>
      <c r="F1439" s="116"/>
      <c r="H1439" s="116"/>
      <c r="I1439" s="116"/>
      <c r="L1439" s="170"/>
    </row>
    <row r="1440" spans="1:12" x14ac:dyDescent="0.25">
      <c r="A1440" s="170"/>
      <c r="B1440" s="116"/>
      <c r="C1440" s="116"/>
      <c r="D1440" s="116"/>
      <c r="E1440" s="116"/>
      <c r="F1440" s="116"/>
      <c r="H1440" s="116"/>
      <c r="I1440" s="116"/>
      <c r="L1440" s="170"/>
    </row>
    <row r="1441" spans="1:12" x14ac:dyDescent="0.25">
      <c r="A1441" s="170"/>
      <c r="B1441" s="116"/>
      <c r="C1441" s="116"/>
      <c r="D1441" s="116"/>
      <c r="E1441" s="116"/>
      <c r="F1441" s="116"/>
      <c r="H1441" s="116"/>
      <c r="I1441" s="116"/>
      <c r="L1441" s="170"/>
    </row>
    <row r="1442" spans="1:12" x14ac:dyDescent="0.25">
      <c r="A1442" s="170"/>
      <c r="B1442" s="116"/>
      <c r="C1442" s="116"/>
      <c r="D1442" s="116"/>
      <c r="E1442" s="116"/>
      <c r="F1442" s="116"/>
      <c r="H1442" s="116"/>
      <c r="I1442" s="116"/>
      <c r="L1442" s="170"/>
    </row>
    <row r="1443" spans="1:12" x14ac:dyDescent="0.25">
      <c r="A1443" s="170"/>
      <c r="B1443" s="116"/>
      <c r="C1443" s="116"/>
      <c r="D1443" s="116"/>
      <c r="E1443" s="116"/>
      <c r="F1443" s="116"/>
      <c r="H1443" s="116"/>
      <c r="I1443" s="116"/>
      <c r="L1443" s="170"/>
    </row>
    <row r="1444" spans="1:12" x14ac:dyDescent="0.25">
      <c r="A1444" s="170"/>
      <c r="B1444" s="116"/>
      <c r="C1444" s="116"/>
      <c r="D1444" s="116"/>
      <c r="E1444" s="116"/>
      <c r="F1444" s="116"/>
      <c r="H1444" s="116"/>
      <c r="I1444" s="116"/>
      <c r="L1444" s="170"/>
    </row>
    <row r="1445" spans="1:12" x14ac:dyDescent="0.25">
      <c r="A1445" s="170"/>
      <c r="B1445" s="116"/>
      <c r="C1445" s="116"/>
      <c r="D1445" s="116"/>
      <c r="E1445" s="116"/>
      <c r="F1445" s="116"/>
      <c r="H1445" s="116"/>
      <c r="I1445" s="116"/>
      <c r="L1445" s="170"/>
    </row>
    <row r="1446" spans="1:12" x14ac:dyDescent="0.25">
      <c r="A1446" s="170"/>
      <c r="B1446" s="116"/>
      <c r="C1446" s="116"/>
      <c r="D1446" s="116"/>
      <c r="E1446" s="116"/>
      <c r="F1446" s="116"/>
      <c r="H1446" s="116"/>
      <c r="I1446" s="116"/>
      <c r="L1446" s="170"/>
    </row>
    <row r="1447" spans="1:12" x14ac:dyDescent="0.25">
      <c r="A1447" s="170"/>
      <c r="B1447" s="116"/>
      <c r="C1447" s="116"/>
      <c r="D1447" s="116"/>
      <c r="E1447" s="116"/>
      <c r="F1447" s="116"/>
      <c r="H1447" s="116"/>
      <c r="I1447" s="116"/>
      <c r="L1447" s="170"/>
    </row>
    <row r="1448" spans="1:12" x14ac:dyDescent="0.25">
      <c r="A1448" s="170"/>
      <c r="B1448" s="116"/>
      <c r="C1448" s="116"/>
      <c r="D1448" s="116"/>
      <c r="E1448" s="116"/>
      <c r="F1448" s="116"/>
      <c r="H1448" s="116"/>
      <c r="I1448" s="116"/>
      <c r="L1448" s="170"/>
    </row>
    <row r="1449" spans="1:12" x14ac:dyDescent="0.25">
      <c r="A1449" s="170"/>
      <c r="B1449" s="116"/>
      <c r="C1449" s="116"/>
      <c r="D1449" s="116"/>
      <c r="E1449" s="116"/>
      <c r="F1449" s="116"/>
      <c r="H1449" s="116"/>
      <c r="I1449" s="116"/>
      <c r="L1449" s="170"/>
    </row>
    <row r="1450" spans="1:12" x14ac:dyDescent="0.25">
      <c r="A1450" s="170"/>
      <c r="B1450" s="116"/>
      <c r="C1450" s="116"/>
      <c r="D1450" s="116"/>
      <c r="E1450" s="116"/>
      <c r="F1450" s="116"/>
      <c r="H1450" s="116"/>
      <c r="I1450" s="116"/>
      <c r="L1450" s="170"/>
    </row>
    <row r="1451" spans="1:12" x14ac:dyDescent="0.25">
      <c r="A1451" s="170"/>
      <c r="B1451" s="116"/>
      <c r="C1451" s="116"/>
      <c r="D1451" s="116"/>
      <c r="E1451" s="116"/>
      <c r="F1451" s="116"/>
      <c r="H1451" s="116"/>
      <c r="I1451" s="116"/>
      <c r="L1451" s="170"/>
    </row>
    <row r="1452" spans="1:12" x14ac:dyDescent="0.25">
      <c r="A1452" s="170"/>
      <c r="B1452" s="116"/>
      <c r="C1452" s="116"/>
      <c r="D1452" s="116"/>
      <c r="E1452" s="116"/>
      <c r="F1452" s="116"/>
      <c r="H1452" s="116"/>
      <c r="I1452" s="116"/>
      <c r="L1452" s="170"/>
    </row>
    <row r="1453" spans="1:12" x14ac:dyDescent="0.25">
      <c r="A1453" s="170"/>
      <c r="B1453" s="116"/>
      <c r="C1453" s="116"/>
      <c r="D1453" s="116"/>
      <c r="E1453" s="116"/>
      <c r="F1453" s="116"/>
      <c r="H1453" s="116"/>
      <c r="I1453" s="116"/>
      <c r="L1453" s="170"/>
    </row>
    <row r="1454" spans="1:12" x14ac:dyDescent="0.25">
      <c r="A1454" s="170"/>
      <c r="B1454" s="116"/>
      <c r="C1454" s="116"/>
      <c r="D1454" s="116"/>
      <c r="E1454" s="116"/>
      <c r="F1454" s="116"/>
      <c r="H1454" s="116"/>
      <c r="I1454" s="116"/>
      <c r="L1454" s="170"/>
    </row>
    <row r="1455" spans="1:12" x14ac:dyDescent="0.25">
      <c r="A1455" s="170"/>
      <c r="B1455" s="116"/>
      <c r="C1455" s="116"/>
      <c r="D1455" s="116"/>
      <c r="E1455" s="116"/>
      <c r="F1455" s="116"/>
      <c r="H1455" s="116"/>
      <c r="I1455" s="116"/>
      <c r="L1455" s="170"/>
    </row>
    <row r="1456" spans="1:12" x14ac:dyDescent="0.25">
      <c r="A1456" s="170"/>
      <c r="B1456" s="116"/>
      <c r="C1456" s="116"/>
      <c r="D1456" s="116"/>
      <c r="E1456" s="116"/>
      <c r="F1456" s="116"/>
      <c r="H1456" s="116"/>
      <c r="I1456" s="116"/>
      <c r="L1456" s="170"/>
    </row>
    <row r="1457" spans="1:12" x14ac:dyDescent="0.25">
      <c r="A1457" s="170"/>
      <c r="B1457" s="116"/>
      <c r="C1457" s="116"/>
      <c r="D1457" s="116"/>
      <c r="E1457" s="116"/>
      <c r="F1457" s="116"/>
      <c r="H1457" s="116"/>
      <c r="I1457" s="116"/>
      <c r="L1457" s="170"/>
    </row>
    <row r="1458" spans="1:12" x14ac:dyDescent="0.25">
      <c r="A1458" s="170"/>
      <c r="B1458" s="116"/>
      <c r="C1458" s="116"/>
      <c r="D1458" s="116"/>
      <c r="E1458" s="116"/>
      <c r="F1458" s="116"/>
      <c r="H1458" s="116"/>
      <c r="I1458" s="116"/>
      <c r="L1458" s="170"/>
    </row>
    <row r="1459" spans="1:12" x14ac:dyDescent="0.25">
      <c r="A1459" s="170"/>
      <c r="B1459" s="116"/>
      <c r="C1459" s="116"/>
      <c r="D1459" s="116"/>
      <c r="E1459" s="116"/>
      <c r="F1459" s="116"/>
      <c r="H1459" s="116"/>
      <c r="I1459" s="116"/>
      <c r="L1459" s="170"/>
    </row>
    <row r="1460" spans="1:12" x14ac:dyDescent="0.25">
      <c r="A1460" s="170"/>
      <c r="B1460" s="116"/>
      <c r="C1460" s="116"/>
      <c r="D1460" s="116"/>
      <c r="E1460" s="116"/>
      <c r="F1460" s="116"/>
      <c r="H1460" s="116"/>
      <c r="I1460" s="116"/>
      <c r="L1460" s="170"/>
    </row>
    <row r="1461" spans="1:12" x14ac:dyDescent="0.25">
      <c r="A1461" s="170"/>
      <c r="B1461" s="116"/>
      <c r="C1461" s="116"/>
      <c r="D1461" s="116"/>
      <c r="E1461" s="116"/>
      <c r="F1461" s="116"/>
      <c r="H1461" s="116"/>
      <c r="I1461" s="116"/>
      <c r="L1461" s="170"/>
    </row>
    <row r="1462" spans="1:12" x14ac:dyDescent="0.25">
      <c r="A1462" s="170"/>
      <c r="B1462" s="116"/>
      <c r="C1462" s="116"/>
      <c r="D1462" s="116"/>
      <c r="E1462" s="116"/>
      <c r="F1462" s="116"/>
      <c r="H1462" s="116"/>
      <c r="I1462" s="116"/>
      <c r="L1462" s="170"/>
    </row>
    <row r="1463" spans="1:12" x14ac:dyDescent="0.25">
      <c r="A1463" s="170"/>
      <c r="B1463" s="116"/>
      <c r="C1463" s="116"/>
      <c r="D1463" s="116"/>
      <c r="E1463" s="116"/>
      <c r="F1463" s="116"/>
      <c r="H1463" s="116"/>
      <c r="I1463" s="116"/>
      <c r="L1463" s="170"/>
    </row>
    <row r="1464" spans="1:12" x14ac:dyDescent="0.25">
      <c r="A1464" s="170"/>
      <c r="B1464" s="116"/>
      <c r="C1464" s="116"/>
      <c r="D1464" s="116"/>
      <c r="E1464" s="116"/>
      <c r="F1464" s="116"/>
      <c r="H1464" s="116"/>
      <c r="I1464" s="116"/>
      <c r="L1464" s="170"/>
    </row>
    <row r="1465" spans="1:12" x14ac:dyDescent="0.25">
      <c r="A1465" s="170"/>
      <c r="B1465" s="116"/>
      <c r="C1465" s="116"/>
      <c r="D1465" s="116"/>
      <c r="E1465" s="116"/>
      <c r="F1465" s="116"/>
      <c r="H1465" s="116"/>
      <c r="I1465" s="116"/>
      <c r="L1465" s="170"/>
    </row>
    <row r="1466" spans="1:12" x14ac:dyDescent="0.25">
      <c r="A1466" s="170"/>
      <c r="B1466" s="116"/>
      <c r="C1466" s="116"/>
      <c r="D1466" s="116"/>
      <c r="E1466" s="116"/>
      <c r="F1466" s="116"/>
      <c r="H1466" s="116"/>
      <c r="I1466" s="116"/>
      <c r="L1466" s="170"/>
    </row>
    <row r="1467" spans="1:12" x14ac:dyDescent="0.25">
      <c r="A1467" s="170"/>
      <c r="B1467" s="116"/>
      <c r="C1467" s="116"/>
      <c r="D1467" s="116"/>
      <c r="E1467" s="116"/>
      <c r="F1467" s="116"/>
      <c r="H1467" s="116"/>
      <c r="I1467" s="116"/>
      <c r="L1467" s="170"/>
    </row>
    <row r="1468" spans="1:12" x14ac:dyDescent="0.25">
      <c r="A1468" s="170"/>
      <c r="B1468" s="116"/>
      <c r="C1468" s="116"/>
      <c r="D1468" s="116"/>
      <c r="E1468" s="116"/>
      <c r="F1468" s="116"/>
      <c r="H1468" s="116"/>
      <c r="I1468" s="116"/>
      <c r="L1468" s="170"/>
    </row>
    <row r="1469" spans="1:12" x14ac:dyDescent="0.25">
      <c r="A1469" s="170"/>
      <c r="B1469" s="116"/>
      <c r="C1469" s="116"/>
      <c r="D1469" s="116"/>
      <c r="E1469" s="116"/>
      <c r="F1469" s="116"/>
      <c r="H1469" s="116"/>
      <c r="I1469" s="116"/>
      <c r="L1469" s="170"/>
    </row>
    <row r="1470" spans="1:12" x14ac:dyDescent="0.25">
      <c r="A1470" s="170"/>
      <c r="B1470" s="116"/>
      <c r="C1470" s="116"/>
      <c r="D1470" s="116"/>
      <c r="E1470" s="116"/>
      <c r="F1470" s="116"/>
      <c r="H1470" s="116"/>
      <c r="I1470" s="116"/>
      <c r="L1470" s="170"/>
    </row>
    <row r="1471" spans="1:12" x14ac:dyDescent="0.25">
      <c r="A1471" s="170"/>
      <c r="B1471" s="116"/>
      <c r="C1471" s="116"/>
      <c r="D1471" s="116"/>
      <c r="E1471" s="116"/>
      <c r="F1471" s="116"/>
      <c r="H1471" s="116"/>
      <c r="I1471" s="116"/>
      <c r="L1471" s="170"/>
    </row>
    <row r="1472" spans="1:12" x14ac:dyDescent="0.25">
      <c r="A1472" s="170"/>
      <c r="B1472" s="116"/>
      <c r="C1472" s="116"/>
      <c r="D1472" s="116"/>
      <c r="E1472" s="116"/>
      <c r="F1472" s="116"/>
      <c r="H1472" s="116"/>
      <c r="I1472" s="116"/>
      <c r="L1472" s="170"/>
    </row>
    <row r="1473" spans="1:12" x14ac:dyDescent="0.25">
      <c r="A1473" s="170"/>
      <c r="B1473" s="116"/>
      <c r="C1473" s="116"/>
      <c r="D1473" s="116"/>
      <c r="E1473" s="116"/>
      <c r="F1473" s="116"/>
      <c r="H1473" s="116"/>
      <c r="I1473" s="116"/>
      <c r="L1473" s="170"/>
    </row>
    <row r="1474" spans="1:12" x14ac:dyDescent="0.25">
      <c r="A1474" s="170"/>
      <c r="B1474" s="116"/>
      <c r="C1474" s="116"/>
      <c r="D1474" s="116"/>
      <c r="E1474" s="116"/>
      <c r="F1474" s="116"/>
      <c r="H1474" s="116"/>
      <c r="I1474" s="116"/>
      <c r="L1474" s="170"/>
    </row>
    <row r="1475" spans="1:12" x14ac:dyDescent="0.25">
      <c r="A1475" s="170"/>
      <c r="B1475" s="116"/>
      <c r="C1475" s="116"/>
      <c r="D1475" s="116"/>
      <c r="E1475" s="116"/>
      <c r="F1475" s="116"/>
      <c r="H1475" s="116"/>
      <c r="I1475" s="116"/>
      <c r="L1475" s="170"/>
    </row>
    <row r="1476" spans="1:12" x14ac:dyDescent="0.25">
      <c r="A1476" s="170"/>
      <c r="B1476" s="116"/>
      <c r="C1476" s="116"/>
      <c r="D1476" s="116"/>
      <c r="E1476" s="116"/>
      <c r="F1476" s="116"/>
      <c r="H1476" s="116"/>
      <c r="I1476" s="116"/>
      <c r="L1476" s="170"/>
    </row>
    <row r="1477" spans="1:12" x14ac:dyDescent="0.25">
      <c r="A1477" s="170"/>
      <c r="B1477" s="116"/>
      <c r="C1477" s="116"/>
      <c r="D1477" s="116"/>
      <c r="E1477" s="116"/>
      <c r="F1477" s="116"/>
      <c r="H1477" s="116"/>
      <c r="I1477" s="116"/>
      <c r="L1477" s="170"/>
    </row>
    <row r="1478" spans="1:12" x14ac:dyDescent="0.25">
      <c r="A1478" s="170"/>
      <c r="B1478" s="116"/>
      <c r="C1478" s="116"/>
      <c r="D1478" s="116"/>
      <c r="E1478" s="116"/>
      <c r="F1478" s="116"/>
      <c r="H1478" s="116"/>
      <c r="I1478" s="116"/>
      <c r="L1478" s="170"/>
    </row>
    <row r="1479" spans="1:12" x14ac:dyDescent="0.25">
      <c r="A1479" s="170"/>
      <c r="B1479" s="116"/>
      <c r="C1479" s="116"/>
      <c r="D1479" s="116"/>
      <c r="E1479" s="116"/>
      <c r="F1479" s="116"/>
      <c r="H1479" s="116"/>
      <c r="I1479" s="116"/>
      <c r="L1479" s="170"/>
    </row>
    <row r="1480" spans="1:12" x14ac:dyDescent="0.25">
      <c r="A1480" s="170"/>
      <c r="B1480" s="116"/>
      <c r="C1480" s="116"/>
      <c r="D1480" s="116"/>
      <c r="E1480" s="116"/>
      <c r="F1480" s="116"/>
      <c r="H1480" s="116"/>
      <c r="I1480" s="116"/>
      <c r="L1480" s="170"/>
    </row>
    <row r="1481" spans="1:12" x14ac:dyDescent="0.25">
      <c r="A1481" s="170"/>
      <c r="B1481" s="116"/>
      <c r="C1481" s="116"/>
      <c r="D1481" s="116"/>
      <c r="E1481" s="116"/>
      <c r="F1481" s="116"/>
      <c r="H1481" s="116"/>
      <c r="I1481" s="116"/>
      <c r="L1481" s="170"/>
    </row>
    <row r="1482" spans="1:12" x14ac:dyDescent="0.25">
      <c r="A1482" s="170"/>
      <c r="B1482" s="116"/>
      <c r="C1482" s="116"/>
      <c r="D1482" s="116"/>
      <c r="E1482" s="116"/>
      <c r="F1482" s="116"/>
      <c r="H1482" s="116"/>
      <c r="I1482" s="116"/>
      <c r="L1482" s="170"/>
    </row>
    <row r="1483" spans="1:12" x14ac:dyDescent="0.25">
      <c r="A1483" s="170"/>
      <c r="B1483" s="116"/>
      <c r="C1483" s="116"/>
      <c r="D1483" s="116"/>
      <c r="E1483" s="116"/>
      <c r="F1483" s="116"/>
      <c r="H1483" s="116"/>
      <c r="I1483" s="116"/>
      <c r="L1483" s="170"/>
    </row>
    <row r="1484" spans="1:12" x14ac:dyDescent="0.25">
      <c r="A1484" s="170"/>
      <c r="B1484" s="116"/>
      <c r="C1484" s="116"/>
      <c r="D1484" s="116"/>
      <c r="E1484" s="116"/>
      <c r="F1484" s="116"/>
      <c r="H1484" s="116"/>
      <c r="I1484" s="116"/>
      <c r="L1484" s="170"/>
    </row>
    <row r="1485" spans="1:12" x14ac:dyDescent="0.25">
      <c r="A1485" s="170"/>
      <c r="B1485" s="116"/>
      <c r="C1485" s="116"/>
      <c r="D1485" s="116"/>
      <c r="E1485" s="116"/>
      <c r="F1485" s="116"/>
      <c r="H1485" s="116"/>
      <c r="I1485" s="116"/>
      <c r="L1485" s="170"/>
    </row>
    <row r="1486" spans="1:12" x14ac:dyDescent="0.25">
      <c r="A1486" s="170"/>
      <c r="B1486" s="116"/>
      <c r="C1486" s="116"/>
      <c r="D1486" s="116"/>
      <c r="E1486" s="116"/>
      <c r="F1486" s="116"/>
      <c r="H1486" s="116"/>
      <c r="I1486" s="116"/>
      <c r="L1486" s="170"/>
    </row>
    <row r="1487" spans="1:12" x14ac:dyDescent="0.25">
      <c r="A1487" s="170"/>
      <c r="B1487" s="116"/>
      <c r="C1487" s="116"/>
      <c r="D1487" s="116"/>
      <c r="E1487" s="116"/>
      <c r="F1487" s="116"/>
      <c r="H1487" s="116"/>
      <c r="I1487" s="116"/>
      <c r="L1487" s="170"/>
    </row>
    <row r="1488" spans="1:12" x14ac:dyDescent="0.25">
      <c r="A1488" s="170"/>
      <c r="B1488" s="116"/>
      <c r="C1488" s="116"/>
      <c r="D1488" s="116"/>
      <c r="E1488" s="116"/>
      <c r="F1488" s="116"/>
      <c r="H1488" s="116"/>
      <c r="I1488" s="116"/>
      <c r="L1488" s="170"/>
    </row>
    <row r="1489" spans="1:12" x14ac:dyDescent="0.25">
      <c r="A1489" s="170"/>
      <c r="B1489" s="116"/>
      <c r="C1489" s="116"/>
      <c r="D1489" s="116"/>
      <c r="E1489" s="116"/>
      <c r="F1489" s="116"/>
      <c r="H1489" s="116"/>
      <c r="I1489" s="116"/>
      <c r="L1489" s="170"/>
    </row>
    <row r="1490" spans="1:12" x14ac:dyDescent="0.25">
      <c r="A1490" s="170"/>
      <c r="B1490" s="116"/>
      <c r="C1490" s="116"/>
      <c r="D1490" s="116"/>
      <c r="E1490" s="116"/>
      <c r="F1490" s="116"/>
      <c r="H1490" s="116"/>
      <c r="I1490" s="116"/>
      <c r="L1490" s="170"/>
    </row>
    <row r="1491" spans="1:12" x14ac:dyDescent="0.25">
      <c r="A1491" s="170"/>
      <c r="B1491" s="116"/>
      <c r="C1491" s="116"/>
      <c r="D1491" s="116"/>
      <c r="E1491" s="116"/>
      <c r="F1491" s="116"/>
      <c r="H1491" s="116"/>
      <c r="I1491" s="116"/>
      <c r="L1491" s="170"/>
    </row>
    <row r="1492" spans="1:12" x14ac:dyDescent="0.25">
      <c r="A1492" s="170"/>
      <c r="B1492" s="116"/>
      <c r="C1492" s="116"/>
      <c r="D1492" s="116"/>
      <c r="E1492" s="116"/>
      <c r="F1492" s="116"/>
      <c r="H1492" s="116"/>
      <c r="I1492" s="116"/>
      <c r="L1492" s="170"/>
    </row>
    <row r="1493" spans="1:12" x14ac:dyDescent="0.25">
      <c r="A1493" s="170"/>
      <c r="B1493" s="116"/>
      <c r="C1493" s="116"/>
      <c r="D1493" s="116"/>
      <c r="E1493" s="116"/>
      <c r="F1493" s="116"/>
      <c r="H1493" s="116"/>
      <c r="I1493" s="116"/>
      <c r="L1493" s="170"/>
    </row>
    <row r="1494" spans="1:12" x14ac:dyDescent="0.25">
      <c r="A1494" s="170"/>
      <c r="B1494" s="116"/>
      <c r="C1494" s="116"/>
      <c r="D1494" s="116"/>
      <c r="E1494" s="116"/>
      <c r="F1494" s="116"/>
      <c r="H1494" s="116"/>
      <c r="I1494" s="116"/>
      <c r="L1494" s="170"/>
    </row>
    <row r="1495" spans="1:12" x14ac:dyDescent="0.25">
      <c r="A1495" s="170"/>
      <c r="B1495" s="116"/>
      <c r="C1495" s="116"/>
      <c r="D1495" s="116"/>
      <c r="E1495" s="116"/>
      <c r="F1495" s="116"/>
      <c r="H1495" s="116"/>
      <c r="I1495" s="116"/>
      <c r="L1495" s="170"/>
    </row>
    <row r="1496" spans="1:12" x14ac:dyDescent="0.25">
      <c r="A1496" s="170"/>
      <c r="B1496" s="116"/>
      <c r="C1496" s="116"/>
      <c r="D1496" s="116"/>
      <c r="E1496" s="116"/>
      <c r="F1496" s="116"/>
      <c r="H1496" s="116"/>
      <c r="I1496" s="116"/>
      <c r="L1496" s="170"/>
    </row>
    <row r="1497" spans="1:12" x14ac:dyDescent="0.25">
      <c r="A1497" s="170"/>
      <c r="B1497" s="116"/>
      <c r="C1497" s="116"/>
      <c r="D1497" s="116"/>
      <c r="E1497" s="116"/>
      <c r="F1497" s="116"/>
      <c r="H1497" s="116"/>
      <c r="I1497" s="116"/>
      <c r="L1497" s="170"/>
    </row>
    <row r="1498" spans="1:12" x14ac:dyDescent="0.25">
      <c r="A1498" s="170"/>
      <c r="B1498" s="116"/>
      <c r="C1498" s="116"/>
      <c r="D1498" s="116"/>
      <c r="E1498" s="116"/>
      <c r="F1498" s="116"/>
      <c r="H1498" s="116"/>
      <c r="I1498" s="116"/>
      <c r="L1498" s="170"/>
    </row>
    <row r="1499" spans="1:12" x14ac:dyDescent="0.25">
      <c r="A1499" s="170"/>
      <c r="B1499" s="116"/>
      <c r="C1499" s="116"/>
      <c r="D1499" s="116"/>
      <c r="E1499" s="116"/>
      <c r="F1499" s="116"/>
      <c r="H1499" s="116"/>
      <c r="I1499" s="116"/>
      <c r="L1499" s="170"/>
    </row>
    <row r="1500" spans="1:12" x14ac:dyDescent="0.25">
      <c r="A1500" s="170"/>
      <c r="B1500" s="116"/>
      <c r="C1500" s="116"/>
      <c r="D1500" s="116"/>
      <c r="E1500" s="116"/>
      <c r="F1500" s="116"/>
      <c r="H1500" s="116"/>
      <c r="I1500" s="116"/>
      <c r="L1500" s="170"/>
    </row>
    <row r="1501" spans="1:12" x14ac:dyDescent="0.25">
      <c r="A1501" s="170"/>
      <c r="B1501" s="116"/>
      <c r="C1501" s="116"/>
      <c r="D1501" s="116"/>
      <c r="E1501" s="116"/>
      <c r="F1501" s="116"/>
      <c r="H1501" s="116"/>
      <c r="I1501" s="116"/>
      <c r="L1501" s="170"/>
    </row>
    <row r="1502" spans="1:12" x14ac:dyDescent="0.25">
      <c r="A1502" s="170"/>
      <c r="B1502" s="116"/>
      <c r="C1502" s="116"/>
      <c r="D1502" s="116"/>
      <c r="E1502" s="116"/>
      <c r="F1502" s="116"/>
      <c r="H1502" s="116"/>
      <c r="I1502" s="116"/>
      <c r="L1502" s="170"/>
    </row>
    <row r="1503" spans="1:12" x14ac:dyDescent="0.25">
      <c r="A1503" s="170"/>
      <c r="B1503" s="116"/>
      <c r="C1503" s="116"/>
      <c r="D1503" s="116"/>
      <c r="E1503" s="116"/>
      <c r="F1503" s="116"/>
      <c r="H1503" s="116"/>
      <c r="I1503" s="116"/>
      <c r="L1503" s="170"/>
    </row>
    <row r="1504" spans="1:12" x14ac:dyDescent="0.25">
      <c r="A1504" s="170"/>
      <c r="B1504" s="116"/>
      <c r="C1504" s="116"/>
      <c r="D1504" s="116"/>
      <c r="E1504" s="116"/>
      <c r="F1504" s="116"/>
      <c r="H1504" s="116"/>
      <c r="I1504" s="116"/>
      <c r="L1504" s="170"/>
    </row>
    <row r="1505" spans="1:12" x14ac:dyDescent="0.25">
      <c r="A1505" s="170"/>
      <c r="B1505" s="116"/>
      <c r="C1505" s="116"/>
      <c r="D1505" s="116"/>
      <c r="E1505" s="116"/>
      <c r="F1505" s="116"/>
      <c r="H1505" s="116"/>
      <c r="I1505" s="116"/>
      <c r="L1505" s="170"/>
    </row>
    <row r="1506" spans="1:12" x14ac:dyDescent="0.25">
      <c r="A1506" s="170"/>
      <c r="B1506" s="116"/>
      <c r="C1506" s="116"/>
      <c r="D1506" s="116"/>
      <c r="E1506" s="116"/>
      <c r="F1506" s="116"/>
      <c r="H1506" s="116"/>
      <c r="I1506" s="116"/>
      <c r="L1506" s="170"/>
    </row>
    <row r="1507" spans="1:12" x14ac:dyDescent="0.25">
      <c r="A1507" s="170"/>
      <c r="B1507" s="116"/>
      <c r="C1507" s="116"/>
      <c r="D1507" s="116"/>
      <c r="E1507" s="116"/>
      <c r="F1507" s="116"/>
      <c r="H1507" s="116"/>
      <c r="I1507" s="116"/>
      <c r="L1507" s="170"/>
    </row>
    <row r="1508" spans="1:12" x14ac:dyDescent="0.25">
      <c r="A1508" s="170"/>
      <c r="B1508" s="116"/>
      <c r="C1508" s="116"/>
      <c r="D1508" s="116"/>
      <c r="E1508" s="116"/>
      <c r="F1508" s="116"/>
      <c r="H1508" s="116"/>
      <c r="I1508" s="116"/>
      <c r="L1508" s="170"/>
    </row>
    <row r="1509" spans="1:12" x14ac:dyDescent="0.25">
      <c r="A1509" s="170"/>
      <c r="B1509" s="116"/>
      <c r="C1509" s="116"/>
      <c r="D1509" s="116"/>
      <c r="E1509" s="116"/>
      <c r="F1509" s="116"/>
      <c r="H1509" s="116"/>
      <c r="I1509" s="116"/>
      <c r="L1509" s="170"/>
    </row>
    <row r="1510" spans="1:12" x14ac:dyDescent="0.25">
      <c r="A1510" s="170"/>
      <c r="B1510" s="116"/>
      <c r="C1510" s="116"/>
      <c r="D1510" s="116"/>
      <c r="E1510" s="116"/>
      <c r="F1510" s="116"/>
      <c r="H1510" s="116"/>
      <c r="I1510" s="116"/>
      <c r="L1510" s="170"/>
    </row>
    <row r="1511" spans="1:12" x14ac:dyDescent="0.25">
      <c r="A1511" s="170"/>
      <c r="B1511" s="116"/>
      <c r="C1511" s="116"/>
      <c r="D1511" s="116"/>
      <c r="E1511" s="116"/>
      <c r="F1511" s="116"/>
      <c r="H1511" s="116"/>
      <c r="I1511" s="116"/>
      <c r="L1511" s="170"/>
    </row>
    <row r="1512" spans="1:12" x14ac:dyDescent="0.25">
      <c r="A1512" s="170"/>
      <c r="B1512" s="116"/>
      <c r="C1512" s="116"/>
      <c r="D1512" s="116"/>
      <c r="E1512" s="116"/>
      <c r="F1512" s="116"/>
      <c r="H1512" s="116"/>
      <c r="I1512" s="116"/>
      <c r="L1512" s="170"/>
    </row>
    <row r="1513" spans="1:12" x14ac:dyDescent="0.25">
      <c r="A1513" s="170"/>
      <c r="B1513" s="116"/>
      <c r="C1513" s="116"/>
      <c r="D1513" s="116"/>
      <c r="E1513" s="116"/>
      <c r="F1513" s="116"/>
      <c r="H1513" s="116"/>
      <c r="I1513" s="116"/>
      <c r="L1513" s="170"/>
    </row>
    <row r="1514" spans="1:12" x14ac:dyDescent="0.25">
      <c r="A1514" s="170"/>
      <c r="B1514" s="116"/>
      <c r="C1514" s="116"/>
      <c r="D1514" s="116"/>
      <c r="E1514" s="116"/>
      <c r="F1514" s="116"/>
      <c r="H1514" s="116"/>
      <c r="I1514" s="116"/>
      <c r="L1514" s="170"/>
    </row>
    <row r="1515" spans="1:12" x14ac:dyDescent="0.25">
      <c r="A1515" s="170"/>
      <c r="B1515" s="116"/>
      <c r="C1515" s="116"/>
      <c r="D1515" s="116"/>
      <c r="E1515" s="116"/>
      <c r="F1515" s="116"/>
      <c r="H1515" s="116"/>
      <c r="I1515" s="116"/>
      <c r="L1515" s="170"/>
    </row>
    <row r="1516" spans="1:12" x14ac:dyDescent="0.25">
      <c r="A1516" s="170"/>
      <c r="B1516" s="116"/>
      <c r="C1516" s="116"/>
      <c r="D1516" s="116"/>
      <c r="E1516" s="116"/>
      <c r="F1516" s="116"/>
      <c r="H1516" s="116"/>
      <c r="I1516" s="116"/>
      <c r="L1516" s="170"/>
    </row>
    <row r="1517" spans="1:12" x14ac:dyDescent="0.25">
      <c r="A1517" s="170"/>
      <c r="B1517" s="116"/>
      <c r="C1517" s="116"/>
      <c r="D1517" s="116"/>
      <c r="E1517" s="116"/>
      <c r="F1517" s="116"/>
      <c r="H1517" s="116"/>
      <c r="I1517" s="116"/>
      <c r="L1517" s="170"/>
    </row>
    <row r="1518" spans="1:12" x14ac:dyDescent="0.25">
      <c r="A1518" s="170"/>
      <c r="B1518" s="116"/>
      <c r="C1518" s="116"/>
      <c r="D1518" s="116"/>
      <c r="E1518" s="116"/>
      <c r="F1518" s="116"/>
      <c r="H1518" s="116"/>
      <c r="I1518" s="116"/>
      <c r="L1518" s="170"/>
    </row>
    <row r="1519" spans="1:12" x14ac:dyDescent="0.25">
      <c r="A1519" s="170"/>
      <c r="B1519" s="116"/>
      <c r="C1519" s="116"/>
      <c r="D1519" s="116"/>
      <c r="E1519" s="116"/>
      <c r="F1519" s="116"/>
      <c r="H1519" s="116"/>
      <c r="I1519" s="116"/>
      <c r="L1519" s="170"/>
    </row>
    <row r="1520" spans="1:12" x14ac:dyDescent="0.25">
      <c r="A1520" s="170"/>
      <c r="B1520" s="116"/>
      <c r="C1520" s="116"/>
      <c r="D1520" s="116"/>
      <c r="E1520" s="116"/>
      <c r="F1520" s="116"/>
      <c r="H1520" s="116"/>
      <c r="I1520" s="116"/>
      <c r="L1520" s="170"/>
    </row>
    <row r="1521" spans="1:12" x14ac:dyDescent="0.25">
      <c r="A1521" s="170"/>
      <c r="B1521" s="116"/>
      <c r="C1521" s="116"/>
      <c r="D1521" s="116"/>
      <c r="E1521" s="116"/>
      <c r="F1521" s="116"/>
      <c r="H1521" s="116"/>
      <c r="I1521" s="116"/>
      <c r="L1521" s="170"/>
    </row>
    <row r="1522" spans="1:12" x14ac:dyDescent="0.25">
      <c r="A1522" s="170"/>
      <c r="B1522" s="116"/>
      <c r="C1522" s="116"/>
      <c r="D1522" s="116"/>
      <c r="E1522" s="116"/>
      <c r="F1522" s="116"/>
      <c r="H1522" s="116"/>
      <c r="I1522" s="116"/>
      <c r="L1522" s="170"/>
    </row>
    <row r="1523" spans="1:12" x14ac:dyDescent="0.25">
      <c r="A1523" s="170"/>
      <c r="B1523" s="116"/>
      <c r="C1523" s="116"/>
      <c r="D1523" s="116"/>
      <c r="E1523" s="116"/>
      <c r="F1523" s="116"/>
      <c r="H1523" s="116"/>
      <c r="I1523" s="116"/>
      <c r="L1523" s="170"/>
    </row>
    <row r="1524" spans="1:12" x14ac:dyDescent="0.25">
      <c r="A1524" s="170"/>
      <c r="B1524" s="116"/>
      <c r="C1524" s="116"/>
      <c r="D1524" s="116"/>
      <c r="E1524" s="116"/>
      <c r="F1524" s="116"/>
      <c r="H1524" s="116"/>
      <c r="I1524" s="116"/>
      <c r="L1524" s="170"/>
    </row>
    <row r="1525" spans="1:12" x14ac:dyDescent="0.25">
      <c r="A1525" s="170"/>
      <c r="B1525" s="116"/>
      <c r="C1525" s="116"/>
      <c r="D1525" s="116"/>
      <c r="E1525" s="116"/>
      <c r="F1525" s="116"/>
      <c r="H1525" s="116"/>
      <c r="I1525" s="116"/>
      <c r="L1525" s="170"/>
    </row>
    <row r="1526" spans="1:12" x14ac:dyDescent="0.25">
      <c r="A1526" s="170"/>
      <c r="B1526" s="116"/>
      <c r="C1526" s="116"/>
      <c r="D1526" s="116"/>
      <c r="E1526" s="116"/>
      <c r="F1526" s="116"/>
      <c r="H1526" s="116"/>
      <c r="I1526" s="116"/>
      <c r="L1526" s="170"/>
    </row>
    <row r="1527" spans="1:12" x14ac:dyDescent="0.25">
      <c r="A1527" s="170"/>
      <c r="B1527" s="116"/>
      <c r="C1527" s="116"/>
      <c r="D1527" s="116"/>
      <c r="E1527" s="116"/>
      <c r="F1527" s="116"/>
      <c r="H1527" s="116"/>
      <c r="I1527" s="116"/>
      <c r="L1527" s="170"/>
    </row>
    <row r="1528" spans="1:12" x14ac:dyDescent="0.25">
      <c r="A1528" s="170"/>
      <c r="B1528" s="116"/>
      <c r="C1528" s="116"/>
      <c r="D1528" s="116"/>
      <c r="E1528" s="116"/>
      <c r="F1528" s="116"/>
      <c r="H1528" s="116"/>
      <c r="I1528" s="116"/>
      <c r="L1528" s="170"/>
    </row>
    <row r="1529" spans="1:12" x14ac:dyDescent="0.25">
      <c r="A1529" s="170"/>
      <c r="B1529" s="116"/>
      <c r="C1529" s="116"/>
      <c r="D1529" s="116"/>
      <c r="E1529" s="116"/>
      <c r="F1529" s="116"/>
      <c r="H1529" s="116"/>
      <c r="I1529" s="116"/>
      <c r="L1529" s="170"/>
    </row>
    <row r="1530" spans="1:12" x14ac:dyDescent="0.25">
      <c r="A1530" s="170"/>
      <c r="B1530" s="116"/>
      <c r="C1530" s="116"/>
      <c r="D1530" s="116"/>
      <c r="E1530" s="116"/>
      <c r="F1530" s="116"/>
      <c r="H1530" s="116"/>
      <c r="I1530" s="116"/>
      <c r="L1530" s="170"/>
    </row>
    <row r="1531" spans="1:12" x14ac:dyDescent="0.25">
      <c r="A1531" s="170"/>
      <c r="B1531" s="116"/>
      <c r="C1531" s="116"/>
      <c r="D1531" s="116"/>
      <c r="E1531" s="116"/>
      <c r="F1531" s="116"/>
      <c r="H1531" s="116"/>
      <c r="I1531" s="116"/>
      <c r="L1531" s="170"/>
    </row>
    <row r="1532" spans="1:12" x14ac:dyDescent="0.25">
      <c r="A1532" s="170"/>
      <c r="B1532" s="116"/>
      <c r="C1532" s="116"/>
      <c r="D1532" s="116"/>
      <c r="E1532" s="116"/>
      <c r="F1532" s="116"/>
      <c r="H1532" s="116"/>
      <c r="I1532" s="116"/>
      <c r="L1532" s="170"/>
    </row>
    <row r="1533" spans="1:12" x14ac:dyDescent="0.25">
      <c r="A1533" s="170"/>
      <c r="B1533" s="116"/>
      <c r="C1533" s="116"/>
      <c r="D1533" s="116"/>
      <c r="E1533" s="116"/>
      <c r="F1533" s="116"/>
      <c r="H1533" s="116"/>
      <c r="I1533" s="116"/>
      <c r="L1533" s="170"/>
    </row>
    <row r="1534" spans="1:12" x14ac:dyDescent="0.25">
      <c r="A1534" s="170"/>
      <c r="B1534" s="116"/>
      <c r="C1534" s="116"/>
      <c r="D1534" s="116"/>
      <c r="E1534" s="116"/>
      <c r="F1534" s="116"/>
      <c r="H1534" s="116"/>
      <c r="I1534" s="116"/>
      <c r="L1534" s="170"/>
    </row>
    <row r="1535" spans="1:12" x14ac:dyDescent="0.25">
      <c r="A1535" s="170"/>
      <c r="B1535" s="116"/>
      <c r="C1535" s="116"/>
      <c r="D1535" s="116"/>
      <c r="E1535" s="116"/>
      <c r="F1535" s="116"/>
      <c r="H1535" s="116"/>
      <c r="I1535" s="116"/>
      <c r="L1535" s="170"/>
    </row>
    <row r="1536" spans="1:12" x14ac:dyDescent="0.25">
      <c r="A1536" s="170"/>
      <c r="B1536" s="116"/>
      <c r="C1536" s="116"/>
      <c r="D1536" s="116"/>
      <c r="E1536" s="116"/>
      <c r="F1536" s="116"/>
      <c r="H1536" s="116"/>
      <c r="I1536" s="116"/>
      <c r="L1536" s="170"/>
    </row>
    <row r="1537" spans="1:12" x14ac:dyDescent="0.25">
      <c r="A1537" s="170"/>
      <c r="B1537" s="116"/>
      <c r="C1537" s="116"/>
      <c r="D1537" s="116"/>
      <c r="E1537" s="116"/>
      <c r="F1537" s="116"/>
      <c r="H1537" s="116"/>
      <c r="I1537" s="116"/>
      <c r="L1537" s="170"/>
    </row>
    <row r="1538" spans="1:12" x14ac:dyDescent="0.25">
      <c r="A1538" s="170"/>
      <c r="B1538" s="116"/>
      <c r="C1538" s="116"/>
      <c r="D1538" s="116"/>
      <c r="E1538" s="116"/>
      <c r="F1538" s="116"/>
      <c r="H1538" s="116"/>
      <c r="I1538" s="116"/>
      <c r="L1538" s="170"/>
    </row>
    <row r="1539" spans="1:12" x14ac:dyDescent="0.25">
      <c r="A1539" s="170"/>
      <c r="B1539" s="116"/>
      <c r="C1539" s="116"/>
      <c r="D1539" s="116"/>
      <c r="E1539" s="116"/>
      <c r="F1539" s="116"/>
      <c r="H1539" s="116"/>
      <c r="I1539" s="116"/>
      <c r="L1539" s="170"/>
    </row>
    <row r="1540" spans="1:12" x14ac:dyDescent="0.25">
      <c r="A1540" s="170"/>
      <c r="B1540" s="116"/>
      <c r="C1540" s="116"/>
      <c r="D1540" s="116"/>
      <c r="E1540" s="116"/>
      <c r="F1540" s="116"/>
      <c r="H1540" s="116"/>
      <c r="I1540" s="116"/>
      <c r="L1540" s="170"/>
    </row>
    <row r="1541" spans="1:12" x14ac:dyDescent="0.25">
      <c r="A1541" s="170"/>
      <c r="B1541" s="116"/>
      <c r="C1541" s="116"/>
      <c r="D1541" s="116"/>
      <c r="E1541" s="116"/>
      <c r="F1541" s="116"/>
      <c r="H1541" s="116"/>
      <c r="I1541" s="116"/>
      <c r="L1541" s="170"/>
    </row>
    <row r="1542" spans="1:12" x14ac:dyDescent="0.25">
      <c r="A1542" s="170"/>
      <c r="B1542" s="116"/>
      <c r="C1542" s="116"/>
      <c r="D1542" s="116"/>
      <c r="E1542" s="116"/>
      <c r="F1542" s="116"/>
      <c r="H1542" s="116"/>
      <c r="I1542" s="116"/>
      <c r="L1542" s="170"/>
    </row>
    <row r="1543" spans="1:12" x14ac:dyDescent="0.25">
      <c r="A1543" s="170"/>
      <c r="B1543" s="116"/>
      <c r="C1543" s="116"/>
      <c r="D1543" s="116"/>
      <c r="E1543" s="116"/>
      <c r="F1543" s="116"/>
      <c r="H1543" s="116"/>
      <c r="I1543" s="116"/>
      <c r="L1543" s="170"/>
    </row>
    <row r="1544" spans="1:12" x14ac:dyDescent="0.25">
      <c r="A1544" s="170"/>
      <c r="B1544" s="116"/>
      <c r="C1544" s="116"/>
      <c r="D1544" s="116"/>
      <c r="E1544" s="116"/>
      <c r="F1544" s="116"/>
      <c r="H1544" s="116"/>
      <c r="I1544" s="116"/>
      <c r="L1544" s="170"/>
    </row>
    <row r="1545" spans="1:12" x14ac:dyDescent="0.25">
      <c r="A1545" s="170"/>
      <c r="B1545" s="116"/>
      <c r="C1545" s="116"/>
      <c r="D1545" s="116"/>
      <c r="E1545" s="116"/>
      <c r="F1545" s="116"/>
      <c r="H1545" s="116"/>
      <c r="I1545" s="116"/>
      <c r="L1545" s="170"/>
    </row>
    <row r="1546" spans="1:12" x14ac:dyDescent="0.25">
      <c r="A1546" s="170"/>
      <c r="B1546" s="116"/>
      <c r="C1546" s="116"/>
      <c r="D1546" s="116"/>
      <c r="E1546" s="116"/>
      <c r="F1546" s="116"/>
      <c r="H1546" s="116"/>
      <c r="I1546" s="116"/>
      <c r="L1546" s="170"/>
    </row>
    <row r="1547" spans="1:12" x14ac:dyDescent="0.25">
      <c r="A1547" s="170"/>
      <c r="B1547" s="116"/>
      <c r="C1547" s="116"/>
      <c r="D1547" s="116"/>
      <c r="E1547" s="116"/>
      <c r="F1547" s="116"/>
      <c r="H1547" s="116"/>
      <c r="I1547" s="116"/>
      <c r="L1547" s="170"/>
    </row>
    <row r="1548" spans="1:12" x14ac:dyDescent="0.25">
      <c r="A1548" s="170"/>
      <c r="B1548" s="116"/>
      <c r="C1548" s="116"/>
      <c r="D1548" s="116"/>
      <c r="E1548" s="116"/>
      <c r="F1548" s="116"/>
      <c r="H1548" s="116"/>
      <c r="I1548" s="116"/>
      <c r="L1548" s="170"/>
    </row>
    <row r="1549" spans="1:12" x14ac:dyDescent="0.25">
      <c r="A1549" s="170"/>
      <c r="B1549" s="116"/>
      <c r="C1549" s="116"/>
      <c r="D1549" s="116"/>
      <c r="E1549" s="116"/>
      <c r="F1549" s="116"/>
      <c r="H1549" s="116"/>
      <c r="I1549" s="116"/>
      <c r="L1549" s="170"/>
    </row>
    <row r="1550" spans="1:12" x14ac:dyDescent="0.25">
      <c r="A1550" s="170"/>
      <c r="B1550" s="116"/>
      <c r="C1550" s="116"/>
      <c r="D1550" s="116"/>
      <c r="E1550" s="116"/>
      <c r="F1550" s="116"/>
      <c r="H1550" s="116"/>
      <c r="I1550" s="116"/>
      <c r="L1550" s="170"/>
    </row>
    <row r="1551" spans="1:12" x14ac:dyDescent="0.25">
      <c r="A1551" s="170"/>
      <c r="B1551" s="116"/>
      <c r="C1551" s="116"/>
      <c r="D1551" s="116"/>
      <c r="E1551" s="116"/>
      <c r="F1551" s="116"/>
      <c r="H1551" s="116"/>
      <c r="I1551" s="116"/>
      <c r="L1551" s="170"/>
    </row>
    <row r="1552" spans="1:12" x14ac:dyDescent="0.25">
      <c r="A1552" s="170"/>
      <c r="B1552" s="116"/>
      <c r="C1552" s="116"/>
      <c r="D1552" s="116"/>
      <c r="E1552" s="116"/>
      <c r="F1552" s="116"/>
      <c r="H1552" s="116"/>
      <c r="I1552" s="116"/>
      <c r="L1552" s="170"/>
    </row>
    <row r="1553" spans="1:18" x14ac:dyDescent="0.25">
      <c r="A1553" s="170"/>
      <c r="B1553" s="116"/>
      <c r="C1553" s="116"/>
      <c r="D1553" s="116"/>
      <c r="E1553" s="116"/>
      <c r="F1553" s="116"/>
      <c r="H1553" s="116"/>
      <c r="I1553" s="116"/>
      <c r="L1553" s="170"/>
    </row>
    <row r="1554" spans="1:18" x14ac:dyDescent="0.25">
      <c r="A1554" s="170"/>
      <c r="B1554" s="116"/>
      <c r="C1554" s="116"/>
      <c r="D1554" s="116"/>
      <c r="E1554" s="116"/>
      <c r="F1554" s="116"/>
      <c r="H1554" s="116"/>
      <c r="I1554" s="116"/>
      <c r="L1554" s="170"/>
    </row>
    <row r="1555" spans="1:18" x14ac:dyDescent="0.25">
      <c r="A1555" s="170"/>
      <c r="B1555" s="116"/>
      <c r="C1555" s="116"/>
      <c r="D1555" s="116"/>
      <c r="E1555" s="116"/>
      <c r="F1555" s="116"/>
      <c r="H1555" s="116"/>
      <c r="I1555" s="116"/>
      <c r="L1555" s="170"/>
    </row>
    <row r="1556" spans="1:18" x14ac:dyDescent="0.25">
      <c r="A1556" s="170"/>
      <c r="B1556" s="116"/>
      <c r="C1556" s="116"/>
      <c r="D1556" s="116"/>
      <c r="E1556" s="116"/>
      <c r="F1556" s="116"/>
      <c r="H1556" s="116"/>
      <c r="I1556" s="116"/>
      <c r="L1556" s="170"/>
    </row>
    <row r="1557" spans="1:18" x14ac:dyDescent="0.25">
      <c r="A1557" s="170"/>
      <c r="B1557" s="116"/>
      <c r="C1557" s="116"/>
      <c r="D1557" s="116"/>
      <c r="E1557" s="116"/>
      <c r="F1557" s="116"/>
      <c r="H1557" s="116"/>
      <c r="I1557" s="116"/>
      <c r="L1557" s="170"/>
    </row>
    <row r="1558" spans="1:18" x14ac:dyDescent="0.25">
      <c r="A1558" s="170"/>
      <c r="B1558" s="116"/>
      <c r="C1558" s="116"/>
      <c r="D1558" s="116"/>
      <c r="E1558" s="116"/>
      <c r="F1558" s="116"/>
      <c r="H1558" s="116"/>
      <c r="I1558" s="116"/>
      <c r="L1558" s="170"/>
    </row>
    <row r="1559" spans="1:18" x14ac:dyDescent="0.25">
      <c r="A1559" s="170"/>
      <c r="B1559" s="116"/>
      <c r="C1559" s="116"/>
      <c r="D1559" s="116"/>
      <c r="E1559" s="116"/>
      <c r="F1559" s="116"/>
      <c r="H1559" s="116"/>
      <c r="I1559" s="116"/>
      <c r="L1559" s="170"/>
    </row>
    <row r="1560" spans="1:18" x14ac:dyDescent="0.25">
      <c r="A1560" s="170"/>
      <c r="B1560" s="116"/>
      <c r="C1560" s="116"/>
      <c r="D1560" s="116"/>
      <c r="E1560" s="116"/>
      <c r="F1560" s="116"/>
      <c r="H1560" s="116"/>
      <c r="I1560" s="116"/>
      <c r="L1560" s="170"/>
    </row>
    <row r="1561" spans="1:18" x14ac:dyDescent="0.25">
      <c r="A1561" s="170"/>
      <c r="B1561" s="116"/>
      <c r="C1561" s="116"/>
      <c r="D1561" s="116"/>
      <c r="E1561" s="116"/>
      <c r="F1561" s="116"/>
      <c r="H1561" s="116"/>
      <c r="I1561" s="116"/>
      <c r="L1561" s="170"/>
    </row>
    <row r="1562" spans="1:18" x14ac:dyDescent="0.25">
      <c r="A1562" s="170"/>
      <c r="B1562" s="116"/>
      <c r="C1562" s="116"/>
      <c r="D1562" s="116"/>
      <c r="E1562" s="116"/>
      <c r="F1562" s="116"/>
      <c r="H1562" s="116"/>
      <c r="I1562" s="116"/>
      <c r="L1562" s="170"/>
    </row>
    <row r="1563" spans="1:18" x14ac:dyDescent="0.25">
      <c r="A1563" s="170"/>
      <c r="B1563" s="116"/>
      <c r="C1563" s="116"/>
      <c r="D1563" s="116"/>
      <c r="E1563" s="116"/>
      <c r="F1563" s="116"/>
      <c r="H1563" s="116"/>
      <c r="I1563" s="116"/>
      <c r="L1563" s="170"/>
    </row>
    <row r="1564" spans="1:18" x14ac:dyDescent="0.25">
      <c r="A1564" s="170"/>
      <c r="B1564" s="116"/>
      <c r="C1564" s="116"/>
      <c r="D1564" s="116"/>
      <c r="E1564" s="116"/>
      <c r="F1564" s="116"/>
      <c r="H1564" s="116"/>
      <c r="I1564" s="116"/>
      <c r="L1564" s="170"/>
    </row>
    <row r="1565" spans="1:18" x14ac:dyDescent="0.25">
      <c r="A1565" s="170"/>
      <c r="B1565" s="116"/>
      <c r="C1565" s="116"/>
      <c r="D1565" s="116"/>
      <c r="E1565" s="116"/>
      <c r="F1565" s="116"/>
      <c r="H1565" s="116"/>
      <c r="I1565" s="116"/>
      <c r="L1565" s="170"/>
    </row>
    <row r="1566" spans="1:18" x14ac:dyDescent="0.25">
      <c r="A1566" s="170"/>
      <c r="B1566" s="116"/>
      <c r="C1566" s="116"/>
      <c r="D1566" s="116"/>
      <c r="E1566" s="116"/>
      <c r="F1566" s="116"/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/>
      <c r="B1567" s="116"/>
      <c r="C1567" s="116"/>
      <c r="D1567" s="116"/>
      <c r="E1567" s="116"/>
      <c r="F1567" s="116"/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/>
      <c r="B1568" s="116"/>
      <c r="C1568" s="116"/>
      <c r="D1568" s="116"/>
      <c r="E1568" s="116"/>
      <c r="F1568" s="116"/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2026-06-17T12:35:53Z</dcterms:modified>
  <cp:category/>
  <cp:contentStatus/>
</cp:coreProperties>
</file>